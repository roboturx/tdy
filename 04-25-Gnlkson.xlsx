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D78F1D3-1683-4600-8B36-A7592469F783}" xr6:coauthVersionLast="47" xr6:coauthVersionMax="47" xr10:uidLastSave="{00000000-0000-0000-0000-000000000000}"/>
  <bookViews>
    <workbookView xWindow="-120" yWindow="-120" windowWidth="29040" windowHeight="15720" tabRatio="839" activeTab="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1" l="1"/>
  <c r="C14" i="1"/>
  <c r="C11" i="1"/>
  <c r="C6" i="1"/>
  <c r="C75" i="15"/>
  <c r="C73" i="15"/>
  <c r="C69" i="15"/>
  <c r="C66" i="15"/>
  <c r="C63" i="15"/>
  <c r="H151" i="11"/>
  <c r="I151" i="11" s="1"/>
  <c r="F153" i="11"/>
  <c r="F152" i="11"/>
  <c r="F151" i="11"/>
  <c r="B145" i="11" l="1"/>
  <c r="D151" i="11"/>
  <c r="D152" i="11" s="1"/>
  <c r="D153" i="11" s="1"/>
  <c r="G170" i="18"/>
  <c r="E128" i="18"/>
  <c r="E114" i="19"/>
  <c r="E114" i="20"/>
  <c r="I137" i="11"/>
  <c r="I153" i="14"/>
  <c r="H6" i="10"/>
  <c r="H7" i="10"/>
  <c r="H8" i="10" s="1"/>
  <c r="H9" i="10" s="1"/>
  <c r="H10" i="10" s="1"/>
  <c r="H11" i="10" s="1"/>
  <c r="H12" i="10" s="1"/>
  <c r="H13" i="10" s="1"/>
  <c r="H14" i="10" s="1"/>
  <c r="G135" i="11"/>
  <c r="G141" i="11" s="1"/>
  <c r="E135" i="11"/>
  <c r="F111" i="11"/>
  <c r="F112" i="11" s="1"/>
  <c r="G112" i="11" s="1"/>
  <c r="G110" i="11"/>
  <c r="E110" i="11"/>
  <c r="L135" i="11"/>
  <c r="G153" i="11"/>
  <c r="C132" i="11"/>
  <c r="E123" i="11"/>
  <c r="F122" i="11"/>
  <c r="F123" i="11" s="1"/>
  <c r="G123" i="11" s="1"/>
  <c r="E122" i="11"/>
  <c r="G121" i="11"/>
  <c r="E121" i="11"/>
  <c r="G118" i="11"/>
  <c r="E118" i="11"/>
  <c r="G117" i="11"/>
  <c r="E117" i="11"/>
  <c r="G116" i="11"/>
  <c r="E116" i="11"/>
  <c r="G115" i="11"/>
  <c r="E115" i="11"/>
  <c r="E112" i="11"/>
  <c r="E111" i="11"/>
  <c r="C159" i="12"/>
  <c r="F160" i="12"/>
  <c r="C160" i="12"/>
  <c r="G160" i="12" s="1"/>
  <c r="E158" i="12"/>
  <c r="E156" i="12"/>
  <c r="B157" i="12"/>
  <c r="E159" i="12" s="1"/>
  <c r="E155" i="12"/>
  <c r="E160" i="12" s="1"/>
  <c r="I123" i="11" l="1"/>
  <c r="G152" i="11"/>
  <c r="H152" i="11" s="1"/>
  <c r="I152" i="11" s="1"/>
  <c r="H153" i="11"/>
  <c r="I135" i="11"/>
  <c r="J135" i="11" s="1"/>
  <c r="M135" i="11" s="1"/>
  <c r="G111" i="11"/>
  <c r="I110" i="11"/>
  <c r="E119" i="11"/>
  <c r="H119" i="11"/>
  <c r="I112" i="11"/>
  <c r="I116" i="11"/>
  <c r="I117" i="11"/>
  <c r="I118" i="11"/>
  <c r="I121" i="11"/>
  <c r="E124" i="11"/>
  <c r="I115" i="11"/>
  <c r="H118" i="11"/>
  <c r="G122" i="11"/>
  <c r="I160" i="12"/>
  <c r="C157" i="12"/>
  <c r="E157" i="12" s="1"/>
  <c r="L170" i="12"/>
  <c r="H4" i="11"/>
  <c r="H5" i="11" s="1"/>
  <c r="H6" i="11" s="1"/>
  <c r="D75" i="11"/>
  <c r="D86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53" i="11" l="1"/>
  <c r="I154" i="11" s="1"/>
  <c r="D18" i="1"/>
  <c r="G106" i="11"/>
  <c r="G100" i="11" s="1"/>
  <c r="E113" i="11"/>
  <c r="I141" i="11"/>
  <c r="H112" i="11"/>
  <c r="I111" i="11"/>
  <c r="I113" i="11" s="1"/>
  <c r="H113" i="11"/>
  <c r="H124" i="11"/>
  <c r="H123" i="11"/>
  <c r="I122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0" i="15"/>
  <c r="F141" i="15" s="1"/>
  <c r="F142" i="15" s="1"/>
  <c r="F143" i="15" s="1"/>
  <c r="F144" i="15" s="1"/>
  <c r="E100" i="15"/>
  <c r="F90" i="15"/>
  <c r="F91" i="15" s="1"/>
  <c r="F92" i="15" s="1"/>
  <c r="F93" i="15" s="1"/>
  <c r="F94" i="15" s="1"/>
  <c r="F95" i="15" s="1"/>
  <c r="F98" i="15" s="1"/>
  <c r="F9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2" i="10"/>
  <c r="E8" i="10" s="1"/>
  <c r="G8" i="10" s="1"/>
  <c r="E37" i="10"/>
  <c r="E7" i="10"/>
  <c r="E2" i="10" s="1"/>
  <c r="C7" i="2" s="1"/>
  <c r="H4" i="10"/>
  <c r="H5" i="10" s="1"/>
  <c r="F2" i="10"/>
  <c r="D2" i="10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G131" i="11" l="1"/>
  <c r="H129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0" i="15"/>
  <c r="F101" i="15" s="1"/>
  <c r="F102" i="15" s="1"/>
  <c r="F103" i="15" s="1"/>
  <c r="F104" i="15" s="1"/>
  <c r="F105" i="15" s="1"/>
  <c r="F106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5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6" i="15"/>
  <c r="E121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8" i="15" s="1"/>
  <c r="C57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6" i="15"/>
  <c r="F146" i="15" s="1"/>
  <c r="F147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F19" i="1" l="1"/>
  <c r="F21" i="1" s="1"/>
  <c r="F23" i="1" s="1"/>
  <c r="F25" i="1" s="1"/>
  <c r="F27" i="1" s="1"/>
  <c r="F109" i="15"/>
  <c r="F110" i="15" s="1"/>
  <c r="F111" i="15" s="1"/>
  <c r="F112" i="15" s="1"/>
  <c r="F113" i="15" s="1"/>
  <c r="F114" i="15" s="1"/>
  <c r="F115" i="15" s="1"/>
  <c r="E107" i="15"/>
  <c r="N16" i="17"/>
  <c r="H13" i="11"/>
  <c r="H14" i="11" s="1"/>
  <c r="H15" i="11" s="1"/>
  <c r="H16" i="11" s="1"/>
  <c r="H17" i="11" s="1"/>
  <c r="H18" i="11" s="1"/>
  <c r="H2" i="9"/>
  <c r="H15" i="10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59" i="15" l="1"/>
  <c r="F60" i="15" s="1"/>
  <c r="F61" i="15" s="1"/>
  <c r="F62" i="15" s="1"/>
  <c r="F64" i="15" s="1"/>
  <c r="F65" i="15" s="1"/>
  <c r="F67" i="15" s="1"/>
  <c r="F68" i="15" s="1"/>
  <c r="F70" i="15" s="1"/>
  <c r="F71" i="15" s="1"/>
  <c r="F72" i="15" s="1"/>
  <c r="F74" i="15" s="1"/>
  <c r="F76" i="15" s="1"/>
  <c r="F77" i="15" s="1"/>
  <c r="F78" i="15" s="1"/>
  <c r="F79" i="15" s="1"/>
  <c r="F80" i="15" s="1"/>
  <c r="F81" i="15" s="1"/>
  <c r="F82" i="15" s="1"/>
  <c r="F83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6" i="15" l="1"/>
  <c r="F117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<sst xmlns="http://schemas.openxmlformats.org/spreadsheetml/2006/main" count="4718" uniqueCount="1780">
  <si>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</si>
  <si>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</si>
  <si>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</si>
  <si>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</si>
  <si>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</si>
  <si>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</si>
  <si>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</si>
  <si>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</si>
  <si>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</si>
  <si>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</si>
  <si>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</si>
  <si>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</si>
  <si>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</si>
  <si>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</si>
  <si>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</si>
  <si>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</si>
  <si>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</si>
  <si>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</si>
  <si>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</si>
  <si>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</si>
  <si>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</si>
  <si>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</si>
  <si>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</si>
  <si>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</si>
  <si>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</si>
  <si>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</si>
  <si>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</si>
  <si>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</si>
  <si>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</si>
  <si>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</si>
  <si>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</si>
  <si>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</si>
  <si>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</si>
  <si>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</si>
  <si>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</si>
  <si>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</si>
  <si>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</si>
  <si>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</si>
  <si>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</si>
  <si>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</si>
  <si>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</si>
  <si>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</si>
  <si>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</si>
  <si>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</si>
  <si>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</si>
  <si>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</si>
  <si>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</si>
  <si>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</si>
  <si>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</si>
  <si>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</si>
  <si>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</si>
  <si>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</si>
  <si>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</si>
  <si>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</si>
  <si>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</si>
  <si>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</si>
  <si>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</si>
  <si>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</si>
  <si>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</si>
  <si>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</si>
  <si>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</si>
  <si>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</si>
  <si>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</si>
  <si>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</si>
  <si>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</si>
  <si>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</si>
  <si>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</si>
  <si>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</si>
  <si>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</si>
  <si>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</si>
  <si>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</si>
  <si>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</si>
  <si>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</si>
  <si>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</si>
  <si>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</si>
  <si>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</si>
  <si>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</si>
  <si>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</si>
  <si>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</si>
  <si>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</si>
  <si>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</si>
  <si>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</si>
  <si>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</si>
  <si>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</si>
  <si>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</si>
  <si>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</si>
  <si>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</si>
  <si>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</si>
  <si>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</si>
  <si>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</si>
  <si>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</si>
  <si>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</si>
  <si>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</si>
  <si>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</si>
  <si>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</si>
  <si>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</si>
  <si>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</si>
  <si>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</si>
  <si>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</si>
  <si>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</si>
  <si>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</si>
  <si>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</si>
  <si>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</si>
  <si>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</si>
  <si>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</si>
  <si>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</si>
  <si>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</si>
  <si>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</si>
  <si>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</si>
  <si>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</si>
  <si>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</si>
  <si>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</si>
  <si>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</si>
  <si>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</si>
  <si>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</si>
  <si>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</si>
  <si>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</si>
  <si>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</si>
  <si>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</si>
  <si>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</si>
  <si>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</si>
  <si>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</si>
  <si>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</si>
  <si>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</si>
  <si>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</si>
  <si>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</si>
  <si>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</si>
  <si>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</si>
  <si>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</si>
  <si>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</si>
  <si>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</si>
  <si>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</si>
  <si>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</si>
  <si>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</si>
  <si>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</si>
  <si>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</si>
  <si>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</si>
  <si>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</si>
  <si>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</si>
  <si>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</si>
  <si>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</si>
  <si>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</si>
  <si>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</si>
  <si>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</si>
  <si>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</si>
  <si>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</si>
  <si>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</si>
  <si>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</si>
  <si>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</si>
  <si>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</si>
  <si>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</si>
  <si>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</si>
  <si>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</si>
  <si>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</si>
  <si>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</si>
  <si>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</si>
  <si>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</si>
  <si>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</si>
  <si>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</si>
  <si>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</si>
  <si>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</si>
  <si>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</si>
  <si>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</si>
  <si>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</si>
  <si>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</si>
  <si>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</si>
  <si>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</si>
  <si>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</si>
  <si>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</si>
  <si>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</si>
  <si>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</si>
  <si>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</si>
  <si>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</si>
  <si>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</si>
  <si>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</si>
  <si>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</si>
  <si>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</si>
  <si>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</si>
  <si>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</si>
  <si>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</si>
  <si>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</si>
  <si>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</si>
  <si>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</si>
  <si>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</si>
  <si>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</si>
  <si>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</si>
  <si>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</si>
  <si>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</si>
  <si>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</si>
  <si>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</si>
  <si>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</si>
  <si>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</si>
  <si>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</si>
  <si>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</si>
  <si>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</si>
  <si>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</si>
  <si>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</si>
  <si>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</si>
  <si>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</si>
  <si>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</si>
  <si>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</si>
  <si>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</si>
  <si>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</si>
  <si>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</si>
  <si>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</si>
  <si>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</si>
  <si>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</si>
  <si>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</si>
  <si>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</si>
  <si>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</si>
  <si>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</si>
  <si>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</si>
  <si>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</si>
  <si>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</si>
  <si>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</si>
  <si>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</si>
  <si>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</si>
  <si>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</si>
  <si>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</si>
  <si>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</si>
  <si>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</si>
  <si>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</si>
  <si>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</si>
  <si>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</si>
  <si>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</si>
  <si>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</si>
  <si>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</si>
  <si>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</si>
  <si>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</si>
  <si>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</si>
  <si>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</si>
  <si>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</si>
  <si>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</si>
  <si>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</si>
  <si>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</si>
  <si>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</si>
  <si>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</si>
  <si>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</si>
  <si>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</si>
  <si>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</si>
  <si>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</si>
  <si>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</si>
  <si>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</si>
  <si>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</si>
  <si>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</si>
  <si>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</si>
  <si>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</si>
  <si>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</si>
  <si>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</si>
  <si>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</si>
  <si>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</si>
  <si>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</si>
  <si>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</si>
  <si>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</si>
  <si>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</si>
  <si>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</si>
  <si>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</si>
  <si>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</si>
  <si>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</si>
  <si>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</si>
  <si>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</si>
  <si>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</si>
  <si>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</si>
  <si>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</si>
  <si>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</si>
  <si>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</si>
  <si>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</si>
  <si>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</si>
  <si>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</si>
  <si>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</si>
  <si>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</si>
  <si>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</si>
  <si>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</si>
  <si>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</si>
  <si>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</si>
  <si>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</si>
  <si>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</si>
  <si>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</si>
  <si>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</si>
  <si>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</si>
  <si>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</si>
  <si>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</si>
  <si>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</si>
  <si>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</si>
  <si>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</si>
  <si>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</si>
  <si>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</si>
  <si>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</si>
  <si>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</si>
  <si>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</si>
  <si>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</si>
  <si>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</si>
  <si>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</si>
  <si>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</si>
  <si>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</si>
  <si>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</si>
  <si>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</si>
  <si>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</si>
  <si>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</si>
  <si>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</si>
  <si>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</si>
  <si>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</si>
  <si>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</si>
  <si>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</si>
  <si>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</si>
  <si>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</si>
  <si>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</si>
  <si>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</si>
  <si>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</si>
  <si>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</si>
  <si>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</si>
  <si>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</si>
  <si>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</si>
  <si>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</si>
  <si>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</si>
  <si>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</si>
  <si>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</si>
  <si>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</si>
  <si>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</si>
  <si>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</si>
  <si>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</si>
  <si>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</si>
  <si>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</si>
  <si>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</si>
  <si>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</si>
  <si>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</si>
  <si>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</si>
  <si>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</si>
  <si>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</si>
  <si>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</si>
  <si>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</si>
  <si>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</si>
  <si>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</si>
  <si>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</si>
  <si>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</si>
  <si>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</si>
  <si>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</si>
  <si>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</si>
  <si>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</si>
  <si>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</si>
  <si>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</si>
  <si>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</si>
  <si>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</si>
  <si>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</si>
  <si>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</si>
  <si>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</si>
  <si>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</si>
  <si>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</si>
  <si>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</si>
  <si>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</si>
  <si>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</si>
  <si>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</si>
  <si>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</si>
  <si>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</si>
  <si>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</si>
  <si>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</si>
  <si>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</si>
  <si>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</si>
  <si>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</si>
  <si>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</si>
  <si>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</si>
  <si>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</si>
  <si>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</si>
  <si>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</si>
  <si>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</si>
  <si>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</si>
  <si>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</si>
  <si>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</si>
  <si>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</si>
  <si>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</si>
  <si>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</si>
  <si>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</si>
  <si>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</si>
  <si>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</si>
  <si>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</si>
  <si>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</si>
  <si>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</si>
  <si>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</si>
  <si>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</si>
  <si>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</si>
  <si>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</si>
  <si>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</si>
  <si>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</si>
  <si>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</si>
  <si>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</si>
  <si>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</si>
  <si>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</si>
  <si>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</si>
  <si>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</si>
  <si>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</si>
  <si>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</si>
  <si>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</si>
  <si>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</si>
  <si>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</si>
  <si>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</si>
  <si>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</si>
  <si>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</si>
  <si>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</si>
  <si>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</si>
  <si>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</si>
  <si>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</si>
  <si>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</si>
  <si>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</si>
  <si>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</si>
  <si>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</si>
  <si>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</si>
  <si>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</si>
  <si>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</si>
  <si>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</si>
  <si>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</si>
  <si>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</si>
  <si>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</si>
  <si>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</si>
  <si>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</si>
  <si>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</si>
  <si>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</si>
  <si>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</si>
  <si>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</si>
  <si>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</si>
  <si>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</si>
  <si>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</si>
  <si>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</si>
  <si>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</si>
  <si>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</si>
  <si>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</si>
  <si>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</si>
  <si>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</si>
  <si>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</si>
  <si>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</si>
  <si>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</si>
  <si>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</si>
  <si>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</si>
  <si>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</si>
  <si>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</si>
  <si>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</si>
  <si>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</si>
  <si>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</si>
  <si>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</si>
  <si>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</si>
  <si>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</si>
  <si>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</si>
  <si>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</si>
  <si>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</si>
  <si>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</si>
  <si>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</si>
  <si>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</si>
  <si>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</si>
  <si>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</si>
  <si>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</si>
  <si>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</si>
  <si>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</si>
  <si>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</si>
  <si>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</si>
  <si>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</si>
  <si>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</si>
  <si>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</si>
  <si>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</si>
  <si>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</si>
  <si>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</si>
  <si>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</si>
  <si>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</si>
  <si>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</si>
  <si>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</si>
  <si>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</si>
  <si>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</si>
  <si>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</si>
  <si>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</si>
  <si>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</si>
  <si>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</si>
  <si>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</si>
  <si>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</si>
  <si>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</si>
  <si>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</si>
  <si>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</si>
  <si>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</si>
  <si>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</si>
  <si>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</si>
  <si>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</si>
  <si>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</si>
  <si>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</si>
  <si>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</si>
  <si>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</si>
  <si>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</si>
  <si>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</si>
  <si>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</si>
  <si>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</si>
  <si>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</si>
  <si>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</si>
  <si>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</si>
  <si>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</si>
  <si>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</si>
  <si>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</si>
  <si>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</si>
  <si>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</si>
  <si>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</si>
  <si>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</si>
  <si>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</si>
  <si>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</si>
  <si>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</si>
  <si>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</si>
  <si>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</si>
  <si>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</si>
  <si>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</si>
  <si>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</si>
  <si>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</si>
  <si>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</si>
  <si>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</si>
  <si>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</si>
  <si>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</si>
  <si>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</si>
  <si>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</si>
  <si>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</si>
  <si>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</si>
  <si>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</si>
  <si>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</si>
  <si>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</si>
  <si>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</si>
  <si>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</si>
  <si>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</si>
  <si>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</si>
  <si>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</si>
  <si>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</si>
  <si>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</si>
  <si>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</si>
  <si>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</si>
  <si>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</si>
  <si>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</si>
  <si>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</si>
  <si>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</si>
  <si>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</si>
  <si>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</si>
  <si>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</si>
  <si>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</si>
  <si>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</si>
  <si>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</si>
  <si>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</si>
  <si>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</si>
  <si>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</si>
  <si>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</si>
  <si>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</si>
  <si>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</si>
  <si>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</si>
  <si>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</si>
  <si>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</si>
  <si>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</si>
  <si>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</si>
  <si>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</si>
  <si>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</si>
  <si>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</si>
  <si>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</si>
  <si>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</si>
  <si>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</si>
  <si>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</si>
  <si>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</si>
  <si>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</si>
  <si>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</si>
  <si>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</si>
  <si>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</si>
  <si>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</si>
  <si>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</si>
  <si>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</si>
  <si>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</si>
  <si>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</si>
  <si>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</si>
  <si>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</si>
  <si>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</si>
  <si>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</si>
  <si>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</si>
  <si>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</si>
  <si>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</si>
  <si>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</si>
  <si>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</si>
  <si>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</si>
  <si>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</si>
  <si>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</si>
  <si>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</si>
  <si>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</si>
  <si>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</si>
  <si>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</si>
  <si>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</si>
  <si>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</si>
  <si>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</si>
  <si>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</si>
  <si>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</si>
  <si>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</si>
  <si>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</si>
  <si>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</si>
  <si>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</si>
  <si>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</si>
  <si>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</si>
  <si>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</si>
  <si>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</si>
  <si>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</si>
  <si>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</si>
  <si>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</si>
  <si>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</si>
  <si>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</si>
  <si>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</si>
  <si>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</si>
  <si>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</si>
  <si>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</si>
  <si>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</si>
  <si>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</si>
  <si>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</si>
  <si>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</si>
  <si>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</si>
  <si>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</si>
  <si>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</si>
  <si>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</si>
  <si>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</si>
  <si>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</si>
  <si>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</si>
  <si>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</si>
  <si>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</si>
  <si>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</si>
  <si>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</si>
  <si>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</si>
  <si>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</si>
  <si>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</si>
  <si>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</si>
  <si>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</si>
  <si>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</si>
  <si>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</si>
  <si>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</si>
  <si>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</si>
  <si>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</si>
  <si>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</si>
  <si>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</si>
  <si>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</si>
  <si>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</si>
  <si>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</si>
  <si>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</si>
  <si>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</si>
  <si>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</si>
  <si>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</si>
  <si>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</si>
  <si>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</si>
  <si>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</si>
  <si>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</si>
  <si>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</si>
  <si>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</si>
  <si>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</si>
  <si>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</si>
  <si>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</si>
  <si>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</si>
  <si>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</si>
  <si>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</si>
  <si>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</si>
  <si>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</si>
  <si>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</si>
  <si>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</si>
  <si>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</si>
  <si>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</si>
  <si>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</si>
  <si>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</si>
  <si>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</si>
  <si>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</si>
  <si>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</si>
  <si>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</si>
  <si>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</si>
  <si>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</si>
  <si>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</si>
  <si>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</si>
  <si>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</si>
  <si>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</si>
  <si>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</si>
  <si>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</si>
  <si>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</si>
  <si>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</si>
  <si>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</si>
  <si>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</si>
  <si>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</si>
  <si>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</si>
  <si>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</si>
  <si>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</si>
  <si>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</si>
  <si>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</si>
  <si>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</si>
  <si>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</si>
  <si>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</si>
  <si>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</si>
  <si>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</si>
  <si>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</si>
  <si>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</si>
  <si>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</si>
  <si>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</si>
  <si>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</si>
  <si>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</si>
  <si>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</si>
  <si>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</si>
  <si>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</si>
  <si>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</si>
  <si>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</si>
  <si>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</si>
  <si>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</si>
  <si>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</si>
  <si>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</si>
  <si>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</si>
  <si>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</si>
  <si>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</si>
  <si>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</si>
  <si>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</si>
  <si>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</si>
  <si>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</si>
  <si>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</si>
  <si>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</si>
  <si>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</si>
  <si>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</si>
  <si>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</si>
  <si>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</si>
  <si>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</si>
  <si>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</si>
  <si>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</si>
  <si>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</si>
  <si>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</si>
  <si>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</si>
  <si>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</si>
  <si>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</si>
  <si>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</si>
  <si>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</si>
  <si>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</si>
  <si>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</si>
  <si>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</si>
  <si>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</si>
  <si>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</si>
  <si>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</si>
  <si>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</si>
  <si>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</si>
  <si>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</si>
  <si>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</si>
  <si>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</si>
  <si>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</si>
  <si>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</si>
  <si>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</si>
  <si>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</si>
  <si>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</si>
  <si>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</si>
  <si>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</si>
  <si>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</si>
  <si>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</si>
  <si>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</si>
  <si>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</si>
  <si>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</si>
  <si>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</si>
  <si>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</si>
  <si>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</si>
  <si>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</si>
  <si>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</si>
  <si>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</si>
  <si>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</si>
  <si>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</si>
  <si>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</si>
  <si>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</si>
  <si>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</si>
  <si>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</si>
  <si>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</si>
  <si>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</si>
  <si>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</si>
  <si>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</si>
  <si>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</si>
  <si>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</si>
  <si>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</si>
  <si>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</si>
  <si>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</si>
  <si>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</si>
  <si>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</si>
  <si>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</si>
  <si>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</si>
  <si>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</si>
  <si>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</si>
  <si>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</si>
  <si>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</si>
  <si>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</si>
  <si>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</si>
  <si>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</si>
  <si>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</si>
  <si>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</si>
  <si>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</si>
  <si>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</si>
  <si>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</si>
  <si>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</si>
  <si>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</si>
  <si>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</si>
  <si>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</si>
  <si>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</si>
  <si>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</si>
  <si>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</si>
  <si>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</si>
  <si>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</si>
  <si>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</si>
  <si>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</si>
  <si>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</si>
  <si>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</si>
  <si>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</si>
  <si>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</si>
  <si>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</si>
  <si>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</si>
  <si>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</si>
  <si>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</si>
  <si>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</si>
  <si>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</si>
  <si>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</si>
  <si>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</si>
  <si>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</si>
  <si>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</si>
  <si>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</si>
  <si>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</si>
  <si>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</si>
  <si>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</si>
  <si>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</si>
  <si>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</si>
  <si>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</si>
  <si>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</si>
  <si>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</si>
  <si>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</si>
  <si>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</si>
  <si>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</si>
  <si>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</si>
  <si>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</si>
  <si>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</si>
  <si>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</si>
  <si>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</si>
  <si>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</si>
  <si>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</si>
  <si>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</si>
  <si>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</si>
  <si>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</si>
  <si>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</si>
  <si>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</si>
  <si>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</si>
  <si>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</si>
  <si>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</si>
  <si>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</si>
  <si>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</si>
  <si>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</si>
  <si>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</si>
  <si>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</si>
  <si>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</si>
  <si>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</si>
  <si>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</si>
  <si>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</si>
  <si>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</si>
  <si>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</si>
  <si>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</si>
  <si>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</si>
  <si>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</si>
  <si>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</si>
  <si>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</si>
  <si>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</si>
  <si>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</si>
  <si>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</si>
  <si>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</si>
  <si>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</si>
  <si>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</si>
  <si>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</si>
  <si>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</si>
  <si>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</si>
  <si>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</si>
  <si>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</si>
  <si>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</si>
  <si>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</si>
  <si>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</si>
  <si>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</si>
  <si>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</si>
  <si>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</si>
  <si>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</si>
  <si>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</si>
  <si>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</si>
  <si>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</si>
  <si>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</si>
  <si>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</si>
  <si>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</si>
  <si>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</si>
  <si>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</si>
  <si>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</si>
  <si>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</si>
  <si>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</si>
  <si>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</si>
  <si>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</si>
  <si>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</si>
  <si>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</si>
  <si>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</si>
  <si>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</si>
  <si>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</si>
  <si>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</si>
  <si>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</si>
  <si>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</si>
  <si>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</si>
  <si>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</si>
  <si>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</si>
  <si>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</si>
  <si>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</si>
  <si>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</si>
  <si>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</si>
  <si>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</si>
  <si>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</si>
  <si>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</si>
  <si>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</si>
  <si>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</si>
  <si>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</si>
  <si>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</si>
  <si>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</si>
  <si>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</si>
  <si>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</si>
  <si>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</si>
  <si>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</si>
  <si>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</si>
  <si>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</si>
  <si>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</si>
  <si>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</si>
  <si>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</si>
  <si>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</si>
  <si>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</si>
  <si>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</si>
  <si>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</si>
  <si>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</si>
  <si>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</si>
  <si>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</si>
  <si>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</si>
  <si>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</si>
  <si>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</si>
  <si>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</si>
  <si>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</si>
  <si>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</si>
  <si>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</si>
  <si>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</si>
  <si>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</si>
  <si>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</si>
  <si>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</si>
  <si>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</si>
  <si>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</si>
  <si>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</si>
  <si>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</si>
  <si>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</si>
  <si>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</si>
  <si>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</si>
  <si>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</si>
  <si>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</si>
  <si>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</si>
  <si>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</si>
  <si>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</si>
  <si>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</si>
  <si>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</si>
  <si>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</si>
  <si>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</si>
  <si>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</si>
  <si>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</si>
  <si>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</si>
  <si>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</si>
  <si>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</si>
  <si>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</si>
  <si>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</si>
  <si>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</si>
  <si>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</si>
  <si>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</si>
  <si>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</si>
  <si>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</si>
  <si>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</si>
  <si>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</si>
  <si>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</si>
  <si>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</si>
  <si>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</si>
  <si>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</si>
  <si>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</si>
  <si>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</si>
  <si>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</si>
  <si>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</si>
  <si>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</si>
  <si>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</si>
  <si>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</si>
  <si>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</si>
  <si>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</si>
  <si>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</si>
  <si>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</si>
  <si>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</si>
  <si>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</si>
  <si>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</si>
  <si>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</si>
  <si>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</si>
  <si>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</si>
  <si>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</si>
  <si>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</si>
  <si>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</si>
  <si>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</si>
  <si>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</si>
  <si>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</si>
  <si>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</si>
  <si>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</si>
  <si>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</si>
  <si>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</si>
  <si>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</si>
  <si>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</si>
  <si>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</si>
  <si>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</si>
  <si>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</si>
  <si>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</si>
  <si>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</si>
  <si>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</si>
  <si>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</si>
  <si>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</si>
  <si>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</si>
  <si>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</si>
  <si>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</si>
  <si>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</si>
  <si>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</si>
  <si>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</si>
  <si>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</si>
  <si>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</si>
  <si>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</si>
  <si>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</si>
  <si>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</si>
  <si>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</si>
  <si>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</si>
  <si>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</si>
  <si>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</si>
  <si>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</si>
  <si>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</si>
  <si>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</si>
  <si>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</si>
  <si>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</si>
  <si>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</si>
  <si>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</si>
  <si>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</si>
  <si>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</si>
  <si>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</si>
  <si>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</si>
  <si>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</si>
  <si>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</si>
  <si>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</si>
  <si>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</si>
  <si>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</si>
  <si>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</si>
  <si>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</si>
  <si>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</si>
  <si>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</si>
  <si>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</si>
  <si>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</si>
  <si>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</si>
  <si>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</si>
  <si>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</si>
  <si>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</si>
  <si>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</si>
  <si>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</si>
  <si>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</si>
  <si>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</si>
  <si>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</si>
  <si>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</si>
  <si>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</si>
  <si>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</si>
  <si>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</si>
  <si>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</si>
  <si>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</si>
  <si>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</si>
  <si>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</si>
  <si>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</si>
  <si>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</si>
  <si>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</si>
  <si>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</si>
  <si>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</si>
  <si>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</si>
  <si>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</si>
  <si>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</si>
  <si>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</si>
  <si>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</si>
  <si>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</si>
  <si>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</si>
  <si>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</si>
  <si>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</si>
  <si>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</si>
  <si>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</si>
  <si>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</si>
  <si>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</si>
  <si>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</si>
  <si>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</si>
  <si>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</si>
  <si>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</si>
  <si>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</si>
  <si>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</si>
  <si>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</si>
  <si>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</si>
  <si>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</si>
  <si>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</si>
  <si>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</si>
  <si>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</si>
  <si>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</si>
  <si>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</si>
  <si>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</si>
  <si>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</si>
  <si>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</si>
  <si>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</si>
  <si>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</si>
  <si>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</si>
  <si>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</si>
  <si>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</si>
  <si>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</si>
  <si>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</si>
  <si>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</si>
  <si>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</si>
  <si>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</si>
  <si>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</si>
  <si>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</si>
  <si>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</si>
  <si>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</si>
  <si>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</si>
  <si>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</si>
  <si>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</si>
  <si>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</si>
  <si>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</si>
  <si>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</si>
  <si>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</si>
  <si>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</si>
  <si>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</si>
  <si>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</si>
  <si>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</si>
  <si>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</si>
  <si>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</si>
  <si>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</si>
  <si>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</si>
  <si>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</si>
  <si>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</si>
  <si>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</si>
  <si>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</si>
  <si>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</si>
  <si>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</si>
  <si>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</si>
  <si>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</si>
  <si>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</si>
  <si>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</si>
  <si>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</si>
  <si>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</si>
  <si>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</si>
  <si>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</si>
  <si>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</si>
  <si>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</si>
  <si>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</si>
  <si>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</si>
  <si>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</si>
  <si>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</si>
  <si>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</si>
  <si>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</si>
  <si>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</si>
  <si>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</si>
  <si>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</si>
  <si>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</si>
  <si>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</si>
  <si>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</si>
  <si>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</si>
  <si>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</si>
  <si>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</si>
  <si>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</si>
  <si>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</si>
  <si>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</si>
  <si>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</si>
  <si>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</si>
  <si>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</si>
  <si>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</si>
  <si>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</si>
  <si>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</si>
  <si>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</si>
  <si>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</si>
  <si>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</si>
  <si>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</si>
  <si>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</si>
  <si>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</si>
  <si>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</si>
  <si>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</si>
  <si>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</si>
  <si>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</si>
  <si>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</si>
  <si>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</si>
  <si>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</si>
  <si>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</si>
  <si>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</si>
  <si>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</si>
  <si>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</si>
  <si>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</si>
  <si>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</si>
  <si>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</si>
  <si>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</si>
  <si>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</si>
  <si>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</si>
  <si>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</si>
  <si>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</si>
  <si>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</si>
  <si>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</si>
  <si>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</si>
  <si>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</si>
  <si>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</si>
  <si>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</si>
  <si>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</si>
  <si>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</si>
  <si>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</si>
  <si>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</si>
  <si>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</si>
  <si>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</si>
  <si>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</si>
  <si>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</si>
  <si>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</si>
  <si>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</si>
  <si>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</si>
  <si>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</si>
  <si>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</si>
  <si>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</si>
  <si>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</si>
  <si>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</si>
  <si>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</si>
  <si>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</si>
  <si>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</si>
  <si>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</si>
  <si>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</si>
  <si>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</si>
  <si>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</si>
  <si>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</si>
  <si>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</si>
  <si>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</si>
  <si>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</si>
  <si>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</si>
  <si>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</si>
  <si>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</si>
  <si>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</si>
  <si>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</si>
  <si>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</si>
  <si>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</si>
  <si>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</si>
  <si>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</si>
  <si>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</si>
  <si>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</si>
  <si>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</si>
  <si>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</si>
  <si>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</si>
  <si>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</si>
  <si>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</si>
  <si>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</si>
  <si>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</si>
  <si>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</si>
  <si>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</si>
  <si>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</si>
  <si>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</si>
  <si>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</si>
  <si>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</si>
  <si>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</si>
  <si>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</si>
  <si>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</si>
  <si>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</si>
  <si>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</si>
  <si>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</si>
  <si>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</si>
  <si>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</si>
  <si>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</si>
  <si>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</si>
  <si>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</si>
  <si>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</si>
  <si>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</si>
  <si>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</si>
  <si>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</si>
  <si>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</si>
  <si>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</si>
  <si>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</si>
  <si>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</si>
  <si>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</si>
  <si>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</si>
  <si>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</si>
  <si>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</si>
  <si>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</si>
  <si>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</si>
  <si>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</si>
  <si>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</si>
  <si>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</si>
  <si>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</si>
  <si>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</si>
  <si>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</si>
  <si>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</si>
  <si>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</si>
  <si>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</si>
  <si>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</si>
  <si>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</si>
  <si>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</si>
  <si>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</si>
  <si>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</si>
  <si>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</si>
  <si>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</si>
  <si>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</si>
  <si>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</si>
  <si>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</si>
  <si>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</si>
  <si>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</si>
  <si>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</si>
  <si>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</si>
  <si>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</si>
  <si>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</si>
  <si>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</si>
  <si>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</si>
  <si>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</si>
  <si>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</si>
  <si>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</si>
  <si>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</si>
  <si>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</si>
  <si>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</si>
  <si>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</si>
  <si>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</si>
  <si>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</si>
  <si>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</si>
  <si>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</si>
  <si>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</si>
  <si>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</si>
  <si>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</si>
  <si>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</si>
  <si>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</si>
  <si>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</si>
  <si>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</si>
  <si>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</si>
  <si>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</si>
  <si>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</si>
  <si>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</si>
  <si>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</si>
  <si>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</si>
  <si>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</si>
  <si>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</si>
  <si>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</si>
  <si>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</si>
  <si>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</si>
  <si>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</si>
  <si>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</si>
  <si>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</si>
  <si>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</si>
  <si>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</si>
  <si>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</si>
  <si>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</si>
  <si>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</si>
  <si>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</si>
  <si>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</si>
  <si>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</si>
  <si>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</si>
  <si>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</si>
  <si>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</si>
  <si>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</si>
  <si>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</si>
  <si>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</si>
  <si>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</si>
  <si>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</si>
  <si>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</si>
  <si>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</si>
  <si>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</si>
  <si>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</si>
  <si>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</si>
  <si>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</si>
  <si>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</si>
  <si>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</si>
  <si>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</si>
  <si>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</si>
  <si>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</si>
  <si>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</si>
  <si>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</si>
  <si>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</si>
  <si>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</si>
  <si>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</si>
  <si>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</si>
  <si>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</si>
  <si>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</si>
  <si>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</si>
  <si>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</si>
  <si>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</si>
  <si>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</si>
  <si>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</si>
  <si>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</si>
  <si>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</si>
  <si>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</si>
  <si>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</si>
  <si>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</si>
  <si>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</si>
  <si>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</si>
  <si>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</si>
  <si>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</si>
  <si>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</si>
  <si>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</si>
  <si>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</si>
  <si>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</si>
  <si>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</si>
  <si>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</si>
  <si>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</si>
  <si>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</si>
  <si>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</si>
  <si>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</si>
  <si>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</si>
  <si>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</si>
  <si>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</si>
  <si>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</si>
  <si>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</si>
  <si>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</si>
  <si>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</si>
  <si>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</si>
  <si>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</si>
  <si>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</si>
  <si>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</si>
  <si>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</si>
  <si>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</si>
  <si>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</si>
  <si>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</si>
  <si>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</si>
  <si>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</si>
  <si>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</si>
  <si>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</si>
  <si>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</si>
  <si>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</si>
  <si>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</si>
  <si>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</si>
  <si>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</si>
  <si>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</si>
  <si>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</si>
  <si>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</si>
  <si>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</si>
  <si>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</si>
  <si>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</si>
  <si>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</si>
  <si>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</si>
  <si>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</si>
  <si>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</si>
  <si>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</si>
  <si>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</si>
  <si>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</si>
  <si>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</si>
  <si>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</si>
  <si>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</si>
  <si>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</si>
  <si>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</si>
  <si>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</si>
  <si>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</si>
  <si>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</si>
  <si>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</si>
  <si>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</si>
  <si>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</si>
  <si>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</si>
  <si>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</si>
  <si>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</si>
  <si>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</si>
  <si>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</si>
  <si>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</si>
  <si>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</si>
  <si>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</si>
  <si>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</si>
  <si>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</si>
  <si>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</si>
  <si>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</si>
  <si>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</si>
  <si>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</si>
  <si>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</si>
  <si>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</si>
  <si>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</si>
  <si>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</si>
  <si>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</si>
  <si>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</si>
  <si>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</si>
  <si>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</si>
  <si>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</si>
  <si>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</si>
  <si>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</si>
  <si>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</si>
  <si>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</si>
  <si>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</si>
  <si>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</si>
  <si>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</si>
  <si>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</si>
  <si>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</si>
  <si>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</si>
  <si>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</si>
  <si>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</si>
  <si>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</si>
  <si>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</si>
  <si>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</si>
  <si>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</si>
  <si>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</si>
  <si>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</si>
  <si>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</si>
  <si>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</si>
  <si>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</si>
  <si>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</si>
  <si>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</si>
  <si>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</si>
  <si>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</si>
  <si>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</si>
  <si>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</si>
  <si>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</si>
  <si>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</si>
  <si>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</si>
  <si>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</si>
  <si>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</si>
  <si>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</si>
  <si>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</si>
  <si>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</si>
  <si>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</si>
  <si>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</si>
  <si>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</si>
  <si>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</si>
  <si>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</si>
  <si>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</si>
  <si>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</si>
  <si>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</si>
  <si>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</si>
  <si>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</si>
  <si>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</si>
  <si>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</si>
  <si>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</si>
  <si>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</si>
  <si>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</si>
  <si>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</si>
  <si>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</si>
  <si>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</si>
  <si>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</si>
  <si>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</si>
  <si>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</si>
  <si>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</si>
  <si>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</si>
  <si>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</si>
  <si>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</si>
  <si>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</si>
  <si>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</si>
  <si>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</si>
  <si>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</si>
  <si>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</si>
  <si>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</si>
  <si>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</si>
  <si>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</si>
  <si>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</si>
  <si>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</si>
  <si>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</si>
  <si>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</si>
  <si>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</si>
  <si>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</si>
  <si>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</si>
  <si>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</si>
  <si>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</si>
  <si>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</si>
  <si>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</si>
  <si>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</si>
  <si>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</si>
  <si>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</si>
  <si>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</si>
  <si>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</si>
  <si>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</si>
  <si>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</si>
  <si>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</si>
  <si>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</si>
  <si>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</si>
  <si>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</si>
  <si>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</si>
  <si>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</si>
  <si>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</si>
  <si>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</si>
  <si>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</si>
  <si>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</si>
  <si>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</si>
  <si>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</si>
  <si>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</si>
  <si>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</si>
  <si>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</si>
  <si>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</si>
  <si>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</si>
  <si>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</si>
  <si>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</si>
  <si>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</si>
  <si>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</si>
  <si>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</si>
  <si>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</si>
  <si>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</si>
  <si>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</si>
  <si>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</si>
  <si>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</si>
  <si>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</si>
  <si>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</si>
  <si>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</si>
  <si>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</si>
  <si>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</si>
  <si>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</si>
  <si>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</si>
  <si>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</si>
  <si>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</si>
  <si>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</si>
  <si>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</si>
  <si>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</si>
  <si>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</si>
  <si>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</si>
  <si>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</si>
  <si>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</si>
  <si>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</si>
  <si>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</si>
  <si>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</si>
  <si>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</si>
  <si>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</si>
  <si>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</si>
  <si>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</si>
  <si>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</si>
  <si>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</si>
  <si>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</si>
  <si>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</si>
  <si>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</si>
  <si>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</si>
  <si>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</si>
  <si>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</si>
  <si>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</si>
  <si>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</si>
  <si>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</si>
  <si>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</si>
  <si>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</si>
  <si>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</si>
  <si>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</si>
  <si>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</si>
  <si>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</si>
  <si>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</si>
  <si>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</si>
  <si>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</si>
  <si>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</si>
  <si>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</si>
  <si>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</si>
  <si>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</si>
  <si>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</si>
  <si>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</si>
  <si>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</si>
  <si>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</si>
  <si>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</si>
  <si>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</si>
  <si>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</si>
  <si>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</si>
  <si>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</si>
  <si>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</si>
  <si>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</si>
  <si>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</si>
  <si>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</si>
  <si>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</si>
  <si>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</si>
  <si>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</si>
  <si>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</si>
  <si>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</si>
  <si>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</si>
  <si>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</si>
  <si>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</si>
  <si>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</si>
  <si>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</si>
  <si>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</si>
  <si>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</si>
  <si>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</si>
  <si>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</si>
  <si>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</si>
  <si>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</si>
  <si>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</si>
  <si>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</si>
  <si>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</si>
  <si>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</si>
  <si>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</si>
  <si>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</si>
  <si>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</si>
  <si>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</si>
  <si>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</si>
  <si>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</si>
  <si>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</si>
  <si>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</si>
  <si>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</si>
  <si>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</si>
  <si>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</si>
  <si>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</si>
  <si>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</si>
  <si>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</si>
  <si>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</si>
  <si>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</si>
  <si>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</si>
  <si>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</si>
  <si>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</si>
  <si>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</si>
  <si>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</si>
  <si>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</si>
  <si>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</si>
  <si>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</si>
  <si>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</si>
  <si>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</si>
  <si>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</si>
  <si>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</si>
  <si>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</si>
  <si>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</si>
  <si>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</si>
  <si>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</si>
  <si>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</si>
  <si>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</si>
  <si>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</si>
  <si>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</si>
  <si>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</si>
  <si>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</si>
  <si>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</si>
  <si>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</si>
  <si>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</si>
  <si>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</si>
  <si>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</si>
  <si>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</si>
  <si>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</si>
  <si>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</si>
  <si>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</si>
  <si>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</si>
  <si>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</si>
  <si>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</si>
  <si>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</si>
  <si>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</si>
  <si>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</si>
  <si>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</si>
  <si>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</si>
  <si>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</si>
  <si>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</si>
  <si>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</si>
  <si>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</si>
  <si>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</si>
  <si>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</si>
  <si>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</si>
  <si>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</si>
  <si>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</si>
  <si>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</si>
  <si>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</si>
  <si>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</si>
  <si>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</si>
  <si>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</si>
  <si>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</si>
  <si>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</si>
  <si>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</si>
  <si>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>kıbrıs ödenemedi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</si>
  <si>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</si>
  <si>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</si>
  <si>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</si>
  <si>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</si>
  <si>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</si>
  <si>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</si>
  <si>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</si>
  <si>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</si>
  <si>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</si>
  <si>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</si>
  <si>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</si>
  <si>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</si>
  <si>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</si>
  <si>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</si>
  <si>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</si>
  <si>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</si>
  <si>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</si>
  <si>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</si>
  <si>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</si>
  <si>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</si>
  <si>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</si>
  <si>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</si>
  <si>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</si>
  <si>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</si>
  <si>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</si>
  <si>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</si>
  <si>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</si>
  <si>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</si>
  <si>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</si>
  <si>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</si>
  <si>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</si>
  <si>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</si>
  <si>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</si>
  <si>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</si>
  <si>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</si>
  <si>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</si>
  <si>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</si>
  <si>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</si>
  <si>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Pervin Kredi sordu- 300000 TL veriyolarmış 450000 TL ödemesi varmış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</si>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</sst>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4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4" fontId="0" fillId="0" borderId="0" xfId="0" applyNumberFormat="1" applyFill="1"/>
    <xf numFmtId="175" fontId="25" fillId="0" borderId="0" xfId="0" applyNumberFormat="1" applyFont="1" applyFill="1"/>
    <xf numFmtId="174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  <xf numFmtId="173" fontId="0" fillId="0" borderId="0" xfId="0" applyNumberFormat="1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45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13" zoomScale="175" zoomScaleNormal="175" workbookViewId="0">
      <selection activeCell="H11" sqref="H11:K2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506" t="s">
        <v>1736</v>
      </c>
    </row>
    <row r="5" spans="1:6">
      <c r="A5" s="1">
        <v>45657</v>
      </c>
      <c r="B5" s="8" t="s">
        <v>1735</v>
      </c>
      <c r="F5" s="507">
        <v>257330</v>
      </c>
    </row>
    <row r="6" spans="1:6" s="11" customFormat="1">
      <c r="A6" s="538"/>
      <c r="B6" s="539" t="s">
        <v>1775</v>
      </c>
      <c r="C6" s="540">
        <f>35800/2898</f>
        <v>12.353347135955831</v>
      </c>
      <c r="D6" s="541" t="s">
        <v>234</v>
      </c>
      <c r="E6" s="541"/>
      <c r="F6" s="541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8">
        <v>45667</v>
      </c>
      <c r="B8" s="509" t="s">
        <v>5</v>
      </c>
      <c r="C8" s="510"/>
      <c r="D8" s="511">
        <v>20000</v>
      </c>
      <c r="E8" s="511"/>
      <c r="F8" s="512">
        <f t="shared" ref="F8:F19" si="0">F7+D8-E8</f>
        <v>277330</v>
      </c>
    </row>
    <row r="9" spans="1:6" s="11" customFormat="1">
      <c r="A9" s="513">
        <v>45672</v>
      </c>
      <c r="B9" s="514" t="s">
        <v>1585</v>
      </c>
      <c r="C9" s="515"/>
      <c r="D9" s="516"/>
      <c r="E9" s="517">
        <v>25000</v>
      </c>
      <c r="F9" s="135">
        <f t="shared" si="0"/>
        <v>252330</v>
      </c>
    </row>
    <row r="10" spans="1:6" ht="13.5" thickBot="1">
      <c r="A10" s="518">
        <v>45672</v>
      </c>
      <c r="B10" s="519" t="s">
        <v>1738</v>
      </c>
      <c r="C10" s="519"/>
      <c r="D10" s="520"/>
      <c r="E10" s="521">
        <v>31000</v>
      </c>
      <c r="F10" s="527">
        <f t="shared" si="0"/>
        <v>221330</v>
      </c>
    </row>
    <row r="11" spans="1:6" s="11" customFormat="1" ht="13.5" thickBot="1">
      <c r="A11" s="538"/>
      <c r="B11" s="539" t="s">
        <v>1777</v>
      </c>
      <c r="C11" s="540">
        <f>36000/3045</f>
        <v>11.822660098522167</v>
      </c>
      <c r="D11" s="541" t="s">
        <v>234</v>
      </c>
      <c r="E11" s="541"/>
      <c r="F11" s="541"/>
    </row>
    <row r="12" spans="1:6">
      <c r="A12" s="522">
        <v>45703</v>
      </c>
      <c r="B12" s="523" t="s">
        <v>1739</v>
      </c>
      <c r="C12" s="523"/>
      <c r="D12" s="131"/>
      <c r="E12" s="131"/>
      <c r="F12" s="512">
        <f>F10+D12-E12</f>
        <v>221330</v>
      </c>
    </row>
    <row r="13" spans="1:6" s="11" customFormat="1" ht="13.5" thickBot="1">
      <c r="A13" s="518">
        <v>45709</v>
      </c>
      <c r="B13" s="519" t="s">
        <v>816</v>
      </c>
      <c r="C13" s="519"/>
      <c r="D13" s="520"/>
      <c r="E13" s="521">
        <v>26000</v>
      </c>
      <c r="F13" s="527">
        <f t="shared" si="0"/>
        <v>195330</v>
      </c>
    </row>
    <row r="14" spans="1:6" s="11" customFormat="1" ht="13.5" thickBot="1">
      <c r="A14" s="538"/>
      <c r="B14" s="539" t="s">
        <v>1778</v>
      </c>
      <c r="C14" s="540">
        <f>26000/3413</f>
        <v>7.6179314386170525</v>
      </c>
      <c r="D14" s="541" t="s">
        <v>234</v>
      </c>
      <c r="E14" s="541"/>
      <c r="F14" s="541"/>
    </row>
    <row r="15" spans="1:6">
      <c r="A15" s="522">
        <v>45731</v>
      </c>
      <c r="B15" s="523" t="s">
        <v>1586</v>
      </c>
      <c r="C15" s="523"/>
      <c r="D15" s="131"/>
      <c r="E15" s="131"/>
      <c r="F15" s="512">
        <f>F13+D15-E15</f>
        <v>195330</v>
      </c>
    </row>
    <row r="16" spans="1:6" s="11" customFormat="1" ht="13.5" thickBot="1">
      <c r="A16" s="518">
        <v>45741</v>
      </c>
      <c r="B16" s="519" t="s">
        <v>816</v>
      </c>
      <c r="C16" s="519"/>
      <c r="D16" s="520"/>
      <c r="E16" s="521">
        <v>36000</v>
      </c>
      <c r="F16" s="527">
        <f t="shared" si="0"/>
        <v>159330</v>
      </c>
    </row>
    <row r="17" spans="1:6" s="11" customFormat="1" ht="13.5" thickBot="1">
      <c r="A17" s="538"/>
      <c r="B17" s="539" t="s">
        <v>1779</v>
      </c>
      <c r="C17" s="540">
        <f>36000/3650</f>
        <v>9.8630136986301373</v>
      </c>
      <c r="D17" s="541" t="s">
        <v>234</v>
      </c>
      <c r="E17" s="541"/>
      <c r="F17" s="541"/>
    </row>
    <row r="18" spans="1:6" s="11" customFormat="1">
      <c r="A18" s="522">
        <v>45757</v>
      </c>
      <c r="B18" s="510" t="s">
        <v>1737</v>
      </c>
      <c r="C18" s="523"/>
      <c r="D18" s="131">
        <f>'04_25'!D86</f>
        <v>145500</v>
      </c>
      <c r="E18" s="130"/>
      <c r="F18" s="512">
        <f>F16+D18-E18</f>
        <v>304830</v>
      </c>
    </row>
    <row r="19" spans="1:6" ht="13.5" thickBot="1">
      <c r="A19" s="524">
        <v>45762</v>
      </c>
      <c r="B19" s="525" t="s">
        <v>1587</v>
      </c>
      <c r="C19" s="525"/>
      <c r="D19" s="526"/>
      <c r="E19" s="521">
        <v>36500</v>
      </c>
      <c r="F19" s="527">
        <f t="shared" si="0"/>
        <v>268330</v>
      </c>
    </row>
    <row r="20" spans="1:6" s="11" customFormat="1">
      <c r="A20" s="538"/>
      <c r="B20" s="539"/>
      <c r="C20" s="540"/>
      <c r="D20" s="541" t="s">
        <v>234</v>
      </c>
      <c r="E20" s="541"/>
      <c r="F20" s="541"/>
    </row>
    <row r="21" spans="1:6">
      <c r="A21" s="489">
        <v>45792</v>
      </c>
      <c r="B21" s="482" t="s">
        <v>1588</v>
      </c>
      <c r="C21" s="482"/>
      <c r="D21" s="455"/>
      <c r="F21" s="12">
        <f>F19+D21-E21</f>
        <v>268330</v>
      </c>
    </row>
    <row r="22" spans="1:6" s="11" customFormat="1">
      <c r="A22" s="538"/>
      <c r="B22" s="539"/>
      <c r="C22" s="540"/>
      <c r="D22" s="541" t="s">
        <v>234</v>
      </c>
      <c r="E22" s="541"/>
      <c r="F22" s="541"/>
    </row>
    <row r="23" spans="1:6">
      <c r="A23" s="1">
        <v>45823</v>
      </c>
      <c r="B23" s="8" t="s">
        <v>1589</v>
      </c>
      <c r="C23" s="8"/>
      <c r="D23" s="12"/>
      <c r="F23" s="12">
        <f>F21+D23-E23</f>
        <v>268330</v>
      </c>
    </row>
    <row r="24" spans="1:6" s="11" customFormat="1">
      <c r="A24" s="538"/>
      <c r="B24" s="539"/>
      <c r="C24" s="540"/>
      <c r="D24" s="541" t="s">
        <v>234</v>
      </c>
      <c r="E24" s="541"/>
      <c r="F24" s="541"/>
    </row>
    <row r="25" spans="1:6">
      <c r="A25" s="1">
        <v>45853</v>
      </c>
      <c r="B25" s="8" t="s">
        <v>1590</v>
      </c>
      <c r="C25" s="8"/>
      <c r="D25" s="12"/>
      <c r="F25" s="12">
        <f>F23+D25-E25</f>
        <v>268330</v>
      </c>
    </row>
    <row r="26" spans="1:6" s="11" customFormat="1" ht="13.5" thickBot="1">
      <c r="A26" s="538"/>
      <c r="B26" s="539"/>
      <c r="C26" s="540"/>
      <c r="D26" s="541" t="s">
        <v>234</v>
      </c>
      <c r="E26" s="541"/>
      <c r="F26" s="541"/>
    </row>
    <row r="27" spans="1:6">
      <c r="E27" s="13"/>
      <c r="F27" s="528">
        <f>F25+D27-E27</f>
        <v>268330</v>
      </c>
    </row>
    <row r="28" spans="1:6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01" t="s">
        <v>26</v>
      </c>
      <c r="M1" s="50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0</v>
      </c>
      <c r="F6" s="32">
        <f>'04_25'!G2</f>
        <v>-171726.58000000002</v>
      </c>
      <c r="G6" s="33">
        <f t="shared" si="1"/>
        <v>-130344.91999999998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-49632.270000000004</v>
      </c>
      <c r="D7" s="33">
        <f t="shared" si="0"/>
        <v>51485.819999999963</v>
      </c>
      <c r="E7" s="32">
        <f>'05_25'!F2</f>
        <v>0</v>
      </c>
      <c r="F7" s="32">
        <f>'05_25'!G2</f>
        <v>-4715.21</v>
      </c>
      <c r="G7" s="33">
        <f t="shared" si="1"/>
        <v>-135060.12999999998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-54031.839999999997</v>
      </c>
      <c r="D8" s="33">
        <f t="shared" si="0"/>
        <v>12453.979999999967</v>
      </c>
      <c r="E8" s="32">
        <f>'06_25'!F2</f>
        <v>0</v>
      </c>
      <c r="F8" s="32">
        <f>'06_25'!G2</f>
        <v>-1614.78</v>
      </c>
      <c r="G8" s="33">
        <f t="shared" si="1"/>
        <v>-136674.90999999997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-26577.86000000003</v>
      </c>
      <c r="E9" s="32">
        <f>'07_25'!F2</f>
        <v>0</v>
      </c>
      <c r="F9" s="32">
        <f>'07_25'!G2</f>
        <v>-1614.78</v>
      </c>
      <c r="G9" s="33">
        <f t="shared" si="1"/>
        <v>-138289.68999999997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-65609.700000000026</v>
      </c>
      <c r="E10" s="32">
        <f>'08_25'!F2</f>
        <v>0</v>
      </c>
      <c r="F10" s="32">
        <f>'08_25'!G2</f>
        <v>-1614.78</v>
      </c>
      <c r="G10" s="33">
        <f t="shared" si="1"/>
        <v>-139904.46999999997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-103651.76000000002</v>
      </c>
      <c r="E11" s="32">
        <f>'09_25'!F2</f>
        <v>0</v>
      </c>
      <c r="F11" s="32">
        <f>'09_25'!G2</f>
        <v>-625</v>
      </c>
      <c r="G11" s="33">
        <f t="shared" si="1"/>
        <v>-140529.46999999997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-141068.82</v>
      </c>
      <c r="E12" s="32">
        <f>'10_25'!F2</f>
        <v>0</v>
      </c>
      <c r="F12" s="32">
        <f>'10_25'!G2</f>
        <v>0</v>
      </c>
      <c r="G12" s="33">
        <f t="shared" si="1"/>
        <v>-140529.46999999997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-178485.88</v>
      </c>
      <c r="E13" s="32">
        <f>'11_25'!F2</f>
        <v>0</v>
      </c>
      <c r="F13" s="32">
        <f>'11_25'!G2</f>
        <v>0</v>
      </c>
      <c r="G13" s="33">
        <f t="shared" si="1"/>
        <v>-140529.46999999997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-215902.94</v>
      </c>
      <c r="E14" s="32">
        <f>'12_25'!F2</f>
        <v>0</v>
      </c>
      <c r="F14" s="32">
        <f>'12_25'!G2</f>
        <v>0</v>
      </c>
      <c r="G14" s="33">
        <f t="shared" si="1"/>
        <v>-140529.46999999997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-824566.94000000018</v>
      </c>
      <c r="D15" s="33">
        <f>B15+C15</f>
        <v>-215902.94000000018</v>
      </c>
      <c r="E15" s="33">
        <f>SUM(E3:E14)</f>
        <v>383103.95</v>
      </c>
      <c r="F15" s="33">
        <f>SUM(F3:F14)</f>
        <v>-523633.4200000001</v>
      </c>
      <c r="G15" s="33">
        <f>E15+F15</f>
        <v>-140529.47000000009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-68713.911666666681</v>
      </c>
      <c r="D16" s="55"/>
      <c r="E16" s="55">
        <f>E15/A16</f>
        <v>31925.329166666666</v>
      </c>
      <c r="F16" s="55">
        <f>F15/A16</f>
        <v>-43636.118333333339</v>
      </c>
      <c r="G16" s="55">
        <f>G15/A16</f>
        <v>-11710.789166666675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02">
        <f>L15+M15</f>
        <v>976.10596800000008</v>
      </c>
      <c r="M17" s="502"/>
    </row>
    <row r="18" spans="2:13">
      <c r="D18" s="64" t="s">
        <v>58</v>
      </c>
      <c r="E18" s="2">
        <f>'01_25'!F32+'02_25'!F14+'02_25'!F26+'03_25'!F18+'04_25'!F41+'05_25'!F22+'06_25'!F19+'06_25'!F31+'04_25'!F14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354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384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427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1688</v>
      </c>
      <c r="C56" s="11"/>
      <c r="D56" s="90" t="s">
        <v>1722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454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1638</v>
      </c>
      <c r="C37" s="90">
        <v>5938.68</v>
      </c>
      <c r="D37" s="90" t="s">
        <v>478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1688</v>
      </c>
      <c r="C52" s="11"/>
      <c r="D52" s="90" t="s">
        <v>1723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510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1638</v>
      </c>
      <c r="C37" s="90">
        <v>5938.68</v>
      </c>
      <c r="D37" s="90" t="s">
        <v>524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1688</v>
      </c>
      <c r="C52" s="11"/>
      <c r="D52" s="90" t="s">
        <v>1724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zoomScale="145" zoomScaleNormal="145" workbookViewId="0">
      <selection activeCell="A53" sqref="A53:E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1597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94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1638</v>
      </c>
      <c r="C37" s="90">
        <v>5938.68</v>
      </c>
      <c r="D37" s="90" t="s">
        <v>568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1688</v>
      </c>
      <c r="C53" s="11"/>
      <c r="D53" s="90" t="s">
        <v>1721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abSelected="1" zoomScale="145" zoomScaleNormal="145" workbookViewId="0">
      <selection activeCell="E19" sqref="E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-49632.270000000004</v>
      </c>
      <c r="F2" s="77">
        <f>SUM(F4:F31)</f>
        <v>0</v>
      </c>
      <c r="G2" s="77">
        <f>SUM(G4:G31)</f>
        <v>-4715.21</v>
      </c>
      <c r="H2" s="77">
        <f>F2+G2</f>
        <v>-4715.21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C5" s="8"/>
      <c r="D5" s="87"/>
      <c r="E5" s="87"/>
      <c r="F5" s="87"/>
      <c r="G5" s="87"/>
      <c r="H5" s="87">
        <f t="shared" si="0"/>
        <v>0</v>
      </c>
    </row>
    <row r="6" spans="1:10">
      <c r="A6" s="478">
        <v>45749</v>
      </c>
      <c r="B6" s="479" t="s">
        <v>70</v>
      </c>
      <c r="C6" s="479"/>
      <c r="D6" s="423"/>
      <c r="E6" s="423">
        <v>-2117.06</v>
      </c>
      <c r="F6" s="87"/>
      <c r="G6" s="87"/>
      <c r="H6" s="87">
        <f t="shared" si="0"/>
        <v>0</v>
      </c>
    </row>
    <row r="7" spans="1:10">
      <c r="A7" s="480"/>
      <c r="B7" s="481" t="s">
        <v>68</v>
      </c>
      <c r="C7" s="482"/>
      <c r="D7" s="423"/>
      <c r="E7" s="423">
        <f>E37</f>
        <v>-989.78</v>
      </c>
      <c r="F7" s="87"/>
      <c r="G7" s="87">
        <f>E7</f>
        <v>-989.78</v>
      </c>
      <c r="H7" s="87">
        <f t="shared" si="0"/>
        <v>-989.78</v>
      </c>
    </row>
    <row r="8" spans="1:10">
      <c r="A8" s="483"/>
      <c r="B8" s="481" t="s">
        <v>69</v>
      </c>
      <c r="C8" s="482"/>
      <c r="D8" s="423"/>
      <c r="E8" s="423">
        <f>E52</f>
        <v>-3725.4300000000003</v>
      </c>
      <c r="F8" s="87"/>
      <c r="G8" s="87">
        <f>E8</f>
        <v>-3725.4300000000003</v>
      </c>
      <c r="H8" s="87">
        <f t="shared" si="0"/>
        <v>-4715.21</v>
      </c>
    </row>
    <row r="9" spans="1:10">
      <c r="B9" s="8"/>
      <c r="C9" s="8"/>
      <c r="D9" s="87"/>
      <c r="E9" s="87"/>
      <c r="F9" s="87"/>
      <c r="G9" s="87"/>
      <c r="H9" s="87">
        <f t="shared" si="0"/>
        <v>-4715.21</v>
      </c>
    </row>
    <row r="10" spans="1:10">
      <c r="H10" s="87">
        <f t="shared" si="0"/>
        <v>-4715.21</v>
      </c>
    </row>
    <row r="11" spans="1:10">
      <c r="B11" s="89" t="s">
        <v>1596</v>
      </c>
      <c r="C11" s="89"/>
      <c r="D11" s="90"/>
      <c r="E11" s="90">
        <v>-17500</v>
      </c>
      <c r="H11" s="87">
        <f t="shared" si="0"/>
        <v>-4715.21</v>
      </c>
    </row>
    <row r="12" spans="1:10">
      <c r="B12" s="91" t="s">
        <v>72</v>
      </c>
      <c r="C12" s="92"/>
      <c r="D12" s="90"/>
      <c r="E12" s="90">
        <v>0</v>
      </c>
      <c r="H12" s="87">
        <f t="shared" si="0"/>
        <v>-4715.21</v>
      </c>
    </row>
    <row r="13" spans="1:10">
      <c r="A13" s="88"/>
      <c r="B13" s="92"/>
      <c r="C13" s="92"/>
      <c r="D13" s="90"/>
      <c r="E13" s="90"/>
      <c r="H13" s="87">
        <f t="shared" si="0"/>
        <v>-4715.21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87">
        <f t="shared" si="0"/>
        <v>-4715.21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-4715.21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-4715.21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-4715.21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-4715.21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-4715.21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-4715.21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-4715.21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-4715.21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-4715.21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-4715.21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-4715.21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-4715.21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-4715.21</v>
      </c>
    </row>
    <row r="28" spans="1:13" s="78" customFormat="1">
      <c r="D28" s="77"/>
      <c r="E28" s="77"/>
      <c r="F28" s="77"/>
      <c r="G28" s="77"/>
      <c r="H28" s="77">
        <f t="shared" si="0"/>
        <v>-4715.21</v>
      </c>
    </row>
    <row r="29" spans="1:13">
      <c r="A29" s="100"/>
      <c r="B29" s="101" t="s">
        <v>96</v>
      </c>
      <c r="C29" s="101"/>
      <c r="H29" s="77">
        <f t="shared" si="0"/>
        <v>-4715.21</v>
      </c>
      <c r="I29" s="78"/>
      <c r="J29" s="78"/>
    </row>
    <row r="30" spans="1:13">
      <c r="A30" s="100"/>
      <c r="H30" s="77">
        <f t="shared" si="0"/>
        <v>-4715.21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-4715.21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-989.78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>
        <v>45715</v>
      </c>
      <c r="B40" s="90" t="s">
        <v>1638</v>
      </c>
      <c r="C40" s="90">
        <v>5938.68</v>
      </c>
      <c r="D40" s="90" t="s">
        <v>616</v>
      </c>
      <c r="E40" s="90">
        <v>-989.78</v>
      </c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-3725.4300000000003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K55" s="78"/>
      <c r="L55" s="78"/>
      <c r="M55" s="78"/>
      <c r="N55" s="78"/>
    </row>
    <row r="56" spans="1:14" s="77" customFormat="1">
      <c r="A56" s="98">
        <v>45728</v>
      </c>
      <c r="B56" s="90" t="s">
        <v>1688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430">
        <v>45692</v>
      </c>
      <c r="B57" s="90" t="s">
        <v>1663</v>
      </c>
      <c r="C57" s="90"/>
      <c r="D57" s="90" t="s">
        <v>955</v>
      </c>
      <c r="E57" s="90">
        <v>-600.13</v>
      </c>
      <c r="K57" s="78"/>
      <c r="L57" s="78"/>
      <c r="M57" s="78"/>
      <c r="N57" s="78"/>
    </row>
    <row r="58" spans="1:14" s="77" customFormat="1">
      <c r="A58" s="430">
        <v>45692</v>
      </c>
      <c r="B58" s="90" t="s">
        <v>1663</v>
      </c>
      <c r="C58" s="90"/>
      <c r="D58" s="90" t="s">
        <v>955</v>
      </c>
      <c r="E58" s="90">
        <v>-2500.3000000000002</v>
      </c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W232"/>
  <sheetViews>
    <sheetView topLeftCell="A63" zoomScale="145" zoomScaleNormal="145" workbookViewId="0">
      <selection activeCell="B83" sqref="B83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0</v>
      </c>
      <c r="G2" s="77">
        <f>SUM(G4:G30)</f>
        <v>-171726.58000000002</v>
      </c>
      <c r="H2" s="77">
        <f>F2+G2</f>
        <v>-171726.58000000002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1718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1726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98"/>
      <c r="B13" s="177" t="s">
        <v>72</v>
      </c>
      <c r="C13" s="8"/>
      <c r="D13" s="87"/>
      <c r="E13" s="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98"/>
      <c r="B14" s="93" t="s">
        <v>73</v>
      </c>
      <c r="C14" s="93"/>
      <c r="D14" s="90"/>
      <c r="E14" s="90">
        <v>-1000</v>
      </c>
      <c r="F14" s="77"/>
      <c r="G14" s="77"/>
      <c r="H14" s="90">
        <f t="shared" ref="H14:H18" si="2">H13+F14+G14</f>
        <v>-164226.58000000002</v>
      </c>
    </row>
    <row r="15" spans="1:14" s="78" customFormat="1">
      <c r="A15" s="98"/>
      <c r="B15" s="93" t="s">
        <v>74</v>
      </c>
      <c r="C15" s="93"/>
      <c r="D15" s="90"/>
      <c r="E15" s="90">
        <v>-200</v>
      </c>
      <c r="F15" s="77"/>
      <c r="G15" s="77"/>
      <c r="H15" s="90">
        <f t="shared" si="2"/>
        <v>-164226.58000000002</v>
      </c>
    </row>
    <row r="16" spans="1:14" s="78" customFormat="1">
      <c r="A16" s="98"/>
      <c r="B16" s="99" t="s">
        <v>75</v>
      </c>
      <c r="C16" s="99"/>
      <c r="D16" s="90"/>
      <c r="E16" s="90">
        <v>-200</v>
      </c>
      <c r="F16" s="77"/>
      <c r="G16" s="77"/>
      <c r="H16" s="90">
        <f t="shared" si="2"/>
        <v>-164226.58000000002</v>
      </c>
    </row>
    <row r="17" spans="1:14" s="78" customFormat="1">
      <c r="A17" s="98"/>
      <c r="B17" s="92" t="s">
        <v>76</v>
      </c>
      <c r="C17" s="92"/>
      <c r="D17" s="90">
        <v>15000</v>
      </c>
      <c r="E17" s="90"/>
      <c r="F17" s="77"/>
      <c r="G17" s="77"/>
      <c r="H17" s="77">
        <f t="shared" si="2"/>
        <v>-164226.58000000002</v>
      </c>
      <c r="J17" s="94"/>
      <c r="K17" s="94"/>
      <c r="L17" s="95"/>
      <c r="M17" s="96"/>
    </row>
    <row r="18" spans="1:14" s="78" customFormat="1">
      <c r="A18" s="98"/>
      <c r="B18" s="92" t="s">
        <v>77</v>
      </c>
      <c r="C18" s="92"/>
      <c r="D18" s="90"/>
      <c r="E18" s="90">
        <v>-7500</v>
      </c>
      <c r="F18" s="77"/>
      <c r="G18" s="77"/>
      <c r="H18" s="77">
        <f t="shared" si="2"/>
        <v>-164226.58000000002</v>
      </c>
      <c r="J18" s="94"/>
      <c r="K18" s="94"/>
      <c r="L18" s="95"/>
      <c r="M18" s="96"/>
    </row>
    <row r="19" spans="1:14" s="78" customFormat="1">
      <c r="A19" s="98"/>
      <c r="B19" s="92" t="s">
        <v>78</v>
      </c>
      <c r="C19" s="92"/>
      <c r="D19" s="90"/>
      <c r="E19" s="90">
        <v>-7500</v>
      </c>
      <c r="F19" s="77"/>
      <c r="G19" s="77"/>
      <c r="H19" s="90">
        <f t="shared" ref="H19:H23" si="3">H18+F19+G19</f>
        <v>-164226.58000000002</v>
      </c>
      <c r="J19" s="94"/>
      <c r="K19" s="94"/>
      <c r="L19" s="95"/>
      <c r="M19" s="96"/>
    </row>
    <row r="20" spans="1:14" s="78" customFormat="1">
      <c r="A20" s="98"/>
      <c r="B20" s="92" t="s">
        <v>79</v>
      </c>
      <c r="C20" s="92"/>
      <c r="D20" s="90"/>
      <c r="E20" s="87">
        <v>-7500</v>
      </c>
      <c r="F20" s="87"/>
      <c r="G20" s="87">
        <v>-7500</v>
      </c>
      <c r="H20" s="90">
        <f t="shared" si="3"/>
        <v>-171726.58000000002</v>
      </c>
      <c r="J20" s="94"/>
      <c r="K20" s="94"/>
      <c r="L20" s="95"/>
      <c r="M20" s="96"/>
    </row>
    <row r="21" spans="1:14" s="78" customFormat="1">
      <c r="A21" s="474">
        <v>45744</v>
      </c>
      <c r="B21" s="416" t="s">
        <v>98</v>
      </c>
      <c r="C21" s="416" t="s">
        <v>1598</v>
      </c>
      <c r="D21" s="417" t="s">
        <v>1719</v>
      </c>
      <c r="E21" s="417">
        <v>-1380</v>
      </c>
      <c r="F21" s="77"/>
      <c r="G21" s="77"/>
      <c r="H21" s="90">
        <f t="shared" si="3"/>
        <v>-171726.58000000002</v>
      </c>
      <c r="J21" s="94"/>
      <c r="K21" s="94"/>
      <c r="L21" s="95"/>
      <c r="M21" s="96"/>
    </row>
    <row r="22" spans="1:14" s="78" customFormat="1">
      <c r="A22" s="98">
        <v>45776</v>
      </c>
      <c r="B22" s="3" t="s">
        <v>98</v>
      </c>
      <c r="C22" s="3" t="s">
        <v>99</v>
      </c>
      <c r="D22" s="77"/>
      <c r="E22" s="77">
        <v>-1380</v>
      </c>
      <c r="F22" s="77"/>
      <c r="G22" s="77"/>
      <c r="H22" s="90">
        <f t="shared" si="3"/>
        <v>-171726.58000000002</v>
      </c>
      <c r="J22" s="94"/>
      <c r="K22" s="94"/>
      <c r="L22" s="95"/>
      <c r="M22" s="96"/>
    </row>
    <row r="23" spans="1:14" s="78" customFormat="1">
      <c r="A23" s="98"/>
      <c r="B23" s="99" t="s">
        <v>80</v>
      </c>
      <c r="C23" s="99"/>
      <c r="D23" s="77"/>
      <c r="E23" s="77">
        <v>-600</v>
      </c>
      <c r="F23" s="77"/>
      <c r="G23" s="77"/>
      <c r="H23" s="90">
        <f t="shared" si="3"/>
        <v>-171726.58000000002</v>
      </c>
      <c r="J23" s="94"/>
      <c r="K23" s="94"/>
      <c r="L23" s="95"/>
      <c r="M23" s="96"/>
    </row>
    <row r="24" spans="1:14" s="78" customFormat="1">
      <c r="A24" s="98"/>
      <c r="B24" s="99" t="s">
        <v>81</v>
      </c>
      <c r="C24" s="99"/>
      <c r="D24" s="77"/>
      <c r="E24" s="77">
        <v>-800</v>
      </c>
      <c r="F24" s="77"/>
      <c r="G24" s="77"/>
      <c r="H24" s="77">
        <f t="shared" ref="H24:H29" si="4">H23+F24+G24</f>
        <v>-171726.58000000002</v>
      </c>
      <c r="J24" s="94"/>
      <c r="K24" s="94"/>
      <c r="L24" s="95"/>
      <c r="M24" s="96"/>
    </row>
    <row r="25" spans="1:14" s="78" customFormat="1">
      <c r="A25" s="98"/>
      <c r="B25" s="3"/>
      <c r="C25" s="3"/>
      <c r="D25" s="77"/>
      <c r="E25" s="77"/>
      <c r="F25" s="77"/>
      <c r="G25" s="77"/>
      <c r="H25" s="77">
        <f t="shared" si="4"/>
        <v>-171726.58000000002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-171726.58000000002</v>
      </c>
    </row>
    <row r="27" spans="1:14">
      <c r="B27" s="101" t="s">
        <v>100</v>
      </c>
      <c r="C27" s="101"/>
      <c r="H27" s="77">
        <f t="shared" si="4"/>
        <v>-171726.58000000002</v>
      </c>
      <c r="I27" s="78"/>
      <c r="J27" s="78"/>
    </row>
    <row r="28" spans="1:14">
      <c r="H28" s="77">
        <f t="shared" si="4"/>
        <v>-171726.58000000002</v>
      </c>
    </row>
    <row r="29" spans="1:14">
      <c r="H29" s="77">
        <f t="shared" si="4"/>
        <v>-171726.58000000002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1715</v>
      </c>
      <c r="C35" s="11" t="s">
        <v>1701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1638</v>
      </c>
      <c r="C37" s="90">
        <v>5938.68</v>
      </c>
      <c r="D37" s="90" t="s">
        <v>660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1673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1673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1702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130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540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545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545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1067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1688</v>
      </c>
      <c r="C54"/>
      <c r="D54" s="77" t="s">
        <v>1689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1663</v>
      </c>
      <c r="C55" s="90"/>
      <c r="D55" s="90" t="s">
        <v>991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1663</v>
      </c>
      <c r="D56" s="90" t="s">
        <v>991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1690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1691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1613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1692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1613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1693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130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1694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1695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1696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1697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1698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1699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1700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1708</v>
      </c>
      <c r="C75" s="151"/>
      <c r="D75" s="117">
        <f>SUM(D66:D74)</f>
        <v>10650</v>
      </c>
    </row>
    <row r="76" spans="1:14">
      <c r="A76" s="457">
        <v>45740</v>
      </c>
      <c r="B76" s="407" t="s">
        <v>1709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1710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1711</v>
      </c>
      <c r="C78" s="407"/>
      <c r="D78" s="465">
        <v>1500</v>
      </c>
      <c r="E78" s="405"/>
      <c r="F78" s="405"/>
    </row>
    <row r="79" spans="1:14">
      <c r="B79" s="466" t="s">
        <v>1716</v>
      </c>
      <c r="D79" s="459">
        <v>3750</v>
      </c>
    </row>
    <row r="80" spans="1:14">
      <c r="A80" s="98">
        <v>45743</v>
      </c>
      <c r="B80" s="471" t="s">
        <v>1725</v>
      </c>
      <c r="C80" s="468"/>
      <c r="D80" s="470">
        <v>1600</v>
      </c>
    </row>
    <row r="81" spans="1:14">
      <c r="B81" s="467" t="s">
        <v>1713</v>
      </c>
      <c r="C81" s="468"/>
      <c r="D81" s="469">
        <v>25000</v>
      </c>
    </row>
    <row r="82" spans="1:14" s="11" customFormat="1">
      <c r="A82" s="98">
        <v>45761</v>
      </c>
      <c r="B82" s="503" t="s">
        <v>1756</v>
      </c>
      <c r="C82" s="504"/>
      <c r="D82" s="505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/>
      <c r="B83" s="467"/>
      <c r="C83" s="468"/>
      <c r="D83" s="469"/>
      <c r="E83" s="90"/>
      <c r="F83" s="90"/>
      <c r="G83" s="90"/>
      <c r="H83" s="90"/>
      <c r="K83" s="78"/>
      <c r="L83" s="78"/>
      <c r="M83" s="78"/>
      <c r="N83" s="78"/>
    </row>
    <row r="84" spans="1:14">
      <c r="D84" s="459"/>
    </row>
    <row r="85" spans="1:14" ht="13.5" thickBot="1">
      <c r="D85" s="460"/>
    </row>
    <row r="86" spans="1:14" ht="13.5" thickBot="1">
      <c r="B86" s="462" t="s">
        <v>1712</v>
      </c>
      <c r="C86" s="463"/>
      <c r="D86" s="461">
        <f>SUM(D75:D85)</f>
        <v>145500</v>
      </c>
    </row>
    <row r="100" spans="1:23">
      <c r="A100" s="113" t="s">
        <v>1731</v>
      </c>
      <c r="B100" s="104" t="s">
        <v>137</v>
      </c>
      <c r="C100" s="103">
        <v>2025</v>
      </c>
      <c r="D100" s="90"/>
      <c r="E100" s="90"/>
      <c r="F100" s="90"/>
      <c r="G100" s="90">
        <f>SUM(G104:G128)</f>
        <v>792350.08000000007</v>
      </c>
      <c r="H100" s="90"/>
      <c r="I100" s="90"/>
      <c r="J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 spans="1:23">
      <c r="A101" s="113"/>
      <c r="B101" s="104"/>
      <c r="C101" s="103"/>
      <c r="D101" s="90"/>
      <c r="E101" s="90"/>
      <c r="F101" s="90"/>
      <c r="G101" s="90"/>
      <c r="H101" s="90"/>
      <c r="I101" s="90"/>
      <c r="J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 spans="1:23">
      <c r="A102" s="113"/>
      <c r="B102" s="104"/>
      <c r="C102" s="103"/>
      <c r="D102" s="90"/>
      <c r="E102" s="90" t="s">
        <v>138</v>
      </c>
      <c r="F102" s="90"/>
      <c r="G102" s="90"/>
      <c r="H102" s="90"/>
      <c r="I102" s="90"/>
      <c r="J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 spans="1:23">
      <c r="A103" s="100"/>
      <c r="B103" s="90" t="s">
        <v>77</v>
      </c>
      <c r="C103" s="90"/>
      <c r="D103" s="90"/>
      <c r="E103" s="90"/>
      <c r="F103" s="90"/>
      <c r="G103" s="90">
        <v>0</v>
      </c>
      <c r="H103" s="90"/>
      <c r="I103" s="90"/>
      <c r="J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 spans="1:23">
      <c r="A104" s="100"/>
      <c r="B104" s="90" t="s">
        <v>78</v>
      </c>
      <c r="C104" s="90"/>
      <c r="D104" s="90"/>
      <c r="E104" s="90"/>
      <c r="F104" s="90"/>
      <c r="G104" s="90">
        <v>0</v>
      </c>
      <c r="H104" s="90"/>
      <c r="I104" s="90"/>
      <c r="J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 spans="1:23">
      <c r="A105" s="100">
        <v>45747</v>
      </c>
      <c r="B105" s="90" t="s">
        <v>1741</v>
      </c>
      <c r="C105" s="90"/>
      <c r="D105" s="90"/>
      <c r="E105" s="90"/>
      <c r="F105" s="90"/>
      <c r="G105" s="90">
        <v>159330</v>
      </c>
      <c r="H105" s="90"/>
      <c r="I105" s="90"/>
      <c r="J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 spans="1:23" s="11" customFormat="1">
      <c r="A106" s="100"/>
      <c r="B106" s="90" t="s">
        <v>1742</v>
      </c>
      <c r="C106" s="90"/>
      <c r="D106" s="90"/>
      <c r="E106" s="90"/>
      <c r="F106" s="90"/>
      <c r="G106" s="90">
        <f>D86</f>
        <v>145500</v>
      </c>
      <c r="H106" s="90"/>
      <c r="I106" s="90"/>
      <c r="K106" s="78"/>
      <c r="L106" s="78"/>
      <c r="M106" s="78"/>
      <c r="N106" s="78"/>
    </row>
    <row r="107" spans="1:23">
      <c r="A107" s="100">
        <v>45749</v>
      </c>
      <c r="B107" s="90" t="s">
        <v>140</v>
      </c>
      <c r="C107" s="12"/>
      <c r="D107" s="12"/>
      <c r="E107" s="90"/>
      <c r="F107" s="90"/>
      <c r="G107" s="17">
        <v>37009.279999999999</v>
      </c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00">
        <v>45749</v>
      </c>
      <c r="B108" s="90" t="s">
        <v>141</v>
      </c>
      <c r="C108" s="12"/>
      <c r="D108" s="12"/>
      <c r="E108" s="90"/>
      <c r="F108" s="90"/>
      <c r="G108" s="17">
        <v>500</v>
      </c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/>
      <c r="C109" s="12"/>
      <c r="D109" s="12"/>
      <c r="E109" s="90"/>
      <c r="F109" s="90"/>
      <c r="G109" s="17"/>
      <c r="H109" s="90"/>
      <c r="I109" s="90" t="s">
        <v>1687</v>
      </c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 s="11" customFormat="1">
      <c r="A110" s="100">
        <v>45620</v>
      </c>
      <c r="B110" s="82" t="s">
        <v>1605</v>
      </c>
      <c r="C110" s="114"/>
      <c r="D110" s="114">
        <v>32.549999999999997</v>
      </c>
      <c r="E110" s="116">
        <f t="shared" ref="E110" si="5">D110*C110</f>
        <v>0</v>
      </c>
      <c r="F110" s="90">
        <v>41.7</v>
      </c>
      <c r="G110" s="17">
        <f t="shared" ref="G110" si="6">F110*C110</f>
        <v>0</v>
      </c>
      <c r="H110" s="90"/>
      <c r="I110" s="90">
        <f t="shared" ref="I110" si="7">G110-E110</f>
        <v>0</v>
      </c>
      <c r="K110" s="78"/>
      <c r="L110" s="78"/>
      <c r="M110" s="78"/>
      <c r="N110" s="78"/>
    </row>
    <row r="111" spans="1:23">
      <c r="A111" s="100">
        <v>45620</v>
      </c>
      <c r="B111" s="82" t="s">
        <v>1605</v>
      </c>
      <c r="C111" s="114">
        <v>1000</v>
      </c>
      <c r="D111" s="114">
        <v>32.549999999999997</v>
      </c>
      <c r="E111" s="116">
        <f t="shared" ref="E111:E112" si="8">D111*C111</f>
        <v>32549.999999999996</v>
      </c>
      <c r="F111" s="90">
        <f>F110</f>
        <v>41.7</v>
      </c>
      <c r="G111" s="17">
        <f>F111*C111</f>
        <v>41700</v>
      </c>
      <c r="H111" s="90"/>
      <c r="I111" s="90">
        <f>G111-E111</f>
        <v>9150.0000000000036</v>
      </c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ht="13.5" thickBot="1">
      <c r="A112" s="100">
        <v>45659</v>
      </c>
      <c r="B112" s="82" t="s">
        <v>1604</v>
      </c>
      <c r="C112" s="114">
        <v>4000</v>
      </c>
      <c r="D112" s="115">
        <v>30.86</v>
      </c>
      <c r="E112" s="116">
        <f t="shared" si="8"/>
        <v>123440</v>
      </c>
      <c r="F112" s="90">
        <f>F111</f>
        <v>41.7</v>
      </c>
      <c r="G112" s="17">
        <f t="shared" ref="G112" si="9">F112*C112</f>
        <v>166800</v>
      </c>
      <c r="H112" s="419">
        <f>SUM(G111:G112)</f>
        <v>208500</v>
      </c>
      <c r="I112" s="90">
        <f t="shared" ref="I112" si="10">G112-E112</f>
        <v>43360</v>
      </c>
      <c r="J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 spans="1:23" ht="13.5" thickBot="1">
      <c r="A113" s="100"/>
      <c r="B113" s="90"/>
      <c r="C113" s="12"/>
      <c r="D113" s="12"/>
      <c r="E113" s="90">
        <f>SUM(E110:E112)</f>
        <v>155990</v>
      </c>
      <c r="F113" s="90"/>
      <c r="G113" s="90"/>
      <c r="H113" s="117">
        <f>(SUM(G110:G112))-(SUM(E110:E112))</f>
        <v>52510</v>
      </c>
      <c r="I113" s="117">
        <f>SUM(I110:I112)</f>
        <v>52510</v>
      </c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/>
      <c r="B114" s="90"/>
      <c r="C114" s="12"/>
      <c r="D114" s="12"/>
      <c r="E114" s="90"/>
      <c r="F114" s="90"/>
      <c r="G114" s="90"/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>
        <v>45345</v>
      </c>
      <c r="B115" s="82" t="s">
        <v>144</v>
      </c>
      <c r="C115" s="118">
        <v>125000</v>
      </c>
      <c r="D115" s="83">
        <v>1.0399430000000001</v>
      </c>
      <c r="E115" s="116">
        <f>D115*C115</f>
        <v>129992.87500000001</v>
      </c>
      <c r="F115" s="404">
        <v>0.87992800000000004</v>
      </c>
      <c r="G115" s="17">
        <f>F115*C115</f>
        <v>109991</v>
      </c>
      <c r="H115" s="90"/>
      <c r="I115" s="90">
        <f t="shared" ref="I115:I118" si="11">G115-E115</f>
        <v>-20001.875000000015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>
      <c r="A116" s="100">
        <v>45400</v>
      </c>
      <c r="B116" s="82" t="s">
        <v>145</v>
      </c>
      <c r="C116" s="114">
        <v>10</v>
      </c>
      <c r="D116" s="83">
        <v>135</v>
      </c>
      <c r="E116" s="116">
        <f>D116*C116</f>
        <v>1350</v>
      </c>
      <c r="F116" s="90">
        <v>110</v>
      </c>
      <c r="G116" s="17">
        <f>F116*C116</f>
        <v>1100</v>
      </c>
      <c r="H116" s="90"/>
      <c r="I116" s="90">
        <f t="shared" si="11"/>
        <v>-250</v>
      </c>
      <c r="J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 spans="1:23">
      <c r="A117" s="100">
        <v>45418</v>
      </c>
      <c r="B117" s="82" t="s">
        <v>146</v>
      </c>
      <c r="C117" s="114">
        <v>38</v>
      </c>
      <c r="D117" s="83">
        <v>30.5</v>
      </c>
      <c r="E117" s="116">
        <f>D117*C117</f>
        <v>1159</v>
      </c>
      <c r="F117" s="90">
        <v>15.5</v>
      </c>
      <c r="G117" s="17">
        <f>F117*C117</f>
        <v>589</v>
      </c>
      <c r="H117" s="90"/>
      <c r="I117" s="90">
        <f t="shared" si="11"/>
        <v>-570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 ht="13.5" thickBot="1">
      <c r="A118" s="100">
        <v>45418</v>
      </c>
      <c r="B118" s="82" t="s">
        <v>147</v>
      </c>
      <c r="C118" s="114">
        <v>26</v>
      </c>
      <c r="D118" s="83">
        <v>37.115000000000002</v>
      </c>
      <c r="E118" s="116">
        <f>D118*C118</f>
        <v>964.99</v>
      </c>
      <c r="F118" s="90">
        <v>25.8</v>
      </c>
      <c r="G118" s="17">
        <f>F118*C118</f>
        <v>670.80000000000007</v>
      </c>
      <c r="H118" s="419">
        <f>SUM(G115:G118)</f>
        <v>112350.8</v>
      </c>
      <c r="I118" s="90">
        <f t="shared" si="11"/>
        <v>-294.18999999999994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ht="13.5" thickBot="1">
      <c r="A119" s="100"/>
      <c r="B119" s="90"/>
      <c r="C119" s="12"/>
      <c r="D119" s="12"/>
      <c r="E119" s="90">
        <f>SUM(E115:E118)</f>
        <v>133466.86499999999</v>
      </c>
      <c r="F119" s="90"/>
      <c r="G119" s="90"/>
      <c r="H119" s="117">
        <f>(SUM(G115:G118))-(SUM(E115:E118))</f>
        <v>-21116.064999999988</v>
      </c>
      <c r="I119" s="90"/>
      <c r="J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 spans="1:23">
      <c r="A120" s="100"/>
      <c r="B120" s="90"/>
      <c r="C120" s="90"/>
      <c r="D120" s="90"/>
      <c r="E120" s="17"/>
      <c r="F120" s="90"/>
      <c r="G120" s="90"/>
      <c r="H120" s="90"/>
      <c r="I120" s="90"/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>
        <v>45509</v>
      </c>
      <c r="B121" s="82" t="s">
        <v>1734</v>
      </c>
      <c r="C121" s="114">
        <v>1</v>
      </c>
      <c r="D121" s="83">
        <v>2500</v>
      </c>
      <c r="E121" s="116">
        <f>D121*C121</f>
        <v>2500</v>
      </c>
      <c r="F121" s="90">
        <v>3600</v>
      </c>
      <c r="G121" s="17">
        <f>C121*F121</f>
        <v>3600</v>
      </c>
      <c r="H121" s="90"/>
      <c r="I121" s="90">
        <f t="shared" ref="I121:I123" si="12">G121-E121</f>
        <v>1100</v>
      </c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45509</v>
      </c>
      <c r="B122" s="82" t="s">
        <v>149</v>
      </c>
      <c r="C122" s="114">
        <v>16</v>
      </c>
      <c r="D122" s="83">
        <v>4100</v>
      </c>
      <c r="E122" s="116">
        <f>D122*C122</f>
        <v>65600</v>
      </c>
      <c r="F122" s="90">
        <f>F121*1.73</f>
        <v>6228</v>
      </c>
      <c r="G122" s="17">
        <f>C122*F122</f>
        <v>99648</v>
      </c>
      <c r="H122" s="90"/>
      <c r="I122" s="90">
        <f t="shared" si="12"/>
        <v>34048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 ht="13.5" thickBot="1">
      <c r="A123" s="100">
        <v>45509</v>
      </c>
      <c r="B123" s="82" t="s">
        <v>150</v>
      </c>
      <c r="C123" s="114">
        <v>1</v>
      </c>
      <c r="D123" s="83">
        <v>16200</v>
      </c>
      <c r="E123" s="116">
        <f>D123*C123</f>
        <v>16200</v>
      </c>
      <c r="F123" s="90">
        <f>F122*4</f>
        <v>24912</v>
      </c>
      <c r="G123" s="17">
        <f>C123*F123</f>
        <v>24912</v>
      </c>
      <c r="H123" s="419">
        <f>SUM(G121:G123)</f>
        <v>128160</v>
      </c>
      <c r="I123" s="90">
        <f t="shared" si="12"/>
        <v>8712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 ht="13.5" thickBot="1">
      <c r="A124" s="100"/>
      <c r="B124" s="90"/>
      <c r="C124" s="12"/>
      <c r="D124" s="12"/>
      <c r="E124" s="90">
        <f>SUM(E121:E123)</f>
        <v>84300</v>
      </c>
      <c r="F124" s="90"/>
      <c r="G124" s="90"/>
      <c r="H124" s="117">
        <f>(SUM(G121:G123))-(SUM(E121:E123))</f>
        <v>43860</v>
      </c>
      <c r="I124" s="90"/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>
      <c r="A125" s="100"/>
      <c r="B125" s="90" t="s">
        <v>151</v>
      </c>
      <c r="C125" s="120">
        <v>33.250599999999999</v>
      </c>
      <c r="D125" s="12"/>
      <c r="E125" s="90"/>
      <c r="F125" s="90"/>
      <c r="G125" s="17"/>
      <c r="H125" s="90"/>
      <c r="I125" s="90"/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>
      <c r="A126" s="100"/>
      <c r="B126" s="90" t="s">
        <v>152</v>
      </c>
      <c r="C126" s="120">
        <v>36.854999999999997</v>
      </c>
      <c r="D126" s="12"/>
      <c r="E126" s="90"/>
      <c r="F126" s="90"/>
      <c r="G126" s="17"/>
      <c r="H126" s="90"/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 t="s">
        <v>153</v>
      </c>
      <c r="C127" s="12"/>
      <c r="D127" s="12"/>
      <c r="E127" s="90"/>
      <c r="F127" s="90"/>
      <c r="G127" s="17">
        <v>0</v>
      </c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 ht="13.5" thickBot="1">
      <c r="A128" s="100"/>
      <c r="B128" s="90" t="s">
        <v>154</v>
      </c>
      <c r="C128" s="12"/>
      <c r="D128" s="12"/>
      <c r="E128" s="90"/>
      <c r="F128" s="90"/>
      <c r="G128" s="17">
        <v>1000</v>
      </c>
      <c r="H128" s="90"/>
      <c r="I128" s="90"/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 ht="13.5" thickBot="1">
      <c r="A129" s="100"/>
      <c r="B129" s="90"/>
      <c r="C129" s="90"/>
      <c r="D129" s="90"/>
      <c r="E129" s="121"/>
      <c r="F129" s="122"/>
      <c r="G129" s="123" t="s">
        <v>155</v>
      </c>
      <c r="H129" s="429">
        <f>H124+H119+H113</f>
        <v>75253.935000000012</v>
      </c>
      <c r="I129" s="90"/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/>
      <c r="B130" s="90"/>
      <c r="C130" s="124"/>
      <c r="D130" s="92"/>
      <c r="E130" s="90"/>
      <c r="F130" s="90"/>
      <c r="G130" s="124"/>
      <c r="H130" s="90"/>
      <c r="I130" s="90"/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4"/>
      <c r="D131" s="18" t="s">
        <v>156</v>
      </c>
      <c r="E131" s="90"/>
      <c r="F131" s="90"/>
      <c r="G131" s="488">
        <f>SUM(G104:G128)</f>
        <v>792350.08000000007</v>
      </c>
      <c r="H131" s="90"/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/>
      <c r="C132" s="126" t="str">
        <f>A100</f>
        <v>MAYIS 2025 e</v>
      </c>
      <c r="D132" s="126" t="s">
        <v>157</v>
      </c>
      <c r="E132" s="90"/>
      <c r="F132" s="90"/>
      <c r="G132" s="12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11"/>
      <c r="C133" s="438"/>
      <c r="D133" s="439"/>
      <c r="E133" s="405"/>
      <c r="F133" s="405"/>
      <c r="G133" s="409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0"/>
      <c r="B134" s="90" t="s">
        <v>1686</v>
      </c>
      <c r="C134" s="90"/>
      <c r="D134" s="90"/>
      <c r="E134" s="90"/>
      <c r="F134" s="90"/>
      <c r="G134" s="90"/>
      <c r="H134" s="90"/>
      <c r="I134" s="90" t="s">
        <v>1677</v>
      </c>
      <c r="J134" s="11" t="s">
        <v>1677</v>
      </c>
      <c r="K134" s="78" t="s">
        <v>1678</v>
      </c>
      <c r="L134" s="78" t="s">
        <v>1679</v>
      </c>
      <c r="M134" s="78" t="s">
        <v>1680</v>
      </c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>
      <c r="A135" s="100">
        <v>45620</v>
      </c>
      <c r="B135" s="82" t="s">
        <v>1605</v>
      </c>
      <c r="C135" s="114">
        <v>3000</v>
      </c>
      <c r="D135" s="114">
        <v>32.549999999999997</v>
      </c>
      <c r="E135" s="116">
        <f t="shared" ref="E135" si="13">D135*C135</f>
        <v>97649.999999999985</v>
      </c>
      <c r="F135" s="90">
        <v>42.86</v>
      </c>
      <c r="G135" s="17">
        <f t="shared" ref="G135" si="14">F135*C135</f>
        <v>128580</v>
      </c>
      <c r="H135" s="90"/>
      <c r="I135" s="90">
        <f t="shared" ref="I135" si="15">G135-E135</f>
        <v>30930.000000000015</v>
      </c>
      <c r="J135" s="443">
        <f>(I135-I136)/E135</f>
        <v>0.31674347158218147</v>
      </c>
      <c r="K135" s="100">
        <v>45721</v>
      </c>
      <c r="L135" s="78">
        <f>K135-A135</f>
        <v>101</v>
      </c>
      <c r="M135" s="443">
        <f>J135/L135*30</f>
        <v>9.4082219281836091E-2</v>
      </c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>
      <c r="A136" s="100"/>
      <c r="B136" s="82"/>
      <c r="C136" s="114" t="s">
        <v>1733</v>
      </c>
      <c r="D136" s="115"/>
      <c r="E136" s="116"/>
      <c r="F136" s="90" t="s">
        <v>1732</v>
      </c>
      <c r="G136" s="17">
        <v>-257.16000000000003</v>
      </c>
      <c r="H136" s="90"/>
      <c r="I136" s="90"/>
      <c r="J136" s="90"/>
      <c r="K136" s="475"/>
      <c r="M136" s="443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>
      <c r="A137" s="100"/>
      <c r="B137" s="82"/>
      <c r="C137" s="114"/>
      <c r="D137" s="115"/>
      <c r="E137" s="116"/>
      <c r="F137" s="404"/>
      <c r="G137" s="17">
        <v>-12.86</v>
      </c>
      <c r="H137" s="90"/>
      <c r="I137" s="90">
        <f>G137+G136</f>
        <v>-270.02000000000004</v>
      </c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>
      <c r="A138" s="100"/>
      <c r="B138" s="82"/>
      <c r="C138" s="114"/>
      <c r="D138" s="115"/>
      <c r="E138" s="116"/>
      <c r="F138" s="404"/>
      <c r="G138" s="17"/>
      <c r="H138" s="90"/>
      <c r="I138" s="90"/>
      <c r="J138" s="443"/>
      <c r="K138" s="100"/>
      <c r="M138" s="443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406"/>
      <c r="B139" s="407"/>
      <c r="C139" s="455"/>
      <c r="D139" s="456"/>
      <c r="E139" s="409"/>
      <c r="F139" s="405"/>
      <c r="G139" s="409"/>
      <c r="H139" s="405"/>
      <c r="I139" s="405"/>
      <c r="J139" s="90"/>
      <c r="K139" s="475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 ht="13.5" thickBot="1">
      <c r="A140" s="407"/>
      <c r="B140" s="407"/>
      <c r="C140" s="407"/>
      <c r="D140" s="405"/>
      <c r="E140" s="405"/>
      <c r="F140" s="405"/>
      <c r="G140" s="405"/>
      <c r="H140" s="405"/>
      <c r="I140" s="40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428"/>
      <c r="B141" s="428"/>
      <c r="C141" s="428"/>
      <c r="D141" s="417"/>
      <c r="E141" s="417"/>
      <c r="F141" s="417"/>
      <c r="G141" s="417">
        <f>SUM(G135:G140)</f>
        <v>128309.98</v>
      </c>
      <c r="H141" s="417"/>
      <c r="I141" s="486">
        <f>SUM(I135:I140)</f>
        <v>30659.980000000014</v>
      </c>
      <c r="J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1"/>
      <c r="B142" s="11"/>
      <c r="C142" s="11"/>
      <c r="D142" s="90"/>
      <c r="E142" s="90"/>
      <c r="F142" s="90"/>
      <c r="G142" s="90"/>
      <c r="H142" s="90"/>
      <c r="I142" s="11"/>
      <c r="J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B143" s="11"/>
      <c r="C143" s="11"/>
      <c r="D143" s="90"/>
      <c r="E143" s="90"/>
      <c r="F143" s="90"/>
      <c r="G143" s="90"/>
      <c r="H143" s="90"/>
      <c r="I143" s="11"/>
      <c r="J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 ht="18">
      <c r="A144" s="500" t="s">
        <v>1747</v>
      </c>
    </row>
    <row r="145" spans="1:23" ht="15.75">
      <c r="B145" s="476">
        <f>1-76.4616%</f>
        <v>0.23538399999999993</v>
      </c>
      <c r="C145" s="477">
        <v>0.76461599999999996</v>
      </c>
      <c r="D145" s="404"/>
      <c r="J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 s="11" customFormat="1" ht="15.75">
      <c r="A146" s="98"/>
      <c r="B146" s="476" t="s">
        <v>1749</v>
      </c>
      <c r="C146" s="477"/>
      <c r="D146" s="404"/>
      <c r="E146" s="90"/>
      <c r="F146" s="90"/>
      <c r="G146" s="90"/>
      <c r="H146" s="90"/>
      <c r="K146" s="78"/>
      <c r="L146" s="78"/>
      <c r="M146" s="78"/>
      <c r="N146" s="78"/>
    </row>
    <row r="147" spans="1:23" s="11" customFormat="1" ht="15.75">
      <c r="A147" s="98"/>
      <c r="B147" s="476" t="s">
        <v>1748</v>
      </c>
      <c r="C147" s="477"/>
      <c r="D147" s="404"/>
      <c r="E147" s="90"/>
      <c r="F147" s="90"/>
      <c r="G147" s="90"/>
      <c r="H147" s="90"/>
      <c r="K147" s="78"/>
      <c r="L147" s="78"/>
      <c r="M147" s="78"/>
      <c r="N147" s="78"/>
    </row>
    <row r="148" spans="1:23" s="11" customFormat="1" ht="15.75">
      <c r="A148" s="98"/>
      <c r="B148" s="476" t="s">
        <v>1751</v>
      </c>
      <c r="C148" s="477"/>
      <c r="D148" s="404"/>
      <c r="E148" s="90"/>
      <c r="F148" s="90"/>
      <c r="G148" s="90"/>
      <c r="H148" s="90"/>
      <c r="K148" s="78"/>
      <c r="L148" s="78"/>
      <c r="M148" s="78"/>
      <c r="N148" s="78"/>
    </row>
    <row r="149" spans="1:23" s="11" customFormat="1" ht="15.75">
      <c r="A149" s="98"/>
      <c r="B149" s="476" t="s">
        <v>1750</v>
      </c>
      <c r="C149" s="477"/>
      <c r="D149" s="404"/>
      <c r="E149" s="90"/>
      <c r="F149" s="90"/>
      <c r="G149" s="90"/>
      <c r="H149" s="90"/>
      <c r="K149" s="78"/>
      <c r="L149" s="78"/>
      <c r="M149" s="78"/>
      <c r="N149" s="78"/>
    </row>
    <row r="150" spans="1:23" s="11" customFormat="1" ht="16.5" thickBot="1">
      <c r="A150" s="98"/>
      <c r="B150" s="476"/>
      <c r="C150" s="11" t="s">
        <v>1753</v>
      </c>
      <c r="D150" s="11" t="s">
        <v>1752</v>
      </c>
      <c r="E150" s="90" t="s">
        <v>1744</v>
      </c>
      <c r="F150" s="497">
        <v>138749.76000000001</v>
      </c>
      <c r="G150" s="11" t="s">
        <v>1745</v>
      </c>
      <c r="H150" s="90" t="s">
        <v>3</v>
      </c>
      <c r="K150" s="78"/>
      <c r="L150" s="78"/>
      <c r="M150" s="78"/>
      <c r="N150" s="78"/>
    </row>
    <row r="151" spans="1:23" ht="13.5" thickBot="1">
      <c r="A151" s="100"/>
      <c r="B151" s="82" t="s">
        <v>1754</v>
      </c>
      <c r="C151" s="118">
        <v>160</v>
      </c>
      <c r="D151" s="77">
        <f>C151</f>
        <v>160</v>
      </c>
      <c r="E151" s="83">
        <v>872.26</v>
      </c>
      <c r="F151" s="498">
        <f>E151*C151</f>
        <v>139561.60000000001</v>
      </c>
      <c r="G151" s="487">
        <v>962.89330700000005</v>
      </c>
      <c r="H151" s="17">
        <f>G151*C151</f>
        <v>154062.92912000002</v>
      </c>
      <c r="I151" s="12">
        <f>H151</f>
        <v>154062.92912000002</v>
      </c>
      <c r="J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 spans="1:23" s="11" customFormat="1">
      <c r="A152" s="100"/>
      <c r="B152" s="82" t="s">
        <v>1755</v>
      </c>
      <c r="C152" s="118">
        <v>78</v>
      </c>
      <c r="D152" s="77">
        <f>D151+C152</f>
        <v>238</v>
      </c>
      <c r="E152" s="83">
        <v>872.26</v>
      </c>
      <c r="F152" s="498">
        <f>E152*C152</f>
        <v>68036.28</v>
      </c>
      <c r="G152" s="403">
        <f>G153</f>
        <v>962.89330700000005</v>
      </c>
      <c r="H152" s="17">
        <f>G152*C152</f>
        <v>75105.677946000011</v>
      </c>
      <c r="I152" s="12">
        <f>I151+H152</f>
        <v>229168.60706600003</v>
      </c>
      <c r="K152" s="78"/>
      <c r="L152" s="78"/>
      <c r="M152" s="78"/>
      <c r="N152" s="78"/>
    </row>
    <row r="153" spans="1:23">
      <c r="A153" s="496">
        <v>45755</v>
      </c>
      <c r="B153" s="499" t="s">
        <v>1743</v>
      </c>
      <c r="C153" s="118">
        <v>-21</v>
      </c>
      <c r="D153" s="90">
        <f>D152+C153</f>
        <v>217</v>
      </c>
      <c r="E153" s="83">
        <v>872.26</v>
      </c>
      <c r="F153" s="449">
        <f>E153*C153</f>
        <v>-18317.46</v>
      </c>
      <c r="G153" s="403">
        <f>G151</f>
        <v>962.89330700000005</v>
      </c>
      <c r="H153" s="17">
        <f>G153*C153</f>
        <v>-20220.759447</v>
      </c>
      <c r="I153" s="12">
        <f>I152+H153</f>
        <v>208947.84761900004</v>
      </c>
      <c r="J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 spans="1:23">
      <c r="A154" s="100"/>
      <c r="B154" s="82" t="s">
        <v>1746</v>
      </c>
      <c r="C154" s="388"/>
      <c r="E154" s="83"/>
      <c r="H154" s="77">
        <v>-300.32</v>
      </c>
      <c r="I154" s="12">
        <f>I153+H154</f>
        <v>208647.52761900003</v>
      </c>
      <c r="J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 spans="1:23">
      <c r="A155" s="100"/>
      <c r="I155" s="90"/>
      <c r="J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 spans="1:23">
      <c r="A156" s="100"/>
      <c r="B156" s="90" t="s">
        <v>1685</v>
      </c>
      <c r="C156" s="438"/>
      <c r="D156" s="439"/>
      <c r="E156" s="405"/>
      <c r="F156" s="405"/>
      <c r="G156" s="409"/>
      <c r="H156" s="90"/>
      <c r="I156" s="90"/>
      <c r="J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 spans="1:23">
      <c r="B157" s="11"/>
      <c r="C157" s="11"/>
      <c r="D157" s="90"/>
      <c r="E157" s="90"/>
      <c r="F157" s="90"/>
      <c r="G157" s="90"/>
      <c r="H157" s="90"/>
      <c r="I157" s="11"/>
      <c r="J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 spans="1:23">
      <c r="B158" s="11"/>
      <c r="C158" s="11"/>
      <c r="D158" s="90"/>
      <c r="E158" s="90"/>
      <c r="F158" s="90"/>
      <c r="G158" s="90"/>
      <c r="H158" s="90"/>
      <c r="I158" s="11"/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>
      <c r="B159" s="11"/>
      <c r="C159" s="11"/>
      <c r="D159" s="90"/>
      <c r="E159" s="90"/>
      <c r="F159" s="90"/>
      <c r="G159" s="90"/>
      <c r="H159" s="90"/>
      <c r="I159" s="11"/>
      <c r="J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 spans="1:23">
      <c r="B160" s="11"/>
      <c r="C160" s="11"/>
      <c r="D160" s="90"/>
      <c r="E160" s="90"/>
      <c r="F160" s="90"/>
      <c r="G160" s="90"/>
      <c r="H160" s="90"/>
      <c r="I160" s="11"/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2:23">
      <c r="B161" s="11"/>
      <c r="C161" s="11"/>
      <c r="D161" s="90"/>
      <c r="E161" s="90"/>
      <c r="F161" s="90"/>
      <c r="G161" s="90"/>
      <c r="H161" s="90"/>
      <c r="I161" s="11"/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2:23">
      <c r="B162" s="11"/>
      <c r="C162" s="11"/>
      <c r="D162" s="90"/>
      <c r="E162" s="90"/>
      <c r="F162" s="90"/>
      <c r="G162" s="90"/>
      <c r="H162" s="90"/>
      <c r="I162" s="11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2:23">
      <c r="B163" s="11"/>
      <c r="C163" s="11"/>
      <c r="D163" s="90"/>
      <c r="E163" s="90"/>
      <c r="F163" s="90"/>
      <c r="G163" s="90"/>
      <c r="H163" s="90"/>
      <c r="I163" s="11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2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2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2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2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2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2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2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2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2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2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2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2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2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</sheetData>
  <conditionalFormatting sqref="F121:F123">
    <cfRule type="cellIs" dxfId="44" priority="10" operator="lessThan">
      <formula>D121</formula>
    </cfRule>
  </conditionalFormatting>
  <conditionalFormatting sqref="F116:F118">
    <cfRule type="cellIs" dxfId="43" priority="11" operator="lessThan">
      <formula>D116</formula>
    </cfRule>
  </conditionalFormatting>
  <conditionalFormatting sqref="F112">
    <cfRule type="cellIs" dxfId="42" priority="12" operator="lessThan">
      <formula>D112</formula>
    </cfRule>
  </conditionalFormatting>
  <conditionalFormatting sqref="F111">
    <cfRule type="cellIs" dxfId="41" priority="13" operator="lessThan">
      <formula>D111</formula>
    </cfRule>
  </conditionalFormatting>
  <conditionalFormatting sqref="F136">
    <cfRule type="cellIs" dxfId="40" priority="9" operator="lessThan">
      <formula>D136</formula>
    </cfRule>
  </conditionalFormatting>
  <conditionalFormatting sqref="F139">
    <cfRule type="cellIs" dxfId="39" priority="8" operator="lessThan">
      <formula>D139</formula>
    </cfRule>
  </conditionalFormatting>
  <conditionalFormatting sqref="F138">
    <cfRule type="cellIs" dxfId="38" priority="5" operator="lessThan">
      <formula>D138</formula>
    </cfRule>
  </conditionalFormatting>
  <conditionalFormatting sqref="F137">
    <cfRule type="cellIs" dxfId="37" priority="4" operator="lessThan">
      <formula>D137</formula>
    </cfRule>
  </conditionalFormatting>
  <conditionalFormatting sqref="F110">
    <cfRule type="cellIs" dxfId="36" priority="3" operator="lessThan">
      <formula>D110</formula>
    </cfRule>
  </conditionalFormatting>
  <conditionalFormatting sqref="F135">
    <cfRule type="cellIs" dxfId="35" priority="2" operator="lessThan">
      <formula>D135</formula>
    </cfRule>
  </conditionalFormatting>
  <conditionalFormatting sqref="F115">
    <cfRule type="cellIs" dxfId="34" priority="1" operator="lessThan">
      <formula>D115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9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101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1676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107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1594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1717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1728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1598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103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1707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1676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1704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1703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1705</v>
      </c>
      <c r="C35" s="392" t="s">
        <v>1714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1706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1638</v>
      </c>
      <c r="C45" s="90">
        <v>5938.7</v>
      </c>
      <c r="D45" s="90" t="s">
        <v>695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1632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1634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1633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1636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1651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1650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1652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1658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1653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1666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1668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1663</v>
      </c>
      <c r="D70" s="90" t="s">
        <v>1043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1663</v>
      </c>
      <c r="D71" s="90" t="s">
        <v>1043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1624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534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1625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1623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1613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1626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1613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1661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130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130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1613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1662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1664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1665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1669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1613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1614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484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1670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128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1671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411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1613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128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1672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128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1675</v>
      </c>
      <c r="B117" s="104" t="s">
        <v>137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138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1741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140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1682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141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1687</v>
      </c>
    </row>
    <row r="127" spans="1:14">
      <c r="A127" s="445">
        <v>45667</v>
      </c>
      <c r="B127" s="446" t="s">
        <v>142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142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1603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1603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1605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1604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144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145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146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147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1727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149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150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151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152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153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154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155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156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157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1684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1729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1730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1685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84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1686</v>
      </c>
      <c r="C166" s="90"/>
      <c r="D166" s="90"/>
      <c r="E166" s="90"/>
      <c r="F166" s="90"/>
      <c r="G166" s="90"/>
      <c r="H166" s="90"/>
      <c r="I166" s="90" t="s">
        <v>1677</v>
      </c>
      <c r="J166" t="s">
        <v>1677</v>
      </c>
      <c r="K166" s="78" t="s">
        <v>1678</v>
      </c>
      <c r="L166" s="78" t="s">
        <v>1679</v>
      </c>
      <c r="M166" s="78" t="s">
        <v>1680</v>
      </c>
    </row>
    <row r="167" spans="1:14">
      <c r="A167" s="100">
        <v>45680</v>
      </c>
      <c r="B167" s="82" t="s">
        <v>1683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1603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1681</v>
      </c>
      <c r="M168" s="443"/>
    </row>
    <row r="169" spans="1:14">
      <c r="A169" s="100">
        <v>45667</v>
      </c>
      <c r="B169" s="82" t="s">
        <v>142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142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1681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6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07" zoomScale="145" zoomScaleNormal="145" workbookViewId="0">
      <selection activeCell="D117" sqref="D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1649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1593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114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1667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1674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107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1655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1656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1657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1629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1628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1627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1609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1608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1611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1610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1612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1630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1613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1614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1613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1615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1616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1617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1618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1619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1620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1616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1622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1621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1608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1613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411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1614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1623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1644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1741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1603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1605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1604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1607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1685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1645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1648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1606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1646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142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1606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1646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1647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1606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1660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1659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1606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5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07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1592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1584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1602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1631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1599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1600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1635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1601</v>
      </c>
      <c r="C29" s="415" t="s">
        <v>626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1637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114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1654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1144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1146</v>
      </c>
      <c r="C62" s="388">
        <v>3085.73</v>
      </c>
      <c r="D62" s="388" t="s">
        <v>807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1147</v>
      </c>
      <c r="C63" s="388">
        <v>49.12</v>
      </c>
      <c r="D63" s="388" t="s">
        <v>234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1148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1149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1643</v>
      </c>
      <c r="C70" s="77">
        <v>5938.68</v>
      </c>
      <c r="D70" s="77" t="s">
        <v>1639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1641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1640</v>
      </c>
      <c r="K75" s="78"/>
      <c r="L75" s="78"/>
      <c r="M75" s="78"/>
      <c r="N75" s="78"/>
    </row>
    <row r="76" spans="1:14" s="77" customFormat="1">
      <c r="A76" s="100"/>
      <c r="B76" s="77" t="s">
        <v>1642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1741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1603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1605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1604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1607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1685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142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1606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5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158</v>
      </c>
      <c r="E161" s="77">
        <v>13006</v>
      </c>
    </row>
    <row r="162" spans="1:12">
      <c r="B162" t="s">
        <v>159</v>
      </c>
      <c r="D162" s="76">
        <v>0.1575</v>
      </c>
      <c r="E162" s="77">
        <f>E161*D162</f>
        <v>2048.4450000000002</v>
      </c>
    </row>
    <row r="163" spans="1:12">
      <c r="B163" t="s">
        <v>160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7"/>
  <sheetViews>
    <sheetView topLeftCell="A62" zoomScale="175" zoomScaleNormal="175" workbookViewId="0">
      <selection activeCell="A73" sqref="A73:F7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8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203</v>
      </c>
      <c r="E51" s="2">
        <v>68000</v>
      </c>
      <c r="F51" s="2">
        <f t="shared" si="1"/>
        <v>438000</v>
      </c>
    </row>
    <row r="52" spans="1:6">
      <c r="B52" s="529" t="s">
        <v>1758</v>
      </c>
      <c r="C52" s="130"/>
      <c r="D52" s="131"/>
      <c r="E52" s="131"/>
      <c r="F52" s="512"/>
    </row>
    <row r="53" spans="1:6">
      <c r="B53" s="530" t="s">
        <v>1759</v>
      </c>
      <c r="C53" s="531"/>
      <c r="D53" s="532"/>
      <c r="E53" s="532"/>
      <c r="F53" s="135"/>
    </row>
    <row r="54" spans="1:6" s="11" customFormat="1">
      <c r="A54" s="10"/>
      <c r="B54" s="530" t="s">
        <v>1760</v>
      </c>
      <c r="C54" s="531"/>
      <c r="D54" s="532"/>
      <c r="E54" s="532"/>
      <c r="F54" s="135"/>
    </row>
    <row r="55" spans="1:6" s="11" customFormat="1">
      <c r="A55" s="10"/>
      <c r="B55" s="530" t="s">
        <v>1757</v>
      </c>
      <c r="C55" s="531"/>
      <c r="D55" s="532"/>
      <c r="E55" s="532"/>
      <c r="F55" s="135"/>
    </row>
    <row r="56" spans="1:6" s="11" customFormat="1" ht="13.5" thickBot="1">
      <c r="A56" s="10"/>
      <c r="B56" s="537"/>
      <c r="C56" s="531">
        <v>2637</v>
      </c>
      <c r="D56" s="530" t="s">
        <v>1761</v>
      </c>
      <c r="E56" s="532"/>
      <c r="F56" s="135"/>
    </row>
    <row r="57" spans="1:6" s="11" customFormat="1" ht="13.5" thickBot="1">
      <c r="A57" s="542"/>
      <c r="B57" s="543" t="s">
        <v>1762</v>
      </c>
      <c r="C57" s="544">
        <f>F58/C56</f>
        <v>166.09783845278727</v>
      </c>
      <c r="D57" s="543" t="s">
        <v>234</v>
      </c>
      <c r="E57" s="545"/>
      <c r="F57" s="546"/>
    </row>
    <row r="58" spans="1:6" s="11" customFormat="1">
      <c r="A58" s="10"/>
      <c r="D58" s="12"/>
      <c r="E58" s="12"/>
      <c r="F58" s="12">
        <f>F51+D58-E58</f>
        <v>438000</v>
      </c>
    </row>
    <row r="59" spans="1:6">
      <c r="A59" s="1">
        <v>45519</v>
      </c>
      <c r="B59" s="8" t="s">
        <v>204</v>
      </c>
      <c r="C59" s="8" t="s">
        <v>121</v>
      </c>
      <c r="E59" s="2">
        <v>30000</v>
      </c>
      <c r="F59" s="12">
        <f t="shared" si="1"/>
        <v>408000</v>
      </c>
    </row>
    <row r="60" spans="1:6">
      <c r="B60" s="8" t="s">
        <v>205</v>
      </c>
      <c r="D60" s="2">
        <v>200</v>
      </c>
      <c r="F60" s="12">
        <f t="shared" si="1"/>
        <v>408200</v>
      </c>
    </row>
    <row r="61" spans="1:6">
      <c r="A61" s="233"/>
      <c r="B61" s="92" t="s">
        <v>206</v>
      </c>
      <c r="C61" s="92"/>
      <c r="D61" s="17"/>
      <c r="E61" s="17">
        <v>1100</v>
      </c>
      <c r="F61" s="17">
        <f t="shared" si="1"/>
        <v>407100</v>
      </c>
    </row>
    <row r="62" spans="1:6">
      <c r="A62" s="144">
        <v>45536</v>
      </c>
      <c r="B62" s="145" t="s">
        <v>207</v>
      </c>
      <c r="C62" s="145" t="s">
        <v>121</v>
      </c>
      <c r="D62" s="146"/>
      <c r="E62" s="146">
        <v>5600</v>
      </c>
      <c r="F62" s="146">
        <f t="shared" si="1"/>
        <v>401500</v>
      </c>
    </row>
    <row r="63" spans="1:6" s="11" customFormat="1">
      <c r="A63" s="538"/>
      <c r="B63" s="539" t="s">
        <v>1772</v>
      </c>
      <c r="C63" s="540">
        <f>36500/2626</f>
        <v>13.8994668697639</v>
      </c>
      <c r="D63" s="541" t="s">
        <v>234</v>
      </c>
      <c r="E63" s="541"/>
      <c r="F63" s="541"/>
    </row>
    <row r="64" spans="1:6">
      <c r="A64" s="144">
        <v>45550</v>
      </c>
      <c r="B64" s="145" t="s">
        <v>208</v>
      </c>
      <c r="C64" s="145" t="s">
        <v>121</v>
      </c>
      <c r="D64" s="146"/>
      <c r="E64" s="146">
        <v>30000</v>
      </c>
      <c r="F64" s="146">
        <f>F62+D64-E64</f>
        <v>371500</v>
      </c>
    </row>
    <row r="65" spans="1:6">
      <c r="A65" s="490">
        <v>45565</v>
      </c>
      <c r="B65" s="491" t="s">
        <v>209</v>
      </c>
      <c r="C65" s="491" t="s">
        <v>210</v>
      </c>
      <c r="D65" s="128"/>
      <c r="E65" s="128">
        <v>6000</v>
      </c>
      <c r="F65" s="128">
        <f t="shared" si="1"/>
        <v>365500</v>
      </c>
    </row>
    <row r="66" spans="1:6" s="11" customFormat="1">
      <c r="A66" s="538"/>
      <c r="B66" s="539" t="s">
        <v>1773</v>
      </c>
      <c r="C66" s="540">
        <f>36000/2801</f>
        <v>12.85255265976437</v>
      </c>
      <c r="D66" s="541" t="s">
        <v>234</v>
      </c>
      <c r="E66" s="541"/>
      <c r="F66" s="541"/>
    </row>
    <row r="67" spans="1:6">
      <c r="A67" s="144">
        <v>45580</v>
      </c>
      <c r="B67" s="145" t="s">
        <v>211</v>
      </c>
      <c r="C67" s="145" t="s">
        <v>121</v>
      </c>
      <c r="D67" s="146"/>
      <c r="E67" s="146">
        <v>30000</v>
      </c>
      <c r="F67" s="146">
        <f>F65+D67-E67</f>
        <v>335500</v>
      </c>
    </row>
    <row r="68" spans="1:6">
      <c r="A68" s="490">
        <v>45595</v>
      </c>
      <c r="B68" s="491" t="s">
        <v>212</v>
      </c>
      <c r="C68" s="491" t="s">
        <v>210</v>
      </c>
      <c r="D68" s="128"/>
      <c r="E68" s="128">
        <v>6000</v>
      </c>
      <c r="F68" s="128">
        <f t="shared" si="1"/>
        <v>329500</v>
      </c>
    </row>
    <row r="69" spans="1:6" s="11" customFormat="1">
      <c r="A69" s="538"/>
      <c r="B69" s="539" t="s">
        <v>1774</v>
      </c>
      <c r="C69" s="540">
        <f>36000/2905</f>
        <v>12.392426850258175</v>
      </c>
      <c r="D69" s="541" t="s">
        <v>234</v>
      </c>
      <c r="E69" s="541"/>
      <c r="F69" s="541"/>
    </row>
    <row r="70" spans="1:6">
      <c r="A70" s="493">
        <v>45611</v>
      </c>
      <c r="B70" s="8" t="s">
        <v>213</v>
      </c>
      <c r="C70" s="67" t="s">
        <v>214</v>
      </c>
      <c r="D70" s="494"/>
      <c r="E70" s="494">
        <v>35800</v>
      </c>
      <c r="F70" s="494">
        <f>F68+D70-E70</f>
        <v>293700</v>
      </c>
    </row>
    <row r="71" spans="1:6">
      <c r="A71" s="493"/>
      <c r="B71" s="8" t="s">
        <v>215</v>
      </c>
      <c r="C71" s="67"/>
      <c r="D71" s="494">
        <v>630</v>
      </c>
      <c r="E71" s="494"/>
      <c r="F71" s="494">
        <f t="shared" si="1"/>
        <v>294330</v>
      </c>
    </row>
    <row r="72" spans="1:6" s="11" customFormat="1">
      <c r="A72" s="492"/>
      <c r="B72" s="92" t="s">
        <v>1591</v>
      </c>
      <c r="C72" s="491"/>
      <c r="D72" s="17">
        <v>1000</v>
      </c>
      <c r="E72" s="17"/>
      <c r="F72" s="17">
        <f t="shared" si="1"/>
        <v>295330</v>
      </c>
    </row>
    <row r="73" spans="1:6" s="11" customFormat="1">
      <c r="A73" s="538"/>
      <c r="B73" s="539" t="s">
        <v>1775</v>
      </c>
      <c r="C73" s="540">
        <f>35800/2898</f>
        <v>12.353347135955831</v>
      </c>
      <c r="D73" s="541" t="s">
        <v>234</v>
      </c>
      <c r="E73" s="541"/>
      <c r="F73" s="541"/>
    </row>
    <row r="74" spans="1:6">
      <c r="A74" s="147">
        <v>45641</v>
      </c>
      <c r="B74" s="82" t="s">
        <v>216</v>
      </c>
      <c r="C74" s="82" t="s">
        <v>217</v>
      </c>
      <c r="D74" s="114"/>
      <c r="E74" s="114">
        <v>38000</v>
      </c>
      <c r="F74" s="389">
        <f>F72+D74-E74</f>
        <v>257330</v>
      </c>
    </row>
    <row r="75" spans="1:6" s="11" customFormat="1">
      <c r="A75" s="538"/>
      <c r="B75" s="539" t="s">
        <v>1776</v>
      </c>
      <c r="C75" s="540">
        <f>38000/2970</f>
        <v>12.794612794612794</v>
      </c>
      <c r="D75" s="541" t="s">
        <v>234</v>
      </c>
      <c r="E75" s="541"/>
      <c r="F75" s="541"/>
    </row>
    <row r="76" spans="1:6">
      <c r="A76" s="1">
        <v>45672</v>
      </c>
      <c r="B76" s="8" t="s">
        <v>7</v>
      </c>
      <c r="C76" s="8" t="s">
        <v>6</v>
      </c>
      <c r="E76" s="2">
        <v>36500</v>
      </c>
      <c r="F76" s="2">
        <f>F74+D76-E76</f>
        <v>220830</v>
      </c>
    </row>
    <row r="77" spans="1:6">
      <c r="A77" s="1">
        <v>45703</v>
      </c>
      <c r="B77" s="8" t="s">
        <v>8</v>
      </c>
      <c r="C77" s="8" t="s">
        <v>6</v>
      </c>
      <c r="E77" s="2">
        <v>36500</v>
      </c>
      <c r="F77" s="2">
        <f t="shared" si="1"/>
        <v>184330</v>
      </c>
    </row>
    <row r="78" spans="1:6">
      <c r="A78" s="1">
        <v>45731</v>
      </c>
      <c r="B78" s="8" t="s">
        <v>9</v>
      </c>
      <c r="C78" s="8" t="s">
        <v>6</v>
      </c>
      <c r="E78" s="2">
        <v>36500</v>
      </c>
      <c r="F78" s="2">
        <f t="shared" si="1"/>
        <v>147830</v>
      </c>
    </row>
    <row r="79" spans="1:6">
      <c r="A79" s="1">
        <v>45762</v>
      </c>
      <c r="B79" s="8" t="s">
        <v>10</v>
      </c>
      <c r="C79" s="8" t="s">
        <v>6</v>
      </c>
      <c r="E79" s="2">
        <v>36500</v>
      </c>
      <c r="F79" s="2">
        <f t="shared" si="1"/>
        <v>111330</v>
      </c>
    </row>
    <row r="80" spans="1:6">
      <c r="A80" s="1">
        <v>45792</v>
      </c>
      <c r="B80" s="8" t="s">
        <v>11</v>
      </c>
      <c r="C80" s="8" t="s">
        <v>6</v>
      </c>
      <c r="E80" s="2">
        <v>36500</v>
      </c>
      <c r="F80" s="2">
        <f t="shared" si="1"/>
        <v>74830</v>
      </c>
    </row>
    <row r="81" spans="1:6">
      <c r="A81" s="1">
        <v>45823</v>
      </c>
      <c r="B81" s="8" t="s">
        <v>12</v>
      </c>
      <c r="C81" s="8" t="s">
        <v>6</v>
      </c>
      <c r="E81" s="2">
        <v>36500</v>
      </c>
      <c r="F81" s="2">
        <f t="shared" si="1"/>
        <v>38330</v>
      </c>
    </row>
    <row r="82" spans="1:6">
      <c r="A82" s="1">
        <v>45853</v>
      </c>
      <c r="B82" s="8" t="s">
        <v>13</v>
      </c>
      <c r="C82" s="8" t="s">
        <v>6</v>
      </c>
      <c r="E82" s="2">
        <v>36500</v>
      </c>
      <c r="F82" s="2">
        <f t="shared" si="1"/>
        <v>1830</v>
      </c>
    </row>
    <row r="83" spans="1:6">
      <c r="E83" s="13"/>
      <c r="F83" s="14">
        <f t="shared" si="1"/>
        <v>1830</v>
      </c>
    </row>
    <row r="84" spans="1:6">
      <c r="E84" s="15"/>
      <c r="F84" s="16" t="s">
        <v>14</v>
      </c>
    </row>
    <row r="90" spans="1:6">
      <c r="B90" s="8" t="s">
        <v>218</v>
      </c>
      <c r="D90" s="2">
        <v>1466500</v>
      </c>
      <c r="F90" s="2">
        <f t="shared" ref="F90:F95" si="2">F89+D90-E90</f>
        <v>1466500</v>
      </c>
    </row>
    <row r="91" spans="1:6">
      <c r="B91" s="8" t="s">
        <v>193</v>
      </c>
      <c r="D91" s="2">
        <v>11631</v>
      </c>
      <c r="F91" s="2">
        <f t="shared" si="2"/>
        <v>1478131</v>
      </c>
    </row>
    <row r="92" spans="1:6">
      <c r="B92" s="8" t="s">
        <v>219</v>
      </c>
      <c r="D92" s="2">
        <v>15500</v>
      </c>
      <c r="F92" s="2">
        <f t="shared" si="2"/>
        <v>1493631</v>
      </c>
    </row>
    <row r="93" spans="1:6">
      <c r="F93" s="2">
        <f t="shared" si="2"/>
        <v>1493631</v>
      </c>
    </row>
    <row r="94" spans="1:6">
      <c r="F94" s="2">
        <f t="shared" si="2"/>
        <v>1493631</v>
      </c>
    </row>
    <row r="95" spans="1:6">
      <c r="B95" s="3" t="s">
        <v>220</v>
      </c>
      <c r="C95" s="3"/>
      <c r="D95" s="17"/>
      <c r="E95" s="17"/>
      <c r="F95" s="17">
        <f t="shared" si="2"/>
        <v>1493631</v>
      </c>
    </row>
    <row r="97" spans="1:6">
      <c r="B97" s="148" t="s">
        <v>221</v>
      </c>
      <c r="C97" s="148" t="s">
        <v>222</v>
      </c>
      <c r="D97" s="149"/>
      <c r="E97" s="150" t="s">
        <v>223</v>
      </c>
      <c r="F97" s="150" t="s">
        <v>224</v>
      </c>
    </row>
    <row r="98" spans="1:6">
      <c r="F98" s="128">
        <f>F95+D98-E98</f>
        <v>1493631</v>
      </c>
    </row>
    <row r="99" spans="1:6">
      <c r="F99" s="2">
        <f t="shared" ref="F99:F105" si="3">F98-E99</f>
        <v>1493631</v>
      </c>
    </row>
    <row r="100" spans="1:6">
      <c r="B100" s="8" t="s">
        <v>225</v>
      </c>
      <c r="C100" s="8" t="s">
        <v>226</v>
      </c>
      <c r="E100" s="2">
        <f>E44+E45</f>
        <v>134783.84</v>
      </c>
      <c r="F100" s="2">
        <f t="shared" si="3"/>
        <v>1358847.16</v>
      </c>
    </row>
    <row r="101" spans="1:6">
      <c r="F101" s="2">
        <f t="shared" si="3"/>
        <v>1358847.16</v>
      </c>
    </row>
    <row r="102" spans="1:6">
      <c r="B102" s="8" t="s">
        <v>227</v>
      </c>
      <c r="C102" s="8" t="s">
        <v>228</v>
      </c>
      <c r="E102" s="2">
        <v>100000</v>
      </c>
      <c r="F102" s="2">
        <f t="shared" si="3"/>
        <v>1258847.1599999999</v>
      </c>
    </row>
    <row r="103" spans="1:6">
      <c r="F103" s="2">
        <f t="shared" si="3"/>
        <v>1258847.1599999999</v>
      </c>
    </row>
    <row r="104" spans="1:6">
      <c r="B104" s="8" t="s">
        <v>189</v>
      </c>
      <c r="C104" s="8" t="s">
        <v>229</v>
      </c>
      <c r="E104" s="2">
        <v>11631</v>
      </c>
      <c r="F104" s="2">
        <f t="shared" si="3"/>
        <v>1247216.1599999999</v>
      </c>
    </row>
    <row r="105" spans="1:6">
      <c r="B105" s="8" t="s">
        <v>190</v>
      </c>
      <c r="C105" s="8" t="s">
        <v>229</v>
      </c>
      <c r="E105" s="2">
        <v>15500</v>
      </c>
      <c r="F105" s="17">
        <f t="shared" si="3"/>
        <v>1231716.1599999999</v>
      </c>
    </row>
    <row r="106" spans="1:6" s="11" customFormat="1" ht="13.5" thickBot="1">
      <c r="A106" s="10"/>
      <c r="B106" s="8" t="s">
        <v>1765</v>
      </c>
      <c r="C106" s="8"/>
      <c r="D106" s="2"/>
      <c r="E106" s="2">
        <f>F33*-1</f>
        <v>91403.16</v>
      </c>
      <c r="F106" s="17">
        <f>F105-E106</f>
        <v>1140313</v>
      </c>
    </row>
    <row r="107" spans="1:6" ht="13.5" thickBot="1">
      <c r="B107" s="121"/>
      <c r="C107" s="151"/>
      <c r="D107" s="152" t="s">
        <v>230</v>
      </c>
      <c r="E107" s="141">
        <f>SUM(E100:E106)</f>
        <v>353318</v>
      </c>
    </row>
    <row r="109" spans="1:6" s="11" customFormat="1">
      <c r="A109" s="10"/>
      <c r="D109" s="12"/>
      <c r="E109" s="12"/>
      <c r="F109" s="17">
        <f>F106</f>
        <v>1140313</v>
      </c>
    </row>
    <row r="110" spans="1:6" s="11" customFormat="1">
      <c r="A110" s="10"/>
      <c r="B110" s="8" t="s">
        <v>1764</v>
      </c>
      <c r="C110" s="8" t="s">
        <v>1766</v>
      </c>
      <c r="D110" s="2"/>
      <c r="E110" s="2">
        <v>550000</v>
      </c>
      <c r="F110" s="17">
        <f>F109-E110</f>
        <v>590313</v>
      </c>
    </row>
    <row r="111" spans="1:6" s="11" customFormat="1">
      <c r="A111" s="10"/>
      <c r="D111" s="12"/>
      <c r="E111" s="12"/>
      <c r="F111" s="17">
        <f t="shared" ref="F111:F115" si="4">F110-E111</f>
        <v>590313</v>
      </c>
    </row>
    <row r="112" spans="1:6" s="11" customFormat="1">
      <c r="A112" s="10"/>
      <c r="D112" s="12"/>
      <c r="E112" s="12"/>
      <c r="F112" s="17">
        <f t="shared" si="4"/>
        <v>590313</v>
      </c>
    </row>
    <row r="113" spans="1:6" s="11" customFormat="1">
      <c r="A113" s="10"/>
      <c r="B113" s="8" t="s">
        <v>232</v>
      </c>
      <c r="C113" s="8" t="s">
        <v>1763</v>
      </c>
      <c r="D113" s="2"/>
      <c r="E113" s="2">
        <v>438000</v>
      </c>
      <c r="F113" s="17">
        <f>F112-E113</f>
        <v>152313</v>
      </c>
    </row>
    <row r="114" spans="1:6" s="11" customFormat="1">
      <c r="A114" s="10"/>
      <c r="B114" s="8"/>
      <c r="C114" s="8"/>
      <c r="D114" s="12"/>
      <c r="E114" s="12"/>
      <c r="F114" s="17">
        <f t="shared" si="4"/>
        <v>152313</v>
      </c>
    </row>
    <row r="115" spans="1:6">
      <c r="F115" s="17">
        <f t="shared" si="4"/>
        <v>152313</v>
      </c>
    </row>
    <row r="116" spans="1:6" ht="13.5" thickBot="1">
      <c r="B116" s="8" t="s">
        <v>1768</v>
      </c>
      <c r="C116" s="8" t="s">
        <v>231</v>
      </c>
      <c r="E116" s="2">
        <v>84313</v>
      </c>
      <c r="F116" s="17">
        <f>F115-E116</f>
        <v>68000</v>
      </c>
    </row>
    <row r="117" spans="1:6">
      <c r="B117" s="129" t="s">
        <v>1767</v>
      </c>
      <c r="C117" s="533" t="s">
        <v>231</v>
      </c>
      <c r="E117" s="2">
        <v>68000</v>
      </c>
      <c r="F117" s="17">
        <f>F116-E117</f>
        <v>0</v>
      </c>
    </row>
    <row r="118" spans="1:6">
      <c r="B118" s="134" t="s">
        <v>1769</v>
      </c>
      <c r="C118" s="534"/>
    </row>
    <row r="119" spans="1:6">
      <c r="B119" s="134" t="s">
        <v>1770</v>
      </c>
      <c r="C119" s="534"/>
    </row>
    <row r="120" spans="1:6" ht="13.5" thickBot="1">
      <c r="B120" s="535" t="s">
        <v>1771</v>
      </c>
      <c r="C120" s="536"/>
    </row>
    <row r="121" spans="1:6" ht="13.5" thickBot="1">
      <c r="B121" s="121"/>
      <c r="C121" s="151"/>
      <c r="D121" s="152" t="s">
        <v>233</v>
      </c>
      <c r="E121" s="141">
        <f>SUM(E116:E120)</f>
        <v>152313</v>
      </c>
    </row>
    <row r="138" spans="2:6">
      <c r="B138" s="8" t="s">
        <v>15</v>
      </c>
    </row>
    <row r="140" spans="2:6">
      <c r="F140" s="2">
        <f t="shared" ref="F140:F145" si="5">F139+D140-E140</f>
        <v>0</v>
      </c>
    </row>
    <row r="141" spans="2:6">
      <c r="B141" s="8" t="s">
        <v>16</v>
      </c>
      <c r="D141" s="2">
        <v>50000</v>
      </c>
      <c r="F141" s="2">
        <f t="shared" si="5"/>
        <v>50000</v>
      </c>
    </row>
    <row r="142" spans="2:6">
      <c r="B142" s="8" t="s">
        <v>17</v>
      </c>
      <c r="D142" s="2">
        <v>140000</v>
      </c>
      <c r="F142" s="2">
        <f t="shared" si="5"/>
        <v>190000</v>
      </c>
    </row>
    <row r="143" spans="2:6">
      <c r="B143" s="8" t="s">
        <v>18</v>
      </c>
      <c r="D143" s="2">
        <v>195000</v>
      </c>
      <c r="F143" s="2">
        <f t="shared" si="5"/>
        <v>385000</v>
      </c>
    </row>
    <row r="144" spans="2:6">
      <c r="B144" s="8" t="s">
        <v>19</v>
      </c>
      <c r="E144" s="2">
        <v>310000</v>
      </c>
      <c r="F144" s="2">
        <f t="shared" si="5"/>
        <v>75000</v>
      </c>
    </row>
    <row r="145" spans="2:6">
      <c r="B145" s="3" t="s">
        <v>20</v>
      </c>
      <c r="C145" s="3"/>
      <c r="D145" s="17"/>
      <c r="E145" s="17"/>
      <c r="F145" s="17">
        <f t="shared" si="5"/>
        <v>75000</v>
      </c>
    </row>
    <row r="146" spans="2:6">
      <c r="B146" s="3" t="s">
        <v>21</v>
      </c>
      <c r="C146" s="3"/>
      <c r="D146" s="17">
        <f>E100-F144</f>
        <v>59783.839999999997</v>
      </c>
      <c r="F146" s="2">
        <f>F144+D146-E146</f>
        <v>134783.84</v>
      </c>
    </row>
    <row r="147" spans="2:6">
      <c r="E147" s="18" t="s">
        <v>22</v>
      </c>
      <c r="F147" s="17">
        <f>F146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234</v>
      </c>
      <c r="F2">
        <v>2513</v>
      </c>
    </row>
    <row r="3" spans="1:8">
      <c r="E3" t="s">
        <v>235</v>
      </c>
      <c r="F3">
        <v>4100</v>
      </c>
    </row>
    <row r="4" spans="1:8">
      <c r="E4" t="s">
        <v>236</v>
      </c>
      <c r="F4">
        <v>26.15</v>
      </c>
    </row>
    <row r="5" spans="1:8">
      <c r="E5" t="s">
        <v>237</v>
      </c>
    </row>
    <row r="7" spans="1:8">
      <c r="D7" s="153" t="s">
        <v>238</v>
      </c>
      <c r="E7" s="153" t="s">
        <v>239</v>
      </c>
      <c r="F7" s="153" t="s">
        <v>240</v>
      </c>
      <c r="G7" s="153"/>
      <c r="H7" s="153" t="s">
        <v>241</v>
      </c>
    </row>
    <row r="8" spans="1:8">
      <c r="A8" t="s">
        <v>242</v>
      </c>
      <c r="B8" s="1">
        <v>44562</v>
      </c>
      <c r="C8" s="8" t="s">
        <v>243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244</v>
      </c>
      <c r="B9" s="1">
        <v>44562</v>
      </c>
      <c r="C9" s="8" t="s">
        <v>245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246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247</v>
      </c>
      <c r="B14" s="1">
        <v>45509</v>
      </c>
      <c r="C14" s="8" t="s">
        <v>248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249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250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251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252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253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254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255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256</v>
      </c>
    </row>
    <row r="23" spans="1:9">
      <c r="B23" s="1"/>
      <c r="C23" s="8" t="s">
        <v>257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256</v>
      </c>
    </row>
    <row r="24" spans="1:9">
      <c r="B24" s="1"/>
      <c r="C24" s="8" t="s">
        <v>258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256</v>
      </c>
    </row>
    <row r="25" spans="1:9">
      <c r="B25" s="1"/>
      <c r="C25" s="8" t="s">
        <v>259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256</v>
      </c>
    </row>
    <row r="26" spans="1:9">
      <c r="B26" s="1"/>
      <c r="H26" s="2"/>
    </row>
    <row r="27" spans="1:9">
      <c r="A27" t="s">
        <v>77</v>
      </c>
      <c r="B27" t="s">
        <v>260</v>
      </c>
      <c r="C27" t="s">
        <v>236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261</v>
      </c>
    </row>
    <row r="28" spans="1:9">
      <c r="C28" t="s">
        <v>262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263</v>
      </c>
    </row>
    <row r="29" spans="1:9">
      <c r="B29" t="s">
        <v>260</v>
      </c>
      <c r="C29" t="s">
        <v>264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261</v>
      </c>
    </row>
    <row r="30" spans="1:9">
      <c r="C30" t="s">
        <v>265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266</v>
      </c>
    </row>
    <row r="31" spans="1:9">
      <c r="B31" t="s">
        <v>260</v>
      </c>
      <c r="C31" t="s">
        <v>267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268</v>
      </c>
    </row>
    <row r="34" spans="1:10">
      <c r="A34" t="s">
        <v>269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268</v>
      </c>
    </row>
    <row r="42" spans="1:10">
      <c r="G42" t="s">
        <v>270</v>
      </c>
      <c r="J42" t="s">
        <v>271</v>
      </c>
    </row>
    <row r="43" spans="1:10">
      <c r="J43">
        <v>1500000</v>
      </c>
    </row>
    <row r="44" spans="1:10">
      <c r="C44" t="s">
        <v>272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273</v>
      </c>
      <c r="F45" s="155">
        <v>155000</v>
      </c>
      <c r="H45" s="2">
        <f t="shared" si="1"/>
        <v>177058</v>
      </c>
    </row>
    <row r="46" spans="1:10">
      <c r="C46" t="s">
        <v>274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275</v>
      </c>
      <c r="F47" s="155">
        <v>722</v>
      </c>
      <c r="H47" s="2">
        <f t="shared" si="1"/>
        <v>127780</v>
      </c>
      <c r="I47" s="8" t="s">
        <v>276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277</v>
      </c>
      <c r="F50" s="155">
        <v>12290</v>
      </c>
      <c r="G50" s="2"/>
      <c r="H50" s="17">
        <f t="shared" si="1"/>
        <v>140070</v>
      </c>
      <c r="I50" s="157" t="s">
        <v>268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278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276</v>
      </c>
    </row>
    <row r="56" spans="2:10">
      <c r="H56" s="2">
        <f t="shared" si="2"/>
        <v>554317.39240000001</v>
      </c>
    </row>
    <row r="57" spans="2:10">
      <c r="C57" t="s">
        <v>234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268</v>
      </c>
    </row>
    <row r="58" spans="2:10">
      <c r="C58" t="s">
        <v>279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268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280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268</v>
      </c>
    </row>
    <row r="61" spans="2:10">
      <c r="C61" t="s">
        <v>281</v>
      </c>
      <c r="F61">
        <v>100000</v>
      </c>
      <c r="H61" s="2">
        <f t="shared" si="2"/>
        <v>1244192.3924</v>
      </c>
      <c r="I61" s="157" t="s">
        <v>268</v>
      </c>
    </row>
    <row r="62" spans="2:10">
      <c r="C62" t="s">
        <v>282</v>
      </c>
      <c r="F62">
        <v>68000</v>
      </c>
      <c r="H62" s="17">
        <f t="shared" si="2"/>
        <v>1312192.3924</v>
      </c>
      <c r="I62" s="157" t="s">
        <v>268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283</v>
      </c>
    </row>
    <row r="69" spans="2:9">
      <c r="C69" t="s">
        <v>272</v>
      </c>
      <c r="F69" s="155">
        <v>127500</v>
      </c>
      <c r="H69" s="17">
        <f t="shared" ref="H69:H82" si="3">H68+F69-G69</f>
        <v>127500</v>
      </c>
    </row>
    <row r="70" spans="2:9">
      <c r="C70" t="s">
        <v>273</v>
      </c>
      <c r="F70" s="155"/>
      <c r="H70" s="17">
        <f t="shared" si="3"/>
        <v>127500</v>
      </c>
    </row>
    <row r="71" spans="2:9">
      <c r="C71" t="s">
        <v>274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275</v>
      </c>
      <c r="F72" s="155">
        <v>722</v>
      </c>
      <c r="H72" s="17">
        <f t="shared" si="3"/>
        <v>78222</v>
      </c>
      <c r="I72" s="8" t="s">
        <v>276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278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276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268</v>
      </c>
    </row>
    <row r="77" spans="2:9">
      <c r="C77" t="s">
        <v>284</v>
      </c>
      <c r="F77" s="155">
        <v>12290</v>
      </c>
      <c r="G77" s="2"/>
      <c r="H77" s="17">
        <f t="shared" si="3"/>
        <v>1164307.8659999999</v>
      </c>
      <c r="I77" s="157" t="s">
        <v>268</v>
      </c>
    </row>
    <row r="78" spans="2:9">
      <c r="C78" t="s">
        <v>281</v>
      </c>
      <c r="F78">
        <v>100000</v>
      </c>
      <c r="H78" s="17">
        <f t="shared" si="3"/>
        <v>1264307.8659999999</v>
      </c>
      <c r="I78" s="157" t="s">
        <v>268</v>
      </c>
    </row>
    <row r="79" spans="2:9">
      <c r="C79" t="s">
        <v>282</v>
      </c>
      <c r="F79">
        <v>100000</v>
      </c>
      <c r="H79" s="17">
        <f t="shared" si="3"/>
        <v>1364307.8659999999</v>
      </c>
      <c r="I79" s="157" t="s">
        <v>268</v>
      </c>
    </row>
    <row r="80" spans="2:9">
      <c r="H80" s="17">
        <f t="shared" si="3"/>
        <v>1364307.8659999999</v>
      </c>
    </row>
    <row r="81" spans="3:9">
      <c r="C81" t="s">
        <v>285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268</v>
      </c>
    </row>
    <row r="82" spans="3:9">
      <c r="C82" t="s">
        <v>279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01" t="s">
        <v>26</v>
      </c>
      <c r="M1" s="50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02">
        <f>L15+M15</f>
        <v>1080.7929879999999</v>
      </c>
      <c r="M17" s="50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286</v>
      </c>
    </row>
    <row r="31" spans="2:13">
      <c r="C31" t="s">
        <v>287</v>
      </c>
    </row>
    <row r="32" spans="2:13">
      <c r="C32" t="s">
        <v>288</v>
      </c>
    </row>
    <row r="34" spans="2:3">
      <c r="B34" t="s">
        <v>289</v>
      </c>
    </row>
    <row r="35" spans="2:3">
      <c r="C35" t="s">
        <v>290</v>
      </c>
    </row>
    <row r="36" spans="2:3">
      <c r="C36" t="s">
        <v>291</v>
      </c>
    </row>
    <row r="37" spans="2:3">
      <c r="B37" t="s">
        <v>292</v>
      </c>
    </row>
    <row r="38" spans="2:3">
      <c r="C38" t="s">
        <v>293</v>
      </c>
    </row>
    <row r="39" spans="2:3">
      <c r="C39" t="s">
        <v>294</v>
      </c>
    </row>
    <row r="40" spans="2:3">
      <c r="C40" t="s">
        <v>295</v>
      </c>
    </row>
    <row r="41" spans="2:3">
      <c r="C41" t="s">
        <v>296</v>
      </c>
    </row>
    <row r="42" spans="2:3">
      <c r="C42" t="s">
        <v>297</v>
      </c>
    </row>
    <row r="43" spans="2:3">
      <c r="B43" t="s">
        <v>298</v>
      </c>
    </row>
    <row r="44" spans="2:3">
      <c r="C44" t="s">
        <v>299</v>
      </c>
    </row>
    <row r="115" spans="2:7">
      <c r="B115" s="113" t="s">
        <v>300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301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302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303</v>
      </c>
      <c r="E120" s="2"/>
      <c r="F120" s="17">
        <v>6267.13</v>
      </c>
    </row>
    <row r="121" spans="2:7">
      <c r="B121" s="160">
        <f t="shared" si="2"/>
        <v>45290</v>
      </c>
      <c r="C121" s="8" t="s">
        <v>237</v>
      </c>
      <c r="D121" s="2" t="s">
        <v>304</v>
      </c>
      <c r="E121" s="2"/>
      <c r="F121" s="17">
        <v>21088.49</v>
      </c>
    </row>
    <row r="122" spans="2:7">
      <c r="B122" s="160">
        <f t="shared" si="2"/>
        <v>45290</v>
      </c>
      <c r="C122" s="8" t="s">
        <v>305</v>
      </c>
      <c r="D122" s="2" t="s">
        <v>306</v>
      </c>
      <c r="E122" s="2"/>
      <c r="F122" s="17">
        <v>5587.73</v>
      </c>
    </row>
    <row r="123" spans="2:7">
      <c r="B123" s="160">
        <f t="shared" si="2"/>
        <v>45290</v>
      </c>
      <c r="C123" s="8" t="s">
        <v>307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308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309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310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311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312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313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161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314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315</v>
      </c>
      <c r="D11" s="83" t="s">
        <v>316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317</v>
      </c>
      <c r="D12" s="83" t="s">
        <v>316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318</v>
      </c>
      <c r="C13" s="82"/>
      <c r="D13" s="83" t="s">
        <v>316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319</v>
      </c>
      <c r="C14" s="82"/>
      <c r="D14" s="83" t="s">
        <v>316</v>
      </c>
      <c r="E14" s="167">
        <v>-141.5</v>
      </c>
      <c r="H14" s="77">
        <f t="shared" si="0"/>
        <v>-30048.39</v>
      </c>
    </row>
    <row r="15" spans="1:8">
      <c r="B15" s="82" t="s">
        <v>320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321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322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323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324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324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324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325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326</v>
      </c>
    </row>
    <row r="63" spans="1:13">
      <c r="A63" s="103" t="s">
        <v>327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328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329</v>
      </c>
    </row>
    <row r="67" spans="1:5">
      <c r="B67" t="s">
        <v>330</v>
      </c>
    </row>
    <row r="68" spans="1:5">
      <c r="B68" t="s">
        <v>331</v>
      </c>
    </row>
    <row r="69" spans="1:5">
      <c r="B69" t="s">
        <v>332</v>
      </c>
    </row>
    <row r="70" spans="1:5">
      <c r="B70" t="s">
        <v>333</v>
      </c>
    </row>
    <row r="71" spans="1:5">
      <c r="B71" t="s">
        <v>334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335</v>
      </c>
      <c r="C78">
        <v>10176.39</v>
      </c>
      <c r="D78" s="77" t="s">
        <v>336</v>
      </c>
      <c r="E78" s="77">
        <v>-1130.71</v>
      </c>
    </row>
    <row r="79" spans="1:5">
      <c r="A79" s="88">
        <v>45375</v>
      </c>
      <c r="B79" s="8" t="s">
        <v>337</v>
      </c>
      <c r="C79">
        <v>5999</v>
      </c>
      <c r="D79" s="77" t="s">
        <v>336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338</v>
      </c>
      <c r="C94" s="106"/>
      <c r="E94" s="77">
        <v>-429.88</v>
      </c>
    </row>
    <row r="95" spans="1:5">
      <c r="A95" s="100"/>
      <c r="B95" s="3" t="s">
        <v>339</v>
      </c>
      <c r="C95" s="106"/>
      <c r="E95" s="77">
        <v>-654.99</v>
      </c>
    </row>
    <row r="96" spans="1:5">
      <c r="A96" s="100"/>
      <c r="B96" s="3" t="s">
        <v>340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341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342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343</v>
      </c>
      <c r="C106" s="106"/>
      <c r="E106" s="77">
        <v>-500</v>
      </c>
    </row>
    <row r="107" spans="1:5">
      <c r="A107" s="100"/>
      <c r="B107" s="3" t="s">
        <v>342</v>
      </c>
      <c r="C107" s="106"/>
      <c r="E107" s="77">
        <v>-886.3</v>
      </c>
    </row>
    <row r="108" spans="1:5">
      <c r="A108" s="100"/>
      <c r="B108" s="3" t="s">
        <v>342</v>
      </c>
      <c r="C108" s="106"/>
      <c r="E108" s="77">
        <v>-99.75</v>
      </c>
    </row>
    <row r="109" spans="1:5">
      <c r="A109" s="100">
        <v>45606</v>
      </c>
      <c r="B109" s="3" t="s">
        <v>344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345</v>
      </c>
      <c r="B125" s="104" t="s">
        <v>137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C128" s="495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346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347</v>
      </c>
    </row>
    <row r="161" spans="1:8">
      <c r="B161" s="3" t="s">
        <v>348</v>
      </c>
    </row>
    <row r="162" spans="1:8">
      <c r="B162" s="3" t="s">
        <v>349</v>
      </c>
    </row>
    <row r="163" spans="1:8">
      <c r="B163" s="142"/>
    </row>
    <row r="165" spans="1:8">
      <c r="A165" s="113" t="s">
        <v>350</v>
      </c>
      <c r="B165" s="104" t="s">
        <v>137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247</v>
      </c>
      <c r="E170" s="495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0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351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352</v>
      </c>
      <c r="C6" s="101" t="s">
        <v>353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354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355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356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357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358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359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317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318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319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360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361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323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362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326</v>
      </c>
    </row>
    <row r="41" spans="1:8">
      <c r="A41" s="103" t="s">
        <v>327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328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329</v>
      </c>
    </row>
    <row r="45" spans="1:8">
      <c r="B45" t="s">
        <v>330</v>
      </c>
    </row>
    <row r="46" spans="1:8">
      <c r="B46" t="s">
        <v>331</v>
      </c>
    </row>
    <row r="47" spans="1:8">
      <c r="B47" t="s">
        <v>332</v>
      </c>
    </row>
    <row r="48" spans="1:8">
      <c r="B48" t="s">
        <v>333</v>
      </c>
    </row>
    <row r="49" spans="1:5">
      <c r="B49" t="s">
        <v>334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335</v>
      </c>
      <c r="C56">
        <v>10176.39</v>
      </c>
      <c r="D56" s="77" t="s">
        <v>363</v>
      </c>
      <c r="E56" s="77">
        <v>-1130.71</v>
      </c>
    </row>
    <row r="57" spans="1:5">
      <c r="A57" s="88">
        <v>45375</v>
      </c>
      <c r="B57" s="8" t="s">
        <v>337</v>
      </c>
      <c r="C57">
        <v>5999</v>
      </c>
      <c r="D57" s="77" t="s">
        <v>364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365</v>
      </c>
      <c r="C71" s="106"/>
      <c r="E71" s="77">
        <v>-118966.5</v>
      </c>
    </row>
    <row r="72" spans="1:5">
      <c r="A72" s="100"/>
      <c r="B72" s="106" t="s">
        <v>365</v>
      </c>
      <c r="C72" s="106"/>
      <c r="E72" s="77">
        <v>-277.72000000000003</v>
      </c>
    </row>
    <row r="73" spans="1:5">
      <c r="A73" s="100"/>
      <c r="B73" s="3" t="s">
        <v>366</v>
      </c>
      <c r="C73" s="106"/>
      <c r="E73" s="77">
        <v>-1398.6</v>
      </c>
    </row>
    <row r="74" spans="1:5">
      <c r="A74" s="100"/>
      <c r="B74" s="3" t="s">
        <v>367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368</v>
      </c>
      <c r="C76" s="106"/>
      <c r="E76" s="77">
        <v>-480</v>
      </c>
    </row>
    <row r="77" spans="1:5">
      <c r="A77" s="100"/>
      <c r="B77" s="3" t="s">
        <v>369</v>
      </c>
      <c r="C77" s="106"/>
      <c r="E77" s="77">
        <v>-147.80000000000001</v>
      </c>
    </row>
    <row r="78" spans="1:5">
      <c r="A78" s="100"/>
      <c r="B78" s="3" t="s">
        <v>369</v>
      </c>
      <c r="C78" s="106">
        <v>17.59</v>
      </c>
      <c r="E78" s="77">
        <v>-17.59</v>
      </c>
    </row>
    <row r="79" spans="1:5">
      <c r="A79" s="100"/>
      <c r="B79" s="3" t="s">
        <v>370</v>
      </c>
      <c r="C79" s="106">
        <v>330</v>
      </c>
      <c r="E79" s="77">
        <v>-330</v>
      </c>
    </row>
    <row r="80" spans="1:5">
      <c r="A80" s="100"/>
      <c r="B80" s="3" t="s">
        <v>371</v>
      </c>
      <c r="C80" s="106">
        <v>-130</v>
      </c>
      <c r="E80" s="77">
        <v>-130</v>
      </c>
    </row>
    <row r="81" spans="1:5">
      <c r="A81" s="100"/>
      <c r="B81" s="3" t="s">
        <v>270</v>
      </c>
      <c r="C81" s="106"/>
      <c r="D81" s="77">
        <v>71389.3</v>
      </c>
    </row>
    <row r="82" spans="1:5">
      <c r="A82" s="100"/>
      <c r="B82" s="3" t="s">
        <v>372</v>
      </c>
      <c r="C82" s="106"/>
      <c r="E82" s="77">
        <v>-140</v>
      </c>
    </row>
    <row r="83" spans="1:5">
      <c r="A83" s="100"/>
      <c r="B83" s="3" t="s">
        <v>370</v>
      </c>
      <c r="C83" s="106">
        <v>750</v>
      </c>
      <c r="E83" s="77">
        <v>-750</v>
      </c>
    </row>
    <row r="84" spans="1:5">
      <c r="A84" s="100"/>
      <c r="B84" s="3" t="s">
        <v>369</v>
      </c>
      <c r="C84" s="106"/>
      <c r="E84" s="77">
        <v>-253.55</v>
      </c>
    </row>
    <row r="85" spans="1:5">
      <c r="A85" s="100"/>
      <c r="B85" s="3" t="s">
        <v>373</v>
      </c>
      <c r="C85" s="106"/>
      <c r="E85" s="77">
        <v>-250</v>
      </c>
    </row>
    <row r="86" spans="1:5">
      <c r="A86" s="100"/>
      <c r="B86" s="3" t="s">
        <v>374</v>
      </c>
      <c r="C86" s="106"/>
      <c r="E86" s="77">
        <v>-400</v>
      </c>
    </row>
    <row r="87" spans="1:5">
      <c r="A87" s="100"/>
      <c r="B87" s="3" t="s">
        <v>374</v>
      </c>
      <c r="C87" s="106"/>
      <c r="E87" s="77">
        <v>-100</v>
      </c>
    </row>
    <row r="88" spans="1:5">
      <c r="A88" s="100"/>
      <c r="B88" s="3" t="s">
        <v>369</v>
      </c>
      <c r="C88" s="106"/>
      <c r="E88" s="77">
        <v>-68.5</v>
      </c>
    </row>
    <row r="89" spans="1:5">
      <c r="A89" s="100"/>
      <c r="B89" s="3" t="s">
        <v>369</v>
      </c>
      <c r="C89" s="106">
        <v>43.13</v>
      </c>
      <c r="E89" s="77">
        <v>-43.13</v>
      </c>
    </row>
    <row r="90" spans="1:5">
      <c r="A90" s="100"/>
      <c r="B90" s="3" t="s">
        <v>370</v>
      </c>
      <c r="C90" s="106">
        <v>235</v>
      </c>
      <c r="E90" s="77">
        <v>-235</v>
      </c>
    </row>
    <row r="91" spans="1:5">
      <c r="A91" s="100"/>
      <c r="B91" s="3" t="s">
        <v>371</v>
      </c>
      <c r="C91" s="106">
        <v>375</v>
      </c>
      <c r="E91" s="77">
        <v>-375</v>
      </c>
    </row>
    <row r="92" spans="1:5">
      <c r="A92" s="100"/>
      <c r="B92" s="3" t="s">
        <v>369</v>
      </c>
      <c r="C92" s="106">
        <v>79.84</v>
      </c>
      <c r="E92" s="77">
        <v>-79.84</v>
      </c>
    </row>
    <row r="93" spans="1:5">
      <c r="A93" s="100"/>
      <c r="B93" s="3" t="s">
        <v>370</v>
      </c>
      <c r="C93" s="106">
        <v>235</v>
      </c>
      <c r="E93" s="77">
        <v>-235</v>
      </c>
    </row>
    <row r="94" spans="1:5">
      <c r="A94" s="100"/>
      <c r="B94" s="3" t="s">
        <v>371</v>
      </c>
      <c r="C94" s="106">
        <v>210</v>
      </c>
      <c r="E94" s="77">
        <v>-210</v>
      </c>
    </row>
    <row r="95" spans="1:5">
      <c r="A95" s="100"/>
      <c r="B95" s="3" t="s">
        <v>369</v>
      </c>
      <c r="C95" s="106"/>
      <c r="E95" s="77">
        <v>-112.3</v>
      </c>
    </row>
    <row r="96" spans="1:5">
      <c r="A96" s="100"/>
      <c r="B96" s="3" t="s">
        <v>374</v>
      </c>
      <c r="C96" s="106"/>
      <c r="E96" s="77">
        <v>-230</v>
      </c>
    </row>
    <row r="97" spans="1:5">
      <c r="A97" s="100"/>
      <c r="B97" s="3" t="s">
        <v>369</v>
      </c>
      <c r="C97" s="106"/>
      <c r="E97" s="77">
        <v>-187.2</v>
      </c>
    </row>
    <row r="98" spans="1:5">
      <c r="A98" s="100"/>
      <c r="B98" s="3" t="s">
        <v>375</v>
      </c>
      <c r="C98" s="106">
        <v>1062.9000000000001</v>
      </c>
      <c r="E98" s="77">
        <v>-1062.9000000000001</v>
      </c>
    </row>
    <row r="99" spans="1:5">
      <c r="A99" s="100"/>
      <c r="B99" s="3" t="s">
        <v>376</v>
      </c>
      <c r="C99" s="106"/>
      <c r="E99" s="77">
        <v>-240</v>
      </c>
    </row>
    <row r="100" spans="1:5">
      <c r="A100" s="100"/>
      <c r="B100" s="3" t="s">
        <v>377</v>
      </c>
      <c r="C100" s="106"/>
      <c r="E100" s="77">
        <v>-280</v>
      </c>
    </row>
    <row r="101" spans="1:5">
      <c r="B101" s="3" t="s">
        <v>371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378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379</v>
      </c>
      <c r="C113" s="2"/>
      <c r="D113" s="2"/>
      <c r="E113" s="2">
        <v>0</v>
      </c>
    </row>
    <row r="114" spans="1:5">
      <c r="A114" s="160"/>
      <c r="B114" s="8" t="s">
        <v>380</v>
      </c>
      <c r="C114" s="495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381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346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111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382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383</v>
      </c>
      <c r="C5" s="101" t="s">
        <v>353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384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385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386</v>
      </c>
      <c r="C12" s="101" t="s">
        <v>387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388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389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324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324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324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390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315</v>
      </c>
      <c r="D23" s="78" t="s">
        <v>391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392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393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355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394</v>
      </c>
      <c r="C33" s="171">
        <v>0.234011</v>
      </c>
      <c r="H33" s="77">
        <f t="shared" si="0"/>
        <v>-59035.210000000014</v>
      </c>
    </row>
    <row r="34" spans="1:8">
      <c r="B34" s="170" t="s">
        <v>395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326</v>
      </c>
    </row>
    <row r="38" spans="1:8">
      <c r="A38" s="103" t="s">
        <v>327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328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329</v>
      </c>
    </row>
    <row r="42" spans="1:8">
      <c r="B42" t="s">
        <v>330</v>
      </c>
    </row>
    <row r="43" spans="1:8">
      <c r="B43" t="s">
        <v>331</v>
      </c>
    </row>
    <row r="44" spans="1:8">
      <c r="B44" t="s">
        <v>332</v>
      </c>
    </row>
    <row r="45" spans="1:8">
      <c r="B45" t="s">
        <v>333</v>
      </c>
    </row>
    <row r="46" spans="1:8">
      <c r="B46" t="s">
        <v>334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335</v>
      </c>
      <c r="C53">
        <v>10176.39</v>
      </c>
      <c r="D53" s="77" t="s">
        <v>396</v>
      </c>
      <c r="E53" s="77">
        <v>-1130.71</v>
      </c>
    </row>
    <row r="54" spans="1:5">
      <c r="A54" s="88">
        <v>45375</v>
      </c>
      <c r="B54" s="8" t="s">
        <v>337</v>
      </c>
      <c r="C54">
        <v>5999</v>
      </c>
      <c r="D54" s="77" t="s">
        <v>396</v>
      </c>
      <c r="E54" s="77">
        <v>-666.56</v>
      </c>
    </row>
    <row r="55" spans="1:5">
      <c r="A55" s="88"/>
      <c r="B55" s="8" t="s">
        <v>397</v>
      </c>
      <c r="E55" s="77">
        <v>-363.83</v>
      </c>
    </row>
    <row r="56" spans="1:5">
      <c r="B56" t="s">
        <v>398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399</v>
      </c>
      <c r="C72" s="106"/>
      <c r="E72" s="77">
        <v>-1500</v>
      </c>
    </row>
    <row r="73" spans="1:5">
      <c r="A73" s="100"/>
      <c r="B73" s="3" t="s">
        <v>400</v>
      </c>
      <c r="C73" s="106"/>
      <c r="E73" s="77">
        <v>-385</v>
      </c>
    </row>
    <row r="74" spans="1:5">
      <c r="A74" s="100"/>
      <c r="B74" s="3" t="s">
        <v>401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402</v>
      </c>
      <c r="C76" s="106"/>
      <c r="E76" s="77">
        <v>-1865</v>
      </c>
    </row>
    <row r="77" spans="1:5">
      <c r="A77" s="100"/>
      <c r="B77" s="3" t="s">
        <v>403</v>
      </c>
      <c r="C77" s="106"/>
      <c r="E77" s="77">
        <v>-80</v>
      </c>
    </row>
    <row r="78" spans="1:5">
      <c r="A78" s="100"/>
      <c r="B78" s="3" t="s">
        <v>404</v>
      </c>
      <c r="C78" s="106"/>
      <c r="E78" s="77">
        <v>-19.5</v>
      </c>
    </row>
    <row r="79" spans="1:5">
      <c r="A79" s="100"/>
      <c r="B79" s="3" t="s">
        <v>405</v>
      </c>
      <c r="C79" s="106"/>
      <c r="E79" s="77">
        <v>-706.97</v>
      </c>
    </row>
    <row r="80" spans="1:5">
      <c r="A80" s="100"/>
      <c r="B80" s="3" t="s">
        <v>406</v>
      </c>
      <c r="C80" s="106"/>
      <c r="E80" s="77">
        <v>-299.99</v>
      </c>
    </row>
    <row r="81" spans="1:5">
      <c r="A81" s="100"/>
      <c r="B81" s="3" t="s">
        <v>407</v>
      </c>
      <c r="C81" s="106"/>
      <c r="E81" s="77">
        <v>-1620</v>
      </c>
    </row>
    <row r="82" spans="1:5">
      <c r="A82" s="100"/>
      <c r="B82" s="3" t="s">
        <v>408</v>
      </c>
      <c r="C82" s="106"/>
      <c r="E82" s="77">
        <v>-66.7</v>
      </c>
    </row>
    <row r="83" spans="1:5">
      <c r="A83" s="100"/>
      <c r="B83" s="3" t="s">
        <v>409</v>
      </c>
      <c r="C83" s="106"/>
      <c r="E83" s="77">
        <v>-45</v>
      </c>
    </row>
    <row r="84" spans="1:5">
      <c r="A84" s="100"/>
      <c r="B84" s="3" t="s">
        <v>410</v>
      </c>
      <c r="C84" s="106">
        <v>69</v>
      </c>
      <c r="E84" s="77">
        <v>-69.66</v>
      </c>
    </row>
    <row r="85" spans="1:5">
      <c r="A85" s="100"/>
      <c r="B85" s="3" t="s">
        <v>411</v>
      </c>
      <c r="C85" s="106">
        <v>250</v>
      </c>
      <c r="E85" s="77">
        <v>-250</v>
      </c>
    </row>
    <row r="86" spans="1:5">
      <c r="A86" s="100"/>
      <c r="B86" s="3" t="s">
        <v>412</v>
      </c>
      <c r="C86" s="106">
        <v>145</v>
      </c>
      <c r="E86" s="77">
        <v>-145</v>
      </c>
    </row>
    <row r="87" spans="1:5">
      <c r="A87" s="100"/>
      <c r="B87" s="3" t="s">
        <v>410</v>
      </c>
      <c r="C87" s="106">
        <v>80</v>
      </c>
      <c r="E87" s="77">
        <v>-79.58</v>
      </c>
    </row>
    <row r="88" spans="1:5">
      <c r="A88" s="100"/>
      <c r="B88" s="3" t="s">
        <v>411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410</v>
      </c>
      <c r="C90" s="106">
        <v>50</v>
      </c>
      <c r="E90" s="77">
        <v>-49.3</v>
      </c>
    </row>
    <row r="91" spans="1:5">
      <c r="A91" s="100"/>
      <c r="B91" s="3" t="s">
        <v>413</v>
      </c>
      <c r="C91" s="106"/>
      <c r="E91" s="77">
        <v>-190</v>
      </c>
    </row>
    <row r="92" spans="1:5">
      <c r="A92" s="100"/>
      <c r="B92" s="3" t="s">
        <v>410</v>
      </c>
      <c r="C92" s="106"/>
      <c r="E92" s="77">
        <v>-375.55</v>
      </c>
    </row>
    <row r="93" spans="1:5">
      <c r="A93" s="100"/>
      <c r="B93" s="3" t="s">
        <v>411</v>
      </c>
      <c r="C93" s="106">
        <v>260</v>
      </c>
      <c r="E93" s="77">
        <v>-260</v>
      </c>
    </row>
    <row r="94" spans="1:5">
      <c r="A94" s="100"/>
      <c r="B94" s="3" t="s">
        <v>410</v>
      </c>
      <c r="C94" s="106">
        <v>65.790000000000006</v>
      </c>
      <c r="E94" s="77">
        <v>-65.790000000000006</v>
      </c>
    </row>
    <row r="95" spans="1:5">
      <c r="A95" s="100"/>
      <c r="B95" s="3" t="s">
        <v>411</v>
      </c>
      <c r="C95" s="106">
        <v>330</v>
      </c>
      <c r="E95" s="77">
        <v>-330</v>
      </c>
    </row>
    <row r="96" spans="1:5">
      <c r="A96" s="100"/>
      <c r="B96" s="3" t="s">
        <v>412</v>
      </c>
      <c r="C96" s="106">
        <v>225</v>
      </c>
      <c r="E96" s="77">
        <v>-225</v>
      </c>
    </row>
    <row r="97" spans="1:5">
      <c r="A97" s="100"/>
      <c r="B97" s="3" t="s">
        <v>414</v>
      </c>
      <c r="C97" s="106"/>
      <c r="E97" s="77">
        <v>-410</v>
      </c>
    </row>
    <row r="98" spans="1:5">
      <c r="B98" s="3" t="s">
        <v>415</v>
      </c>
      <c r="E98" s="77">
        <v>-27.25</v>
      </c>
    </row>
    <row r="99" spans="1:5">
      <c r="B99" s="3" t="s">
        <v>416</v>
      </c>
      <c r="E99" s="77">
        <v>-70</v>
      </c>
    </row>
    <row r="100" spans="1:5">
      <c r="B100" s="3" t="s">
        <v>417</v>
      </c>
      <c r="E100" s="77">
        <v>-350</v>
      </c>
    </row>
    <row r="101" spans="1:5">
      <c r="B101" s="3" t="s">
        <v>413</v>
      </c>
      <c r="E101" s="77">
        <v>-420</v>
      </c>
    </row>
    <row r="102" spans="1:5">
      <c r="B102" s="3" t="s">
        <v>418</v>
      </c>
      <c r="E102" s="77">
        <v>-154.5</v>
      </c>
    </row>
    <row r="103" spans="1:5">
      <c r="B103" s="3" t="s">
        <v>413</v>
      </c>
      <c r="E103" s="77">
        <v>-290</v>
      </c>
    </row>
    <row r="104" spans="1:5">
      <c r="B104" s="3" t="s">
        <v>411</v>
      </c>
      <c r="C104">
        <v>415</v>
      </c>
      <c r="E104" s="77">
        <v>-415</v>
      </c>
    </row>
    <row r="105" spans="1:5">
      <c r="B105" s="35" t="s">
        <v>419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420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379</v>
      </c>
      <c r="C113" s="2"/>
      <c r="D113" s="2"/>
      <c r="E113" s="2">
        <v>0</v>
      </c>
    </row>
    <row r="114" spans="1:5">
      <c r="A114" s="160"/>
      <c r="B114" s="8" t="s">
        <v>1740</v>
      </c>
      <c r="C114" s="495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381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421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422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423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101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424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425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426</v>
      </c>
      <c r="C5" s="101" t="s">
        <v>353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427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428</v>
      </c>
      <c r="C11" s="8" t="s">
        <v>429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324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324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430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431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432</v>
      </c>
      <c r="D22" s="78" t="s">
        <v>433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434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435</v>
      </c>
      <c r="G24" s="78">
        <v>-197.4</v>
      </c>
      <c r="H24" s="77">
        <f t="shared" si="0"/>
        <v>28142.839999999997</v>
      </c>
    </row>
    <row r="25" spans="1:8">
      <c r="B25" s="170" t="s">
        <v>436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386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395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324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437</v>
      </c>
      <c r="G29" s="78">
        <v>-10000</v>
      </c>
      <c r="H29" s="77">
        <f t="shared" si="0"/>
        <v>18142.839999999997</v>
      </c>
    </row>
    <row r="30" spans="1:8">
      <c r="B30" t="s">
        <v>438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326</v>
      </c>
    </row>
    <row r="33" spans="1:5">
      <c r="A33" s="103" t="s">
        <v>327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328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329</v>
      </c>
    </row>
    <row r="37" spans="1:5">
      <c r="B37" t="s">
        <v>330</v>
      </c>
    </row>
    <row r="38" spans="1:5">
      <c r="B38" t="s">
        <v>331</v>
      </c>
    </row>
    <row r="39" spans="1:5">
      <c r="B39" t="s">
        <v>332</v>
      </c>
    </row>
    <row r="40" spans="1:5">
      <c r="B40" t="s">
        <v>333</v>
      </c>
    </row>
    <row r="41" spans="1:5">
      <c r="B41" t="s">
        <v>334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439</v>
      </c>
      <c r="C48">
        <v>1406</v>
      </c>
      <c r="D48" s="77" t="s">
        <v>440</v>
      </c>
      <c r="E48" s="77">
        <v>-234.35</v>
      </c>
    </row>
    <row r="49" spans="1:5">
      <c r="A49" s="88">
        <v>45373</v>
      </c>
      <c r="B49" s="8" t="s">
        <v>335</v>
      </c>
      <c r="C49">
        <v>10176.39</v>
      </c>
      <c r="D49" s="77" t="s">
        <v>441</v>
      </c>
      <c r="E49" s="77">
        <v>-1130.71</v>
      </c>
    </row>
    <row r="50" spans="1:5">
      <c r="A50" s="88">
        <v>45375</v>
      </c>
      <c r="B50" s="8" t="s">
        <v>337</v>
      </c>
      <c r="C50">
        <v>5999</v>
      </c>
      <c r="D50" s="77" t="s">
        <v>441</v>
      </c>
      <c r="E50" s="77">
        <v>-666.56</v>
      </c>
    </row>
    <row r="51" spans="1:5">
      <c r="A51" s="88">
        <v>45358</v>
      </c>
      <c r="B51" s="8" t="s">
        <v>442</v>
      </c>
      <c r="C51">
        <v>2273</v>
      </c>
      <c r="D51" s="77" t="s">
        <v>440</v>
      </c>
      <c r="E51" s="77">
        <v>-378.87</v>
      </c>
    </row>
    <row r="52" spans="1:5">
      <c r="A52" s="88">
        <v>45371</v>
      </c>
      <c r="B52" s="8" t="s">
        <v>443</v>
      </c>
      <c r="D52" s="77" t="s">
        <v>440</v>
      </c>
      <c r="E52" s="77">
        <v>101.79</v>
      </c>
    </row>
    <row r="53" spans="1:5">
      <c r="A53" s="100">
        <v>45456</v>
      </c>
      <c r="B53" s="107" t="s">
        <v>444</v>
      </c>
      <c r="C53" s="106"/>
      <c r="D53" s="77" t="s">
        <v>445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446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447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379</v>
      </c>
      <c r="C103" s="2"/>
      <c r="D103" s="2"/>
      <c r="E103" s="2">
        <v>0</v>
      </c>
    </row>
    <row r="104" spans="1:5">
      <c r="A104" s="160"/>
      <c r="B104" s="8" t="s">
        <v>448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381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346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125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449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425</v>
      </c>
      <c r="C4" s="8" t="s">
        <v>450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451</v>
      </c>
      <c r="C5" s="101" t="s">
        <v>353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452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453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454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455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456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324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324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457</v>
      </c>
      <c r="C28" s="171"/>
      <c r="D28" s="77" t="s">
        <v>458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459</v>
      </c>
      <c r="C29" s="171"/>
      <c r="D29" s="77" t="s">
        <v>458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460</v>
      </c>
      <c r="C30" s="171"/>
      <c r="D30" s="77" t="s">
        <v>458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461</v>
      </c>
      <c r="C31" s="171"/>
      <c r="D31" s="77" t="s">
        <v>458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462</v>
      </c>
      <c r="C32" s="171"/>
      <c r="D32" s="77" t="s">
        <v>458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463</v>
      </c>
      <c r="C33" s="171"/>
      <c r="D33" s="77" t="s">
        <v>458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464</v>
      </c>
      <c r="C35" s="77" t="s">
        <v>458</v>
      </c>
      <c r="D35" s="78" t="s">
        <v>465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466</v>
      </c>
      <c r="C36" s="77" t="s">
        <v>458</v>
      </c>
      <c r="D36" s="78" t="s">
        <v>465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467</v>
      </c>
      <c r="C37" s="77" t="s">
        <v>458</v>
      </c>
      <c r="D37" s="78" t="s">
        <v>465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468</v>
      </c>
      <c r="C38" s="77" t="s">
        <v>458</v>
      </c>
      <c r="D38" s="78" t="s">
        <v>465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469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428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436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395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470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324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326</v>
      </c>
    </row>
    <row r="50" spans="1:5">
      <c r="A50" s="103" t="s">
        <v>327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328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329</v>
      </c>
    </row>
    <row r="54" spans="1:5">
      <c r="B54" t="s">
        <v>330</v>
      </c>
    </row>
    <row r="55" spans="1:5">
      <c r="B55" t="s">
        <v>331</v>
      </c>
    </row>
    <row r="56" spans="1:5">
      <c r="B56" t="s">
        <v>332</v>
      </c>
    </row>
    <row r="57" spans="1:5">
      <c r="B57" t="s">
        <v>333</v>
      </c>
    </row>
    <row r="58" spans="1:5">
      <c r="B58" t="s">
        <v>334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439</v>
      </c>
      <c r="C65">
        <v>1406</v>
      </c>
      <c r="D65" s="77" t="s">
        <v>471</v>
      </c>
      <c r="E65" s="77">
        <v>-234.33</v>
      </c>
      <c r="F65" s="77">
        <v>0</v>
      </c>
    </row>
    <row r="66" spans="1:6">
      <c r="A66" s="88">
        <v>45373</v>
      </c>
      <c r="B66" s="8" t="s">
        <v>335</v>
      </c>
      <c r="C66">
        <v>10176.39</v>
      </c>
      <c r="D66" s="77" t="s">
        <v>472</v>
      </c>
      <c r="E66" s="77">
        <v>-1130.71</v>
      </c>
      <c r="F66" s="77">
        <v>0</v>
      </c>
    </row>
    <row r="67" spans="1:6">
      <c r="A67" s="88">
        <v>45375</v>
      </c>
      <c r="B67" s="8" t="s">
        <v>337</v>
      </c>
      <c r="C67">
        <v>5999</v>
      </c>
      <c r="D67" s="77" t="s">
        <v>472</v>
      </c>
      <c r="E67" s="77">
        <v>-666.56</v>
      </c>
      <c r="F67" s="77">
        <v>0</v>
      </c>
    </row>
    <row r="68" spans="1:6">
      <c r="A68" s="88">
        <v>45358</v>
      </c>
      <c r="B68" s="8" t="s">
        <v>442</v>
      </c>
      <c r="C68">
        <v>2273</v>
      </c>
      <c r="D68" s="77" t="s">
        <v>471</v>
      </c>
      <c r="E68" s="77">
        <v>-378.87</v>
      </c>
      <c r="F68" s="77">
        <v>0</v>
      </c>
    </row>
    <row r="69" spans="1:6">
      <c r="A69" s="88">
        <v>45371</v>
      </c>
      <c r="B69" s="8" t="s">
        <v>443</v>
      </c>
      <c r="D69" s="77" t="s">
        <v>471</v>
      </c>
      <c r="E69" s="77">
        <v>101.77</v>
      </c>
      <c r="F69" s="77">
        <v>0</v>
      </c>
    </row>
    <row r="70" spans="1:6">
      <c r="A70" s="100">
        <v>45442</v>
      </c>
      <c r="B70" s="181" t="s">
        <v>473</v>
      </c>
      <c r="C70" s="106"/>
      <c r="D70" s="77" t="s">
        <v>474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444</v>
      </c>
      <c r="C71" s="106"/>
      <c r="D71" s="77" t="s">
        <v>475</v>
      </c>
      <c r="E71" s="77">
        <v>-3923.33</v>
      </c>
      <c r="F71" s="77">
        <v>0</v>
      </c>
    </row>
    <row r="72" spans="1:6">
      <c r="A72" s="100">
        <v>45470</v>
      </c>
      <c r="B72" s="107" t="s">
        <v>476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477</v>
      </c>
      <c r="C80" s="106"/>
      <c r="D80" s="77" t="s">
        <v>478</v>
      </c>
      <c r="E80" s="77">
        <v>-649.79999999999995</v>
      </c>
    </row>
    <row r="81" spans="1:5">
      <c r="A81" s="100"/>
      <c r="B81" s="3" t="s">
        <v>479</v>
      </c>
      <c r="C81" s="106">
        <v>50</v>
      </c>
      <c r="D81" s="77" t="s">
        <v>478</v>
      </c>
    </row>
    <row r="82" spans="1:5">
      <c r="A82" s="100"/>
      <c r="B82" s="3"/>
      <c r="C82" s="106"/>
    </row>
    <row r="83" spans="1:5">
      <c r="A83" s="100">
        <v>45456</v>
      </c>
      <c r="B83" s="8" t="s">
        <v>480</v>
      </c>
      <c r="C83" s="106"/>
      <c r="D83" s="77" t="s">
        <v>474</v>
      </c>
      <c r="E83" s="77">
        <v>-5875</v>
      </c>
    </row>
    <row r="84" spans="1:5">
      <c r="A84" s="100">
        <v>45456</v>
      </c>
      <c r="B84" s="8" t="s">
        <v>481</v>
      </c>
      <c r="C84" s="106"/>
      <c r="D84" s="77" t="s">
        <v>474</v>
      </c>
      <c r="E84" s="77">
        <v>-4300</v>
      </c>
    </row>
    <row r="85" spans="1:5">
      <c r="A85" s="100">
        <v>45475</v>
      </c>
      <c r="B85" s="3" t="s">
        <v>482</v>
      </c>
      <c r="C85" s="106"/>
      <c r="E85" s="77">
        <v>-1129.5</v>
      </c>
    </row>
    <row r="86" spans="1:5">
      <c r="A86" s="100">
        <v>45478</v>
      </c>
      <c r="B86" s="3" t="s">
        <v>483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484</v>
      </c>
      <c r="C88" s="106">
        <v>120</v>
      </c>
      <c r="E88" s="77">
        <v>-120</v>
      </c>
    </row>
    <row r="89" spans="1:5">
      <c r="A89" s="100">
        <v>45467</v>
      </c>
      <c r="B89" s="3" t="s">
        <v>485</v>
      </c>
      <c r="C89" s="106"/>
      <c r="E89" s="77">
        <v>-70</v>
      </c>
    </row>
    <row r="90" spans="1:5">
      <c r="A90" s="100">
        <v>45467</v>
      </c>
      <c r="B90" s="3" t="s">
        <v>486</v>
      </c>
      <c r="C90" s="106"/>
      <c r="E90" s="77">
        <v>-1400</v>
      </c>
    </row>
    <row r="91" spans="1:5">
      <c r="A91" s="100">
        <v>45468</v>
      </c>
      <c r="B91" s="3" t="s">
        <v>484</v>
      </c>
      <c r="C91" s="106">
        <v>150</v>
      </c>
      <c r="E91" s="77">
        <v>-150</v>
      </c>
    </row>
    <row r="92" spans="1:5">
      <c r="A92" s="100">
        <v>45468</v>
      </c>
      <c r="B92" s="3" t="s">
        <v>487</v>
      </c>
      <c r="C92" s="106"/>
      <c r="E92" s="77">
        <v>-230</v>
      </c>
    </row>
    <row r="93" spans="1:5">
      <c r="A93" s="100">
        <v>45469</v>
      </c>
      <c r="B93" s="3" t="s">
        <v>484</v>
      </c>
      <c r="C93" s="106">
        <v>250</v>
      </c>
      <c r="E93" s="77">
        <v>-250</v>
      </c>
    </row>
    <row r="94" spans="1:5">
      <c r="A94" s="100">
        <v>45470</v>
      </c>
      <c r="B94" s="3" t="s">
        <v>488</v>
      </c>
      <c r="C94" s="106"/>
      <c r="E94" s="77">
        <v>-130</v>
      </c>
    </row>
    <row r="95" spans="1:5">
      <c r="A95" s="100">
        <v>45470</v>
      </c>
      <c r="B95" s="3" t="s">
        <v>415</v>
      </c>
      <c r="C95" s="106"/>
      <c r="E95" s="77">
        <v>-48.99</v>
      </c>
    </row>
    <row r="96" spans="1:5">
      <c r="A96" s="100">
        <v>45470</v>
      </c>
      <c r="B96" s="3" t="s">
        <v>489</v>
      </c>
      <c r="C96" s="106"/>
      <c r="E96" s="77">
        <v>-169.5</v>
      </c>
    </row>
    <row r="97" spans="1:5">
      <c r="A97" s="100">
        <v>45471</v>
      </c>
      <c r="B97" s="3" t="s">
        <v>490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485</v>
      </c>
      <c r="C99" s="106"/>
      <c r="E99" s="77">
        <v>-70</v>
      </c>
    </row>
    <row r="100" spans="1:5">
      <c r="A100" s="100">
        <v>45475</v>
      </c>
      <c r="B100" s="3" t="s">
        <v>484</v>
      </c>
      <c r="C100" s="106">
        <v>440</v>
      </c>
      <c r="E100" s="77">
        <v>-440</v>
      </c>
    </row>
    <row r="101" spans="1:5">
      <c r="A101" s="100">
        <v>45475</v>
      </c>
      <c r="B101" s="3" t="s">
        <v>491</v>
      </c>
      <c r="E101" s="77">
        <v>-1673</v>
      </c>
    </row>
    <row r="102" spans="1:5">
      <c r="A102" s="100">
        <v>45475</v>
      </c>
      <c r="B102" s="3" t="s">
        <v>488</v>
      </c>
      <c r="C102" s="106"/>
      <c r="E102" s="77">
        <v>-150</v>
      </c>
    </row>
    <row r="103" spans="1:5">
      <c r="A103" s="100">
        <v>45476</v>
      </c>
      <c r="B103" s="3" t="s">
        <v>485</v>
      </c>
      <c r="C103" s="106"/>
      <c r="E103" s="77">
        <v>-140</v>
      </c>
    </row>
    <row r="104" spans="1:5">
      <c r="A104" s="100">
        <v>45477</v>
      </c>
      <c r="B104" s="3" t="s">
        <v>492</v>
      </c>
      <c r="C104" s="106">
        <v>10597.81</v>
      </c>
    </row>
    <row r="105" spans="1:5">
      <c r="A105" s="100">
        <v>45478</v>
      </c>
      <c r="B105" s="3" t="s">
        <v>493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494</v>
      </c>
      <c r="C107" s="106"/>
      <c r="E107" s="77">
        <v>-325</v>
      </c>
    </row>
    <row r="108" spans="1:5">
      <c r="A108" s="100">
        <v>45479</v>
      </c>
      <c r="B108" s="3" t="s">
        <v>495</v>
      </c>
      <c r="C108" s="106"/>
      <c r="E108" s="77">
        <v>-629</v>
      </c>
    </row>
    <row r="109" spans="1:5">
      <c r="A109" s="100"/>
      <c r="B109" s="3" t="s">
        <v>496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419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497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379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301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302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498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303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237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499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500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501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502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381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503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504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505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506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507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425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508</v>
      </c>
      <c r="C8" s="101" t="s">
        <v>353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509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510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324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395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324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324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436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453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511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326</v>
      </c>
    </row>
    <row r="42" spans="1:8">
      <c r="A42" s="103" t="s">
        <v>327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328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  <c r="D48" s="77" t="s">
        <v>512</v>
      </c>
    </row>
    <row r="49" spans="1:5">
      <c r="B49" t="s">
        <v>333</v>
      </c>
      <c r="D49" s="77" t="s">
        <v>513</v>
      </c>
    </row>
    <row r="50" spans="1:5">
      <c r="B50" t="s">
        <v>334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439</v>
      </c>
      <c r="C57">
        <v>1406</v>
      </c>
      <c r="D57" s="77" t="s">
        <v>514</v>
      </c>
      <c r="E57" s="77">
        <v>-234.33</v>
      </c>
    </row>
    <row r="58" spans="1:5">
      <c r="A58" s="88">
        <v>45373</v>
      </c>
      <c r="B58" s="8" t="s">
        <v>335</v>
      </c>
      <c r="C58">
        <v>10176.39</v>
      </c>
      <c r="D58" s="77" t="s">
        <v>515</v>
      </c>
      <c r="E58" s="77">
        <v>-1130.71</v>
      </c>
    </row>
    <row r="59" spans="1:5">
      <c r="A59" s="88">
        <v>45375</v>
      </c>
      <c r="B59" s="8" t="s">
        <v>337</v>
      </c>
      <c r="C59">
        <v>5999</v>
      </c>
      <c r="D59" s="77" t="s">
        <v>515</v>
      </c>
      <c r="E59" s="77">
        <v>-666.56</v>
      </c>
    </row>
    <row r="60" spans="1:5">
      <c r="A60" s="88">
        <v>45358</v>
      </c>
      <c r="B60" s="8" t="s">
        <v>442</v>
      </c>
      <c r="C60">
        <v>2273</v>
      </c>
      <c r="D60" s="77" t="s">
        <v>514</v>
      </c>
      <c r="E60" s="77">
        <v>-378.87</v>
      </c>
    </row>
    <row r="61" spans="1:5">
      <c r="A61" s="88">
        <v>45371</v>
      </c>
      <c r="B61" s="8" t="s">
        <v>443</v>
      </c>
      <c r="D61" s="77" t="s">
        <v>516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473</v>
      </c>
      <c r="C63" s="106"/>
      <c r="D63" s="77" t="s">
        <v>517</v>
      </c>
      <c r="E63" s="77">
        <v>-1054.1400000000001</v>
      </c>
    </row>
    <row r="64" spans="1:5">
      <c r="A64" s="100">
        <v>45456</v>
      </c>
      <c r="B64" s="107" t="s">
        <v>444</v>
      </c>
      <c r="C64" s="106"/>
      <c r="D64" s="77" t="s">
        <v>518</v>
      </c>
      <c r="E64" s="77">
        <v>-3923.33</v>
      </c>
    </row>
    <row r="65" spans="1:5">
      <c r="A65" s="100">
        <v>45442</v>
      </c>
      <c r="B65" s="106" t="s">
        <v>519</v>
      </c>
      <c r="C65" s="106"/>
      <c r="E65" s="77">
        <v>-278.97000000000003</v>
      </c>
    </row>
    <row r="67" spans="1:5">
      <c r="A67" s="100">
        <v>45444</v>
      </c>
      <c r="B67" s="107" t="s">
        <v>520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521</v>
      </c>
      <c r="C74" s="106"/>
      <c r="D74" s="77" t="s">
        <v>522</v>
      </c>
      <c r="E74" s="77">
        <v>-3551.68</v>
      </c>
    </row>
    <row r="75" spans="1:5">
      <c r="A75" s="100"/>
      <c r="B75" s="3" t="s">
        <v>477</v>
      </c>
      <c r="C75" s="106"/>
      <c r="D75" s="77" t="s">
        <v>523</v>
      </c>
      <c r="E75" s="77">
        <v>-649.78</v>
      </c>
    </row>
    <row r="76" spans="1:5">
      <c r="A76" s="100"/>
      <c r="B76" s="3" t="s">
        <v>479</v>
      </c>
      <c r="C76" s="106"/>
      <c r="D76" s="77" t="s">
        <v>524</v>
      </c>
    </row>
    <row r="77" spans="1:5">
      <c r="A77" s="100"/>
      <c r="B77" s="3"/>
      <c r="C77" s="106"/>
    </row>
    <row r="78" spans="1:5">
      <c r="A78" s="100">
        <v>45456</v>
      </c>
      <c r="B78" s="8" t="s">
        <v>480</v>
      </c>
      <c r="C78" s="106"/>
      <c r="D78" s="77" t="s">
        <v>517</v>
      </c>
      <c r="E78" s="77">
        <v>-5875</v>
      </c>
    </row>
    <row r="79" spans="1:5">
      <c r="A79" s="100">
        <v>45456</v>
      </c>
      <c r="B79" s="8" t="s">
        <v>481</v>
      </c>
      <c r="C79" s="106"/>
      <c r="D79" s="77" t="s">
        <v>517</v>
      </c>
      <c r="E79" s="77">
        <v>-4300</v>
      </c>
    </row>
    <row r="80" spans="1:5">
      <c r="A80" s="100">
        <v>45465</v>
      </c>
      <c r="B80" s="3" t="s">
        <v>519</v>
      </c>
      <c r="C80" s="106"/>
      <c r="E80" s="77">
        <v>-483.01</v>
      </c>
    </row>
    <row r="81" spans="1:5">
      <c r="A81" s="100">
        <v>45436</v>
      </c>
      <c r="B81" s="3" t="s">
        <v>525</v>
      </c>
      <c r="C81" s="106"/>
      <c r="E81" s="77">
        <v>-80</v>
      </c>
    </row>
    <row r="82" spans="1:5">
      <c r="A82" s="100">
        <v>45436</v>
      </c>
      <c r="B82" s="3" t="s">
        <v>526</v>
      </c>
      <c r="C82" s="106"/>
      <c r="E82" s="77">
        <v>-1000</v>
      </c>
    </row>
    <row r="83" spans="1:5">
      <c r="A83" s="100">
        <v>45437</v>
      </c>
      <c r="B83" s="3" t="s">
        <v>527</v>
      </c>
      <c r="C83" s="106"/>
      <c r="E83" s="77">
        <v>-70</v>
      </c>
    </row>
    <row r="84" spans="1:5">
      <c r="A84" s="100">
        <v>45438</v>
      </c>
      <c r="B84" s="3" t="s">
        <v>410</v>
      </c>
      <c r="C84" s="106"/>
      <c r="E84" s="77">
        <v>-232.27</v>
      </c>
    </row>
    <row r="85" spans="1:5">
      <c r="A85" s="100">
        <v>45438</v>
      </c>
      <c r="B85" s="3" t="s">
        <v>528</v>
      </c>
      <c r="C85" s="106"/>
      <c r="E85" s="77">
        <v>-130</v>
      </c>
    </row>
    <row r="86" spans="1:5">
      <c r="A86" s="100">
        <v>45469</v>
      </c>
      <c r="B86" s="3" t="s">
        <v>529</v>
      </c>
      <c r="C86" s="106"/>
      <c r="E86" s="77">
        <v>-246.8</v>
      </c>
    </row>
    <row r="87" spans="1:5">
      <c r="A87" s="100">
        <v>45439</v>
      </c>
      <c r="B87" s="3" t="s">
        <v>527</v>
      </c>
      <c r="C87" s="106"/>
      <c r="E87" s="77">
        <v>-70</v>
      </c>
    </row>
    <row r="88" spans="1:5">
      <c r="A88" s="100">
        <v>45440</v>
      </c>
      <c r="B88" s="3" t="s">
        <v>484</v>
      </c>
      <c r="C88" s="106">
        <v>300</v>
      </c>
      <c r="E88" s="77">
        <v>-300</v>
      </c>
    </row>
    <row r="89" spans="1:5">
      <c r="A89" s="100">
        <v>45440</v>
      </c>
      <c r="B89" s="3" t="s">
        <v>530</v>
      </c>
      <c r="C89" s="106"/>
      <c r="E89" s="77">
        <v>-460</v>
      </c>
    </row>
    <row r="90" spans="1:5">
      <c r="A90" s="100">
        <v>45441</v>
      </c>
      <c r="B90" s="3" t="s">
        <v>410</v>
      </c>
      <c r="C90" s="106"/>
      <c r="E90" s="77">
        <v>-27.66</v>
      </c>
    </row>
    <row r="91" spans="1:5">
      <c r="A91" s="100">
        <v>45441</v>
      </c>
      <c r="B91" s="3" t="s">
        <v>484</v>
      </c>
      <c r="C91" s="106">
        <v>400</v>
      </c>
      <c r="E91" s="77">
        <v>-400</v>
      </c>
    </row>
    <row r="92" spans="1:5">
      <c r="A92" s="100">
        <v>45442</v>
      </c>
      <c r="B92" s="3" t="s">
        <v>484</v>
      </c>
      <c r="C92" s="106">
        <v>200</v>
      </c>
      <c r="E92" s="77">
        <v>-200</v>
      </c>
    </row>
    <row r="93" spans="1:5">
      <c r="A93" s="100">
        <v>45442</v>
      </c>
      <c r="B93" s="3" t="s">
        <v>531</v>
      </c>
      <c r="C93" s="106"/>
      <c r="E93" s="77">
        <v>-80</v>
      </c>
    </row>
    <row r="94" spans="1:5">
      <c r="A94" s="100">
        <v>45444</v>
      </c>
      <c r="B94" s="3" t="s">
        <v>532</v>
      </c>
      <c r="C94" s="106"/>
      <c r="E94" s="77">
        <v>-80</v>
      </c>
    </row>
    <row r="95" spans="1:5">
      <c r="A95" s="100">
        <v>45444</v>
      </c>
      <c r="B95" s="3" t="s">
        <v>410</v>
      </c>
      <c r="C95" s="106"/>
      <c r="E95" s="77">
        <v>-12.26</v>
      </c>
    </row>
    <row r="96" spans="1:5">
      <c r="A96" s="100">
        <v>45444</v>
      </c>
      <c r="B96" s="3" t="s">
        <v>484</v>
      </c>
      <c r="C96" s="106">
        <v>350</v>
      </c>
      <c r="E96" s="77">
        <v>-350</v>
      </c>
    </row>
    <row r="97" spans="1:5">
      <c r="A97" s="100">
        <v>45444</v>
      </c>
      <c r="B97" s="3" t="s">
        <v>533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527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484</v>
      </c>
      <c r="C101" s="106">
        <v>240</v>
      </c>
      <c r="E101" s="77">
        <v>-240</v>
      </c>
    </row>
    <row r="102" spans="1:5">
      <c r="A102" s="100">
        <v>45447</v>
      </c>
      <c r="B102" s="3" t="s">
        <v>527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484</v>
      </c>
      <c r="C104">
        <v>280</v>
      </c>
      <c r="E104" s="77">
        <v>-280</v>
      </c>
    </row>
    <row r="105" spans="1:5">
      <c r="A105" s="88">
        <v>45448</v>
      </c>
      <c r="B105" s="3" t="s">
        <v>534</v>
      </c>
    </row>
    <row r="106" spans="1:5">
      <c r="A106" s="88">
        <v>45449</v>
      </c>
      <c r="B106" s="3" t="s">
        <v>484</v>
      </c>
      <c r="C106">
        <v>300</v>
      </c>
      <c r="E106" s="77">
        <v>-300</v>
      </c>
    </row>
    <row r="107" spans="1:5">
      <c r="A107" s="88">
        <v>45449</v>
      </c>
      <c r="B107" s="3" t="s">
        <v>410</v>
      </c>
      <c r="E107" s="77">
        <v>-84.7</v>
      </c>
    </row>
    <row r="108" spans="1:5">
      <c r="A108" s="88">
        <v>45450</v>
      </c>
      <c r="B108" s="3" t="s">
        <v>484</v>
      </c>
      <c r="C108">
        <v>300</v>
      </c>
      <c r="E108" s="77">
        <v>-300</v>
      </c>
    </row>
    <row r="109" spans="1:5">
      <c r="A109" s="88">
        <v>45450</v>
      </c>
      <c r="B109" s="3" t="s">
        <v>532</v>
      </c>
      <c r="E109" s="77">
        <v>-80</v>
      </c>
    </row>
    <row r="110" spans="1:5">
      <c r="A110" s="88">
        <v>45451</v>
      </c>
      <c r="B110" s="3" t="s">
        <v>484</v>
      </c>
      <c r="C110">
        <v>250</v>
      </c>
      <c r="E110" s="77">
        <v>-250</v>
      </c>
    </row>
    <row r="111" spans="1:5">
      <c r="A111" s="88">
        <v>45451</v>
      </c>
      <c r="B111" s="3" t="s">
        <v>527</v>
      </c>
      <c r="E111" s="77">
        <v>-145</v>
      </c>
    </row>
    <row r="112" spans="1:5">
      <c r="A112" s="88">
        <v>45454</v>
      </c>
      <c r="B112" s="3" t="s">
        <v>484</v>
      </c>
      <c r="C112">
        <v>400</v>
      </c>
      <c r="E112" s="77">
        <v>-400</v>
      </c>
    </row>
    <row r="113" spans="1:5">
      <c r="A113" s="88">
        <v>45455</v>
      </c>
      <c r="B113" s="3" t="s">
        <v>535</v>
      </c>
      <c r="E113" s="77">
        <v>-300</v>
      </c>
    </row>
    <row r="114" spans="1:5">
      <c r="A114" s="88">
        <v>45456</v>
      </c>
      <c r="B114" s="3" t="s">
        <v>484</v>
      </c>
      <c r="C114">
        <v>300</v>
      </c>
      <c r="E114" s="77">
        <v>-300</v>
      </c>
    </row>
    <row r="115" spans="1:5">
      <c r="A115" s="88">
        <v>45456</v>
      </c>
      <c r="B115" s="3" t="s">
        <v>527</v>
      </c>
      <c r="E115" s="77">
        <v>-70</v>
      </c>
    </row>
    <row r="116" spans="1:5">
      <c r="A116" s="88">
        <v>45459</v>
      </c>
      <c r="B116" s="3" t="s">
        <v>532</v>
      </c>
      <c r="E116" s="77">
        <v>-80</v>
      </c>
    </row>
    <row r="117" spans="1:5">
      <c r="A117" s="88">
        <v>45460</v>
      </c>
      <c r="B117" s="3" t="s">
        <v>410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532</v>
      </c>
      <c r="E119" s="77">
        <v>-80</v>
      </c>
    </row>
    <row r="120" spans="1:5">
      <c r="A120" s="88">
        <v>45464</v>
      </c>
      <c r="B120" s="3" t="s">
        <v>536</v>
      </c>
      <c r="E120" s="77">
        <v>-105</v>
      </c>
    </row>
    <row r="121" spans="1:5">
      <c r="A121" s="88">
        <v>45464</v>
      </c>
      <c r="B121" s="3" t="s">
        <v>537</v>
      </c>
      <c r="E121" s="77">
        <v>-800</v>
      </c>
    </row>
    <row r="122" spans="1:5">
      <c r="A122" s="88">
        <v>45464</v>
      </c>
      <c r="B122" s="3" t="s">
        <v>538</v>
      </c>
      <c r="E122" s="77">
        <v>-277.5</v>
      </c>
    </row>
    <row r="123" spans="1:5">
      <c r="A123" s="88">
        <v>45465</v>
      </c>
      <c r="B123" s="3" t="s">
        <v>539</v>
      </c>
      <c r="E123" s="77">
        <v>-200</v>
      </c>
    </row>
    <row r="124" spans="1:5">
      <c r="A124" s="88">
        <v>45466</v>
      </c>
      <c r="B124" s="3" t="s">
        <v>540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541</v>
      </c>
      <c r="E126" s="77">
        <v>-650</v>
      </c>
    </row>
    <row r="127" spans="1:5">
      <c r="A127" s="88">
        <v>45466</v>
      </c>
      <c r="B127" s="3" t="s">
        <v>542</v>
      </c>
      <c r="E127" s="77">
        <v>-134.33000000000001</v>
      </c>
    </row>
    <row r="128" spans="1:5">
      <c r="A128" s="88">
        <v>45467</v>
      </c>
      <c r="B128" s="3" t="s">
        <v>543</v>
      </c>
      <c r="E128" s="77">
        <v>-28.05</v>
      </c>
    </row>
    <row r="129" spans="1:5">
      <c r="A129" s="88">
        <v>45467</v>
      </c>
      <c r="B129" s="3" t="s">
        <v>544</v>
      </c>
      <c r="E129" s="77">
        <v>-28.05</v>
      </c>
    </row>
    <row r="130" spans="1:5">
      <c r="A130" s="88">
        <v>45467</v>
      </c>
      <c r="B130" s="3" t="s">
        <v>545</v>
      </c>
      <c r="E130" s="77">
        <v>-186.98</v>
      </c>
    </row>
    <row r="131" spans="1:5" ht="15">
      <c r="B131" s="18" t="s">
        <v>419</v>
      </c>
      <c r="C131" s="3">
        <f>SUM(C86:C130)</f>
        <v>3320</v>
      </c>
      <c r="E131" s="105" t="s">
        <v>84</v>
      </c>
    </row>
    <row r="132" spans="1:5">
      <c r="B132" s="3" t="s">
        <v>546</v>
      </c>
    </row>
    <row r="133" spans="1:5">
      <c r="A133" s="113" t="s">
        <v>547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379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301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302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498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303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237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499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500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501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502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381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503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504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505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506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548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425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549</v>
      </c>
      <c r="C5" s="101" t="s">
        <v>353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324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550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551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552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553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554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395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555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556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557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558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324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324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509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436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326</v>
      </c>
    </row>
    <row r="39" spans="1:8">
      <c r="A39" s="103" t="s">
        <v>327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328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329</v>
      </c>
      <c r="D42" s="77">
        <v>468.65</v>
      </c>
    </row>
    <row r="43" spans="1:8">
      <c r="B43" t="s">
        <v>330</v>
      </c>
      <c r="D43" s="77">
        <v>1257.73</v>
      </c>
      <c r="E43" s="77">
        <v>1260</v>
      </c>
    </row>
    <row r="44" spans="1:8">
      <c r="B44" t="s">
        <v>559</v>
      </c>
      <c r="C44" t="s">
        <v>560</v>
      </c>
      <c r="D44" s="77">
        <v>919.84</v>
      </c>
      <c r="E44" s="77">
        <v>919.84</v>
      </c>
    </row>
    <row r="45" spans="1:8">
      <c r="B45" t="s">
        <v>332</v>
      </c>
      <c r="D45" s="77">
        <v>2358.0300000000002</v>
      </c>
      <c r="E45" s="77">
        <v>2358</v>
      </c>
    </row>
    <row r="46" spans="1:8">
      <c r="B46" t="s">
        <v>333</v>
      </c>
      <c r="D46" s="77">
        <v>352.42</v>
      </c>
      <c r="E46" s="77">
        <v>30</v>
      </c>
    </row>
    <row r="47" spans="1:8">
      <c r="B47" t="s">
        <v>334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561</v>
      </c>
      <c r="C53" s="106">
        <v>7648.33</v>
      </c>
      <c r="D53" s="77" t="s">
        <v>562</v>
      </c>
      <c r="E53" s="77">
        <v>-849.85</v>
      </c>
      <c r="F53" s="77">
        <v>0</v>
      </c>
    </row>
    <row r="54" spans="1:6">
      <c r="A54" s="88">
        <v>45348</v>
      </c>
      <c r="B54" s="8" t="s">
        <v>439</v>
      </c>
      <c r="C54">
        <v>1406</v>
      </c>
      <c r="D54" s="77" t="s">
        <v>563</v>
      </c>
      <c r="E54" s="77">
        <v>-234.33</v>
      </c>
      <c r="F54" s="77">
        <v>0</v>
      </c>
    </row>
    <row r="55" spans="1:6">
      <c r="A55" s="88">
        <v>45373</v>
      </c>
      <c r="B55" s="8" t="s">
        <v>335</v>
      </c>
      <c r="C55">
        <v>10176.39</v>
      </c>
      <c r="D55" s="77" t="s">
        <v>564</v>
      </c>
      <c r="E55" s="77">
        <v>-1130.71</v>
      </c>
      <c r="F55" s="77">
        <v>0</v>
      </c>
    </row>
    <row r="56" spans="1:6">
      <c r="A56" s="88">
        <v>45375</v>
      </c>
      <c r="B56" s="8" t="s">
        <v>337</v>
      </c>
      <c r="C56">
        <v>5999</v>
      </c>
      <c r="D56" s="77" t="s">
        <v>564</v>
      </c>
      <c r="E56" s="77">
        <v>-666.56</v>
      </c>
      <c r="F56" s="77">
        <v>0</v>
      </c>
    </row>
    <row r="57" spans="1:6">
      <c r="A57" s="88">
        <v>45358</v>
      </c>
      <c r="B57" s="8" t="s">
        <v>442</v>
      </c>
      <c r="C57">
        <v>2273</v>
      </c>
      <c r="D57" s="77" t="s">
        <v>563</v>
      </c>
      <c r="E57" s="77">
        <v>-378.87</v>
      </c>
      <c r="F57" s="77">
        <v>0</v>
      </c>
    </row>
    <row r="58" spans="1:6">
      <c r="A58" s="88">
        <v>45371</v>
      </c>
      <c r="B58" s="8" t="s">
        <v>443</v>
      </c>
      <c r="D58" s="77" t="s">
        <v>563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565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566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521</v>
      </c>
      <c r="C67" s="106"/>
      <c r="D67" s="77" t="s">
        <v>567</v>
      </c>
      <c r="E67" s="77">
        <v>-3551.66</v>
      </c>
    </row>
    <row r="68" spans="1:6">
      <c r="A68" s="100"/>
      <c r="B68" s="3" t="s">
        <v>477</v>
      </c>
      <c r="C68" s="106"/>
      <c r="D68" s="77" t="s">
        <v>568</v>
      </c>
      <c r="E68" s="77">
        <v>-649.78</v>
      </c>
    </row>
    <row r="69" spans="1:6">
      <c r="A69" s="100"/>
      <c r="B69" s="3" t="s">
        <v>479</v>
      </c>
      <c r="C69" s="106">
        <v>49.98</v>
      </c>
      <c r="D69" s="77" t="s">
        <v>568</v>
      </c>
    </row>
    <row r="70" spans="1:6">
      <c r="A70" s="100"/>
      <c r="B70" s="3"/>
      <c r="C70" s="106"/>
    </row>
    <row r="71" spans="1:6">
      <c r="A71" s="100">
        <v>45408</v>
      </c>
      <c r="B71" s="3" t="s">
        <v>569</v>
      </c>
      <c r="C71" s="106"/>
      <c r="E71" s="77">
        <v>-1407.23</v>
      </c>
    </row>
    <row r="72" spans="1:6">
      <c r="A72" s="100">
        <v>45420</v>
      </c>
      <c r="B72" s="3" t="s">
        <v>534</v>
      </c>
      <c r="C72" s="106">
        <v>300</v>
      </c>
    </row>
    <row r="73" spans="1:6">
      <c r="A73" s="100">
        <v>45426</v>
      </c>
      <c r="B73" s="3" t="s">
        <v>570</v>
      </c>
      <c r="C73" s="106"/>
      <c r="E73" s="77">
        <v>-1469</v>
      </c>
    </row>
    <row r="74" spans="1:6">
      <c r="A74" s="100">
        <v>45426</v>
      </c>
      <c r="B74" s="3" t="s">
        <v>571</v>
      </c>
      <c r="C74" s="106"/>
      <c r="E74" s="77">
        <v>-1453</v>
      </c>
    </row>
    <row r="75" spans="1:6">
      <c r="A75" s="100">
        <v>45427</v>
      </c>
      <c r="B75" s="3" t="s">
        <v>572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573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574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575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576</v>
      </c>
      <c r="C80" s="106" t="s">
        <v>577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578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579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580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581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581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525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410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582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410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576</v>
      </c>
      <c r="C91" s="106" t="s">
        <v>577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576</v>
      </c>
      <c r="C92" s="106" t="s">
        <v>577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583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584</v>
      </c>
      <c r="C94" s="106">
        <v>95.08</v>
      </c>
      <c r="F94" s="77">
        <v>0</v>
      </c>
    </row>
    <row r="95" spans="1:6">
      <c r="A95" s="88">
        <v>45427</v>
      </c>
      <c r="B95" s="3" t="s">
        <v>585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586</v>
      </c>
      <c r="C96">
        <v>1.26</v>
      </c>
      <c r="F96" s="77">
        <v>0</v>
      </c>
    </row>
    <row r="97" spans="1:6">
      <c r="A97" s="88">
        <v>45427</v>
      </c>
      <c r="B97" s="3" t="s">
        <v>587</v>
      </c>
      <c r="E97" s="77">
        <v>-16</v>
      </c>
      <c r="F97" s="77">
        <v>0</v>
      </c>
    </row>
    <row r="98" spans="1:6">
      <c r="A98" s="88">
        <v>45427</v>
      </c>
      <c r="B98" s="3" t="s">
        <v>588</v>
      </c>
      <c r="E98" s="77">
        <v>-375</v>
      </c>
      <c r="F98" s="77">
        <v>0</v>
      </c>
    </row>
    <row r="99" spans="1:6">
      <c r="A99" s="88">
        <v>45427</v>
      </c>
      <c r="B99" s="3" t="s">
        <v>587</v>
      </c>
      <c r="E99" s="77">
        <v>-11.5</v>
      </c>
      <c r="F99" s="77">
        <v>0</v>
      </c>
    </row>
    <row r="100" spans="1:6">
      <c r="A100" s="88">
        <v>45428</v>
      </c>
      <c r="B100" s="3" t="s">
        <v>589</v>
      </c>
      <c r="E100" s="77">
        <v>-500</v>
      </c>
      <c r="F100" s="77">
        <v>0</v>
      </c>
    </row>
    <row r="101" spans="1:6">
      <c r="A101" s="88">
        <v>45428</v>
      </c>
      <c r="B101" s="3" t="s">
        <v>590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590</v>
      </c>
      <c r="E102" s="77">
        <v>-169.99</v>
      </c>
      <c r="F102" s="77">
        <v>0</v>
      </c>
    </row>
    <row r="103" spans="1:6">
      <c r="A103" s="88">
        <v>45430</v>
      </c>
      <c r="B103" s="3" t="s">
        <v>591</v>
      </c>
      <c r="E103" s="77">
        <v>-330</v>
      </c>
      <c r="F103" s="77">
        <v>0</v>
      </c>
    </row>
    <row r="104" spans="1:6">
      <c r="A104" s="88">
        <v>45430</v>
      </c>
      <c r="B104" s="3" t="s">
        <v>590</v>
      </c>
      <c r="E104" s="77">
        <v>-139.9</v>
      </c>
      <c r="F104" s="77">
        <v>0</v>
      </c>
    </row>
    <row r="105" spans="1:6">
      <c r="A105" s="88">
        <v>45430</v>
      </c>
      <c r="B105" s="3" t="s">
        <v>589</v>
      </c>
      <c r="E105" s="77">
        <v>-500</v>
      </c>
      <c r="F105" s="77">
        <v>0</v>
      </c>
    </row>
    <row r="106" spans="1:6">
      <c r="A106" s="88">
        <v>45431</v>
      </c>
      <c r="B106" s="3" t="s">
        <v>592</v>
      </c>
      <c r="E106" s="77">
        <v>-266</v>
      </c>
      <c r="F106" s="77">
        <v>0</v>
      </c>
    </row>
    <row r="107" spans="1:6">
      <c r="A107" s="88">
        <v>45432</v>
      </c>
      <c r="B107" s="3" t="s">
        <v>592</v>
      </c>
      <c r="E107" s="77">
        <v>-22.1</v>
      </c>
      <c r="F107" s="77">
        <v>0</v>
      </c>
    </row>
    <row r="108" spans="1:6">
      <c r="A108" s="88">
        <v>45432</v>
      </c>
      <c r="B108" s="3" t="s">
        <v>587</v>
      </c>
      <c r="E108" s="77">
        <v>-11.5</v>
      </c>
      <c r="F108" s="77">
        <v>0</v>
      </c>
    </row>
    <row r="109" spans="1:6">
      <c r="A109" s="88">
        <v>45432</v>
      </c>
      <c r="B109" s="3" t="s">
        <v>588</v>
      </c>
      <c r="E109" s="77">
        <v>-335</v>
      </c>
      <c r="F109" s="77">
        <v>0</v>
      </c>
    </row>
    <row r="110" spans="1:6">
      <c r="A110" s="88">
        <v>45432</v>
      </c>
      <c r="B110" s="3" t="s">
        <v>587</v>
      </c>
      <c r="E110" s="77">
        <v>-11.5</v>
      </c>
      <c r="F110" s="77">
        <v>0</v>
      </c>
    </row>
    <row r="111" spans="1:6">
      <c r="A111" s="88">
        <v>45432</v>
      </c>
      <c r="B111" s="3" t="s">
        <v>593</v>
      </c>
      <c r="E111" s="77">
        <v>-650</v>
      </c>
      <c r="F111" s="77">
        <v>0</v>
      </c>
    </row>
    <row r="112" spans="1:6">
      <c r="A112" s="88">
        <v>45435</v>
      </c>
      <c r="B112" s="3" t="s">
        <v>576</v>
      </c>
      <c r="C112" s="8" t="s">
        <v>577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594</v>
      </c>
      <c r="E113" s="77">
        <v>-550</v>
      </c>
      <c r="F113" s="77">
        <v>0</v>
      </c>
    </row>
    <row r="114" spans="1:6" ht="15">
      <c r="A114" s="88"/>
      <c r="B114" s="3"/>
      <c r="C114" s="184" t="s">
        <v>419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595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379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301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302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498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303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237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499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500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381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503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596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505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597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598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599</v>
      </c>
      <c r="C4" s="101" t="s">
        <v>353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425</v>
      </c>
      <c r="C5" s="8" t="s">
        <v>600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601</v>
      </c>
      <c r="D8" s="78" t="s">
        <v>602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324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603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395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604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604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324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324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605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326</v>
      </c>
    </row>
    <row r="29" spans="1:8">
      <c r="A29" s="100"/>
      <c r="C29" s="171"/>
    </row>
    <row r="30" spans="1:8">
      <c r="A30" s="172">
        <v>44929</v>
      </c>
      <c r="B30" s="173" t="s">
        <v>328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329</v>
      </c>
      <c r="D31" s="78">
        <v>786.88</v>
      </c>
      <c r="E31" s="78">
        <v>787</v>
      </c>
    </row>
    <row r="32" spans="1:8">
      <c r="B32" t="s">
        <v>330</v>
      </c>
      <c r="D32" s="78">
        <v>1205</v>
      </c>
      <c r="E32" s="78">
        <v>1205</v>
      </c>
    </row>
    <row r="33" spans="1:5">
      <c r="B33" t="s">
        <v>331</v>
      </c>
      <c r="D33" s="78">
        <v>55.4</v>
      </c>
      <c r="E33" s="78">
        <v>55.4</v>
      </c>
    </row>
    <row r="34" spans="1:5">
      <c r="B34" t="s">
        <v>332</v>
      </c>
      <c r="D34" s="78">
        <v>1257.4000000000001</v>
      </c>
      <c r="E34" s="78">
        <v>1257.4000000000001</v>
      </c>
    </row>
    <row r="35" spans="1:5">
      <c r="B35" t="s">
        <v>333</v>
      </c>
      <c r="D35" s="78">
        <v>370.48</v>
      </c>
      <c r="E35" s="78">
        <v>370.48</v>
      </c>
    </row>
    <row r="36" spans="1:5">
      <c r="B36" t="s">
        <v>334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561</v>
      </c>
      <c r="C43" s="106">
        <v>7648.33</v>
      </c>
      <c r="D43" s="77" t="s">
        <v>364</v>
      </c>
      <c r="E43" s="77">
        <v>-849.81</v>
      </c>
    </row>
    <row r="44" spans="1:5">
      <c r="A44" s="88">
        <v>45348</v>
      </c>
      <c r="B44" s="8" t="s">
        <v>439</v>
      </c>
      <c r="C44">
        <v>1406</v>
      </c>
      <c r="D44" s="77" t="s">
        <v>606</v>
      </c>
      <c r="E44" s="77">
        <v>-234.33</v>
      </c>
    </row>
    <row r="45" spans="1:5">
      <c r="A45" s="88">
        <v>45373</v>
      </c>
      <c r="B45" s="8" t="s">
        <v>335</v>
      </c>
      <c r="C45">
        <v>10176.39</v>
      </c>
      <c r="D45" s="77" t="s">
        <v>607</v>
      </c>
      <c r="E45" s="77">
        <v>-1130.71</v>
      </c>
    </row>
    <row r="46" spans="1:5">
      <c r="A46" s="88">
        <v>45375</v>
      </c>
      <c r="B46" s="8" t="s">
        <v>337</v>
      </c>
      <c r="C46">
        <v>5999</v>
      </c>
      <c r="D46" s="77" t="s">
        <v>608</v>
      </c>
      <c r="E46" s="77">
        <v>-666.56</v>
      </c>
    </row>
    <row r="47" spans="1:5">
      <c r="A47" s="88">
        <v>45358</v>
      </c>
      <c r="B47" s="8" t="s">
        <v>442</v>
      </c>
      <c r="C47">
        <v>2273</v>
      </c>
      <c r="D47" s="77" t="s">
        <v>606</v>
      </c>
      <c r="E47" s="77">
        <v>-378.87</v>
      </c>
    </row>
    <row r="48" spans="1:5">
      <c r="A48" s="88">
        <v>45371</v>
      </c>
      <c r="B48" s="8" t="s">
        <v>443</v>
      </c>
      <c r="D48" s="77" t="s">
        <v>609</v>
      </c>
      <c r="E48" s="77">
        <v>101.77</v>
      </c>
    </row>
    <row r="49" spans="1:5">
      <c r="A49" s="88">
        <v>45377</v>
      </c>
      <c r="B49" s="8" t="s">
        <v>610</v>
      </c>
      <c r="D49" s="77" t="s">
        <v>611</v>
      </c>
    </row>
    <row r="50" spans="1:5">
      <c r="A50" s="100"/>
      <c r="B50" s="107" t="s">
        <v>612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613</v>
      </c>
      <c r="E52" s="77">
        <v>-790</v>
      </c>
    </row>
    <row r="53" spans="1:5">
      <c r="A53" s="100"/>
      <c r="B53" s="107" t="s">
        <v>614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521</v>
      </c>
      <c r="C59" s="106"/>
      <c r="D59" s="77" t="s">
        <v>615</v>
      </c>
      <c r="E59" s="77">
        <v>-3551.66</v>
      </c>
    </row>
    <row r="60" spans="1:5">
      <c r="A60" s="100"/>
      <c r="B60" s="3" t="s">
        <v>477</v>
      </c>
      <c r="C60" s="106"/>
      <c r="D60" s="77" t="s">
        <v>616</v>
      </c>
      <c r="E60" s="77">
        <v>-649.78</v>
      </c>
    </row>
    <row r="61" spans="1:5">
      <c r="A61" s="100"/>
      <c r="B61" s="3" t="s">
        <v>479</v>
      </c>
      <c r="C61" s="106">
        <v>49.98</v>
      </c>
      <c r="D61" s="77" t="s">
        <v>616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617</v>
      </c>
      <c r="C64" s="106"/>
      <c r="E64" s="77">
        <v>-500</v>
      </c>
    </row>
    <row r="65" spans="1:5">
      <c r="A65" s="100">
        <v>45398</v>
      </c>
      <c r="B65" s="3" t="s">
        <v>618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618</v>
      </c>
      <c r="C67" s="106"/>
      <c r="E67" s="77">
        <v>-871.29</v>
      </c>
    </row>
    <row r="68" spans="1:5">
      <c r="A68" s="100">
        <v>45398</v>
      </c>
      <c r="B68" s="3" t="s">
        <v>618</v>
      </c>
      <c r="C68" s="106"/>
      <c r="E68" s="77">
        <v>-810.42</v>
      </c>
    </row>
    <row r="69" spans="1:5">
      <c r="A69" s="100">
        <v>45397</v>
      </c>
      <c r="B69" s="3" t="s">
        <v>576</v>
      </c>
      <c r="C69" s="106">
        <v>240</v>
      </c>
      <c r="E69" s="77">
        <v>-240</v>
      </c>
    </row>
    <row r="70" spans="1:5">
      <c r="A70" s="100">
        <v>45388</v>
      </c>
      <c r="B70" s="3" t="s">
        <v>619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576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620</v>
      </c>
      <c r="C78" s="106"/>
      <c r="E78" s="77">
        <v>-1306.8800000000001</v>
      </c>
    </row>
    <row r="79" spans="1:5">
      <c r="A79" s="100">
        <v>45387</v>
      </c>
      <c r="B79" s="3" t="s">
        <v>621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622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623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379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301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302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498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303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237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499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500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381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503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596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505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597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624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625</v>
      </c>
      <c r="C5" s="101" t="s">
        <v>353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425</v>
      </c>
      <c r="C6" s="8" t="s">
        <v>626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627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628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629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601</v>
      </c>
      <c r="D10" s="77" t="s">
        <v>630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324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631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632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633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633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395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456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634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635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324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636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637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637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637</v>
      </c>
      <c r="C27" s="8" t="s">
        <v>638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637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639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640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641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642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643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326</v>
      </c>
    </row>
    <row r="52" spans="1:5">
      <c r="A52" s="103" t="s">
        <v>327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328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329</v>
      </c>
      <c r="D55" s="77">
        <v>874.44</v>
      </c>
      <c r="E55" s="77">
        <v>800</v>
      </c>
    </row>
    <row r="56" spans="1:5">
      <c r="B56" t="s">
        <v>330</v>
      </c>
      <c r="D56" s="77">
        <v>1078.92</v>
      </c>
      <c r="E56" s="77">
        <v>1079</v>
      </c>
    </row>
    <row r="57" spans="1:5">
      <c r="B57" t="s">
        <v>331</v>
      </c>
      <c r="D57" s="77">
        <v>173.45</v>
      </c>
      <c r="E57" s="77">
        <v>172.5</v>
      </c>
    </row>
    <row r="58" spans="1:5">
      <c r="B58" t="s">
        <v>332</v>
      </c>
      <c r="C58" t="s">
        <v>644</v>
      </c>
      <c r="D58" s="77">
        <v>1774</v>
      </c>
      <c r="E58" s="77">
        <v>1774</v>
      </c>
    </row>
    <row r="59" spans="1:5">
      <c r="B59" t="s">
        <v>333</v>
      </c>
      <c r="D59" s="77">
        <v>326.58999999999997</v>
      </c>
      <c r="E59" s="77">
        <v>325</v>
      </c>
    </row>
    <row r="60" spans="1:5">
      <c r="B60" t="s">
        <v>334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561</v>
      </c>
      <c r="C67" s="106">
        <v>7648.33</v>
      </c>
      <c r="D67" s="77" t="s">
        <v>396</v>
      </c>
      <c r="E67" s="77">
        <v>-849.81</v>
      </c>
    </row>
    <row r="68" spans="1:5">
      <c r="A68" s="88">
        <v>45348</v>
      </c>
      <c r="B68" s="8" t="s">
        <v>439</v>
      </c>
      <c r="C68">
        <v>1406</v>
      </c>
      <c r="D68" s="77" t="s">
        <v>645</v>
      </c>
      <c r="E68" s="77">
        <v>-234.33</v>
      </c>
    </row>
    <row r="69" spans="1:5">
      <c r="A69" s="88">
        <v>45358</v>
      </c>
      <c r="B69" s="8" t="s">
        <v>442</v>
      </c>
      <c r="C69">
        <v>2273</v>
      </c>
      <c r="D69" s="77" t="s">
        <v>645</v>
      </c>
      <c r="E69" s="77">
        <v>-378.87</v>
      </c>
    </row>
    <row r="70" spans="1:5">
      <c r="A70" s="88">
        <v>45371</v>
      </c>
      <c r="B70" s="8" t="s">
        <v>443</v>
      </c>
      <c r="D70" s="77" t="s">
        <v>646</v>
      </c>
      <c r="E70" s="77">
        <v>101.77</v>
      </c>
    </row>
    <row r="71" spans="1:5">
      <c r="A71" s="88">
        <v>45373</v>
      </c>
      <c r="B71" s="8" t="s">
        <v>335</v>
      </c>
      <c r="C71">
        <v>10176.39</v>
      </c>
      <c r="D71" s="77" t="s">
        <v>647</v>
      </c>
      <c r="E71" s="77">
        <v>-1130.71</v>
      </c>
    </row>
    <row r="72" spans="1:5">
      <c r="A72" s="88">
        <v>45375</v>
      </c>
      <c r="B72" s="8" t="s">
        <v>337</v>
      </c>
      <c r="C72">
        <v>5999</v>
      </c>
      <c r="D72" s="77" t="s">
        <v>647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648</v>
      </c>
      <c r="E74" s="77">
        <v>-343</v>
      </c>
    </row>
    <row r="75" spans="1:5">
      <c r="A75" s="100">
        <v>45348</v>
      </c>
      <c r="B75" s="106" t="s">
        <v>649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650</v>
      </c>
      <c r="C78" s="106"/>
      <c r="E78" s="77">
        <v>-600</v>
      </c>
    </row>
    <row r="79" spans="1:5">
      <c r="A79" s="100">
        <v>45354</v>
      </c>
      <c r="B79" s="107" t="s">
        <v>651</v>
      </c>
      <c r="C79" s="106"/>
      <c r="E79" s="77">
        <v>-330</v>
      </c>
    </row>
    <row r="80" spans="1:5">
      <c r="A80" s="100">
        <v>45355</v>
      </c>
      <c r="B80" s="107" t="s">
        <v>652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525</v>
      </c>
      <c r="C81" s="106"/>
      <c r="E81" s="77">
        <v>-50</v>
      </c>
    </row>
    <row r="82" spans="1:5">
      <c r="A82" s="100">
        <v>45356</v>
      </c>
      <c r="B82" s="107" t="s">
        <v>652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653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410</v>
      </c>
      <c r="E85" s="77">
        <v>-294.14</v>
      </c>
    </row>
    <row r="86" spans="1:5">
      <c r="A86" s="100">
        <v>45358</v>
      </c>
      <c r="B86" s="107" t="s">
        <v>652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654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655</v>
      </c>
      <c r="C90" s="106"/>
      <c r="E90" s="77">
        <v>500</v>
      </c>
    </row>
    <row r="91" spans="1:5" ht="15">
      <c r="A91" s="100">
        <v>45374</v>
      </c>
      <c r="B91" s="107" t="s">
        <v>655</v>
      </c>
      <c r="D91" s="105" t="s">
        <v>84</v>
      </c>
    </row>
    <row r="92" spans="1:5" ht="15">
      <c r="A92" s="100"/>
      <c r="B92" s="35" t="s">
        <v>419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656</v>
      </c>
      <c r="D99" s="77" t="s">
        <v>657</v>
      </c>
      <c r="E99" s="77">
        <v>-600</v>
      </c>
    </row>
    <row r="100" spans="1:6">
      <c r="A100" s="165">
        <v>45285</v>
      </c>
      <c r="B100" s="106" t="s">
        <v>521</v>
      </c>
      <c r="C100" s="106"/>
      <c r="D100" s="77" t="s">
        <v>658</v>
      </c>
      <c r="E100" s="77">
        <v>-3551.66</v>
      </c>
      <c r="F100" s="77">
        <v>0</v>
      </c>
    </row>
    <row r="101" spans="1:6">
      <c r="A101" s="100"/>
      <c r="B101" s="3" t="s">
        <v>659</v>
      </c>
      <c r="C101" s="106"/>
      <c r="D101" s="77" t="s">
        <v>660</v>
      </c>
      <c r="E101" s="77">
        <v>-649.78</v>
      </c>
      <c r="F101" s="77">
        <v>0</v>
      </c>
    </row>
    <row r="102" spans="1:6">
      <c r="A102" s="100"/>
      <c r="B102" s="3" t="s">
        <v>479</v>
      </c>
      <c r="C102" s="106">
        <v>49.98</v>
      </c>
      <c r="D102" s="77" t="s">
        <v>660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661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662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379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301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302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498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303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237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499</v>
      </c>
      <c r="C119" s="2" t="s">
        <v>663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503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596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505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597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664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665</v>
      </c>
      <c r="C4" s="101" t="s">
        <v>353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666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425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395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667</v>
      </c>
      <c r="C10" s="8" t="s">
        <v>668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667</v>
      </c>
      <c r="C11" s="8" t="s">
        <v>668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669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669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670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324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324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671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672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326</v>
      </c>
      <c r="G32" s="63"/>
      <c r="H32" s="63"/>
    </row>
    <row r="33" spans="1:8">
      <c r="A33" s="103"/>
      <c r="B33" s="103" t="s">
        <v>327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328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329</v>
      </c>
      <c r="D36" s="102">
        <v>967.68</v>
      </c>
      <c r="E36" s="78">
        <v>970</v>
      </c>
      <c r="H36" s="63"/>
    </row>
    <row r="37" spans="1:8">
      <c r="B37" t="s">
        <v>673</v>
      </c>
      <c r="C37" t="s">
        <v>429</v>
      </c>
      <c r="D37" s="102">
        <v>1224.42</v>
      </c>
      <c r="E37" s="78">
        <v>1225</v>
      </c>
      <c r="F37" s="63"/>
      <c r="G37" s="63"/>
    </row>
    <row r="38" spans="1:8">
      <c r="B38" t="s">
        <v>331</v>
      </c>
      <c r="D38" s="102">
        <v>237.14</v>
      </c>
      <c r="E38" s="78">
        <v>237.14</v>
      </c>
      <c r="F38" s="63"/>
      <c r="G38" s="63"/>
    </row>
    <row r="39" spans="1:8">
      <c r="B39" t="s">
        <v>674</v>
      </c>
      <c r="D39" s="102">
        <v>2248.8000000000002</v>
      </c>
      <c r="E39" s="78">
        <v>2248</v>
      </c>
      <c r="F39" s="63"/>
      <c r="G39" s="63"/>
    </row>
    <row r="40" spans="1:8">
      <c r="B40" t="s">
        <v>333</v>
      </c>
      <c r="D40" s="102">
        <v>439.85</v>
      </c>
      <c r="E40" s="78">
        <v>440</v>
      </c>
      <c r="F40" s="63"/>
      <c r="G40" s="63"/>
    </row>
    <row r="41" spans="1:8">
      <c r="B41" t="s">
        <v>334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561</v>
      </c>
      <c r="C47" s="106">
        <v>7648.33</v>
      </c>
      <c r="D47" s="102" t="s">
        <v>675</v>
      </c>
      <c r="E47" s="77">
        <v>-849.81</v>
      </c>
      <c r="G47" s="63"/>
      <c r="H47" s="63"/>
    </row>
    <row r="48" spans="1:8">
      <c r="A48" s="100">
        <v>45187</v>
      </c>
      <c r="B48" s="106" t="s">
        <v>676</v>
      </c>
      <c r="C48" s="106">
        <v>11128</v>
      </c>
      <c r="D48" s="102" t="s">
        <v>440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410</v>
      </c>
      <c r="E49" s="77">
        <v>-453.4</v>
      </c>
      <c r="G49" s="63"/>
      <c r="H49" s="63"/>
    </row>
    <row r="50" spans="1:8">
      <c r="A50" s="88">
        <v>45326</v>
      </c>
      <c r="B50" s="8" t="s">
        <v>677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678</v>
      </c>
      <c r="E52" s="77">
        <v>-900</v>
      </c>
      <c r="G52" s="63"/>
      <c r="H52" s="63"/>
    </row>
    <row r="53" spans="1:8">
      <c r="A53" s="88">
        <v>45330</v>
      </c>
      <c r="B53" s="8" t="s">
        <v>679</v>
      </c>
      <c r="E53" s="77">
        <v>-116.38</v>
      </c>
      <c r="G53" s="63"/>
      <c r="H53" s="63"/>
    </row>
    <row r="54" spans="1:8">
      <c r="A54" s="100">
        <v>45331</v>
      </c>
      <c r="B54" s="106" t="s">
        <v>652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680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652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681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682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652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652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683</v>
      </c>
      <c r="C67" s="106"/>
      <c r="D67" s="102" t="s">
        <v>684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656</v>
      </c>
      <c r="D68" s="102" t="s">
        <v>685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521</v>
      </c>
      <c r="C69" s="106"/>
      <c r="D69" s="102" t="s">
        <v>686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687</v>
      </c>
      <c r="C70" s="176">
        <v>-1204.5</v>
      </c>
      <c r="D70" s="102" t="s">
        <v>688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-148.6</v>
      </c>
      <c r="D71" s="102" t="s">
        <v>688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-244.8</v>
      </c>
      <c r="D72" s="102" t="s">
        <v>688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691</v>
      </c>
      <c r="C73" s="176">
        <v>-532.6</v>
      </c>
      <c r="D73" s="102" t="s">
        <v>688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692</v>
      </c>
      <c r="E74" s="77">
        <v>-449.5</v>
      </c>
      <c r="F74" s="63"/>
      <c r="G74" s="63"/>
      <c r="H74" s="63"/>
    </row>
    <row r="75" spans="1:8">
      <c r="A75" s="165"/>
      <c r="B75" s="106" t="s">
        <v>693</v>
      </c>
      <c r="C75" s="106"/>
      <c r="D75" s="195" t="s">
        <v>692</v>
      </c>
      <c r="E75" s="77">
        <v>-299.64</v>
      </c>
      <c r="F75" s="63"/>
      <c r="G75" s="63"/>
      <c r="H75" s="63"/>
    </row>
    <row r="76" spans="1:8">
      <c r="A76" s="165"/>
      <c r="B76" s="106" t="s">
        <v>694</v>
      </c>
      <c r="C76" s="106"/>
      <c r="D76" s="195" t="s">
        <v>692</v>
      </c>
      <c r="E76" s="77">
        <v>-546.82000000000005</v>
      </c>
      <c r="F76" s="63"/>
      <c r="G76" s="63"/>
      <c r="H76" s="63"/>
    </row>
    <row r="77" spans="1:8">
      <c r="A77" s="100"/>
      <c r="B77" s="3" t="s">
        <v>477</v>
      </c>
      <c r="C77" s="106"/>
      <c r="D77" s="195" t="s">
        <v>695</v>
      </c>
      <c r="E77" s="77">
        <v>-649.78</v>
      </c>
      <c r="F77" s="63"/>
      <c r="G77" s="63"/>
      <c r="H77" s="63"/>
    </row>
    <row r="78" spans="1:8">
      <c r="A78" s="100"/>
      <c r="B78" s="3" t="s">
        <v>479</v>
      </c>
      <c r="C78" s="106">
        <v>49.98</v>
      </c>
      <c r="D78" s="195" t="s">
        <v>695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696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697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365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698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699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700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301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302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498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303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237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499</v>
      </c>
      <c r="C116" s="2" t="s">
        <v>701</v>
      </c>
      <c r="D116" s="2"/>
      <c r="E116" s="17">
        <v>129254.5</v>
      </c>
    </row>
    <row r="117" spans="1:5">
      <c r="A117" s="160">
        <f t="shared" si="1"/>
        <v>45352</v>
      </c>
      <c r="B117" s="8" t="s">
        <v>702</v>
      </c>
      <c r="C117" s="2" t="s">
        <v>703</v>
      </c>
      <c r="D117" s="2"/>
      <c r="E117" s="17">
        <v>256.56</v>
      </c>
    </row>
    <row r="118" spans="1:5">
      <c r="A118" s="160">
        <f t="shared" si="1"/>
        <v>45352</v>
      </c>
      <c r="B118" s="8" t="s">
        <v>704</v>
      </c>
      <c r="C118" s="160" t="s">
        <v>705</v>
      </c>
      <c r="D118" s="161"/>
      <c r="E118" s="17">
        <v>0</v>
      </c>
    </row>
    <row r="119" spans="1:5">
      <c r="A119" s="160">
        <f t="shared" si="1"/>
        <v>45352</v>
      </c>
      <c r="B119" s="8" t="s">
        <v>706</v>
      </c>
      <c r="C119" s="160" t="s">
        <v>707</v>
      </c>
      <c r="D119" s="161"/>
      <c r="E119" s="17">
        <v>588.6</v>
      </c>
    </row>
    <row r="120" spans="1:5">
      <c r="A120" s="160">
        <f t="shared" si="1"/>
        <v>45352</v>
      </c>
      <c r="B120" s="8" t="s">
        <v>708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709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710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505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711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712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425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395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713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714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715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716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716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717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718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719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720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324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721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672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670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722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326</v>
      </c>
      <c r="G33" s="63"/>
      <c r="H33" s="124"/>
    </row>
    <row r="34" spans="1:8">
      <c r="A34" s="103" t="s">
        <v>327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328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329</v>
      </c>
      <c r="D37" s="2">
        <v>999.4</v>
      </c>
      <c r="E37" s="176">
        <v>999.4</v>
      </c>
      <c r="H37" s="63"/>
    </row>
    <row r="38" spans="1:8">
      <c r="B38" t="s">
        <v>330</v>
      </c>
      <c r="D38" s="2">
        <v>876.64</v>
      </c>
      <c r="E38" s="176">
        <v>875</v>
      </c>
      <c r="F38" s="63"/>
      <c r="G38" s="63"/>
    </row>
    <row r="39" spans="1:8">
      <c r="B39" t="s">
        <v>331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723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333</v>
      </c>
      <c r="D41" s="2">
        <v>483.72</v>
      </c>
      <c r="E41" s="176">
        <v>483</v>
      </c>
      <c r="F41" s="63"/>
      <c r="G41" s="63"/>
    </row>
    <row r="42" spans="1:8">
      <c r="B42" t="s">
        <v>334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724</v>
      </c>
      <c r="C50" s="106">
        <v>10764.57</v>
      </c>
      <c r="D50" s="35" t="s">
        <v>725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561</v>
      </c>
      <c r="C51" s="106">
        <v>7648.33</v>
      </c>
      <c r="D51" s="204" t="s">
        <v>726</v>
      </c>
      <c r="E51" s="124">
        <v>-849.81</v>
      </c>
      <c r="G51" s="63"/>
      <c r="H51" s="63"/>
    </row>
    <row r="52" spans="1:8">
      <c r="A52" s="100">
        <v>45187</v>
      </c>
      <c r="B52" s="106" t="s">
        <v>676</v>
      </c>
      <c r="C52" s="106">
        <v>11128</v>
      </c>
      <c r="D52" s="204" t="s">
        <v>471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683</v>
      </c>
      <c r="C66" s="106"/>
      <c r="D66" s="8" t="s">
        <v>727</v>
      </c>
      <c r="E66" s="124">
        <v>-3974.44</v>
      </c>
      <c r="G66" s="63"/>
      <c r="H66" s="63"/>
    </row>
    <row r="67" spans="1:8">
      <c r="A67" s="165">
        <v>45214</v>
      </c>
      <c r="B67" s="8" t="s">
        <v>656</v>
      </c>
      <c r="D67" s="8" t="s">
        <v>728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521</v>
      </c>
      <c r="C68" s="106"/>
      <c r="D68" s="8" t="s">
        <v>729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687</v>
      </c>
      <c r="C69" s="176">
        <v>-1204.5</v>
      </c>
      <c r="D69" s="8" t="s">
        <v>730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689</v>
      </c>
      <c r="C70" s="176">
        <v>-148.6</v>
      </c>
      <c r="D70" s="8" t="s">
        <v>730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690</v>
      </c>
      <c r="C71" s="176">
        <v>-244.8</v>
      </c>
      <c r="D71" s="8" t="s">
        <v>730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691</v>
      </c>
      <c r="C72" s="176">
        <v>-532.6</v>
      </c>
      <c r="D72" s="8" t="s">
        <v>730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731</v>
      </c>
      <c r="E73" s="124">
        <v>-449.5</v>
      </c>
      <c r="F73" s="63"/>
      <c r="G73" s="63"/>
      <c r="H73" s="63"/>
    </row>
    <row r="74" spans="1:8">
      <c r="A74" s="165"/>
      <c r="B74" s="106" t="s">
        <v>693</v>
      </c>
      <c r="C74" s="106"/>
      <c r="D74" s="8" t="s">
        <v>731</v>
      </c>
      <c r="E74" s="124">
        <v>-299.64</v>
      </c>
      <c r="F74" s="63"/>
      <c r="G74" s="63"/>
      <c r="H74" s="63"/>
    </row>
    <row r="75" spans="1:8">
      <c r="A75" s="165"/>
      <c r="B75" s="106" t="s">
        <v>694</v>
      </c>
      <c r="C75" s="106"/>
      <c r="D75" s="8" t="s">
        <v>731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541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529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541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732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733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733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734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735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736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736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732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737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738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410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739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410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484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740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741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742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743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744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745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746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746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747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748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749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301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302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498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303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237</v>
      </c>
      <c r="C118" s="2" t="s">
        <v>750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499</v>
      </c>
      <c r="C119" s="2" t="s">
        <v>701</v>
      </c>
      <c r="D119" s="2"/>
      <c r="E119" s="17">
        <v>129254.5</v>
      </c>
    </row>
    <row r="120" spans="1:6">
      <c r="A120" s="160">
        <f t="shared" si="1"/>
        <v>45352</v>
      </c>
      <c r="B120" s="8" t="s">
        <v>702</v>
      </c>
      <c r="C120" s="2" t="s">
        <v>703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704</v>
      </c>
      <c r="C121" s="160" t="s">
        <v>751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706</v>
      </c>
      <c r="C122" s="160" t="s">
        <v>707</v>
      </c>
      <c r="D122" s="161"/>
      <c r="E122" s="17">
        <v>588.6</v>
      </c>
    </row>
    <row r="123" spans="1:6">
      <c r="A123" s="160">
        <f t="shared" si="1"/>
        <v>45352</v>
      </c>
      <c r="B123" s="8" t="s">
        <v>708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709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710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505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711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752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425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395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753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324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324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324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754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754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755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756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672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757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758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759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722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760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761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761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762</v>
      </c>
      <c r="F36" s="176">
        <v>24000</v>
      </c>
      <c r="H36" s="124">
        <f t="shared" si="0"/>
        <v>137234.37</v>
      </c>
    </row>
    <row r="37" spans="1:8">
      <c r="A37" s="165"/>
      <c r="B37" s="8" t="s">
        <v>763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763</v>
      </c>
      <c r="G38" s="124">
        <v>-1000</v>
      </c>
      <c r="H38" s="124">
        <f t="shared" si="0"/>
        <v>132234.37</v>
      </c>
    </row>
    <row r="39" spans="1:8">
      <c r="A39" s="165"/>
      <c r="B39" s="8" t="s">
        <v>764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765</v>
      </c>
      <c r="H41" s="124">
        <f t="shared" si="0"/>
        <v>128534.37</v>
      </c>
    </row>
    <row r="42" spans="1:8">
      <c r="B42" t="s">
        <v>766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326</v>
      </c>
    </row>
    <row r="47" spans="1:8">
      <c r="A47" s="103" t="s">
        <v>327</v>
      </c>
      <c r="B47" s="103"/>
    </row>
    <row r="48" spans="1:8">
      <c r="A48" s="100"/>
    </row>
    <row r="49" spans="1:5">
      <c r="A49" s="172">
        <v>44929</v>
      </c>
      <c r="B49" s="173" t="s">
        <v>328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329</v>
      </c>
      <c r="C50" s="124" t="s">
        <v>767</v>
      </c>
      <c r="D50" s="124">
        <v>1329.72</v>
      </c>
      <c r="E50" s="124">
        <v>1330</v>
      </c>
    </row>
    <row r="51" spans="1:5">
      <c r="B51" t="s">
        <v>768</v>
      </c>
      <c r="D51" s="124">
        <v>1282.42</v>
      </c>
      <c r="E51" s="124">
        <v>1250</v>
      </c>
    </row>
    <row r="52" spans="1:5">
      <c r="B52" t="s">
        <v>331</v>
      </c>
      <c r="D52" s="124">
        <v>298.67</v>
      </c>
      <c r="E52" s="124">
        <v>298.5</v>
      </c>
    </row>
    <row r="53" spans="1:5">
      <c r="B53" t="s">
        <v>769</v>
      </c>
      <c r="D53" s="124">
        <v>1204.3800000000001</v>
      </c>
      <c r="E53" s="124">
        <v>1205</v>
      </c>
    </row>
    <row r="54" spans="1:5">
      <c r="B54" t="s">
        <v>333</v>
      </c>
      <c r="D54" s="124">
        <v>487.82</v>
      </c>
      <c r="E54" s="124">
        <v>490</v>
      </c>
    </row>
    <row r="55" spans="1:5">
      <c r="B55" t="s">
        <v>334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724</v>
      </c>
      <c r="C63" s="124">
        <v>10764.57</v>
      </c>
      <c r="D63" s="124" t="s">
        <v>770</v>
      </c>
      <c r="E63" s="124">
        <v>-1196.06</v>
      </c>
    </row>
    <row r="64" spans="1:5">
      <c r="A64" s="100">
        <v>45187</v>
      </c>
      <c r="B64" s="106" t="s">
        <v>561</v>
      </c>
      <c r="C64" s="124">
        <v>7648.33</v>
      </c>
      <c r="D64" s="124" t="s">
        <v>771</v>
      </c>
      <c r="E64" s="124">
        <v>-849.81</v>
      </c>
    </row>
    <row r="65" spans="1:5">
      <c r="A65" s="100">
        <v>45187</v>
      </c>
      <c r="B65" s="106" t="s">
        <v>676</v>
      </c>
      <c r="C65" s="124">
        <v>11128</v>
      </c>
      <c r="D65" s="124" t="s">
        <v>514</v>
      </c>
      <c r="E65" s="124">
        <v>-1854.67</v>
      </c>
    </row>
    <row r="66" spans="1:5">
      <c r="A66" s="160">
        <v>44995</v>
      </c>
      <c r="B66" s="8" t="s">
        <v>772</v>
      </c>
      <c r="C66" s="124">
        <v>613.91</v>
      </c>
      <c r="D66" s="124" t="s">
        <v>773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683</v>
      </c>
      <c r="D79" s="124" t="s">
        <v>774</v>
      </c>
      <c r="E79" s="124">
        <v>-3974.44</v>
      </c>
    </row>
    <row r="80" spans="1:5">
      <c r="A80" s="165">
        <v>45214</v>
      </c>
      <c r="B80" s="8" t="s">
        <v>656</v>
      </c>
      <c r="D80" s="124" t="s">
        <v>658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687</v>
      </c>
      <c r="C82" s="124">
        <v>-1204.5</v>
      </c>
      <c r="D82" s="124" t="s">
        <v>775</v>
      </c>
      <c r="E82" s="124">
        <v>-401.5</v>
      </c>
    </row>
    <row r="83" spans="1:5">
      <c r="A83" s="165">
        <v>45259</v>
      </c>
      <c r="B83" s="8" t="s">
        <v>689</v>
      </c>
      <c r="C83" s="124">
        <v>-148.6</v>
      </c>
      <c r="D83" s="124" t="s">
        <v>775</v>
      </c>
      <c r="E83" s="124">
        <v>-49.53</v>
      </c>
    </row>
    <row r="84" spans="1:5">
      <c r="A84" s="165">
        <v>45259</v>
      </c>
      <c r="B84" s="8" t="s">
        <v>690</v>
      </c>
      <c r="C84" s="124">
        <v>-244.8</v>
      </c>
      <c r="D84" s="124" t="s">
        <v>775</v>
      </c>
      <c r="E84" s="124">
        <v>-81.599999999999994</v>
      </c>
    </row>
    <row r="85" spans="1:5">
      <c r="A85" s="165">
        <v>45259</v>
      </c>
      <c r="B85" s="8" t="s">
        <v>691</v>
      </c>
      <c r="C85" s="124">
        <v>-532.6</v>
      </c>
      <c r="D85" s="124" t="s">
        <v>775</v>
      </c>
      <c r="E85" s="124">
        <v>-177.53</v>
      </c>
    </row>
    <row r="86" spans="1:5">
      <c r="A86" s="165">
        <v>45285</v>
      </c>
      <c r="B86" s="106" t="s">
        <v>521</v>
      </c>
    </row>
    <row r="87" spans="1:5">
      <c r="A87" s="100"/>
      <c r="B87" s="3" t="s">
        <v>534</v>
      </c>
      <c r="C87" s="124">
        <v>109.92</v>
      </c>
    </row>
    <row r="88" spans="1:5">
      <c r="A88" s="100">
        <v>45283</v>
      </c>
      <c r="B88" s="3" t="s">
        <v>541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541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776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777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778</v>
      </c>
      <c r="E98" s="124">
        <v>-470</v>
      </c>
    </row>
    <row r="99" spans="1:5">
      <c r="A99" s="100">
        <v>45275</v>
      </c>
      <c r="B99" s="3" t="s">
        <v>779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780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781</v>
      </c>
      <c r="E104" s="124">
        <v>-315.10000000000002</v>
      </c>
    </row>
    <row r="105" spans="1:5">
      <c r="A105" s="100">
        <v>45267</v>
      </c>
      <c r="B105" s="3" t="s">
        <v>541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419</v>
      </c>
      <c r="C114" s="124">
        <f>SUM(C89:C113)</f>
        <v>-2400.41</v>
      </c>
    </row>
    <row r="118" spans="1:5">
      <c r="A118" s="113" t="s">
        <v>782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783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301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302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498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303</v>
      </c>
      <c r="D124" s="2"/>
      <c r="E124" s="17">
        <v>0</v>
      </c>
    </row>
    <row r="125" spans="1:5">
      <c r="A125" s="160">
        <v>45327</v>
      </c>
      <c r="B125" s="8" t="s">
        <v>237</v>
      </c>
      <c r="C125" s="2" t="s">
        <v>784</v>
      </c>
      <c r="D125" s="2"/>
      <c r="E125" s="17">
        <v>132120.79</v>
      </c>
    </row>
    <row r="126" spans="1:5">
      <c r="A126" s="160">
        <f>A125</f>
        <v>45327</v>
      </c>
      <c r="B126" s="8" t="s">
        <v>785</v>
      </c>
      <c r="C126" s="2"/>
      <c r="D126" s="2"/>
      <c r="E126" s="17">
        <v>0</v>
      </c>
    </row>
    <row r="127" spans="1:5">
      <c r="A127" s="160">
        <v>45327</v>
      </c>
      <c r="B127" s="8" t="s">
        <v>786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787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788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789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505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790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791</v>
      </c>
    </row>
    <row r="141" spans="1:5">
      <c r="A141" s="88">
        <v>45317</v>
      </c>
      <c r="B141" s="8" t="s">
        <v>792</v>
      </c>
      <c r="C141" s="124">
        <v>12500</v>
      </c>
      <c r="D141" s="124" t="s">
        <v>793</v>
      </c>
      <c r="E141" s="124">
        <v>10000</v>
      </c>
    </row>
    <row r="142" spans="1:5">
      <c r="B142" t="s">
        <v>792</v>
      </c>
      <c r="C142" s="124">
        <v>13400</v>
      </c>
      <c r="D142" s="124" t="s">
        <v>141</v>
      </c>
      <c r="E142" s="124">
        <v>25000</v>
      </c>
    </row>
    <row r="143" spans="1:5">
      <c r="B143" t="s">
        <v>792</v>
      </c>
      <c r="C143" s="124">
        <v>13700</v>
      </c>
      <c r="D143" s="124" t="s">
        <v>794</v>
      </c>
      <c r="E143" s="124">
        <v>10400</v>
      </c>
    </row>
    <row r="144" spans="1:5">
      <c r="B144" t="s">
        <v>792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795</v>
      </c>
      <c r="C146" s="124">
        <v>14400</v>
      </c>
    </row>
    <row r="147" spans="2:4">
      <c r="B147" t="s">
        <v>796</v>
      </c>
      <c r="C147" s="124">
        <v>2800</v>
      </c>
      <c r="D147" s="124">
        <f>SUM(C146:C147)</f>
        <v>17200</v>
      </c>
    </row>
    <row r="148" spans="2:4">
      <c r="B148" t="s">
        <v>797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798</v>
      </c>
      <c r="L2" s="212" t="s">
        <v>799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800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801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802</v>
      </c>
    </row>
    <row r="20" spans="2:13" ht="15">
      <c r="C20" s="67"/>
      <c r="D20" s="68" t="s">
        <v>803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804</v>
      </c>
    </row>
    <row r="26" spans="2:13">
      <c r="B26" s="103"/>
      <c r="C26" s="104" t="s">
        <v>805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301</v>
      </c>
      <c r="F29">
        <v>40162.18</v>
      </c>
    </row>
    <row r="30" spans="2:13">
      <c r="B30" s="100">
        <v>45291</v>
      </c>
      <c r="C30" s="8" t="s">
        <v>302</v>
      </c>
      <c r="F30">
        <v>44912.09</v>
      </c>
    </row>
    <row r="31" spans="2:13">
      <c r="B31" s="100">
        <v>45291</v>
      </c>
      <c r="C31" s="8" t="s">
        <v>806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807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808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809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810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811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812</v>
      </c>
      <c r="F5" s="17"/>
      <c r="G5" s="2">
        <f t="shared" si="0"/>
        <v>-1000</v>
      </c>
    </row>
    <row r="6" spans="2:7">
      <c r="B6" s="1">
        <v>44873</v>
      </c>
      <c r="C6" s="8" t="s">
        <v>813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814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815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816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817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817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818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819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820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821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668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822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823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668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824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825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826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827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828</v>
      </c>
      <c r="E26" s="2">
        <v>613</v>
      </c>
      <c r="F26" s="4"/>
      <c r="G26" s="2">
        <f t="shared" si="0"/>
        <v>2148.9999999999991</v>
      </c>
    </row>
    <row r="27" spans="2:7">
      <c r="C27" s="8" t="s">
        <v>829</v>
      </c>
      <c r="E27" s="2">
        <v>720</v>
      </c>
      <c r="F27" s="4"/>
      <c r="G27" s="2">
        <f t="shared" si="0"/>
        <v>2868.9999999999991</v>
      </c>
    </row>
    <row r="28" spans="2:7">
      <c r="C28" s="8" t="s">
        <v>830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831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832</v>
      </c>
      <c r="E30" s="2">
        <v>2650</v>
      </c>
      <c r="F30" s="4"/>
      <c r="G30" s="2">
        <f t="shared" si="0"/>
        <v>3982.9999999999991</v>
      </c>
    </row>
    <row r="31" spans="2:7">
      <c r="C31" s="8" t="s">
        <v>833</v>
      </c>
      <c r="E31" s="2">
        <v>1356</v>
      </c>
      <c r="F31" s="4"/>
      <c r="G31" s="2">
        <f t="shared" si="0"/>
        <v>5338.9999999999991</v>
      </c>
    </row>
    <row r="32" spans="2:7">
      <c r="C32" s="8" t="s">
        <v>833</v>
      </c>
      <c r="E32" s="2">
        <v>869</v>
      </c>
      <c r="F32" s="4"/>
      <c r="G32" s="2">
        <f t="shared" si="0"/>
        <v>6207.9999999999991</v>
      </c>
    </row>
    <row r="33" spans="2:7">
      <c r="C33" s="8" t="s">
        <v>834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835</v>
      </c>
      <c r="F34" s="4">
        <v>3450</v>
      </c>
      <c r="G34" s="2">
        <f t="shared" si="0"/>
        <v>2757.9999999999991</v>
      </c>
    </row>
    <row r="35" spans="2:7">
      <c r="C35" s="8" t="s">
        <v>836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837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838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839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840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841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842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843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844</v>
      </c>
      <c r="E46" s="2">
        <v>573</v>
      </c>
      <c r="G46" s="2">
        <f t="shared" si="1"/>
        <v>4931</v>
      </c>
    </row>
    <row r="47" spans="2:7">
      <c r="C47" s="8" t="s">
        <v>845</v>
      </c>
      <c r="D47">
        <v>1500</v>
      </c>
      <c r="G47" s="2">
        <f t="shared" si="1"/>
        <v>4931</v>
      </c>
    </row>
    <row r="48" spans="2:7">
      <c r="C48" s="8" t="s">
        <v>846</v>
      </c>
      <c r="E48" s="2">
        <v>1207</v>
      </c>
      <c r="G48" s="2">
        <f t="shared" si="1"/>
        <v>6138</v>
      </c>
    </row>
    <row r="49" spans="2:7">
      <c r="C49" s="8" t="s">
        <v>847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848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849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850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851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852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853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854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855</v>
      </c>
      <c r="E61" s="241" t="s">
        <v>856</v>
      </c>
      <c r="F61" s="241" t="s">
        <v>857</v>
      </c>
      <c r="G61" s="242" t="s">
        <v>857</v>
      </c>
    </row>
    <row r="62" spans="2:7">
      <c r="D62" s="240" t="s">
        <v>858</v>
      </c>
      <c r="E62" s="241" t="s">
        <v>859</v>
      </c>
      <c r="F62" s="241" t="s">
        <v>270</v>
      </c>
      <c r="G62" s="243" t="s">
        <v>860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861</v>
      </c>
    </row>
    <row r="3" spans="2:9">
      <c r="D3" s="246" t="s">
        <v>862</v>
      </c>
      <c r="E3" s="124" t="s">
        <v>863</v>
      </c>
      <c r="F3" s="246" t="s">
        <v>864</v>
      </c>
      <c r="G3" s="247"/>
      <c r="I3" s="246" t="s">
        <v>865</v>
      </c>
    </row>
    <row r="4" spans="2:9">
      <c r="D4" s="246" t="s">
        <v>866</v>
      </c>
      <c r="E4" s="124" t="s">
        <v>224</v>
      </c>
      <c r="F4" s="246" t="s">
        <v>866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867</v>
      </c>
      <c r="I5" s="251">
        <f>NZN_23!I8*-1</f>
        <v>119305.95484700002</v>
      </c>
    </row>
    <row r="6" spans="2:9" ht="14.25">
      <c r="H6" s="252" t="s">
        <v>868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869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870</v>
      </c>
      <c r="I8" s="256">
        <f t="shared" ref="I8:I19" si="0">I7-F8</f>
        <v>149272.95484700002</v>
      </c>
    </row>
    <row r="9" spans="2:9">
      <c r="B9" s="160">
        <v>45324</v>
      </c>
      <c r="C9" s="8" t="s">
        <v>869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870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870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870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870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870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870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871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871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871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871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872</v>
      </c>
      <c r="E21" s="258">
        <v>0.2351</v>
      </c>
      <c r="F21" s="258">
        <f>1-E21</f>
        <v>0.76490000000000002</v>
      </c>
    </row>
    <row r="22" spans="2:11">
      <c r="B22" s="259" t="s">
        <v>873</v>
      </c>
      <c r="C22" s="259" t="s">
        <v>874</v>
      </c>
      <c r="D22" s="260" t="s">
        <v>875</v>
      </c>
      <c r="E22" s="261" t="s">
        <v>876</v>
      </c>
      <c r="F22" s="260" t="s">
        <v>877</v>
      </c>
      <c r="G22" s="262" t="s">
        <v>878</v>
      </c>
      <c r="H22" s="260" t="s">
        <v>879</v>
      </c>
      <c r="I22" s="260" t="s">
        <v>880</v>
      </c>
    </row>
    <row r="23" spans="2:11">
      <c r="B23" s="263"/>
      <c r="C23" s="264" t="s">
        <v>881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882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883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884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885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886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886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766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887</v>
      </c>
      <c r="E40" s="176" t="s">
        <v>888</v>
      </c>
      <c r="F40" s="176" t="s">
        <v>889</v>
      </c>
      <c r="H40" s="281"/>
      <c r="I40" s="281"/>
      <c r="J40" s="282"/>
    </row>
    <row r="41" spans="2:11" ht="15.75">
      <c r="C41" t="s">
        <v>890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891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892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893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894</v>
      </c>
      <c r="E47" s="246" t="s">
        <v>895</v>
      </c>
      <c r="F47" s="246" t="s">
        <v>896</v>
      </c>
      <c r="K47" s="63"/>
    </row>
    <row r="48" spans="2:11">
      <c r="E48" s="252"/>
      <c r="K48" s="63"/>
    </row>
    <row r="49" spans="3:6">
      <c r="C49" s="63" t="s">
        <v>800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861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872</v>
      </c>
      <c r="E5" s="288">
        <v>0.2351</v>
      </c>
      <c r="F5" s="288">
        <f>1-E5</f>
        <v>0.76490000000000002</v>
      </c>
      <c r="I5" s="63"/>
    </row>
    <row r="6" spans="2:11">
      <c r="B6" s="8" t="s">
        <v>873</v>
      </c>
      <c r="C6" s="8" t="s">
        <v>874</v>
      </c>
      <c r="D6" s="35" t="s">
        <v>875</v>
      </c>
      <c r="E6" s="195" t="s">
        <v>876</v>
      </c>
      <c r="F6" s="35" t="s">
        <v>877</v>
      </c>
      <c r="G6" s="289" t="s">
        <v>878</v>
      </c>
      <c r="H6" s="35" t="s">
        <v>879</v>
      </c>
      <c r="I6" s="290" t="s">
        <v>880</v>
      </c>
    </row>
    <row r="7" spans="2:11">
      <c r="K7" s="267"/>
    </row>
    <row r="8" spans="2:11" ht="15.75">
      <c r="B8" s="268">
        <v>45290</v>
      </c>
      <c r="C8" s="8" t="s">
        <v>882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897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898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899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900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901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901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901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884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902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903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904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884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884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905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906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907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908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881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909</v>
      </c>
      <c r="D28" s="63"/>
      <c r="E28" s="63">
        <f>E8</f>
        <v>-5843.55</v>
      </c>
      <c r="F28" s="63"/>
      <c r="H28" s="63"/>
      <c r="I28" s="63"/>
    </row>
    <row r="29" spans="2:10">
      <c r="C29" t="s">
        <v>910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887</v>
      </c>
      <c r="E31" s="63" t="s">
        <v>888</v>
      </c>
      <c r="F31" s="63" t="s">
        <v>889</v>
      </c>
      <c r="H31" s="303"/>
      <c r="I31" s="303"/>
      <c r="J31" s="282"/>
    </row>
    <row r="32" spans="2:10" ht="15.75">
      <c r="C32" t="s">
        <v>890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891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892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893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894</v>
      </c>
      <c r="E38" s="18" t="s">
        <v>895</v>
      </c>
      <c r="F38" s="18" t="s">
        <v>896</v>
      </c>
      <c r="H38" s="63"/>
      <c r="I38" s="63"/>
      <c r="K38" s="63"/>
    </row>
    <row r="39" spans="3:11">
      <c r="C39" t="s">
        <v>911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800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912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425</v>
      </c>
      <c r="C4" s="8" t="s">
        <v>433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913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914</v>
      </c>
      <c r="C8" s="101"/>
      <c r="D8" s="101"/>
      <c r="E8" s="163"/>
      <c r="H8" s="63">
        <f t="shared" si="0"/>
        <v>-1097</v>
      </c>
    </row>
    <row r="9" spans="1:8">
      <c r="B9" s="101" t="s">
        <v>915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916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916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917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918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919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757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759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920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327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328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921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330</v>
      </c>
      <c r="C48" t="s">
        <v>922</v>
      </c>
      <c r="D48">
        <v>1830.06</v>
      </c>
      <c r="E48" s="63">
        <v>1830</v>
      </c>
      <c r="F48" s="63"/>
      <c r="G48" s="63"/>
    </row>
    <row r="49" spans="1:8">
      <c r="B49" t="s">
        <v>331</v>
      </c>
      <c r="C49" t="s">
        <v>922</v>
      </c>
      <c r="D49">
        <v>209.55</v>
      </c>
      <c r="E49">
        <v>210</v>
      </c>
      <c r="F49" s="63"/>
      <c r="G49" s="63"/>
    </row>
    <row r="50" spans="1:8">
      <c r="B50" t="s">
        <v>332</v>
      </c>
      <c r="C50" t="s">
        <v>923</v>
      </c>
      <c r="D50">
        <v>1732.62</v>
      </c>
      <c r="E50">
        <v>1732</v>
      </c>
      <c r="F50" s="63"/>
      <c r="G50" s="63"/>
    </row>
    <row r="51" spans="1:8">
      <c r="B51" t="s">
        <v>333</v>
      </c>
      <c r="C51" t="s">
        <v>922</v>
      </c>
      <c r="D51">
        <v>499.34</v>
      </c>
      <c r="E51">
        <v>500</v>
      </c>
      <c r="F51" s="63"/>
      <c r="G51" s="63"/>
    </row>
    <row r="52" spans="1:8">
      <c r="B52" t="s">
        <v>334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772</v>
      </c>
      <c r="C60">
        <v>613.91</v>
      </c>
      <c r="D60" s="35" t="s">
        <v>924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724</v>
      </c>
      <c r="C62" s="106">
        <v>10764.57</v>
      </c>
      <c r="D62" s="35" t="s">
        <v>396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925</v>
      </c>
      <c r="D63" s="204" t="s">
        <v>440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561</v>
      </c>
      <c r="C64" s="106">
        <v>7648.33</v>
      </c>
      <c r="D64" s="204" t="s">
        <v>926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676</v>
      </c>
      <c r="C65" s="106">
        <v>11128</v>
      </c>
      <c r="D65" s="204" t="s">
        <v>927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683</v>
      </c>
      <c r="C82" s="106"/>
      <c r="D82" s="8" t="s">
        <v>928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656</v>
      </c>
      <c r="D83" s="8" t="s">
        <v>929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930</v>
      </c>
      <c r="E85" s="163">
        <v>-1046.0999999999999</v>
      </c>
    </row>
    <row r="86" spans="1:8">
      <c r="A86" s="165">
        <v>45226</v>
      </c>
      <c r="B86" s="8" t="s">
        <v>930</v>
      </c>
      <c r="E86" s="163">
        <v>-1046.0999999999999</v>
      </c>
    </row>
    <row r="87" spans="1:8">
      <c r="A87" s="165">
        <v>45224</v>
      </c>
      <c r="B87" s="8" t="s">
        <v>652</v>
      </c>
      <c r="D87">
        <v>160</v>
      </c>
      <c r="E87" s="163">
        <v>-160</v>
      </c>
    </row>
    <row r="88" spans="1:8">
      <c r="A88" s="165">
        <v>45225</v>
      </c>
      <c r="B88" s="8" t="s">
        <v>652</v>
      </c>
      <c r="D88">
        <v>200</v>
      </c>
      <c r="E88" s="163">
        <v>-200</v>
      </c>
    </row>
    <row r="89" spans="1:8">
      <c r="A89" s="165">
        <v>45225</v>
      </c>
      <c r="B89" s="8" t="s">
        <v>343</v>
      </c>
      <c r="E89" s="163">
        <v>-200</v>
      </c>
    </row>
    <row r="90" spans="1:8">
      <c r="A90" s="165">
        <v>45226</v>
      </c>
      <c r="B90" s="8" t="s">
        <v>652</v>
      </c>
      <c r="D90" s="35">
        <v>150</v>
      </c>
      <c r="E90" s="163">
        <v>-150</v>
      </c>
    </row>
    <row r="91" spans="1:8">
      <c r="A91" s="165">
        <v>45227</v>
      </c>
      <c r="B91" s="8" t="s">
        <v>652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652</v>
      </c>
      <c r="D93">
        <v>200</v>
      </c>
      <c r="E93" s="163">
        <v>-200</v>
      </c>
    </row>
    <row r="94" spans="1:8">
      <c r="A94" s="165">
        <v>45229</v>
      </c>
      <c r="B94" s="8" t="s">
        <v>931</v>
      </c>
      <c r="D94">
        <v>95.49</v>
      </c>
      <c r="E94" s="163">
        <v>-95.49</v>
      </c>
    </row>
    <row r="95" spans="1:8">
      <c r="A95" s="165">
        <v>45232</v>
      </c>
      <c r="B95" s="8" t="s">
        <v>652</v>
      </c>
      <c r="D95">
        <v>250</v>
      </c>
      <c r="E95" s="163">
        <v>-250</v>
      </c>
    </row>
    <row r="96" spans="1:8">
      <c r="A96" s="165">
        <v>45233</v>
      </c>
      <c r="B96" s="8" t="s">
        <v>652</v>
      </c>
      <c r="D96">
        <v>180</v>
      </c>
      <c r="E96" s="163">
        <v>-160</v>
      </c>
    </row>
    <row r="97" spans="1:5">
      <c r="A97" s="165">
        <v>45234</v>
      </c>
      <c r="B97" s="8" t="s">
        <v>652</v>
      </c>
      <c r="D97">
        <v>320</v>
      </c>
      <c r="E97" s="163">
        <v>-320</v>
      </c>
    </row>
    <row r="98" spans="1:5">
      <c r="A98" s="165">
        <v>45237</v>
      </c>
      <c r="B98" s="8" t="s">
        <v>652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932</v>
      </c>
      <c r="E100" s="163">
        <v>-180</v>
      </c>
    </row>
    <row r="101" spans="1:5">
      <c r="A101" s="165">
        <v>45238</v>
      </c>
      <c r="B101" s="8" t="s">
        <v>652</v>
      </c>
      <c r="D101">
        <v>160</v>
      </c>
      <c r="E101" s="163">
        <v>-160</v>
      </c>
    </row>
    <row r="102" spans="1:5">
      <c r="A102" s="165">
        <v>45239</v>
      </c>
      <c r="B102" s="8" t="s">
        <v>652</v>
      </c>
      <c r="D102">
        <v>250</v>
      </c>
      <c r="E102" s="163">
        <v>-250</v>
      </c>
    </row>
    <row r="103" spans="1:5">
      <c r="A103" s="165">
        <v>45240</v>
      </c>
      <c r="B103" s="8" t="s">
        <v>652</v>
      </c>
      <c r="D103">
        <v>160</v>
      </c>
      <c r="E103" s="163">
        <v>-160</v>
      </c>
    </row>
    <row r="104" spans="1:5">
      <c r="A104" s="165">
        <v>45241</v>
      </c>
      <c r="B104" s="8" t="s">
        <v>652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933</v>
      </c>
      <c r="E106" s="163">
        <v>-373.92</v>
      </c>
    </row>
    <row r="107" spans="1:5">
      <c r="A107" s="165">
        <v>45253</v>
      </c>
      <c r="B107" s="8" t="s">
        <v>652</v>
      </c>
      <c r="D107">
        <v>200</v>
      </c>
      <c r="E107" s="163">
        <v>-200</v>
      </c>
    </row>
    <row r="108" spans="1:5">
      <c r="E108" s="163"/>
    </row>
    <row r="109" spans="1:5">
      <c r="B109" t="s">
        <v>934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300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301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302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303</v>
      </c>
      <c r="D116" s="2"/>
      <c r="E116" s="17">
        <v>6267.13</v>
      </c>
    </row>
    <row r="117" spans="1:5">
      <c r="A117" s="160">
        <f t="shared" si="2"/>
        <v>45290</v>
      </c>
      <c r="B117" s="8" t="s">
        <v>237</v>
      </c>
      <c r="C117" s="2" t="s">
        <v>304</v>
      </c>
      <c r="D117" s="2"/>
      <c r="E117" s="17">
        <v>21088.49</v>
      </c>
    </row>
    <row r="118" spans="1:5">
      <c r="A118" s="160">
        <f t="shared" si="2"/>
        <v>45290</v>
      </c>
      <c r="B118" s="8" t="s">
        <v>305</v>
      </c>
      <c r="C118" s="2" t="s">
        <v>306</v>
      </c>
      <c r="D118" s="2"/>
      <c r="E118" s="17">
        <v>5587.73</v>
      </c>
    </row>
    <row r="119" spans="1:5">
      <c r="A119" s="160">
        <f t="shared" si="2"/>
        <v>45290</v>
      </c>
      <c r="B119" s="8" t="s">
        <v>307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308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309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310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311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312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313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935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425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936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937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937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938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939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940</v>
      </c>
      <c r="C22" s="8" t="s">
        <v>941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942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943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944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945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946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947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687</v>
      </c>
      <c r="C30" s="8" t="s">
        <v>433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689</v>
      </c>
      <c r="C31" s="8" t="s">
        <v>433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690</v>
      </c>
      <c r="C32" s="8" t="s">
        <v>433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948</v>
      </c>
      <c r="C33" s="8" t="s">
        <v>433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326</v>
      </c>
      <c r="E37" s="63"/>
      <c r="G37" s="63"/>
      <c r="H37" s="63"/>
    </row>
    <row r="38" spans="1:8">
      <c r="A38" s="103" t="s">
        <v>327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328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921</v>
      </c>
      <c r="D44">
        <v>628.12</v>
      </c>
      <c r="E44" s="63">
        <v>630</v>
      </c>
      <c r="F44" s="63"/>
      <c r="G44" s="63"/>
    </row>
    <row r="45" spans="1:8">
      <c r="B45" t="s">
        <v>330</v>
      </c>
      <c r="D45">
        <v>1539.74</v>
      </c>
      <c r="E45" s="63">
        <v>1540</v>
      </c>
      <c r="F45" s="63"/>
      <c r="G45" s="63"/>
    </row>
    <row r="46" spans="1:8">
      <c r="B46" t="s">
        <v>331</v>
      </c>
      <c r="D46">
        <v>165.4</v>
      </c>
      <c r="E46">
        <v>165</v>
      </c>
      <c r="F46" s="63"/>
      <c r="G46" s="63"/>
    </row>
    <row r="47" spans="1:8">
      <c r="B47" t="s">
        <v>332</v>
      </c>
      <c r="D47">
        <v>1142.79</v>
      </c>
      <c r="E47">
        <v>1142</v>
      </c>
      <c r="F47" s="63"/>
      <c r="G47" s="63"/>
    </row>
    <row r="48" spans="1:8">
      <c r="B48" t="s">
        <v>333</v>
      </c>
      <c r="D48" s="3">
        <v>379.26</v>
      </c>
      <c r="E48">
        <v>379.26</v>
      </c>
      <c r="F48" s="63"/>
      <c r="G48" s="63"/>
    </row>
    <row r="49" spans="1:8">
      <c r="B49" t="s">
        <v>334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772</v>
      </c>
      <c r="C57">
        <v>613.91</v>
      </c>
      <c r="D57" s="35" t="s">
        <v>949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950</v>
      </c>
      <c r="C58" s="106">
        <v>3299</v>
      </c>
      <c r="D58" s="35" t="s">
        <v>951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724</v>
      </c>
      <c r="C59" s="106">
        <v>10764.57</v>
      </c>
      <c r="D59" s="35" t="s">
        <v>675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952</v>
      </c>
      <c r="C60" s="106">
        <v>3123.29</v>
      </c>
      <c r="D60" s="204" t="s">
        <v>951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925</v>
      </c>
      <c r="D61" s="204" t="s">
        <v>471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561</v>
      </c>
      <c r="C62" s="106">
        <v>7648.33</v>
      </c>
      <c r="D62" s="204" t="s">
        <v>608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676</v>
      </c>
      <c r="C63" s="106">
        <v>11128</v>
      </c>
      <c r="D63" s="204" t="s">
        <v>606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953</v>
      </c>
      <c r="C72">
        <v>1140.99</v>
      </c>
      <c r="D72" s="8" t="s">
        <v>657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954</v>
      </c>
      <c r="D73" s="35" t="s">
        <v>955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683</v>
      </c>
      <c r="C74" s="106"/>
      <c r="D74" s="8" t="s">
        <v>929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365</v>
      </c>
      <c r="C75" s="106"/>
      <c r="D75" s="106"/>
      <c r="E75" s="163">
        <v>-59483.25</v>
      </c>
    </row>
    <row r="76" spans="1:8">
      <c r="A76" s="165">
        <v>45214</v>
      </c>
      <c r="B76" s="8" t="s">
        <v>656</v>
      </c>
      <c r="D76" s="8" t="s">
        <v>956</v>
      </c>
      <c r="E76" s="163">
        <v>-600</v>
      </c>
      <c r="F76" s="63"/>
    </row>
    <row r="77" spans="1:8">
      <c r="A77" s="165">
        <v>45198</v>
      </c>
      <c r="B77" s="8" t="s">
        <v>652</v>
      </c>
      <c r="E77" s="163">
        <v>-160</v>
      </c>
    </row>
    <row r="78" spans="1:8">
      <c r="A78" s="165">
        <v>45201</v>
      </c>
      <c r="B78" s="8" t="s">
        <v>957</v>
      </c>
      <c r="E78" s="163">
        <v>-1180</v>
      </c>
    </row>
    <row r="79" spans="1:8">
      <c r="A79" s="165">
        <v>45204</v>
      </c>
      <c r="B79" s="8" t="s">
        <v>958</v>
      </c>
      <c r="E79" s="163">
        <v>-713.25</v>
      </c>
    </row>
    <row r="80" spans="1:8">
      <c r="A80" s="165">
        <v>45204</v>
      </c>
      <c r="B80" s="8" t="s">
        <v>958</v>
      </c>
      <c r="E80" s="163">
        <v>-713.25</v>
      </c>
    </row>
    <row r="81" spans="1:5">
      <c r="A81" s="165">
        <v>45194</v>
      </c>
      <c r="B81" s="8" t="s">
        <v>652</v>
      </c>
      <c r="D81" s="35"/>
      <c r="E81" s="163">
        <v>-200</v>
      </c>
    </row>
    <row r="82" spans="1:5">
      <c r="A82" s="165">
        <v>45225</v>
      </c>
      <c r="B82" s="8" t="s">
        <v>652</v>
      </c>
      <c r="D82" s="35"/>
      <c r="E82" s="163">
        <v>-160</v>
      </c>
    </row>
    <row r="83" spans="1:5">
      <c r="A83" s="165">
        <v>45226</v>
      </c>
      <c r="B83" s="8" t="s">
        <v>652</v>
      </c>
      <c r="E83" s="163">
        <v>-200</v>
      </c>
    </row>
    <row r="84" spans="1:5">
      <c r="A84" s="165">
        <v>45227</v>
      </c>
      <c r="B84" s="8" t="s">
        <v>652</v>
      </c>
      <c r="E84" s="163">
        <v>-200</v>
      </c>
    </row>
    <row r="85" spans="1:5">
      <c r="A85" s="165">
        <v>45227</v>
      </c>
      <c r="B85" s="8" t="s">
        <v>541</v>
      </c>
      <c r="E85" s="163">
        <v>-245</v>
      </c>
    </row>
    <row r="86" spans="1:5">
      <c r="A86" s="165">
        <v>45228</v>
      </c>
      <c r="B86" s="8" t="s">
        <v>652</v>
      </c>
      <c r="E86" s="163">
        <v>-160</v>
      </c>
    </row>
    <row r="87" spans="1:5">
      <c r="A87" s="165">
        <v>45228</v>
      </c>
      <c r="B87" s="8" t="s">
        <v>959</v>
      </c>
      <c r="E87" s="163">
        <v>-33.65</v>
      </c>
    </row>
    <row r="88" spans="1:5">
      <c r="A88" s="165">
        <v>45201</v>
      </c>
      <c r="B88" s="8" t="s">
        <v>652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652</v>
      </c>
      <c r="E90" s="163">
        <v>-250</v>
      </c>
    </row>
    <row r="91" spans="1:5">
      <c r="A91" s="165">
        <v>45204</v>
      </c>
      <c r="B91" s="8" t="s">
        <v>652</v>
      </c>
      <c r="E91" s="163">
        <v>-300</v>
      </c>
    </row>
    <row r="92" spans="1:5">
      <c r="A92" s="165">
        <v>45205</v>
      </c>
      <c r="B92" s="8" t="s">
        <v>652</v>
      </c>
      <c r="E92" s="163">
        <v>-250</v>
      </c>
    </row>
    <row r="93" spans="1:5">
      <c r="A93" s="165">
        <v>45206</v>
      </c>
      <c r="B93" s="8" t="s">
        <v>652</v>
      </c>
      <c r="E93" s="163">
        <v>-250</v>
      </c>
    </row>
    <row r="94" spans="1:5">
      <c r="A94" s="165">
        <v>45206</v>
      </c>
      <c r="B94" s="8" t="s">
        <v>960</v>
      </c>
      <c r="E94" s="163">
        <v>-107.32</v>
      </c>
    </row>
    <row r="95" spans="1:5">
      <c r="A95" s="165">
        <v>45210</v>
      </c>
      <c r="B95" s="8" t="s">
        <v>652</v>
      </c>
      <c r="E95" s="163">
        <v>-200</v>
      </c>
    </row>
    <row r="96" spans="1:5">
      <c r="A96" s="165">
        <v>45215</v>
      </c>
      <c r="B96" s="8" t="s">
        <v>652</v>
      </c>
      <c r="E96" s="163">
        <v>-160</v>
      </c>
    </row>
    <row r="97" spans="1:5">
      <c r="A97" s="165">
        <v>45216</v>
      </c>
      <c r="B97" s="8" t="s">
        <v>652</v>
      </c>
      <c r="E97" s="163">
        <v>-160</v>
      </c>
    </row>
    <row r="98" spans="1:5">
      <c r="A98" s="165">
        <v>45217</v>
      </c>
      <c r="B98" s="8" t="s">
        <v>652</v>
      </c>
      <c r="E98" s="163">
        <v>-160</v>
      </c>
    </row>
    <row r="99" spans="1:5">
      <c r="A99" s="165">
        <v>45218</v>
      </c>
      <c r="B99" s="8" t="s">
        <v>652</v>
      </c>
      <c r="E99" s="163">
        <v>-200</v>
      </c>
    </row>
    <row r="100" spans="1:5">
      <c r="A100" s="165">
        <v>45219</v>
      </c>
      <c r="B100" s="8" t="s">
        <v>652</v>
      </c>
      <c r="E100" s="163">
        <v>-165</v>
      </c>
    </row>
    <row r="101" spans="1:5">
      <c r="A101" s="165">
        <v>45219</v>
      </c>
      <c r="B101" s="8" t="s">
        <v>959</v>
      </c>
      <c r="E101" s="163">
        <v>-93.36</v>
      </c>
    </row>
    <row r="102" spans="1:5">
      <c r="A102" s="165">
        <v>45220</v>
      </c>
      <c r="B102" s="8" t="s">
        <v>652</v>
      </c>
      <c r="E102" s="163">
        <v>-165</v>
      </c>
    </row>
    <row r="103" spans="1:5">
      <c r="A103" s="165">
        <v>45220</v>
      </c>
      <c r="B103" s="8" t="s">
        <v>961</v>
      </c>
      <c r="E103" s="163">
        <v>-80</v>
      </c>
    </row>
    <row r="104" spans="1:5">
      <c r="A104" s="165">
        <v>45221</v>
      </c>
      <c r="B104" s="8" t="s">
        <v>962</v>
      </c>
      <c r="E104" s="163">
        <v>-500</v>
      </c>
    </row>
    <row r="105" spans="1:5" ht="15">
      <c r="D105" s="105" t="s">
        <v>84</v>
      </c>
    </row>
    <row r="107" spans="1:5">
      <c r="B107" t="s">
        <v>963</v>
      </c>
      <c r="E107" s="163">
        <v>3707.01</v>
      </c>
    </row>
    <row r="108" spans="1:5">
      <c r="B108" t="s">
        <v>964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965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966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301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302</v>
      </c>
      <c r="C115" s="2"/>
      <c r="D115" s="2"/>
      <c r="E115" s="17">
        <v>64.31</v>
      </c>
    </row>
    <row r="116" spans="1:5">
      <c r="A116" s="160">
        <v>45260</v>
      </c>
      <c r="B116" s="8" t="s">
        <v>303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311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967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968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969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970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971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972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973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974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975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324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324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324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976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977</v>
      </c>
      <c r="C24" s="8" t="s">
        <v>941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978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979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946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980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981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326</v>
      </c>
      <c r="E33" s="63"/>
      <c r="G33" s="63"/>
      <c r="H33" s="63"/>
    </row>
    <row r="34" spans="1:8">
      <c r="A34" s="103" t="s">
        <v>327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328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921</v>
      </c>
      <c r="D40">
        <v>578.66</v>
      </c>
      <c r="E40" s="63">
        <v>578</v>
      </c>
      <c r="F40" s="63"/>
      <c r="G40" s="63"/>
    </row>
    <row r="41" spans="1:8">
      <c r="B41" t="s">
        <v>330</v>
      </c>
      <c r="D41">
        <v>1237.75</v>
      </c>
      <c r="E41" s="63">
        <v>1237</v>
      </c>
      <c r="F41" s="63"/>
      <c r="G41" s="63"/>
    </row>
    <row r="42" spans="1:8">
      <c r="B42" t="s">
        <v>331</v>
      </c>
      <c r="D42">
        <v>155.32</v>
      </c>
      <c r="E42">
        <v>155</v>
      </c>
      <c r="F42" s="63"/>
      <c r="G42" s="63"/>
    </row>
    <row r="43" spans="1:8">
      <c r="B43" t="s">
        <v>332</v>
      </c>
      <c r="D43">
        <v>1102.24</v>
      </c>
      <c r="E43">
        <v>1102</v>
      </c>
      <c r="F43" s="63"/>
      <c r="G43" s="63"/>
    </row>
    <row r="44" spans="1:8">
      <c r="B44" t="s">
        <v>333</v>
      </c>
      <c r="D44">
        <v>317.68</v>
      </c>
      <c r="E44">
        <v>317</v>
      </c>
      <c r="F44" s="63"/>
      <c r="G44" s="63"/>
    </row>
    <row r="45" spans="1:8">
      <c r="B45" t="s">
        <v>334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772</v>
      </c>
      <c r="C52">
        <v>613.91</v>
      </c>
      <c r="D52" s="35" t="s">
        <v>982</v>
      </c>
      <c r="E52" s="163">
        <v>-61.39</v>
      </c>
      <c r="G52" s="63"/>
      <c r="H52" s="63"/>
    </row>
    <row r="53" spans="1:8">
      <c r="A53" s="160">
        <v>45043</v>
      </c>
      <c r="B53" s="106" t="s">
        <v>950</v>
      </c>
      <c r="C53" s="106">
        <v>3299</v>
      </c>
      <c r="D53" s="35" t="s">
        <v>471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724</v>
      </c>
      <c r="C54" s="106">
        <v>10764.57</v>
      </c>
      <c r="D54" s="35" t="s">
        <v>726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952</v>
      </c>
      <c r="C55" s="106">
        <v>3123.29</v>
      </c>
      <c r="D55" s="204" t="s">
        <v>471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925</v>
      </c>
      <c r="D56" s="204" t="s">
        <v>514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484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983</v>
      </c>
      <c r="C58" s="106">
        <v>148.6</v>
      </c>
      <c r="D58" s="204" t="s">
        <v>984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985</v>
      </c>
      <c r="C59" s="106">
        <v>244.8</v>
      </c>
      <c r="D59" s="204" t="s">
        <v>984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986</v>
      </c>
      <c r="C60" s="106">
        <v>1204.5</v>
      </c>
      <c r="D60" s="204" t="s">
        <v>984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987</v>
      </c>
      <c r="C61" s="106">
        <v>532.6</v>
      </c>
      <c r="D61" s="204" t="s">
        <v>984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988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561</v>
      </c>
      <c r="C63" s="106">
        <v>7648.33</v>
      </c>
      <c r="D63" s="204" t="s">
        <v>989</v>
      </c>
      <c r="E63" s="163">
        <v>-849.81</v>
      </c>
      <c r="F63" s="63"/>
    </row>
    <row r="64" spans="1:8">
      <c r="A64" s="160">
        <v>45187</v>
      </c>
      <c r="B64" s="106" t="s">
        <v>990</v>
      </c>
      <c r="C64" s="106">
        <v>11128</v>
      </c>
      <c r="D64" s="204" t="s">
        <v>645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953</v>
      </c>
      <c r="C69">
        <v>1140.99</v>
      </c>
      <c r="D69" s="8" t="s">
        <v>685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954</v>
      </c>
      <c r="D70" s="35" t="s">
        <v>991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992</v>
      </c>
      <c r="C71" s="106"/>
      <c r="D71" s="8" t="s">
        <v>956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993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994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995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996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997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410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406</v>
      </c>
      <c r="E88" s="163">
        <v>-529.98</v>
      </c>
    </row>
    <row r="89" spans="1:8">
      <c r="A89" s="160">
        <v>45179</v>
      </c>
      <c r="B89" s="8" t="s">
        <v>406</v>
      </c>
      <c r="E89" s="163">
        <v>-2351.9499999999998</v>
      </c>
    </row>
    <row r="90" spans="1:8">
      <c r="A90" s="160">
        <v>45180</v>
      </c>
      <c r="B90" s="8" t="s">
        <v>998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998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999</v>
      </c>
      <c r="E94" s="163">
        <v>-578</v>
      </c>
    </row>
    <row r="95" spans="1:8">
      <c r="A95" s="160">
        <v>45184</v>
      </c>
      <c r="B95" s="8" t="s">
        <v>1000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1001</v>
      </c>
      <c r="E101" s="163">
        <v>-230</v>
      </c>
    </row>
    <row r="102" spans="1:5">
      <c r="A102" s="160">
        <v>45191</v>
      </c>
      <c r="B102" s="8" t="s">
        <v>1002</v>
      </c>
      <c r="E102" s="163">
        <v>-382</v>
      </c>
    </row>
    <row r="103" spans="1:5">
      <c r="A103" s="160">
        <v>45191</v>
      </c>
      <c r="B103" s="8" t="s">
        <v>1003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1004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1005</v>
      </c>
      <c r="C113" s="2"/>
      <c r="D113" s="2"/>
      <c r="E113" s="17">
        <v>73088</v>
      </c>
    </row>
    <row r="114" spans="1:5">
      <c r="A114" s="160">
        <v>45230</v>
      </c>
      <c r="B114" s="8" t="s">
        <v>301</v>
      </c>
      <c r="C114" s="2"/>
      <c r="D114" s="2"/>
      <c r="E114" s="17">
        <v>20950.34</v>
      </c>
    </row>
    <row r="115" spans="1:5">
      <c r="A115" s="160">
        <v>45230</v>
      </c>
      <c r="B115" s="8" t="s">
        <v>302</v>
      </c>
      <c r="C115" s="2"/>
      <c r="D115" s="2"/>
      <c r="E115" s="17">
        <v>73011.39</v>
      </c>
    </row>
    <row r="116" spans="1:5">
      <c r="A116" s="160">
        <v>45230</v>
      </c>
      <c r="B116" s="8" t="s">
        <v>1006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1007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1008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1009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1004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1010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1011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1012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1012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1013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324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324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324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672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1014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1015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438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1016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1017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1018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1019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1020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1021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1022</v>
      </c>
      <c r="D32" s="102"/>
      <c r="G32" s="63"/>
      <c r="H32" s="63">
        <f t="shared" si="0"/>
        <v>138975.99</v>
      </c>
    </row>
    <row r="33" spans="1:8">
      <c r="A33" s="100"/>
      <c r="B33" s="8" t="s">
        <v>1023</v>
      </c>
      <c r="D33" s="102"/>
      <c r="G33" s="63"/>
      <c r="H33" s="63">
        <f t="shared" si="0"/>
        <v>138975.99</v>
      </c>
    </row>
    <row r="34" spans="1:8">
      <c r="A34" s="100"/>
      <c r="B34" s="8" t="s">
        <v>1024</v>
      </c>
      <c r="D34" s="102"/>
      <c r="G34" s="63"/>
      <c r="H34" s="63">
        <f t="shared" si="0"/>
        <v>138975.99</v>
      </c>
    </row>
    <row r="35" spans="1:8">
      <c r="A35" s="100"/>
      <c r="B35" s="8" t="s">
        <v>722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1025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1026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1027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326</v>
      </c>
      <c r="E44" s="63"/>
      <c r="G44" s="63"/>
      <c r="H44" s="63"/>
    </row>
    <row r="45" spans="1:8">
      <c r="A45" s="103" t="s">
        <v>327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328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921</v>
      </c>
      <c r="D51">
        <v>673.8</v>
      </c>
      <c r="E51" s="63">
        <v>673.8</v>
      </c>
      <c r="F51" s="63"/>
      <c r="G51" s="63"/>
    </row>
    <row r="52" spans="1:8">
      <c r="B52" t="s">
        <v>330</v>
      </c>
      <c r="D52">
        <v>1165.77</v>
      </c>
      <c r="E52" s="63">
        <v>1165.77</v>
      </c>
      <c r="F52" s="63"/>
      <c r="G52" s="63"/>
    </row>
    <row r="53" spans="1:8">
      <c r="B53" t="s">
        <v>331</v>
      </c>
      <c r="D53">
        <v>106.22</v>
      </c>
      <c r="E53">
        <v>106.22</v>
      </c>
      <c r="F53" s="63"/>
      <c r="G53" s="63"/>
    </row>
    <row r="54" spans="1:8">
      <c r="B54" t="s">
        <v>332</v>
      </c>
      <c r="D54">
        <v>1157.58</v>
      </c>
      <c r="E54">
        <v>1157.58</v>
      </c>
      <c r="F54" s="63"/>
      <c r="G54" s="63"/>
    </row>
    <row r="55" spans="1:8">
      <c r="B55" t="s">
        <v>333</v>
      </c>
      <c r="D55">
        <v>353.65</v>
      </c>
      <c r="E55">
        <v>353.65</v>
      </c>
      <c r="F55" s="63"/>
      <c r="G55" s="63"/>
    </row>
    <row r="56" spans="1:8">
      <c r="B56" t="s">
        <v>334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772</v>
      </c>
      <c r="C64">
        <v>613.91</v>
      </c>
      <c r="D64" s="35" t="s">
        <v>1028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1029</v>
      </c>
      <c r="C65">
        <v>2258.94</v>
      </c>
      <c r="D65" s="35" t="s">
        <v>440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950</v>
      </c>
      <c r="C66" s="106">
        <v>3299</v>
      </c>
      <c r="D66" s="35" t="s">
        <v>514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724</v>
      </c>
      <c r="C67" s="106">
        <v>10764.57</v>
      </c>
      <c r="D67" s="35" t="s">
        <v>771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952</v>
      </c>
      <c r="C68" s="106">
        <v>3123.29</v>
      </c>
      <c r="D68" s="204" t="s">
        <v>514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925</v>
      </c>
      <c r="D69" s="204" t="s">
        <v>927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983</v>
      </c>
      <c r="C70" s="106">
        <v>148.6</v>
      </c>
      <c r="D70" s="204" t="s">
        <v>1030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985</v>
      </c>
      <c r="C71" s="106">
        <v>244.8</v>
      </c>
      <c r="D71" s="204" t="s">
        <v>1030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986</v>
      </c>
      <c r="C72" s="106">
        <v>1204.5</v>
      </c>
      <c r="D72" s="204" t="s">
        <v>1030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987</v>
      </c>
      <c r="C73" s="106">
        <v>532.6</v>
      </c>
      <c r="D73" s="204" t="s">
        <v>1030</v>
      </c>
      <c r="E73" s="163">
        <v>-133.15</v>
      </c>
      <c r="F73" s="63"/>
    </row>
    <row r="74" spans="1:8">
      <c r="A74" s="100">
        <v>45139</v>
      </c>
      <c r="B74" s="106" t="s">
        <v>1031</v>
      </c>
      <c r="E74" s="163">
        <v>-260.02</v>
      </c>
    </row>
    <row r="75" spans="1:8">
      <c r="A75" s="165">
        <v>45139</v>
      </c>
      <c r="B75" s="106" t="s">
        <v>446</v>
      </c>
      <c r="E75" s="163">
        <v>-116.6</v>
      </c>
    </row>
    <row r="76" spans="1:8">
      <c r="A76" s="165">
        <v>45139</v>
      </c>
      <c r="B76" s="106" t="s">
        <v>446</v>
      </c>
      <c r="E76" s="163">
        <v>-23.75</v>
      </c>
    </row>
    <row r="77" spans="1:8">
      <c r="A77" s="165">
        <v>45140</v>
      </c>
      <c r="B77" s="106" t="s">
        <v>1032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1033</v>
      </c>
      <c r="E79" s="163">
        <v>-71</v>
      </c>
    </row>
    <row r="80" spans="1:8">
      <c r="A80" s="165">
        <v>45153</v>
      </c>
      <c r="B80" s="106" t="s">
        <v>1034</v>
      </c>
      <c r="E80" s="163">
        <v>-1806</v>
      </c>
    </row>
    <row r="81" spans="1:8">
      <c r="A81" s="165">
        <v>45158</v>
      </c>
      <c r="B81" s="106" t="s">
        <v>1035</v>
      </c>
      <c r="E81" s="163">
        <v>-160.9</v>
      </c>
    </row>
    <row r="82" spans="1:8">
      <c r="A82" s="165">
        <v>45160</v>
      </c>
      <c r="B82" s="106" t="s">
        <v>1036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953</v>
      </c>
      <c r="C88">
        <v>1140.99</v>
      </c>
      <c r="D88" s="8" t="s">
        <v>728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1037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652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1038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1039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1040</v>
      </c>
      <c r="E94">
        <v>-400</v>
      </c>
      <c r="F94" s="63"/>
    </row>
    <row r="95" spans="1:8">
      <c r="A95" s="100">
        <v>45136</v>
      </c>
      <c r="B95" s="8" t="s">
        <v>1041</v>
      </c>
      <c r="E95">
        <v>-266</v>
      </c>
      <c r="F95" s="63"/>
    </row>
    <row r="96" spans="1:8">
      <c r="A96" s="100">
        <v>45199</v>
      </c>
      <c r="B96" s="8" t="s">
        <v>1042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954</v>
      </c>
      <c r="D99" s="35" t="s">
        <v>1043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1044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1045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301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302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1006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1008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1009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1046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1047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1048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1048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1049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324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324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324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456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672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1050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1051</v>
      </c>
      <c r="D25" s="102"/>
      <c r="F25" s="63"/>
      <c r="G25" s="63"/>
      <c r="H25" s="63">
        <f t="shared" si="0"/>
        <v>-15085.350000000002</v>
      </c>
    </row>
    <row r="26" spans="1:8">
      <c r="B26" t="s">
        <v>1052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1053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1054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326</v>
      </c>
      <c r="E31" s="63"/>
      <c r="G31" s="63"/>
      <c r="H31" s="63"/>
    </row>
    <row r="32" spans="1:8">
      <c r="A32" s="103" t="s">
        <v>327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328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921</v>
      </c>
      <c r="E38" s="63"/>
      <c r="F38" s="63"/>
      <c r="G38" s="63"/>
    </row>
    <row r="39" spans="1:8">
      <c r="B39" t="s">
        <v>330</v>
      </c>
      <c r="E39" s="63"/>
      <c r="F39" s="63"/>
      <c r="G39" s="63"/>
    </row>
    <row r="40" spans="1:8">
      <c r="B40" t="s">
        <v>331</v>
      </c>
      <c r="F40" s="63"/>
      <c r="G40" s="63"/>
    </row>
    <row r="41" spans="1:8">
      <c r="B41" t="s">
        <v>332</v>
      </c>
      <c r="F41" s="63"/>
      <c r="G41" s="63"/>
    </row>
    <row r="42" spans="1:8">
      <c r="B42" t="s">
        <v>333</v>
      </c>
      <c r="F42" s="63"/>
      <c r="G42" s="63"/>
    </row>
    <row r="43" spans="1:8">
      <c r="B43" t="s">
        <v>334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1055</v>
      </c>
      <c r="C50" s="106"/>
      <c r="D50" s="106" t="s">
        <v>725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772</v>
      </c>
      <c r="C51">
        <v>613.91</v>
      </c>
      <c r="D51" s="35" t="s">
        <v>1056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1029</v>
      </c>
      <c r="C52">
        <v>2258.94</v>
      </c>
      <c r="D52" s="35" t="s">
        <v>471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950</v>
      </c>
      <c r="C53" s="106">
        <v>3299</v>
      </c>
      <c r="D53" s="35" t="s">
        <v>927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724</v>
      </c>
      <c r="C54" s="106">
        <v>10764.57</v>
      </c>
      <c r="D54" s="35" t="s">
        <v>926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952</v>
      </c>
      <c r="C55" s="106">
        <v>3123.29</v>
      </c>
      <c r="D55" s="204" t="s">
        <v>927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925</v>
      </c>
      <c r="D56" s="204" t="s">
        <v>606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983</v>
      </c>
      <c r="C57" s="106">
        <v>148.6</v>
      </c>
      <c r="D57" s="204" t="s">
        <v>1057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985</v>
      </c>
      <c r="C58" s="106">
        <v>244.8</v>
      </c>
      <c r="D58" s="204" t="s">
        <v>1057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986</v>
      </c>
      <c r="C59" s="106">
        <v>1204.5</v>
      </c>
      <c r="D59" s="204" t="s">
        <v>1057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987</v>
      </c>
      <c r="C60" s="106">
        <v>532.6</v>
      </c>
      <c r="D60" s="204" t="s">
        <v>1057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1058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953</v>
      </c>
      <c r="C68">
        <v>1140.99</v>
      </c>
      <c r="D68" s="8" t="s">
        <v>1059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1060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1061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1062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1063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1064</v>
      </c>
    </row>
    <row r="78" spans="1:8">
      <c r="A78" s="100">
        <v>45116</v>
      </c>
      <c r="B78" s="8" t="s">
        <v>1065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410</v>
      </c>
      <c r="D80" s="35"/>
      <c r="E80">
        <v>-146.88999999999999</v>
      </c>
    </row>
    <row r="81" spans="1:5">
      <c r="A81" s="100">
        <v>45119</v>
      </c>
      <c r="B81" s="8" t="s">
        <v>652</v>
      </c>
      <c r="E81">
        <v>-150</v>
      </c>
    </row>
    <row r="82" spans="1:5">
      <c r="A82" s="100">
        <v>45120</v>
      </c>
      <c r="B82" s="8" t="s">
        <v>652</v>
      </c>
      <c r="E82">
        <v>-150</v>
      </c>
    </row>
    <row r="83" spans="1:5">
      <c r="A83" s="100">
        <v>45121</v>
      </c>
      <c r="B83" s="8" t="s">
        <v>652</v>
      </c>
      <c r="E83">
        <v>-150</v>
      </c>
    </row>
    <row r="84" spans="1:5">
      <c r="A84" s="100">
        <v>45124</v>
      </c>
      <c r="B84" s="8" t="s">
        <v>652</v>
      </c>
      <c r="E84">
        <v>-150</v>
      </c>
    </row>
    <row r="85" spans="1:5">
      <c r="A85" s="100">
        <v>45125</v>
      </c>
      <c r="B85" s="8" t="s">
        <v>652</v>
      </c>
      <c r="E85">
        <v>-160</v>
      </c>
    </row>
    <row r="86" spans="1:5">
      <c r="A86" s="100">
        <v>45129</v>
      </c>
      <c r="B86" s="8" t="s">
        <v>410</v>
      </c>
      <c r="E86">
        <v>-20.059999999999999</v>
      </c>
    </row>
    <row r="87" spans="1:5">
      <c r="A87" s="100">
        <v>45130</v>
      </c>
      <c r="B87" s="8" t="s">
        <v>1066</v>
      </c>
      <c r="E87">
        <v>-275.54000000000002</v>
      </c>
    </row>
    <row r="88" spans="1:5">
      <c r="A88" s="100">
        <v>45130</v>
      </c>
      <c r="B88" s="8" t="s">
        <v>960</v>
      </c>
      <c r="E88">
        <v>-212.45</v>
      </c>
    </row>
    <row r="89" spans="1:5">
      <c r="A89" s="100">
        <v>45131</v>
      </c>
      <c r="B89" s="8" t="s">
        <v>543</v>
      </c>
      <c r="E89">
        <v>-4.57</v>
      </c>
    </row>
    <row r="90" spans="1:5">
      <c r="A90" s="100">
        <v>45131</v>
      </c>
      <c r="B90" s="8" t="s">
        <v>1067</v>
      </c>
      <c r="E90">
        <v>-4.57</v>
      </c>
    </row>
    <row r="91" spans="1:5">
      <c r="A91" s="100">
        <v>45131</v>
      </c>
      <c r="B91" s="8" t="s">
        <v>545</v>
      </c>
      <c r="E91">
        <v>-30.44</v>
      </c>
    </row>
    <row r="92" spans="1:5">
      <c r="D92" s="3" t="s">
        <v>84</v>
      </c>
    </row>
    <row r="111" spans="1:5">
      <c r="A111" s="113" t="s">
        <v>1068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1069</v>
      </c>
      <c r="C113" s="2"/>
      <c r="D113" s="2"/>
      <c r="E113" s="17">
        <v>53088</v>
      </c>
    </row>
    <row r="114" spans="1:5">
      <c r="A114" s="100">
        <v>45169</v>
      </c>
      <c r="B114" s="8" t="s">
        <v>301</v>
      </c>
      <c r="C114" s="2"/>
      <c r="D114" s="2"/>
      <c r="E114" s="17">
        <v>28245.88</v>
      </c>
    </row>
    <row r="115" spans="1:5">
      <c r="A115" s="100">
        <v>45169</v>
      </c>
      <c r="B115" s="8" t="s">
        <v>302</v>
      </c>
      <c r="C115" s="2"/>
      <c r="D115" s="2"/>
      <c r="E115" s="17">
        <v>450.49</v>
      </c>
    </row>
    <row r="116" spans="1:5">
      <c r="A116" s="100">
        <v>45169</v>
      </c>
      <c r="B116" s="8" t="s">
        <v>1006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1070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1071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1072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1073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1074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1075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1076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1077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1078</v>
      </c>
      <c r="C14" s="101" t="s">
        <v>387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1078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1079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324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1080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1081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1082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1083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326</v>
      </c>
      <c r="E35" s="63"/>
      <c r="G35" s="63"/>
      <c r="H35" s="63"/>
    </row>
    <row r="36" spans="1:8">
      <c r="A36" s="103" t="s">
        <v>327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328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921</v>
      </c>
      <c r="D42">
        <v>547.27</v>
      </c>
      <c r="E42" s="63"/>
      <c r="F42" s="63"/>
      <c r="G42" s="63"/>
    </row>
    <row r="43" spans="1:8">
      <c r="B43" t="s">
        <v>330</v>
      </c>
      <c r="D43">
        <v>990.96</v>
      </c>
      <c r="E43" s="63">
        <v>990</v>
      </c>
      <c r="F43" s="63"/>
      <c r="G43" s="63"/>
    </row>
    <row r="44" spans="1:8">
      <c r="B44" t="s">
        <v>331</v>
      </c>
      <c r="D44">
        <v>112.16</v>
      </c>
      <c r="F44" s="63"/>
      <c r="G44" s="63"/>
    </row>
    <row r="45" spans="1:8">
      <c r="B45" t="s">
        <v>332</v>
      </c>
      <c r="D45">
        <v>1115.05</v>
      </c>
      <c r="F45" s="63"/>
      <c r="G45" s="63"/>
    </row>
    <row r="46" spans="1:8">
      <c r="B46" t="s">
        <v>333</v>
      </c>
      <c r="D46">
        <v>322.29000000000002</v>
      </c>
      <c r="E46">
        <v>322</v>
      </c>
      <c r="F46" s="63"/>
      <c r="G46" s="63"/>
    </row>
    <row r="47" spans="1:8">
      <c r="B47" t="s">
        <v>334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1055</v>
      </c>
      <c r="C54" s="106"/>
      <c r="D54" s="106" t="s">
        <v>364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772</v>
      </c>
      <c r="C55">
        <v>613.91</v>
      </c>
      <c r="D55" s="35" t="s">
        <v>1084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1029</v>
      </c>
      <c r="C56">
        <v>2258.94</v>
      </c>
      <c r="D56" s="35" t="s">
        <v>514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950</v>
      </c>
      <c r="C57" s="106">
        <v>3299</v>
      </c>
      <c r="D57" s="35" t="s">
        <v>606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724</v>
      </c>
      <c r="C58" s="106">
        <v>10764.57</v>
      </c>
      <c r="D58" s="35" t="s">
        <v>608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952</v>
      </c>
      <c r="C59" s="106">
        <v>3123.29</v>
      </c>
      <c r="D59" s="204" t="s">
        <v>606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983</v>
      </c>
      <c r="C60" s="106">
        <v>148.6</v>
      </c>
      <c r="D60" s="204" t="s">
        <v>1085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985</v>
      </c>
      <c r="C61" s="106">
        <v>244.8</v>
      </c>
      <c r="D61" s="204" t="s">
        <v>1085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986</v>
      </c>
      <c r="C62" s="106">
        <v>1204.5</v>
      </c>
      <c r="D62" s="204" t="s">
        <v>1085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987</v>
      </c>
      <c r="C63" s="106">
        <v>532.6</v>
      </c>
      <c r="D63" s="204" t="s">
        <v>1085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925</v>
      </c>
      <c r="D64" s="204" t="s">
        <v>645</v>
      </c>
      <c r="E64" s="163">
        <v>-666.67</v>
      </c>
      <c r="F64" s="63"/>
    </row>
    <row r="65" spans="1:8">
      <c r="A65" s="100">
        <v>45091</v>
      </c>
      <c r="B65" s="106" t="s">
        <v>1086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953</v>
      </c>
      <c r="C70">
        <v>1140.99</v>
      </c>
      <c r="D70" s="8" t="s">
        <v>929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1087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1088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1089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1089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1089</v>
      </c>
      <c r="E75" s="163">
        <v>-225</v>
      </c>
    </row>
    <row r="76" spans="1:8">
      <c r="B76" s="106" t="s">
        <v>270</v>
      </c>
      <c r="C76">
        <v>-1207</v>
      </c>
    </row>
    <row r="77" spans="1:8">
      <c r="A77" s="165">
        <v>45080</v>
      </c>
      <c r="B77" s="106" t="s">
        <v>1089</v>
      </c>
      <c r="E77" s="163">
        <v>-180</v>
      </c>
    </row>
    <row r="78" spans="1:8">
      <c r="A78" s="165">
        <v>45080</v>
      </c>
      <c r="B78" s="106" t="s">
        <v>1090</v>
      </c>
      <c r="E78" s="163">
        <v>-850</v>
      </c>
    </row>
    <row r="79" spans="1:8">
      <c r="A79" s="165">
        <v>45082</v>
      </c>
      <c r="B79" s="106" t="s">
        <v>1091</v>
      </c>
      <c r="E79" s="163">
        <v>-112.11</v>
      </c>
    </row>
    <row r="80" spans="1:8">
      <c r="A80" s="165">
        <v>45082</v>
      </c>
      <c r="B80" s="106" t="s">
        <v>1089</v>
      </c>
      <c r="E80" s="163">
        <v>-150</v>
      </c>
    </row>
    <row r="81" spans="1:5">
      <c r="A81" s="165">
        <v>45084</v>
      </c>
      <c r="B81" s="106" t="s">
        <v>1089</v>
      </c>
      <c r="D81" s="35"/>
      <c r="E81" s="163">
        <v>-250</v>
      </c>
    </row>
    <row r="82" spans="1:5">
      <c r="A82" s="165">
        <v>45085</v>
      </c>
      <c r="B82" s="106" t="s">
        <v>1089</v>
      </c>
      <c r="D82" s="35"/>
      <c r="E82" s="163">
        <v>-250</v>
      </c>
    </row>
    <row r="83" spans="1:5">
      <c r="A83" s="165">
        <v>45086</v>
      </c>
      <c r="B83" s="8" t="s">
        <v>1092</v>
      </c>
      <c r="E83" s="163">
        <v>-1420</v>
      </c>
    </row>
    <row r="84" spans="1:5">
      <c r="A84" s="165">
        <v>45087</v>
      </c>
      <c r="B84" s="8" t="s">
        <v>1093</v>
      </c>
      <c r="E84" s="163">
        <v>-242.56</v>
      </c>
    </row>
    <row r="85" spans="1:5">
      <c r="A85" s="165">
        <v>45089</v>
      </c>
      <c r="B85" s="8" t="s">
        <v>1094</v>
      </c>
      <c r="E85" s="163">
        <v>-167.19</v>
      </c>
    </row>
    <row r="86" spans="1:5">
      <c r="A86" s="165">
        <v>45091</v>
      </c>
      <c r="B86" s="8" t="s">
        <v>1089</v>
      </c>
      <c r="E86" s="163">
        <v>-200</v>
      </c>
    </row>
    <row r="87" spans="1:5">
      <c r="A87" s="165">
        <v>45091</v>
      </c>
      <c r="B87" s="8" t="s">
        <v>1091</v>
      </c>
      <c r="E87" s="163">
        <v>-61.41</v>
      </c>
    </row>
    <row r="88" spans="1:5">
      <c r="A88" s="165">
        <v>45092</v>
      </c>
      <c r="B88" s="8" t="s">
        <v>1089</v>
      </c>
      <c r="E88" s="163">
        <v>-200</v>
      </c>
    </row>
    <row r="89" spans="1:5">
      <c r="A89" s="100">
        <v>45095</v>
      </c>
      <c r="B89" s="8" t="s">
        <v>1095</v>
      </c>
      <c r="E89" s="163">
        <v>-257</v>
      </c>
    </row>
    <row r="90" spans="1:5">
      <c r="A90" s="100">
        <v>45096</v>
      </c>
      <c r="B90" s="8" t="s">
        <v>652</v>
      </c>
      <c r="E90" s="163">
        <v>-250</v>
      </c>
    </row>
    <row r="91" spans="1:5">
      <c r="A91" s="100">
        <v>45097</v>
      </c>
      <c r="B91" s="8" t="s">
        <v>1096</v>
      </c>
      <c r="E91" s="163">
        <v>-110</v>
      </c>
    </row>
    <row r="92" spans="1:5">
      <c r="A92" s="100">
        <v>45098</v>
      </c>
      <c r="B92" s="8" t="s">
        <v>1097</v>
      </c>
      <c r="E92" s="163">
        <v>-405</v>
      </c>
    </row>
    <row r="93" spans="1:5">
      <c r="A93" s="100">
        <v>45099</v>
      </c>
      <c r="B93" s="8" t="s">
        <v>1098</v>
      </c>
      <c r="E93" s="163">
        <v>-820</v>
      </c>
    </row>
    <row r="94" spans="1:5">
      <c r="A94" s="100">
        <v>45099</v>
      </c>
      <c r="B94" s="8" t="s">
        <v>1099</v>
      </c>
      <c r="E94" s="163">
        <v>-599</v>
      </c>
    </row>
    <row r="95" spans="1:5">
      <c r="A95" s="100">
        <v>45099</v>
      </c>
      <c r="B95" s="8" t="s">
        <v>1100</v>
      </c>
      <c r="E95" s="163">
        <v>-8</v>
      </c>
    </row>
    <row r="96" spans="1:5">
      <c r="A96" s="100">
        <v>45099</v>
      </c>
      <c r="B96" s="8" t="s">
        <v>1100</v>
      </c>
      <c r="E96" s="163">
        <v>-1197.3800000000001</v>
      </c>
    </row>
    <row r="97" spans="1:5">
      <c r="A97" s="100">
        <v>45100</v>
      </c>
      <c r="B97" s="8" t="s">
        <v>1101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1102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1069</v>
      </c>
      <c r="C113" s="2"/>
      <c r="D113" s="2"/>
      <c r="E113" s="17">
        <v>53088</v>
      </c>
    </row>
    <row r="114" spans="1:5">
      <c r="A114" s="100">
        <v>45077</v>
      </c>
      <c r="B114" s="8" t="s">
        <v>301</v>
      </c>
      <c r="C114" s="2"/>
      <c r="D114" s="2"/>
      <c r="E114" s="17">
        <v>12372.88</v>
      </c>
    </row>
    <row r="115" spans="1:5">
      <c r="A115" s="100">
        <v>45077</v>
      </c>
      <c r="B115" s="8" t="s">
        <v>302</v>
      </c>
      <c r="C115" s="2"/>
      <c r="D115" s="2"/>
      <c r="E115" s="17">
        <v>26868.21</v>
      </c>
    </row>
    <row r="116" spans="1:5">
      <c r="A116" s="100">
        <v>45077</v>
      </c>
      <c r="B116" s="8" t="s">
        <v>1006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1103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1104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1105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1106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556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1107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1108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554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324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1109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672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1110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1111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1112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1113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1114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1115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326</v>
      </c>
      <c r="E31" s="63"/>
      <c r="G31" s="63"/>
      <c r="H31" s="63"/>
    </row>
    <row r="32" spans="1:8">
      <c r="A32" s="103" t="s">
        <v>327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328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921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330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331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332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333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334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1055</v>
      </c>
      <c r="C50" s="106"/>
      <c r="D50" s="106" t="s">
        <v>396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1116</v>
      </c>
      <c r="C51">
        <v>659.93</v>
      </c>
      <c r="D51" s="35" t="s">
        <v>984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772</v>
      </c>
      <c r="C52">
        <v>613.91</v>
      </c>
      <c r="D52" s="35" t="s">
        <v>1117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1118</v>
      </c>
      <c r="C53">
        <v>720.19</v>
      </c>
      <c r="D53" s="321" t="s">
        <v>1119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1029</v>
      </c>
      <c r="C54">
        <v>2258.94</v>
      </c>
      <c r="D54" s="35" t="s">
        <v>1120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724</v>
      </c>
      <c r="C57" s="106">
        <v>10764.57</v>
      </c>
      <c r="D57" s="35" t="s">
        <v>989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950</v>
      </c>
      <c r="C58" s="106">
        <v>3299</v>
      </c>
      <c r="D58" s="35" t="s">
        <v>645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952</v>
      </c>
      <c r="C60" s="106">
        <v>3123.29</v>
      </c>
      <c r="D60" s="204" t="s">
        <v>645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1121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1122</v>
      </c>
      <c r="E63" s="163">
        <v>-496</v>
      </c>
    </row>
    <row r="64" spans="1:8">
      <c r="A64" s="100">
        <v>45043</v>
      </c>
      <c r="B64" s="106" t="s">
        <v>1123</v>
      </c>
      <c r="C64" s="106"/>
      <c r="D64" s="106"/>
      <c r="E64" s="163">
        <v>-120</v>
      </c>
    </row>
    <row r="65" spans="1:6">
      <c r="A65" s="100">
        <v>45044</v>
      </c>
      <c r="B65" s="8" t="s">
        <v>1124</v>
      </c>
      <c r="E65" s="163">
        <v>-321</v>
      </c>
      <c r="F65" s="63"/>
    </row>
    <row r="66" spans="1:6">
      <c r="A66" s="100">
        <v>45044</v>
      </c>
      <c r="B66" s="8" t="s">
        <v>1125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1126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1126</v>
      </c>
      <c r="C69">
        <v>225</v>
      </c>
      <c r="E69" s="163"/>
    </row>
    <row r="70" spans="1:6">
      <c r="A70" s="100">
        <v>45062</v>
      </c>
      <c r="B70" s="8" t="s">
        <v>1126</v>
      </c>
      <c r="C70">
        <v>500</v>
      </c>
      <c r="E70" s="163"/>
    </row>
    <row r="71" spans="1:6">
      <c r="A71" s="100">
        <v>45066</v>
      </c>
      <c r="B71" s="8" t="s">
        <v>1127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1128</v>
      </c>
      <c r="C85" s="106"/>
      <c r="D85" s="106"/>
      <c r="E85" s="163">
        <v>-140</v>
      </c>
      <c r="F85" s="63" t="s">
        <v>1129</v>
      </c>
      <c r="G85" s="63"/>
      <c r="H85" s="63"/>
    </row>
    <row r="86" spans="1:8">
      <c r="A86" s="100">
        <v>45044</v>
      </c>
      <c r="B86" s="106" t="s">
        <v>1130</v>
      </c>
      <c r="C86" s="106"/>
      <c r="D86" s="106"/>
      <c r="E86" s="163">
        <v>-35.78</v>
      </c>
      <c r="F86" s="63" t="s">
        <v>1129</v>
      </c>
      <c r="G86" s="63"/>
      <c r="H86" s="63"/>
    </row>
    <row r="87" spans="1:8">
      <c r="A87" s="100">
        <v>45045</v>
      </c>
      <c r="B87" s="106" t="s">
        <v>270</v>
      </c>
      <c r="C87" s="106">
        <v>-221.54</v>
      </c>
      <c r="D87" s="106"/>
      <c r="E87" s="163"/>
      <c r="F87" s="63" t="s">
        <v>1129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1129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1129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1129</v>
      </c>
    </row>
    <row r="91" spans="1:8">
      <c r="A91" s="100">
        <v>45026</v>
      </c>
      <c r="B91" s="8" t="s">
        <v>1131</v>
      </c>
      <c r="E91" s="163">
        <v>-140</v>
      </c>
      <c r="F91" s="63" t="s">
        <v>1129</v>
      </c>
    </row>
    <row r="92" spans="1:8">
      <c r="A92" s="100">
        <v>45026</v>
      </c>
      <c r="B92" s="8" t="s">
        <v>1130</v>
      </c>
      <c r="E92" s="163">
        <v>-57.07</v>
      </c>
      <c r="F92" s="63" t="s">
        <v>1129</v>
      </c>
    </row>
    <row r="93" spans="1:8">
      <c r="A93" s="100">
        <v>45026</v>
      </c>
      <c r="B93" s="8" t="s">
        <v>953</v>
      </c>
      <c r="C93">
        <v>1140.99</v>
      </c>
      <c r="D93" s="8" t="s">
        <v>956</v>
      </c>
      <c r="E93" s="163">
        <v>-190.17</v>
      </c>
      <c r="F93" s="8" t="s">
        <v>1129</v>
      </c>
    </row>
    <row r="94" spans="1:8">
      <c r="A94" s="100">
        <v>45061</v>
      </c>
      <c r="B94" s="8" t="s">
        <v>1132</v>
      </c>
      <c r="E94" s="163">
        <v>-190</v>
      </c>
      <c r="F94" s="63" t="s">
        <v>1129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1133</v>
      </c>
      <c r="B111" s="104" t="s">
        <v>1134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1069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301</v>
      </c>
      <c r="C114" s="2"/>
      <c r="D114" s="2"/>
      <c r="E114" s="17">
        <v>28049.84</v>
      </c>
    </row>
    <row r="115" spans="1:5">
      <c r="A115" s="100">
        <v>45077</v>
      </c>
      <c r="B115" s="8" t="s">
        <v>302</v>
      </c>
      <c r="C115" s="2"/>
      <c r="D115" s="2"/>
      <c r="E115" s="17">
        <v>6000.59</v>
      </c>
    </row>
    <row r="116" spans="1:5">
      <c r="A116" s="100">
        <v>45077</v>
      </c>
      <c r="B116" s="8" t="s">
        <v>1006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1103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1104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1135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1136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1137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604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603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1138</v>
      </c>
      <c r="C12" s="101" t="s">
        <v>324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324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324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672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1139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1140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1115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1141</v>
      </c>
      <c r="C28" s="101"/>
      <c r="D28" s="101"/>
      <c r="E28" s="163"/>
      <c r="H28" s="63"/>
    </row>
    <row r="29" spans="1:8">
      <c r="A29" s="100"/>
      <c r="B29" s="101" t="s">
        <v>1142</v>
      </c>
      <c r="C29" s="101"/>
      <c r="D29" s="101"/>
      <c r="E29" s="163"/>
      <c r="H29" s="63"/>
    </row>
    <row r="30" spans="1:8">
      <c r="A30" s="100"/>
      <c r="B30" s="101" t="s">
        <v>1143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1144</v>
      </c>
      <c r="C32" s="101" t="s">
        <v>1145</v>
      </c>
      <c r="D32" s="101"/>
      <c r="E32" s="163"/>
      <c r="H32" s="63"/>
    </row>
    <row r="33" spans="1:8">
      <c r="A33" s="100"/>
      <c r="B33" s="8" t="s">
        <v>1146</v>
      </c>
      <c r="C33" s="101"/>
      <c r="D33" s="101"/>
      <c r="E33" s="163"/>
      <c r="H33" s="63"/>
    </row>
    <row r="34" spans="1:8">
      <c r="A34" s="100"/>
      <c r="B34" s="8" t="s">
        <v>1147</v>
      </c>
      <c r="C34" s="101"/>
      <c r="D34" s="101"/>
      <c r="E34" s="163"/>
      <c r="H34" s="63"/>
    </row>
    <row r="35" spans="1:8">
      <c r="A35" s="100"/>
      <c r="B35" s="101" t="s">
        <v>1148</v>
      </c>
      <c r="C35" s="101"/>
      <c r="D35" s="101"/>
      <c r="E35" s="163"/>
      <c r="H35" s="63"/>
    </row>
    <row r="36" spans="1:8">
      <c r="A36" s="100"/>
      <c r="B36" s="101" t="s">
        <v>1149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326</v>
      </c>
      <c r="E41" s="63"/>
      <c r="G41" s="63"/>
      <c r="H41" s="63"/>
    </row>
    <row r="42" spans="1:8">
      <c r="A42" s="103" t="s">
        <v>327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328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921</v>
      </c>
      <c r="D48">
        <v>509.04</v>
      </c>
      <c r="E48" s="63">
        <v>510</v>
      </c>
      <c r="F48" s="63"/>
      <c r="G48" s="63"/>
    </row>
    <row r="49" spans="1:8">
      <c r="B49" t="s">
        <v>330</v>
      </c>
      <c r="D49">
        <v>938.46</v>
      </c>
      <c r="E49" s="63">
        <v>938.5</v>
      </c>
      <c r="F49" s="63"/>
      <c r="G49" s="63"/>
    </row>
    <row r="50" spans="1:8">
      <c r="B50" t="s">
        <v>331</v>
      </c>
      <c r="D50">
        <v>126.34</v>
      </c>
      <c r="E50">
        <v>126</v>
      </c>
      <c r="F50" s="63"/>
      <c r="G50" s="63"/>
    </row>
    <row r="51" spans="1:8">
      <c r="B51" t="s">
        <v>332</v>
      </c>
      <c r="D51">
        <v>934.05</v>
      </c>
      <c r="E51">
        <v>935</v>
      </c>
      <c r="F51" s="63"/>
      <c r="G51" s="63"/>
    </row>
    <row r="52" spans="1:8">
      <c r="B52" t="s">
        <v>333</v>
      </c>
      <c r="D52">
        <v>220.12</v>
      </c>
      <c r="E52">
        <v>220</v>
      </c>
      <c r="F52" s="63"/>
      <c r="G52" s="63"/>
    </row>
    <row r="53" spans="1:8">
      <c r="B53" t="s">
        <v>334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1055</v>
      </c>
      <c r="C60" s="106"/>
      <c r="D60" s="106" t="s">
        <v>675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818</v>
      </c>
      <c r="C61">
        <v>437.97</v>
      </c>
      <c r="D61" s="35" t="s">
        <v>1119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819</v>
      </c>
      <c r="C62">
        <v>404.23</v>
      </c>
      <c r="D62" s="35" t="s">
        <v>1119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820</v>
      </c>
      <c r="C63">
        <v>1135</v>
      </c>
      <c r="D63" s="35" t="s">
        <v>1119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1116</v>
      </c>
      <c r="C64">
        <v>659.93</v>
      </c>
      <c r="D64" s="35" t="s">
        <v>1030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1118</v>
      </c>
      <c r="C65">
        <v>720.19</v>
      </c>
      <c r="D65" s="321" t="s">
        <v>1150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772</v>
      </c>
      <c r="C66">
        <v>613.91</v>
      </c>
      <c r="D66" s="35" t="s">
        <v>1151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1029</v>
      </c>
      <c r="C67">
        <v>2258.94</v>
      </c>
      <c r="D67" s="35" t="s">
        <v>606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1152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1153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1154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415</v>
      </c>
      <c r="E72" s="163">
        <v>-158.63999999999999</v>
      </c>
    </row>
    <row r="73" spans="1:8">
      <c r="A73" s="100">
        <v>45037</v>
      </c>
      <c r="B73" s="8" t="s">
        <v>1058</v>
      </c>
      <c r="D73" s="35"/>
      <c r="E73" s="163">
        <v>-100</v>
      </c>
    </row>
    <row r="74" spans="1:8">
      <c r="A74" s="100">
        <v>45037</v>
      </c>
      <c r="B74" s="8" t="s">
        <v>1058</v>
      </c>
      <c r="E74" s="163">
        <v>-15</v>
      </c>
    </row>
    <row r="75" spans="1:8">
      <c r="A75" s="100">
        <v>45039</v>
      </c>
      <c r="B75" s="8" t="s">
        <v>1155</v>
      </c>
      <c r="E75" s="163">
        <v>-430</v>
      </c>
    </row>
    <row r="76" spans="1:8">
      <c r="A76" s="100">
        <v>45040</v>
      </c>
      <c r="B76" s="8" t="s">
        <v>1156</v>
      </c>
      <c r="E76" s="163">
        <v>-69.739999999999995</v>
      </c>
    </row>
    <row r="77" spans="1:8">
      <c r="A77" s="100">
        <v>45040</v>
      </c>
      <c r="B77" s="8" t="s">
        <v>1157</v>
      </c>
      <c r="E77" s="163">
        <v>-125</v>
      </c>
    </row>
    <row r="78" spans="1:8">
      <c r="A78" s="100"/>
      <c r="E78" s="163" t="s">
        <v>1158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1159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1158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1160</v>
      </c>
      <c r="B111" s="104" t="s">
        <v>1134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1069</v>
      </c>
      <c r="C113" s="2"/>
      <c r="D113" s="2"/>
      <c r="E113" s="17">
        <v>53088</v>
      </c>
    </row>
    <row r="114" spans="1:5">
      <c r="A114" s="100">
        <v>45077</v>
      </c>
      <c r="B114" s="8" t="s">
        <v>301</v>
      </c>
      <c r="C114" s="2"/>
      <c r="D114" s="2"/>
      <c r="E114" s="17">
        <v>28049.84</v>
      </c>
    </row>
    <row r="115" spans="1:5">
      <c r="A115" s="100">
        <v>45077</v>
      </c>
      <c r="B115" s="8" t="s">
        <v>302</v>
      </c>
      <c r="C115" s="2"/>
      <c r="D115" s="2"/>
      <c r="E115" s="17">
        <v>6000.59</v>
      </c>
    </row>
    <row r="116" spans="1:5">
      <c r="A116" s="100">
        <v>45077</v>
      </c>
      <c r="B116" s="8" t="s">
        <v>1006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1103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1104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1135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1161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633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627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1162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1075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1074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1163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672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1164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1165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1166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1167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1168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1169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1170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1171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326</v>
      </c>
      <c r="E36" s="63"/>
      <c r="G36" s="63"/>
      <c r="H36" s="63"/>
    </row>
    <row r="37" spans="1:8">
      <c r="A37" s="103" t="s">
        <v>327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328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921</v>
      </c>
      <c r="D43">
        <v>835.27</v>
      </c>
      <c r="E43" s="63">
        <v>835</v>
      </c>
      <c r="F43" s="63"/>
      <c r="G43" s="63"/>
    </row>
    <row r="44" spans="1:8">
      <c r="B44" t="s">
        <v>330</v>
      </c>
      <c r="D44">
        <v>1240.45</v>
      </c>
      <c r="E44" s="63">
        <v>1240</v>
      </c>
      <c r="F44" s="63"/>
      <c r="G44" s="63"/>
    </row>
    <row r="45" spans="1:8">
      <c r="B45" t="s">
        <v>331</v>
      </c>
      <c r="D45">
        <v>195.7</v>
      </c>
      <c r="E45">
        <v>195</v>
      </c>
      <c r="F45" s="63"/>
      <c r="G45" s="63"/>
    </row>
    <row r="46" spans="1:8">
      <c r="B46" t="s">
        <v>332</v>
      </c>
      <c r="D46">
        <v>1448.09</v>
      </c>
      <c r="E46">
        <v>1450</v>
      </c>
      <c r="F46" s="63"/>
      <c r="G46" s="63"/>
    </row>
    <row r="47" spans="1:8">
      <c r="B47" t="s">
        <v>333</v>
      </c>
      <c r="D47">
        <v>335.29</v>
      </c>
      <c r="E47">
        <v>335</v>
      </c>
      <c r="F47" s="63"/>
      <c r="G47" s="63"/>
    </row>
    <row r="48" spans="1:8">
      <c r="B48" t="s">
        <v>334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1172</v>
      </c>
      <c r="C55" s="106"/>
      <c r="D55" s="106" t="s">
        <v>726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1173</v>
      </c>
      <c r="C56" s="106"/>
      <c r="D56" s="106" t="s">
        <v>984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1174</v>
      </c>
      <c r="C57" s="106"/>
      <c r="D57" s="106" t="s">
        <v>984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1175</v>
      </c>
      <c r="C58" s="106"/>
      <c r="D58" s="106" t="s">
        <v>984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1176</v>
      </c>
      <c r="C59" s="106"/>
      <c r="D59" s="106" t="s">
        <v>984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818</v>
      </c>
      <c r="C60">
        <v>437.97</v>
      </c>
      <c r="D60" s="35" t="s">
        <v>1150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819</v>
      </c>
      <c r="C61">
        <v>404.23</v>
      </c>
      <c r="D61" s="35" t="s">
        <v>1150</v>
      </c>
      <c r="E61" s="163">
        <v>-134.74</v>
      </c>
      <c r="F61" s="63"/>
    </row>
    <row r="62" spans="1:8">
      <c r="A62" s="100">
        <v>44985</v>
      </c>
      <c r="B62" s="8" t="s">
        <v>820</v>
      </c>
      <c r="C62">
        <v>1135</v>
      </c>
      <c r="D62" s="35" t="s">
        <v>1150</v>
      </c>
      <c r="E62" s="163">
        <v>-378.33</v>
      </c>
      <c r="F62" s="63"/>
    </row>
    <row r="63" spans="1:8">
      <c r="A63" s="100">
        <v>44982</v>
      </c>
      <c r="B63" s="8" t="s">
        <v>1177</v>
      </c>
      <c r="C63">
        <v>659.93</v>
      </c>
      <c r="D63" s="35" t="s">
        <v>1057</v>
      </c>
      <c r="E63" s="163">
        <v>-164.98</v>
      </c>
      <c r="F63" s="63"/>
    </row>
    <row r="64" spans="1:8">
      <c r="A64" s="100">
        <v>44995</v>
      </c>
      <c r="B64" s="8" t="s">
        <v>1118</v>
      </c>
      <c r="C64">
        <v>720.19</v>
      </c>
      <c r="D64" s="321" t="s">
        <v>1178</v>
      </c>
      <c r="E64" s="163">
        <v>-240.06</v>
      </c>
      <c r="F64" s="63"/>
    </row>
    <row r="65" spans="1:8">
      <c r="A65" s="100">
        <v>44995</v>
      </c>
      <c r="B65" s="8" t="s">
        <v>772</v>
      </c>
      <c r="C65">
        <v>613.91</v>
      </c>
      <c r="D65" s="35" t="s">
        <v>1179</v>
      </c>
      <c r="E65" s="163">
        <v>-61.39</v>
      </c>
      <c r="F65" s="63"/>
    </row>
    <row r="66" spans="1:8">
      <c r="A66" s="100">
        <v>44995</v>
      </c>
      <c r="B66" s="8" t="s">
        <v>1029</v>
      </c>
      <c r="C66">
        <v>2258.94</v>
      </c>
      <c r="D66" s="35" t="s">
        <v>645</v>
      </c>
      <c r="E66" s="163">
        <v>-376.49</v>
      </c>
      <c r="F66" s="63"/>
    </row>
    <row r="67" spans="1:8">
      <c r="A67" s="100">
        <v>44985</v>
      </c>
      <c r="B67" s="8" t="s">
        <v>1180</v>
      </c>
      <c r="D67" s="35"/>
      <c r="E67" s="163">
        <v>-161.31</v>
      </c>
      <c r="F67" s="63"/>
    </row>
    <row r="68" spans="1:8">
      <c r="A68" s="100">
        <v>44986</v>
      </c>
      <c r="B68" s="8" t="s">
        <v>1180</v>
      </c>
      <c r="D68" s="35"/>
      <c r="E68" s="163">
        <v>-137.93</v>
      </c>
      <c r="F68" s="63"/>
    </row>
    <row r="69" spans="1:8">
      <c r="A69" s="100">
        <v>44987</v>
      </c>
      <c r="B69" s="8" t="s">
        <v>1180</v>
      </c>
      <c r="D69" s="35"/>
      <c r="E69" s="163">
        <v>-121.99</v>
      </c>
      <c r="F69" s="63"/>
    </row>
    <row r="70" spans="1:8">
      <c r="A70" s="100">
        <v>45004</v>
      </c>
      <c r="B70" s="8" t="s">
        <v>1181</v>
      </c>
      <c r="D70" s="35"/>
      <c r="E70" s="163">
        <v>-94.85</v>
      </c>
      <c r="F70" s="63"/>
    </row>
    <row r="71" spans="1:8">
      <c r="A71" s="100">
        <v>45005</v>
      </c>
      <c r="B71" s="8" t="s">
        <v>1182</v>
      </c>
      <c r="D71" s="35"/>
      <c r="E71" s="163">
        <v>-456.1</v>
      </c>
      <c r="F71" s="63"/>
    </row>
    <row r="72" spans="1:8">
      <c r="A72" s="100">
        <v>45005</v>
      </c>
      <c r="B72" s="8" t="s">
        <v>1183</v>
      </c>
      <c r="E72" s="163">
        <v>-110</v>
      </c>
    </row>
    <row r="73" spans="1:8">
      <c r="A73" s="100">
        <v>45007</v>
      </c>
      <c r="B73" s="8" t="s">
        <v>1184</v>
      </c>
      <c r="D73" s="35"/>
      <c r="E73" s="163">
        <v>-554.11</v>
      </c>
    </row>
    <row r="74" spans="1:8">
      <c r="A74" s="100">
        <v>45010</v>
      </c>
      <c r="B74" s="8" t="s">
        <v>1185</v>
      </c>
      <c r="D74" s="35"/>
      <c r="E74" s="163">
        <v>-530.54999999999995</v>
      </c>
    </row>
    <row r="75" spans="1:8">
      <c r="A75" s="100">
        <v>45010</v>
      </c>
      <c r="B75" s="8" t="s">
        <v>1186</v>
      </c>
      <c r="D75" s="35"/>
      <c r="E75" s="163">
        <v>-26.53</v>
      </c>
    </row>
    <row r="76" spans="1:8">
      <c r="A76" s="100"/>
      <c r="D76" s="35"/>
      <c r="E76" s="163" t="s">
        <v>1158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365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652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651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652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1187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1158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1188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1069</v>
      </c>
      <c r="C113" s="2"/>
      <c r="D113" s="2"/>
      <c r="E113" s="17">
        <v>53088</v>
      </c>
    </row>
    <row r="114" spans="1:5">
      <c r="A114" s="100">
        <v>45016</v>
      </c>
      <c r="B114" s="8" t="s">
        <v>301</v>
      </c>
      <c r="C114" s="2"/>
      <c r="D114" s="2"/>
      <c r="E114" s="17">
        <v>44063.82</v>
      </c>
    </row>
    <row r="115" spans="1:5">
      <c r="A115" s="100">
        <v>45016</v>
      </c>
      <c r="B115" s="8" t="s">
        <v>302</v>
      </c>
      <c r="C115" s="2"/>
      <c r="D115" s="2"/>
      <c r="E115" s="17">
        <v>6000.59</v>
      </c>
    </row>
    <row r="116" spans="1:5">
      <c r="A116" s="100">
        <v>45016</v>
      </c>
      <c r="B116" s="8" t="s">
        <v>1006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1103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1104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1189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1190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1191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669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666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1192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1193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1194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672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1195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1196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1197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1198</v>
      </c>
      <c r="D25" s="102"/>
      <c r="F25" s="63"/>
      <c r="G25" s="63"/>
      <c r="H25" s="63">
        <f t="shared" si="0"/>
        <v>-270.29999999999927</v>
      </c>
    </row>
    <row r="26" spans="1:8">
      <c r="B26" t="s">
        <v>1199</v>
      </c>
      <c r="D26" s="102"/>
      <c r="F26" s="63"/>
      <c r="G26" s="63"/>
      <c r="H26" s="63">
        <f t="shared" si="0"/>
        <v>-270.29999999999927</v>
      </c>
    </row>
    <row r="27" spans="1:8">
      <c r="B27" t="s">
        <v>1200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652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1201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1202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766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1203</v>
      </c>
      <c r="D35" s="8" t="s">
        <v>387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1204</v>
      </c>
      <c r="D36" s="8" t="s">
        <v>387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1205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1206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1207</v>
      </c>
      <c r="G39" s="63"/>
      <c r="H39" s="63"/>
    </row>
    <row r="40" spans="1:8">
      <c r="B40" t="s">
        <v>326</v>
      </c>
      <c r="E40" s="63"/>
      <c r="G40" s="63"/>
      <c r="H40" s="63"/>
    </row>
    <row r="41" spans="1:8">
      <c r="A41" s="103" t="s">
        <v>327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328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1208</v>
      </c>
      <c r="D47">
        <v>933.16</v>
      </c>
      <c r="E47" s="63">
        <v>933.16</v>
      </c>
      <c r="F47" s="63"/>
      <c r="G47" s="63"/>
    </row>
    <row r="48" spans="1:8">
      <c r="B48" t="s">
        <v>330</v>
      </c>
      <c r="D48">
        <v>996.81</v>
      </c>
      <c r="E48" s="63">
        <v>996.81</v>
      </c>
      <c r="F48" s="63"/>
      <c r="G48" s="63"/>
    </row>
    <row r="49" spans="1:8">
      <c r="B49" t="s">
        <v>331</v>
      </c>
      <c r="D49">
        <v>233.14</v>
      </c>
      <c r="E49">
        <v>233.14</v>
      </c>
      <c r="F49" s="63"/>
      <c r="G49" s="63"/>
    </row>
    <row r="50" spans="1:8">
      <c r="B50" t="s">
        <v>1209</v>
      </c>
      <c r="D50">
        <v>200</v>
      </c>
      <c r="F50" s="63"/>
      <c r="G50" s="63"/>
    </row>
    <row r="51" spans="1:8">
      <c r="B51" t="s">
        <v>1210</v>
      </c>
      <c r="D51">
        <v>1128.6300000000001</v>
      </c>
      <c r="E51">
        <v>1128.6300000000001</v>
      </c>
      <c r="F51" s="63"/>
      <c r="G51" s="63"/>
    </row>
    <row r="52" spans="1:8">
      <c r="B52" t="s">
        <v>333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334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1211</v>
      </c>
      <c r="C60" s="106"/>
      <c r="D60" s="106" t="s">
        <v>440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1212</v>
      </c>
      <c r="C61" s="106"/>
      <c r="D61" s="106" t="s">
        <v>440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1213</v>
      </c>
      <c r="C62" s="106"/>
      <c r="D62" s="106" t="s">
        <v>771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1173</v>
      </c>
      <c r="C63" s="106"/>
      <c r="D63" s="106" t="s">
        <v>1030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1174</v>
      </c>
      <c r="C64" s="106"/>
      <c r="D64" s="106" t="s">
        <v>1030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1175</v>
      </c>
      <c r="C65" s="106"/>
      <c r="D65" s="106" t="s">
        <v>1030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1176</v>
      </c>
      <c r="C66" s="106"/>
      <c r="D66" s="106" t="s">
        <v>1030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1214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1215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1216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1217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1218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817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817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818</v>
      </c>
      <c r="C74">
        <v>437.97</v>
      </c>
      <c r="D74" s="35" t="s">
        <v>1178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819</v>
      </c>
      <c r="C75">
        <v>404.23</v>
      </c>
      <c r="D75" s="35" t="s">
        <v>1178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820</v>
      </c>
      <c r="C76">
        <v>1135</v>
      </c>
      <c r="D76" s="35" t="s">
        <v>1178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1219</v>
      </c>
      <c r="E77" s="163">
        <v>-880.22</v>
      </c>
      <c r="G77" s="63"/>
    </row>
    <row r="78" spans="1:8">
      <c r="A78" s="100">
        <v>44958</v>
      </c>
      <c r="B78" s="8" t="s">
        <v>1220</v>
      </c>
      <c r="E78" s="163">
        <v>-218.24</v>
      </c>
      <c r="G78" s="63"/>
    </row>
    <row r="79" spans="1:8">
      <c r="A79" s="100">
        <v>44960</v>
      </c>
      <c r="B79" s="8" t="s">
        <v>1221</v>
      </c>
      <c r="E79" s="163">
        <v>-120.45</v>
      </c>
      <c r="G79" s="63"/>
    </row>
    <row r="80" spans="1:8">
      <c r="A80" s="100">
        <v>44963</v>
      </c>
      <c r="B80" s="8" t="s">
        <v>1222</v>
      </c>
      <c r="D80" s="35"/>
      <c r="E80" s="163">
        <v>-130.56</v>
      </c>
      <c r="G80" s="63"/>
    </row>
    <row r="81" spans="1:8">
      <c r="A81" s="100">
        <v>44969</v>
      </c>
      <c r="B81" s="8" t="s">
        <v>1223</v>
      </c>
      <c r="D81" s="35"/>
      <c r="E81" s="163">
        <v>-51.99</v>
      </c>
      <c r="G81" s="63"/>
    </row>
    <row r="82" spans="1:8">
      <c r="A82" s="100">
        <v>44970</v>
      </c>
      <c r="B82" s="8" t="s">
        <v>525</v>
      </c>
      <c r="D82" s="35"/>
      <c r="E82" s="163">
        <v>-379</v>
      </c>
      <c r="G82" s="63"/>
    </row>
    <row r="83" spans="1:8">
      <c r="A83" s="100">
        <v>44970</v>
      </c>
      <c r="B83" s="8" t="s">
        <v>525</v>
      </c>
      <c r="D83" s="35"/>
      <c r="E83" s="163">
        <v>-510</v>
      </c>
      <c r="G83" s="63"/>
    </row>
    <row r="84" spans="1:8">
      <c r="A84" s="100">
        <v>44971</v>
      </c>
      <c r="B84" s="8" t="s">
        <v>1223</v>
      </c>
      <c r="D84" s="35"/>
      <c r="E84" s="163">
        <v>-51.99</v>
      </c>
      <c r="G84" s="63"/>
    </row>
    <row r="85" spans="1:8">
      <c r="A85" s="100">
        <v>44972</v>
      </c>
      <c r="B85" s="8" t="s">
        <v>1224</v>
      </c>
      <c r="D85" s="35"/>
      <c r="E85" s="163">
        <v>-54.77</v>
      </c>
      <c r="G85" s="63"/>
    </row>
    <row r="86" spans="1:8">
      <c r="A86" s="100">
        <v>44972</v>
      </c>
      <c r="B86" s="8" t="s">
        <v>1225</v>
      </c>
      <c r="D86" s="35"/>
      <c r="E86" s="163">
        <v>-459</v>
      </c>
      <c r="G86" s="63"/>
    </row>
    <row r="87" spans="1:8">
      <c r="A87" s="100">
        <v>44972</v>
      </c>
      <c r="B87" s="8" t="s">
        <v>1226</v>
      </c>
      <c r="D87" s="35"/>
      <c r="E87" s="163">
        <v>-211</v>
      </c>
      <c r="G87" s="63"/>
    </row>
    <row r="88" spans="1:8">
      <c r="A88" s="100">
        <v>44977</v>
      </c>
      <c r="B88" s="8" t="s">
        <v>1227</v>
      </c>
      <c r="D88" s="35"/>
      <c r="E88" s="163">
        <v>-100</v>
      </c>
      <c r="G88" s="63"/>
    </row>
    <row r="89" spans="1:8">
      <c r="A89" s="100">
        <v>44977</v>
      </c>
      <c r="B89" s="8" t="s">
        <v>1227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1116</v>
      </c>
      <c r="C92">
        <v>659.93</v>
      </c>
      <c r="D92" s="35" t="s">
        <v>1085</v>
      </c>
      <c r="E92" s="163">
        <v>-164.98</v>
      </c>
      <c r="G92" s="63"/>
    </row>
    <row r="93" spans="1:8">
      <c r="A93" s="323">
        <v>44982</v>
      </c>
      <c r="D93" s="35"/>
      <c r="E93" s="324" t="s">
        <v>1158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1228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1229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1156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1156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1156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1158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1230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1231</v>
      </c>
      <c r="C113" s="2"/>
      <c r="D113" s="2"/>
      <c r="E113" s="17">
        <v>53088</v>
      </c>
    </row>
    <row r="114" spans="1:5">
      <c r="A114" s="100">
        <v>45016</v>
      </c>
      <c r="B114" s="8" t="s">
        <v>301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302</v>
      </c>
      <c r="C115" s="2"/>
      <c r="D115" s="2"/>
      <c r="E115" s="17">
        <v>0.59</v>
      </c>
    </row>
    <row r="116" spans="1:5">
      <c r="A116" s="100">
        <v>45016</v>
      </c>
      <c r="B116" s="8" t="s">
        <v>1006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1103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1104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1232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1072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1233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1234</v>
      </c>
      <c r="C8" s="325" t="s">
        <v>387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1235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716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1236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1237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1238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1239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1240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1241</v>
      </c>
      <c r="F27" s="63"/>
      <c r="G27" s="63">
        <v>-5040</v>
      </c>
      <c r="H27" s="63">
        <f t="shared" si="0"/>
        <v>-18663.48</v>
      </c>
    </row>
    <row r="28" spans="1:8">
      <c r="B28" t="s">
        <v>1193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1242</v>
      </c>
      <c r="F29" s="63">
        <v>2000</v>
      </c>
      <c r="G29" s="63"/>
      <c r="H29" s="63">
        <f t="shared" si="0"/>
        <v>-16663.48</v>
      </c>
    </row>
    <row r="30" spans="1:8">
      <c r="B30" t="s">
        <v>1243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1244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1245</v>
      </c>
      <c r="D32" s="329">
        <v>1000</v>
      </c>
      <c r="H32" s="63">
        <f t="shared" si="0"/>
        <v>-10163.48</v>
      </c>
    </row>
    <row r="33" spans="1:8">
      <c r="B33" s="25" t="s">
        <v>1246</v>
      </c>
      <c r="D33" s="102"/>
      <c r="G33" s="63"/>
      <c r="H33" s="63">
        <f t="shared" si="0"/>
        <v>-10163.48</v>
      </c>
    </row>
    <row r="34" spans="1:8">
      <c r="A34" s="100"/>
      <c r="B34" s="312" t="s">
        <v>1247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1248</v>
      </c>
      <c r="C38" s="8" t="s">
        <v>387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1249</v>
      </c>
      <c r="C39" s="8" t="s">
        <v>387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1250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326</v>
      </c>
      <c r="G44" s="63"/>
      <c r="H44" s="63"/>
    </row>
    <row r="45" spans="1:8">
      <c r="A45" s="103" t="s">
        <v>327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1251</v>
      </c>
      <c r="C46" s="312"/>
      <c r="D46" s="312" t="s">
        <v>1252</v>
      </c>
      <c r="H46" s="63"/>
    </row>
    <row r="47" spans="1:8">
      <c r="A47" s="317">
        <v>44844</v>
      </c>
      <c r="B47" s="312" t="s">
        <v>1253</v>
      </c>
      <c r="C47" s="314"/>
      <c r="D47" s="312" t="s">
        <v>1254</v>
      </c>
      <c r="H47" s="63"/>
    </row>
    <row r="48" spans="1:8">
      <c r="A48" s="317"/>
      <c r="B48" s="312" t="s">
        <v>1255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328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1208</v>
      </c>
      <c r="D51">
        <v>1245.19</v>
      </c>
      <c r="E51" s="163">
        <v>1245</v>
      </c>
      <c r="F51" s="63"/>
      <c r="G51" s="63"/>
    </row>
    <row r="52" spans="1:8">
      <c r="B52" t="s">
        <v>330</v>
      </c>
      <c r="D52">
        <v>914.78</v>
      </c>
      <c r="E52" s="163">
        <v>915</v>
      </c>
      <c r="F52" s="63"/>
      <c r="G52" s="63"/>
    </row>
    <row r="53" spans="1:8">
      <c r="B53" t="s">
        <v>331</v>
      </c>
      <c r="D53">
        <v>295.54000000000002</v>
      </c>
      <c r="E53" s="163">
        <v>295</v>
      </c>
      <c r="F53" s="63"/>
      <c r="G53" s="63"/>
    </row>
    <row r="54" spans="1:8">
      <c r="B54" t="s">
        <v>1256</v>
      </c>
      <c r="D54">
        <v>200</v>
      </c>
      <c r="F54" s="63"/>
      <c r="G54" s="63"/>
    </row>
    <row r="55" spans="1:8">
      <c r="B55" t="s">
        <v>1257</v>
      </c>
      <c r="D55">
        <v>1367.33</v>
      </c>
      <c r="E55" s="163">
        <v>1368</v>
      </c>
      <c r="F55" s="63"/>
      <c r="G55" s="63"/>
    </row>
    <row r="56" spans="1:8">
      <c r="B56" t="s">
        <v>333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1258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1211</v>
      </c>
      <c r="C64" s="106"/>
      <c r="D64" s="106" t="s">
        <v>471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1212</v>
      </c>
      <c r="C65" s="106"/>
      <c r="D65" s="106" t="s">
        <v>471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1259</v>
      </c>
      <c r="C66" s="106"/>
      <c r="D66" s="106" t="s">
        <v>926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1260</v>
      </c>
      <c r="C67" s="106"/>
      <c r="D67" s="101" t="s">
        <v>1119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1173</v>
      </c>
      <c r="C68" s="106"/>
      <c r="D68" s="106" t="s">
        <v>1057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1174</v>
      </c>
      <c r="C69" s="106"/>
      <c r="D69" s="106" t="s">
        <v>1057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1175</v>
      </c>
      <c r="C70" s="106"/>
      <c r="D70" s="106" t="s">
        <v>1057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1176</v>
      </c>
      <c r="C71" s="106"/>
      <c r="D71" s="106" t="s">
        <v>1057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744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1261</v>
      </c>
      <c r="D73" s="8" t="s">
        <v>1262</v>
      </c>
    </row>
    <row r="74" spans="1:8">
      <c r="A74" s="100">
        <v>44925</v>
      </c>
      <c r="B74" s="8" t="s">
        <v>1263</v>
      </c>
      <c r="E74" s="163">
        <v>-47.8</v>
      </c>
    </row>
    <row r="75" spans="1:8">
      <c r="A75" s="100">
        <v>44934</v>
      </c>
      <c r="B75" s="8" t="s">
        <v>1264</v>
      </c>
      <c r="E75" s="163">
        <v>-556.07000000000005</v>
      </c>
    </row>
    <row r="76" spans="1:8">
      <c r="A76" s="100">
        <v>44936</v>
      </c>
      <c r="B76" s="8" t="s">
        <v>1265</v>
      </c>
      <c r="E76" s="163">
        <v>-79.34</v>
      </c>
    </row>
    <row r="77" spans="1:8">
      <c r="A77" s="100">
        <v>44937</v>
      </c>
      <c r="B77" s="8" t="s">
        <v>1215</v>
      </c>
      <c r="E77" s="163">
        <v>-123.45</v>
      </c>
    </row>
    <row r="78" spans="1:8">
      <c r="A78" s="100">
        <v>44938</v>
      </c>
      <c r="B78" s="8" t="s">
        <v>1216</v>
      </c>
      <c r="E78" s="163">
        <v>-113.57</v>
      </c>
    </row>
    <row r="79" spans="1:8">
      <c r="A79" s="100">
        <v>44939</v>
      </c>
      <c r="B79" s="8" t="s">
        <v>1217</v>
      </c>
      <c r="E79" s="163">
        <v>-118.62</v>
      </c>
    </row>
    <row r="80" spans="1:8">
      <c r="A80" s="100">
        <v>44940</v>
      </c>
      <c r="B80" s="8" t="s">
        <v>1218</v>
      </c>
      <c r="E80" s="163">
        <v>-123.85</v>
      </c>
    </row>
    <row r="81" spans="1:8">
      <c r="A81" s="100">
        <v>44942</v>
      </c>
      <c r="B81" s="8" t="s">
        <v>1221</v>
      </c>
      <c r="E81" s="163">
        <v>-177.33</v>
      </c>
    </row>
    <row r="82" spans="1:8">
      <c r="A82" s="100">
        <v>44947</v>
      </c>
      <c r="B82" s="8" t="s">
        <v>1058</v>
      </c>
      <c r="E82" s="163">
        <v>-100</v>
      </c>
    </row>
    <row r="83" spans="1:8">
      <c r="A83" s="100">
        <v>44949</v>
      </c>
      <c r="B83" s="8" t="s">
        <v>1222</v>
      </c>
      <c r="E83" s="163">
        <v>-111.1</v>
      </c>
    </row>
    <row r="84" spans="1:8">
      <c r="A84" s="100">
        <v>44950</v>
      </c>
      <c r="B84" s="8" t="s">
        <v>1266</v>
      </c>
      <c r="E84" s="163">
        <v>-99.87</v>
      </c>
    </row>
    <row r="85" spans="1:8">
      <c r="A85" s="100">
        <v>44951</v>
      </c>
      <c r="B85" s="8" t="s">
        <v>1267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1268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1269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1270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1271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1272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541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1273</v>
      </c>
      <c r="E94" s="163">
        <v>-164.8</v>
      </c>
    </row>
    <row r="95" spans="1:8">
      <c r="A95" s="100">
        <v>44930</v>
      </c>
      <c r="B95" s="107" t="s">
        <v>1274</v>
      </c>
      <c r="E95" s="163">
        <v>-139.33000000000001</v>
      </c>
    </row>
    <row r="96" spans="1:8">
      <c r="A96" s="100">
        <v>44931</v>
      </c>
      <c r="B96" s="107" t="s">
        <v>1275</v>
      </c>
      <c r="E96" s="163">
        <v>-143.19999999999999</v>
      </c>
    </row>
    <row r="97" spans="1:7">
      <c r="A97" s="100">
        <v>44934</v>
      </c>
      <c r="B97" s="8" t="s">
        <v>1276</v>
      </c>
      <c r="E97" s="163">
        <v>-297.38</v>
      </c>
    </row>
    <row r="98" spans="1:7">
      <c r="A98" s="100">
        <v>44944</v>
      </c>
      <c r="B98" s="8" t="s">
        <v>1277</v>
      </c>
      <c r="E98" s="163">
        <v>-286.02999999999997</v>
      </c>
    </row>
    <row r="99" spans="1:7">
      <c r="A99" s="100">
        <v>44944</v>
      </c>
      <c r="B99" s="8" t="s">
        <v>1277</v>
      </c>
      <c r="E99" s="163">
        <v>-423.18</v>
      </c>
    </row>
    <row r="100" spans="1:7">
      <c r="A100" s="100">
        <v>44950</v>
      </c>
      <c r="B100" s="8" t="s">
        <v>1278</v>
      </c>
      <c r="D100" s="35"/>
      <c r="E100" s="163">
        <v>-31.35</v>
      </c>
    </row>
    <row r="101" spans="1:7">
      <c r="B101" t="s">
        <v>1279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1280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301</v>
      </c>
      <c r="E114" s="163">
        <v>44567</v>
      </c>
    </row>
    <row r="115" spans="1:5">
      <c r="A115" s="100">
        <v>45291</v>
      </c>
      <c r="B115" s="8" t="s">
        <v>302</v>
      </c>
      <c r="E115" s="163">
        <v>5590</v>
      </c>
    </row>
    <row r="116" spans="1:5">
      <c r="A116" s="100">
        <v>45291</v>
      </c>
      <c r="B116" s="8" t="s">
        <v>806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807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808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809</v>
      </c>
      <c r="E119" s="163">
        <v>34000</v>
      </c>
    </row>
    <row r="120" spans="1:5">
      <c r="A120" s="100"/>
    </row>
    <row r="121" spans="1:5">
      <c r="D121" t="s">
        <v>1281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1282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754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755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1283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1284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816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1243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871</v>
      </c>
      <c r="B22" t="s">
        <v>1234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871</v>
      </c>
      <c r="B23" t="s">
        <v>1285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1286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326</v>
      </c>
      <c r="E29" s="63"/>
      <c r="G29" s="63"/>
      <c r="H29" s="63"/>
    </row>
    <row r="30" spans="1:8">
      <c r="A30" s="103" t="s">
        <v>327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1251</v>
      </c>
      <c r="C31" s="312"/>
      <c r="D31" s="312" t="s">
        <v>1287</v>
      </c>
      <c r="E31" s="313"/>
      <c r="H31" s="63"/>
    </row>
    <row r="32" spans="1:8">
      <c r="A32" s="317">
        <v>44844</v>
      </c>
      <c r="B32" s="312" t="s">
        <v>1253</v>
      </c>
      <c r="C32" s="314"/>
      <c r="D32" s="312" t="s">
        <v>1254</v>
      </c>
      <c r="E32" s="312"/>
      <c r="H32" s="63"/>
    </row>
    <row r="33" spans="1:8">
      <c r="A33" s="317"/>
      <c r="B33" s="312" t="s">
        <v>1288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328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329</v>
      </c>
      <c r="D36" s="2">
        <v>1221.74</v>
      </c>
      <c r="E36" s="63">
        <v>1222</v>
      </c>
      <c r="H36" s="63"/>
    </row>
    <row r="37" spans="1:8">
      <c r="B37" t="s">
        <v>330</v>
      </c>
      <c r="D37" s="2">
        <v>1264.8699999999999</v>
      </c>
      <c r="E37" s="63">
        <v>1265</v>
      </c>
      <c r="F37" s="63"/>
      <c r="G37" s="63"/>
    </row>
    <row r="38" spans="1:8">
      <c r="B38" t="s">
        <v>331</v>
      </c>
      <c r="D38" s="2">
        <v>366.02</v>
      </c>
      <c r="E38" s="63">
        <v>366</v>
      </c>
      <c r="F38" s="63"/>
      <c r="G38" s="63"/>
    </row>
    <row r="39" spans="1:8">
      <c r="B39" t="s">
        <v>1289</v>
      </c>
      <c r="D39" s="17">
        <v>200</v>
      </c>
      <c r="F39" s="63"/>
      <c r="G39" s="63"/>
    </row>
    <row r="40" spans="1:8">
      <c r="B40" t="s">
        <v>1290</v>
      </c>
      <c r="D40" s="2">
        <v>1479.95</v>
      </c>
      <c r="E40">
        <v>1480</v>
      </c>
      <c r="F40" s="63"/>
      <c r="G40" s="63"/>
    </row>
    <row r="41" spans="1:8">
      <c r="B41" t="s">
        <v>1291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1292</v>
      </c>
      <c r="C42" s="106"/>
      <c r="D42" s="333">
        <v>200</v>
      </c>
      <c r="E42">
        <v>200</v>
      </c>
      <c r="F42" s="63"/>
      <c r="G42" s="63"/>
    </row>
    <row r="43" spans="1:8">
      <c r="B43" t="s">
        <v>334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1293</v>
      </c>
      <c r="C50" s="106"/>
      <c r="D50" s="106" t="s">
        <v>514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1294</v>
      </c>
      <c r="C51" s="106"/>
      <c r="D51" s="106" t="s">
        <v>514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1295</v>
      </c>
      <c r="C52" s="106"/>
      <c r="D52" s="106" t="s">
        <v>608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1296</v>
      </c>
      <c r="C53" s="106"/>
      <c r="D53" s="101" t="s">
        <v>1150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1173</v>
      </c>
      <c r="C54" s="106"/>
      <c r="D54" s="106" t="s">
        <v>1085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1174</v>
      </c>
      <c r="C55" s="106"/>
      <c r="D55" s="106" t="s">
        <v>1085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1175</v>
      </c>
      <c r="C56" s="106"/>
      <c r="D56" s="106" t="s">
        <v>1085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1176</v>
      </c>
      <c r="C57" s="106"/>
      <c r="D57" s="106" t="s">
        <v>1085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1297</v>
      </c>
      <c r="E58" s="63">
        <v>-182.4</v>
      </c>
      <c r="F58" s="63"/>
      <c r="G58" s="63"/>
      <c r="H58" s="63"/>
    </row>
    <row r="59" spans="1:8">
      <c r="A59" s="100"/>
      <c r="B59" s="8" t="s">
        <v>1298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1299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1300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410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1301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1302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1303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1304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1305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1306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1307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1308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1309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1310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1311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1312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1313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1314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1315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1316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392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1317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1318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301</v>
      </c>
      <c r="E114">
        <v>40162.18</v>
      </c>
    </row>
    <row r="115" spans="1:5">
      <c r="A115" s="100">
        <v>45291</v>
      </c>
      <c r="B115" s="8" t="s">
        <v>302</v>
      </c>
      <c r="E115">
        <v>44912.09</v>
      </c>
    </row>
    <row r="116" spans="1:5">
      <c r="A116" s="100">
        <v>45291</v>
      </c>
      <c r="B116" s="8" t="s">
        <v>806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807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808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809</v>
      </c>
      <c r="E119">
        <v>60000</v>
      </c>
    </row>
    <row r="120" spans="1:5">
      <c r="B120" t="s">
        <v>1319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798</v>
      </c>
      <c r="L2" s="335" t="s">
        <v>799</v>
      </c>
      <c r="M2" s="335" t="s">
        <v>32</v>
      </c>
      <c r="N2" s="26" t="s">
        <v>1320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1321</v>
      </c>
      <c r="J7">
        <v>95</v>
      </c>
      <c r="M7" s="2">
        <v>23.75</v>
      </c>
    </row>
    <row r="8" spans="1:14">
      <c r="A8" t="s">
        <v>1322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1323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1324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1325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1326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1327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1328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1329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1330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330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331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1331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332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333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1332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334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1333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1334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1335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1336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1337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1338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1339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1340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1341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1342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1343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1344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1344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1345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1346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1347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1348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1349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1350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1351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1352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1353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1354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1355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1356</v>
      </c>
      <c r="C46" s="106" t="s">
        <v>1357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1358</v>
      </c>
      <c r="C47" s="106" t="s">
        <v>1357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1359</v>
      </c>
      <c r="C48" s="106" t="s">
        <v>1360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1361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672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1362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1363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1364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1365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1366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1367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1368</v>
      </c>
      <c r="C69" s="277"/>
      <c r="D69" s="326">
        <v>200</v>
      </c>
      <c r="E69" s="63" t="s">
        <v>1369</v>
      </c>
      <c r="H69" s="63"/>
    </row>
    <row r="70" spans="1:8">
      <c r="A70" s="345">
        <v>44839</v>
      </c>
      <c r="B70" s="277" t="s">
        <v>1370</v>
      </c>
      <c r="C70" s="277"/>
      <c r="D70" s="326">
        <v>200</v>
      </c>
      <c r="E70" s="63" t="s">
        <v>1369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1251</v>
      </c>
      <c r="C72" s="277">
        <v>3</v>
      </c>
      <c r="D72" s="8" t="s">
        <v>1371</v>
      </c>
      <c r="E72" s="63"/>
    </row>
    <row r="73" spans="1:8">
      <c r="A73" s="345">
        <v>44844</v>
      </c>
      <c r="B73" s="277" t="s">
        <v>1253</v>
      </c>
      <c r="C73" s="171"/>
      <c r="D73" s="8" t="s">
        <v>1254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1372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330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331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1368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332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333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1373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334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1333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1374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1326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1327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1375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1376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1377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1378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1379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1380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1381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1382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1383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1384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1227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1385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1386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1387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1388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1389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1390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672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1391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1392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1393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1394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1395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1396</v>
      </c>
      <c r="H54" s="63">
        <f t="shared" si="1"/>
        <v>159986.79999999999</v>
      </c>
    </row>
    <row r="56" spans="1:8">
      <c r="A56" s="100">
        <v>44844</v>
      </c>
      <c r="B56" s="349" t="s">
        <v>1253</v>
      </c>
      <c r="C56" s="349"/>
      <c r="D56" s="350">
        <v>2000</v>
      </c>
    </row>
    <row r="57" spans="1:8">
      <c r="A57" s="100">
        <v>44839</v>
      </c>
      <c r="B57" s="349" t="s">
        <v>1370</v>
      </c>
      <c r="C57" s="349"/>
      <c r="D57" s="350">
        <v>200</v>
      </c>
    </row>
    <row r="59" spans="1:8">
      <c r="A59" s="345">
        <v>44803</v>
      </c>
      <c r="B59" s="277" t="s">
        <v>1251</v>
      </c>
      <c r="C59" s="277"/>
      <c r="D59" s="346"/>
    </row>
    <row r="60" spans="1:8">
      <c r="A60" s="345">
        <v>44772</v>
      </c>
      <c r="B60" s="277" t="s">
        <v>1397</v>
      </c>
      <c r="C60" s="277"/>
      <c r="D60" s="346"/>
    </row>
    <row r="61" spans="1:8">
      <c r="A61" s="345">
        <v>44742</v>
      </c>
      <c r="B61" s="277" t="s">
        <v>1398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1399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1400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330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331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1370</v>
      </c>
      <c r="D8" s="17">
        <v>200</v>
      </c>
      <c r="E8" s="63"/>
      <c r="F8" s="63"/>
      <c r="G8" s="63"/>
      <c r="H8" s="63"/>
    </row>
    <row r="9" spans="1:8">
      <c r="B9" t="s">
        <v>332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333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333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334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1333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1326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1327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1401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1402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1403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1404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1405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1406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1407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1408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1409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612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612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1410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612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1411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525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1412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1413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612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612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1414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1415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1416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1417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1418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612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1410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1419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1420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1409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1421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1422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1423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1424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1425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1426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1427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365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1428</v>
      </c>
      <c r="G56" s="63"/>
      <c r="H56" s="63">
        <f t="shared" si="1"/>
        <v>-42104.91</v>
      </c>
    </row>
    <row r="57" spans="1:8">
      <c r="A57" s="100"/>
      <c r="B57" s="8" t="s">
        <v>1429</v>
      </c>
      <c r="G57" s="63"/>
      <c r="H57" s="63">
        <f t="shared" si="1"/>
        <v>-42104.91</v>
      </c>
    </row>
    <row r="58" spans="1:8">
      <c r="A58" s="100">
        <v>44844</v>
      </c>
      <c r="B58" s="8" t="s">
        <v>1430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1430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1431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1253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1432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1433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1434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672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1435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1436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1437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1396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1438</v>
      </c>
      <c r="H82" s="63">
        <f t="shared" si="2"/>
        <v>-11205.910000000003</v>
      </c>
    </row>
    <row r="83" spans="1:8">
      <c r="B83" s="351" t="s">
        <v>1439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1440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1251</v>
      </c>
      <c r="C87" s="277"/>
      <c r="D87" s="353">
        <v>4000</v>
      </c>
      <c r="H87" s="63"/>
    </row>
    <row r="88" spans="1:8">
      <c r="A88" s="345">
        <v>44772</v>
      </c>
      <c r="B88" s="277" t="s">
        <v>1397</v>
      </c>
      <c r="C88" s="277"/>
      <c r="D88" s="353">
        <v>4000</v>
      </c>
      <c r="H88" s="63"/>
    </row>
    <row r="89" spans="1:8">
      <c r="A89" s="345">
        <v>44742</v>
      </c>
      <c r="B89" s="277" t="s">
        <v>1398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1441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330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1442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334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1333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1326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1327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1443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1444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1445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1433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1446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1447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1448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1449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1450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1451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1452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1453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1454</v>
      </c>
      <c r="C27" s="106" t="s">
        <v>1455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365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1456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1457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672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1458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1459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1460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1439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1251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1397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1398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1461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330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1462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1442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334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1333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1326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1327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1463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1464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1465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1433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1446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1466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1467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1453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1468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1469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1470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1471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1472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1473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1474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1475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1476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1477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1478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1479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1480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1480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1481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1482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1483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672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1484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1439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1251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1485</v>
      </c>
      <c r="H54" s="63">
        <f t="shared" si="1"/>
        <v>61721.7</v>
      </c>
    </row>
    <row r="55" spans="1:8">
      <c r="B55" s="325" t="s">
        <v>1486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1487</v>
      </c>
      <c r="C56" s="358" t="s">
        <v>1488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1489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1398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1397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1490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330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1462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334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1333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1326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1327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1491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1492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1493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1494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1495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1433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1446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1496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1497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1223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1498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1499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1500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1501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1502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1503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1227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1453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1504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1075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1074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1505</v>
      </c>
      <c r="C41" s="8" t="s">
        <v>1488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1506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1507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1508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1486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1509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1397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1510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1398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1511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1512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330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1462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334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1333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1326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1327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1513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1514</v>
      </c>
      <c r="C15" t="s">
        <v>1488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1515</v>
      </c>
      <c r="C16" t="s">
        <v>1516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1517</v>
      </c>
      <c r="E18" s="63"/>
      <c r="F18" s="63"/>
      <c r="G18" s="63"/>
      <c r="H18" s="63">
        <f t="shared" si="0"/>
        <v>-5596.51</v>
      </c>
    </row>
    <row r="19" spans="1:8">
      <c r="B19" t="s">
        <v>1518</v>
      </c>
      <c r="E19" s="63"/>
      <c r="F19" s="63"/>
      <c r="G19" s="63"/>
      <c r="H19" s="63">
        <f t="shared" si="0"/>
        <v>-5596.51</v>
      </c>
    </row>
    <row r="20" spans="1:8">
      <c r="B20" t="s">
        <v>1519</v>
      </c>
      <c r="E20" s="63"/>
      <c r="F20" s="63"/>
      <c r="G20" s="63"/>
      <c r="H20" s="63">
        <f t="shared" si="0"/>
        <v>-5596.51</v>
      </c>
    </row>
    <row r="21" spans="1:8">
      <c r="B21" t="s">
        <v>1520</v>
      </c>
      <c r="C21" t="s">
        <v>1488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1521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1522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1501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1523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1524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1525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1526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1058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1453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1527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1433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1446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1528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1529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1530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1531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1532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1398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1533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1534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1512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330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1535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1442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334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1333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1326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1327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1433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1446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1536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1536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1348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1537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1538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1453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672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1539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1532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1540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1512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330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1462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334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1333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1326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1327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1433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1446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1541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1542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1543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1544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1545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1546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1453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1547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1548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1549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1550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1551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1552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1553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1512</v>
      </c>
      <c r="C5" s="8" t="s">
        <v>1554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330</v>
      </c>
      <c r="C6" s="8" t="s">
        <v>1554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1462</v>
      </c>
      <c r="C7" s="8" t="s">
        <v>1554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334</v>
      </c>
      <c r="C8" s="8" t="s">
        <v>1554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1333</v>
      </c>
      <c r="C9" s="106" t="s">
        <v>1555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1326</v>
      </c>
      <c r="C10" s="101" t="s">
        <v>1555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1327</v>
      </c>
      <c r="C11" s="101" t="s">
        <v>1555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1433</v>
      </c>
      <c r="C13" s="106" t="s">
        <v>1555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1446</v>
      </c>
      <c r="C14" s="106" t="s">
        <v>1555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1556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1557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1558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1453</v>
      </c>
      <c r="C19" s="381" t="s">
        <v>1555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1555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1555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1559</v>
      </c>
      <c r="C23" s="8" t="s">
        <v>1555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1555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672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1560</v>
      </c>
      <c r="C28" s="63" t="s">
        <v>1554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1561</v>
      </c>
      <c r="C30" s="63" t="s">
        <v>1554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1562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1563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1564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1512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330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1462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334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1333</v>
      </c>
      <c r="C9" s="106" t="s">
        <v>1555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1326</v>
      </c>
      <c r="C10" s="101" t="s">
        <v>1555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1327</v>
      </c>
      <c r="C11" s="101" t="s">
        <v>1555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1433</v>
      </c>
      <c r="C13" s="106" t="s">
        <v>1555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1446</v>
      </c>
      <c r="C14" s="106" t="s">
        <v>1555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1453</v>
      </c>
      <c r="C16" s="381" t="s">
        <v>1555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1556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1565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1566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1488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1567</v>
      </c>
      <c r="C22" s="8" t="s">
        <v>1568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1488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1569</v>
      </c>
      <c r="C24" s="8" t="s">
        <v>1488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1570</v>
      </c>
      <c r="C28" s="8" t="s">
        <v>1555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1570</v>
      </c>
      <c r="C29" s="8" t="s">
        <v>1555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1571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1572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1573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1512</v>
      </c>
      <c r="C5" s="8" t="s">
        <v>1554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330</v>
      </c>
      <c r="C6" s="8" t="s">
        <v>1554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1462</v>
      </c>
      <c r="C7" s="8" t="s">
        <v>1554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334</v>
      </c>
      <c r="C8" s="8" t="s">
        <v>1554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1333</v>
      </c>
      <c r="C9" s="106" t="s">
        <v>1555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1326</v>
      </c>
      <c r="C10" s="101" t="s">
        <v>1555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1327</v>
      </c>
      <c r="C11" s="101" t="s">
        <v>1555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1433</v>
      </c>
      <c r="C13" s="106" t="s">
        <v>1555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1446</v>
      </c>
      <c r="C14" s="106" t="s">
        <v>1555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1556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1453</v>
      </c>
      <c r="C17" s="381" t="s">
        <v>1555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1488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1488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1555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672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1574</v>
      </c>
      <c r="C25" s="8" t="s">
        <v>1554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1575</v>
      </c>
    </row>
    <row r="3" spans="1:14">
      <c r="A3" t="s">
        <v>1576</v>
      </c>
      <c r="C3" t="s">
        <v>1577</v>
      </c>
      <c r="D3" t="s">
        <v>1578</v>
      </c>
    </row>
    <row r="4" spans="1:14">
      <c r="A4" t="s">
        <v>1579</v>
      </c>
      <c r="C4" t="s">
        <v>1580</v>
      </c>
      <c r="D4" t="s">
        <v>1581</v>
      </c>
    </row>
    <row r="5" spans="1:14">
      <c r="A5" t="s">
        <v>1582</v>
      </c>
      <c r="C5" t="s">
        <v>1580</v>
      </c>
      <c r="D5" t="s">
        <v>1583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798</v>
      </c>
      <c r="L11" s="335" t="s">
        <v>799</v>
      </c>
      <c r="M11" s="335" t="s">
        <v>32</v>
      </c>
      <c r="N11" s="26" t="s">
        <v>1320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1321</v>
      </c>
      <c r="J16">
        <v>95</v>
      </c>
      <c r="K16" s="2"/>
      <c r="M16" s="2">
        <v>23.75</v>
      </c>
    </row>
    <row r="17" spans="1:14">
      <c r="A17" t="s">
        <v>1322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1323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1324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2025-04-15T09:39:26Z</dcterms:modified>
  <dc:language>tr-TR</dc:language>
</cp:coreProperties>
</file>