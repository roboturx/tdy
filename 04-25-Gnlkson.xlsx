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CE90C78-3E30-4923-9F34-47B3C1186D94}" xr6:coauthVersionLast="47" xr6:coauthVersionMax="47" xr10:uidLastSave="{00000000-0000-0000-0000-000000000000}"/>
  <bookViews>
    <workbookView xWindow="-120" yWindow="-120" windowWidth="29040" windowHeight="15720" tabRatio="839" activeTab="12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3" l="1"/>
  <c r="H13" i="13"/>
  <c r="H14" i="13"/>
  <c r="H15" i="13"/>
  <c r="H16" i="13"/>
  <c r="H17" i="13"/>
  <c r="H18" i="13"/>
  <c r="H19" i="13"/>
  <c r="H20" i="13"/>
  <c r="H21" i="13"/>
  <c r="H22" i="13"/>
  <c r="F11" i="1"/>
  <c r="F12" i="1" s="1"/>
  <c r="F13" i="1" s="1"/>
  <c r="F14" i="1" s="1"/>
  <c r="F122" i="13"/>
  <c r="F136" i="13"/>
  <c r="F137" i="13" s="1"/>
  <c r="E37" i="12"/>
  <c r="E61" i="12"/>
  <c r="G161" i="13"/>
  <c r="E161" i="13"/>
  <c r="G121" i="13"/>
  <c r="E121" i="13"/>
  <c r="H37" i="13"/>
  <c r="H38" i="13" s="1"/>
  <c r="I161" i="13" l="1"/>
  <c r="I121" i="13"/>
  <c r="G158" i="13"/>
  <c r="E158" i="13"/>
  <c r="G157" i="13"/>
  <c r="E157" i="13"/>
  <c r="F134" i="14"/>
  <c r="G132" i="14"/>
  <c r="E154" i="13"/>
  <c r="G155" i="13"/>
  <c r="E155" i="13"/>
  <c r="I153" i="13"/>
  <c r="G152" i="13"/>
  <c r="E152" i="13"/>
  <c r="C146" i="13"/>
  <c r="G137" i="13"/>
  <c r="E137" i="13"/>
  <c r="N4" i="2" s="1"/>
  <c r="G136" i="13"/>
  <c r="E136" i="13"/>
  <c r="G135" i="13"/>
  <c r="E135" i="13"/>
  <c r="G132" i="13"/>
  <c r="E132" i="13"/>
  <c r="G131" i="13"/>
  <c r="E131" i="13"/>
  <c r="G130" i="13"/>
  <c r="E130" i="13"/>
  <c r="E129" i="13"/>
  <c r="G128" i="13"/>
  <c r="E128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8" i="12"/>
  <c r="G8" i="12" s="1"/>
  <c r="E7" i="12"/>
  <c r="G7" i="12"/>
  <c r="H4" i="12"/>
  <c r="H5" i="12" s="1"/>
  <c r="H6" i="12" s="1"/>
  <c r="F2" i="12"/>
  <c r="E5" i="2" s="1"/>
  <c r="D2" i="12"/>
  <c r="B5" i="2" s="1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I158" i="13" l="1"/>
  <c r="D76" i="14"/>
  <c r="I155" i="13"/>
  <c r="H7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8" i="13"/>
  <c r="I137" i="13"/>
  <c r="E133" i="13"/>
  <c r="I128" i="13"/>
  <c r="I123" i="13"/>
  <c r="I124" i="13"/>
  <c r="G122" i="13"/>
  <c r="I122" i="13" s="1"/>
  <c r="F129" i="13"/>
  <c r="G129" i="13" s="1"/>
  <c r="I129" i="13" s="1"/>
  <c r="I131" i="13"/>
  <c r="G160" i="13"/>
  <c r="I130" i="13"/>
  <c r="I136" i="13"/>
  <c r="H138" i="13"/>
  <c r="I125" i="13"/>
  <c r="I132" i="13"/>
  <c r="I151" i="13"/>
  <c r="E126" i="13"/>
  <c r="I152" i="13"/>
  <c r="I135" i="13"/>
  <c r="H137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33" i="13" l="1"/>
  <c r="H132" i="13"/>
  <c r="H7" i="13"/>
  <c r="H8" i="13" s="1"/>
  <c r="H9" i="13" s="1"/>
  <c r="H10" i="13" s="1"/>
  <c r="H11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66" i="13" l="1"/>
  <c r="H143" i="13"/>
  <c r="H130" i="14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<sst xmlns="http://schemas.openxmlformats.org/spreadsheetml/2006/main" count="4496" uniqueCount="1676">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</sst>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4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0" fontId="22" fillId="0" borderId="0" xfId="0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0" borderId="0" xfId="0" applyNumberFormat="1" applyFont="1" applyFill="1"/>
    <xf numFmtId="177" fontId="0" fillId="21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0" fontId="24" fillId="40" borderId="0" xfId="0" applyFont="1" applyFill="1"/>
    <xf numFmtId="0" fontId="25" fillId="45" borderId="0" xfId="0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3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3">
        <v>45667</v>
      </c>
      <c r="B7" s="424" t="s">
        <v>5</v>
      </c>
      <c r="C7" s="394"/>
      <c r="D7" s="425">
        <v>20000</v>
      </c>
      <c r="E7" s="425"/>
      <c r="F7" s="2">
        <f t="shared" ref="F7:F17" si="0">F6+D7-E7</f>
        <v>277330</v>
      </c>
    </row>
    <row r="8" spans="1:6" s="11" customFormat="1">
      <c r="A8" s="423">
        <v>45672</v>
      </c>
      <c r="B8" s="424" t="s">
        <v>1590</v>
      </c>
      <c r="C8" s="394"/>
      <c r="D8" s="425"/>
      <c r="E8" s="425">
        <v>25000</v>
      </c>
      <c r="F8" s="12">
        <f t="shared" si="0"/>
        <v>252330</v>
      </c>
    </row>
    <row r="9" spans="1:6">
      <c r="A9" s="423">
        <v>45672</v>
      </c>
      <c r="B9" s="394" t="s">
        <v>1591</v>
      </c>
      <c r="C9" s="394"/>
      <c r="D9" s="425"/>
      <c r="E9" s="425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3">
        <v>45709</v>
      </c>
      <c r="B11" s="394" t="s">
        <v>205</v>
      </c>
      <c r="C11" s="394"/>
      <c r="D11" s="425"/>
      <c r="E11" s="425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90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15000</v>
      </c>
      <c r="F4" s="32">
        <f>'02_25'!G2</f>
        <v>-71847.72</v>
      </c>
      <c r="G4" s="33">
        <f t="shared" ref="G4:G14" si="1">E4+F4+G3</f>
        <v>204188.29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'02_25'!E137/1000</f>
        <v>16.2</v>
      </c>
    </row>
    <row r="5" spans="1:14">
      <c r="A5" t="s">
        <v>37</v>
      </c>
      <c r="B5" s="32">
        <f>'03_25'!D2</f>
        <v>15000</v>
      </c>
      <c r="C5" s="32">
        <f>'03_25'!E2</f>
        <v>-76451.259999999995</v>
      </c>
      <c r="D5" s="33">
        <f t="shared" si="0"/>
        <v>251249.93999999994</v>
      </c>
      <c r="E5" s="32">
        <f>'03_25'!F2</f>
        <v>0</v>
      </c>
      <c r="F5" s="32">
        <f>'03_25'!G2</f>
        <v>-30154.199999999997</v>
      </c>
      <c r="G5" s="33">
        <f t="shared" si="1"/>
        <v>174034.09000000003</v>
      </c>
      <c r="H5" s="34"/>
      <c r="I5" s="35" t="s">
        <v>38</v>
      </c>
      <c r="K5" s="39"/>
      <c r="L5" s="37"/>
      <c r="M5" s="38">
        <f>J5</f>
        <v>0</v>
      </c>
      <c r="N5" s="8">
        <f>'03_25'!E139/1000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218963.09999999995</v>
      </c>
      <c r="E6" s="32">
        <f>'04_25'!F2</f>
        <v>0</v>
      </c>
      <c r="F6" s="32">
        <f>'04_25'!G2</f>
        <v>-989.78</v>
      </c>
      <c r="G6" s="33">
        <f t="shared" si="1"/>
        <v>173044.31000000003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188056.25999999995</v>
      </c>
      <c r="E7" s="32">
        <f>'05_25'!F2</f>
        <v>0</v>
      </c>
      <c r="F7" s="32">
        <f>'05_25'!G2</f>
        <v>-989.78</v>
      </c>
      <c r="G7" s="33">
        <f t="shared" si="1"/>
        <v>172054.53000000003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149649.41999999995</v>
      </c>
      <c r="E8" s="32">
        <f>'06_25'!F2</f>
        <v>0</v>
      </c>
      <c r="F8" s="32">
        <f>'06_25'!G2</f>
        <v>-989.78</v>
      </c>
      <c r="G8" s="33">
        <f t="shared" si="1"/>
        <v>171064.75000000003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111242.57999999996</v>
      </c>
      <c r="E9" s="32">
        <f>'07_25'!F2</f>
        <v>0</v>
      </c>
      <c r="F9" s="32">
        <f>'07_25'!G2</f>
        <v>-989.78</v>
      </c>
      <c r="G9" s="33">
        <f t="shared" si="1"/>
        <v>170074.97000000003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72835.739999999962</v>
      </c>
      <c r="E10" s="32">
        <f>'08_25'!F2</f>
        <v>0</v>
      </c>
      <c r="F10" s="32">
        <f>'08_25'!G2</f>
        <v>-989.78</v>
      </c>
      <c r="G10" s="33">
        <f t="shared" si="1"/>
        <v>169085.19000000003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35418.679999999964</v>
      </c>
      <c r="E11" s="32">
        <f>'09_25'!F2</f>
        <v>0</v>
      </c>
      <c r="F11" s="32">
        <f>'09_25'!G2</f>
        <v>0</v>
      </c>
      <c r="G11" s="33">
        <f t="shared" si="1"/>
        <v>169085.19000000003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-1998.3800000000338</v>
      </c>
      <c r="E12" s="32">
        <f>'10_25'!F2</f>
        <v>0</v>
      </c>
      <c r="F12" s="32">
        <f>'10_25'!G2</f>
        <v>0</v>
      </c>
      <c r="G12" s="33">
        <f t="shared" si="1"/>
        <v>169085.19000000003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-39415.440000000031</v>
      </c>
      <c r="E13" s="32">
        <f>'11_25'!F2</f>
        <v>0</v>
      </c>
      <c r="F13" s="32">
        <f>'11_25'!G2</f>
        <v>0</v>
      </c>
      <c r="G13" s="33">
        <f t="shared" si="1"/>
        <v>169085.19000000003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-76832.500000000029</v>
      </c>
      <c r="E14" s="32">
        <f>'12_25'!F2</f>
        <v>0</v>
      </c>
      <c r="F14" s="32">
        <f>'12_25'!G2</f>
        <v>0</v>
      </c>
      <c r="G14" s="33">
        <f t="shared" si="1"/>
        <v>169085.19000000003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-670496.5</v>
      </c>
      <c r="D15" s="33">
        <f>B15+C15</f>
        <v>-76832.5</v>
      </c>
      <c r="E15" s="33">
        <f>SUM(E3:E14)</f>
        <v>335054.88</v>
      </c>
      <c r="F15" s="33">
        <f>SUM(F3:F14)</f>
        <v>-165969.68999999997</v>
      </c>
      <c r="G15" s="33">
        <f>E15+F15</f>
        <v>169085.19000000003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-55874.708333333336</v>
      </c>
      <c r="D16" s="55"/>
      <c r="E16" s="55">
        <f>E15/A16</f>
        <v>27921.24</v>
      </c>
      <c r="F16" s="55">
        <f>F15/A16</f>
        <v>-13830.807499999997</v>
      </c>
      <c r="G16" s="55">
        <f>G15/A16</f>
        <v>14090.432500000003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976.10596800000008</v>
      </c>
      <c r="M17" s="441"/>
    </row>
    <row r="18" spans="2:13">
      <c r="D18" s="64" t="s">
        <v>58</v>
      </c>
      <c r="E18" s="2">
        <f>'01_25'!F32+'02_25'!F14+'02_25'!F26+'03_25'!F19+'04_25'!F41+'05_25'!F22+'06_25'!F19+'06_25'!F31+'04_25'!F15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02"/>
  <sheetViews>
    <sheetView topLeftCell="A13" zoomScale="190" zoomScaleNormal="190" workbookViewId="0">
      <selection activeCell="F17" sqref="F17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7" t="s">
        <v>101</v>
      </c>
      <c r="C2" s="79" t="s">
        <v>67</v>
      </c>
      <c r="D2" s="77">
        <f>SUM(D4:D33)</f>
        <v>15000</v>
      </c>
      <c r="E2" s="77">
        <f>SUM(E4:E33)</f>
        <v>-76451.259999999995</v>
      </c>
      <c r="F2" s="77">
        <f>SUM(F4:F33)</f>
        <v>0</v>
      </c>
      <c r="G2" s="77">
        <f>SUM(G4:G33)</f>
        <v>-30154.199999999997</v>
      </c>
      <c r="H2" s="77">
        <f>F2+G2</f>
        <v>-30154.199999999997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38"/>
      <c r="B6" s="428"/>
      <c r="C6" s="410"/>
      <c r="D6" s="408"/>
      <c r="E6" s="408"/>
      <c r="H6" s="77">
        <f t="shared" si="0"/>
        <v>0</v>
      </c>
    </row>
    <row r="7" spans="1:10">
      <c r="A7" s="438"/>
      <c r="B7" s="428" t="s">
        <v>68</v>
      </c>
      <c r="C7" s="429"/>
      <c r="D7" s="430"/>
      <c r="E7" s="408">
        <f>E37</f>
        <v>-18847.61</v>
      </c>
      <c r="F7" s="90"/>
      <c r="G7" s="90">
        <f>E7</f>
        <v>-18847.61</v>
      </c>
      <c r="H7" s="77">
        <f t="shared" si="0"/>
        <v>-18847.61</v>
      </c>
    </row>
    <row r="8" spans="1:10">
      <c r="A8" s="438"/>
      <c r="B8" s="428" t="s">
        <v>69</v>
      </c>
      <c r="C8" s="429"/>
      <c r="D8" s="430"/>
      <c r="E8" s="408">
        <f>E61</f>
        <v>-11306.589999999998</v>
      </c>
      <c r="F8" s="90"/>
      <c r="G8" s="90">
        <f>E8</f>
        <v>-11306.589999999998</v>
      </c>
      <c r="H8" s="77">
        <f t="shared" si="0"/>
        <v>-30154.199999999997</v>
      </c>
    </row>
    <row r="9" spans="1:10">
      <c r="G9" s="87"/>
      <c r="H9" s="77">
        <f t="shared" si="0"/>
        <v>-30154.199999999997</v>
      </c>
    </row>
    <row r="10" spans="1:10">
      <c r="B10" s="89" t="s">
        <v>70</v>
      </c>
      <c r="C10" s="89"/>
      <c r="D10" s="90"/>
      <c r="E10" s="90">
        <v>-2117.06</v>
      </c>
      <c r="H10" s="77">
        <f t="shared" si="0"/>
        <v>-30154.199999999997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-30154.199999999997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-30154.199999999997</v>
      </c>
    </row>
    <row r="13" spans="1:10">
      <c r="B13" s="92"/>
      <c r="C13" s="92"/>
      <c r="D13" s="90"/>
      <c r="E13" s="90"/>
      <c r="H13" s="77">
        <f t="shared" si="0"/>
        <v>-30154.199999999997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-30154.199999999997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-30154.199999999997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-30154.199999999997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-30154.199999999997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-30154.199999999997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-30154.199999999997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-30154.199999999997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-30154.199999999997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-30154.199999999997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-30154.199999999997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-30154.199999999997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-30154.199999999997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-30154.199999999997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-30154.199999999997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-30154.199999999997</v>
      </c>
    </row>
    <row r="29" spans="1:13">
      <c r="B29" s="101" t="s">
        <v>103</v>
      </c>
      <c r="C29" s="101"/>
      <c r="H29" s="77">
        <f t="shared" si="0"/>
        <v>-30154.199999999997</v>
      </c>
      <c r="I29" s="78"/>
      <c r="J29" s="78"/>
    </row>
    <row r="30" spans="1:13">
      <c r="H30" s="77">
        <f t="shared" si="0"/>
        <v>-30154.199999999997</v>
      </c>
    </row>
    <row r="31" spans="1:13">
      <c r="H31" s="77">
        <f t="shared" si="0"/>
        <v>-30154.199999999997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7"/>
      <c r="B36" s="102"/>
      <c r="K36" s="78"/>
      <c r="L36" s="78"/>
      <c r="M36" s="78"/>
      <c r="N36" s="78"/>
    </row>
    <row r="37" spans="1:14">
      <c r="A37" s="439"/>
      <c r="B37" s="104" t="s">
        <v>83</v>
      </c>
      <c r="C37" s="103"/>
      <c r="E37" s="77">
        <f>SUM(E38:E55)</f>
        <v>-18847.61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1640</v>
      </c>
      <c r="E40" s="77">
        <v>-2820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1642</v>
      </c>
      <c r="E41" s="77">
        <v>-3196.34</v>
      </c>
      <c r="K41" s="78"/>
      <c r="L41" s="78"/>
      <c r="M41" s="78"/>
      <c r="N41" s="78"/>
    </row>
    <row r="42" spans="1:14">
      <c r="A42" s="98">
        <v>45715</v>
      </c>
      <c r="B42" s="90" t="s">
        <v>1641</v>
      </c>
      <c r="C42" s="77"/>
      <c r="E42" s="77">
        <v>-467.95</v>
      </c>
      <c r="I42" s="77"/>
      <c r="J42" s="77"/>
    </row>
    <row r="43" spans="1:14" s="77" customFormat="1">
      <c r="A43" s="9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1659</v>
      </c>
      <c r="C45" s="106"/>
      <c r="E45" s="77">
        <v>-1580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1658</v>
      </c>
      <c r="C46" s="106"/>
      <c r="E46" s="77">
        <v>-1338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1660</v>
      </c>
      <c r="C47" s="106"/>
      <c r="E47" s="77">
        <v>-1200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1666</v>
      </c>
      <c r="E48" s="77">
        <v>-1300.54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1661</v>
      </c>
      <c r="C49" s="106"/>
      <c r="E49" s="77">
        <v>-3720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1674</v>
      </c>
      <c r="E50" s="77">
        <v>-2235</v>
      </c>
      <c r="K50" s="78"/>
      <c r="L50" s="78"/>
      <c r="M50" s="78"/>
      <c r="N50" s="78"/>
    </row>
    <row r="51" spans="1:14" s="90" customFormat="1">
      <c r="A51" s="98"/>
      <c r="B51" s="92"/>
      <c r="K51" s="78"/>
      <c r="L51" s="78"/>
      <c r="M51" s="78"/>
      <c r="N51" s="78"/>
    </row>
    <row r="52" spans="1:14" s="90" customFormat="1">
      <c r="A52" s="98"/>
      <c r="B52" s="92"/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 ht="15">
      <c r="A58" s="98"/>
      <c r="B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9"/>
      <c r="B61" s="104" t="s">
        <v>85</v>
      </c>
      <c r="C61" s="103"/>
      <c r="E61" s="77">
        <f>SUM(E62:E92)</f>
        <v>-11306.589999999998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7"/>
      <c r="F63" s="90"/>
      <c r="K63" s="78"/>
      <c r="L63" s="78"/>
      <c r="M63" s="78"/>
      <c r="N63" s="78"/>
    </row>
    <row r="64" spans="1:14" s="90" customFormat="1">
      <c r="A64" s="437">
        <v>45692</v>
      </c>
      <c r="B64" s="90" t="s">
        <v>1671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7">
        <v>45692</v>
      </c>
      <c r="B65" s="90" t="s">
        <v>1671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7"/>
      <c r="K66" s="78"/>
      <c r="L66" s="78"/>
      <c r="M66" s="78"/>
      <c r="N66" s="78"/>
    </row>
    <row r="67" spans="1:14" s="90" customFormat="1">
      <c r="A67" s="437"/>
      <c r="K67" s="78"/>
      <c r="L67" s="78"/>
      <c r="M67" s="78"/>
      <c r="N67" s="78"/>
    </row>
    <row r="68" spans="1:14" s="90" customFormat="1">
      <c r="A68" s="437"/>
      <c r="K68" s="78"/>
      <c r="L68" s="78"/>
      <c r="M68" s="78"/>
      <c r="N68" s="78"/>
    </row>
    <row r="69" spans="1:14" s="90" customFormat="1">
      <c r="A69" s="98">
        <v>45681</v>
      </c>
      <c r="B69" s="92" t="s">
        <v>1632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1633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1621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1634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1621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1669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7">
        <v>45694</v>
      </c>
      <c r="B79" s="90" t="s">
        <v>1621</v>
      </c>
      <c r="E79" s="90">
        <v>-70</v>
      </c>
      <c r="K79" s="78"/>
      <c r="L79" s="78"/>
      <c r="M79" s="78"/>
      <c r="N79" s="78"/>
    </row>
    <row r="80" spans="1:14" s="90" customFormat="1">
      <c r="A80" s="437">
        <v>45695</v>
      </c>
      <c r="B80" s="90" t="s">
        <v>1670</v>
      </c>
      <c r="E80" s="90">
        <v>-200</v>
      </c>
      <c r="K80" s="78"/>
      <c r="L80" s="78"/>
      <c r="M80" s="78"/>
      <c r="N80" s="78"/>
    </row>
    <row r="81" spans="1:14" s="77" customFormat="1">
      <c r="A81" s="437">
        <v>45696</v>
      </c>
      <c r="B81" s="77" t="s">
        <v>1672</v>
      </c>
      <c r="E81" s="77">
        <v>-550</v>
      </c>
      <c r="K81" s="78"/>
      <c r="L81" s="78"/>
      <c r="M81" s="78"/>
      <c r="N81" s="78"/>
    </row>
    <row r="82" spans="1:14" s="77" customFormat="1">
      <c r="A82" s="437">
        <v>45697</v>
      </c>
      <c r="B82" s="77" t="s">
        <v>1673</v>
      </c>
      <c r="E82" s="77">
        <v>-329.97</v>
      </c>
      <c r="K82" s="78"/>
      <c r="L82" s="78"/>
      <c r="M82" s="78"/>
      <c r="N82" s="78"/>
    </row>
    <row r="83" spans="1:14" s="77" customFormat="1">
      <c r="A83" s="437"/>
      <c r="K83" s="78"/>
      <c r="L83" s="78"/>
      <c r="M83" s="78"/>
      <c r="N83" s="78"/>
    </row>
    <row r="84" spans="1:14" s="77" customFormat="1">
      <c r="A84" s="437"/>
      <c r="K84" s="78"/>
      <c r="L84" s="78"/>
      <c r="M84" s="78"/>
      <c r="N84" s="78"/>
    </row>
    <row r="85" spans="1:14" s="77" customFormat="1">
      <c r="A85" s="437"/>
      <c r="K85" s="78"/>
      <c r="L85" s="78"/>
      <c r="M85" s="78"/>
      <c r="N85" s="78"/>
    </row>
    <row r="86" spans="1:14" s="77" customFormat="1">
      <c r="A86" s="437"/>
      <c r="K86" s="78"/>
      <c r="L86" s="78"/>
      <c r="M86" s="78"/>
      <c r="N86" s="78"/>
    </row>
    <row r="87" spans="1:14" s="77" customFormat="1">
      <c r="A87" s="437"/>
      <c r="K87" s="78"/>
      <c r="L87" s="78"/>
      <c r="M87" s="78"/>
      <c r="N87" s="78"/>
    </row>
    <row r="88" spans="1:14" s="77" customFormat="1">
      <c r="A88" s="98"/>
      <c r="B88" s="3"/>
      <c r="C88" s="106"/>
      <c r="K88" s="78"/>
      <c r="L88" s="78"/>
      <c r="M88" s="78"/>
      <c r="N88" s="78"/>
    </row>
    <row r="89" spans="1:14" s="90" customFormat="1">
      <c r="A89" s="98"/>
      <c r="B89" s="92"/>
      <c r="C89" s="106"/>
      <c r="K89" s="78"/>
      <c r="L89" s="78"/>
      <c r="M89" s="78"/>
      <c r="N89" s="78"/>
    </row>
    <row r="90" spans="1:14" s="90" customFormat="1">
      <c r="A90" s="98"/>
      <c r="B90" s="92"/>
      <c r="C90" s="106"/>
      <c r="K90" s="78"/>
      <c r="L90" s="78"/>
      <c r="M90" s="78"/>
      <c r="N90" s="78"/>
    </row>
    <row r="91" spans="1:14" s="90" customFormat="1">
      <c r="A91" s="98"/>
      <c r="B91" s="92"/>
      <c r="C91" s="106"/>
      <c r="K91" s="78"/>
      <c r="L91" s="78"/>
      <c r="M91" s="78"/>
      <c r="N91" s="78"/>
    </row>
    <row r="92" spans="1:14" s="90" customFormat="1">
      <c r="A92" s="98"/>
      <c r="B92" s="92"/>
      <c r="C92" s="106"/>
      <c r="K92" s="78"/>
      <c r="L92" s="78"/>
      <c r="M92" s="78"/>
      <c r="N92" s="78"/>
    </row>
    <row r="93" spans="1:14" s="90" customFormat="1">
      <c r="A93" s="98"/>
      <c r="B93" s="92"/>
      <c r="C93" s="106"/>
      <c r="K93" s="78"/>
      <c r="L93" s="78"/>
      <c r="M93" s="78"/>
      <c r="N93" s="78"/>
    </row>
    <row r="94" spans="1:14" s="77" customFormat="1">
      <c r="A94" s="98"/>
      <c r="B94" s="3"/>
      <c r="C94" s="106"/>
      <c r="K94" s="78"/>
      <c r="L94" s="78"/>
      <c r="M94" s="78"/>
      <c r="N94" s="78"/>
    </row>
    <row r="95" spans="1:14" s="77" customFormat="1">
      <c r="A95" s="98"/>
      <c r="B95" s="3"/>
      <c r="C95" s="106"/>
      <c r="K95" s="78"/>
      <c r="L95" s="78"/>
      <c r="M95" s="78"/>
      <c r="N95" s="78"/>
    </row>
    <row r="96" spans="1:14" s="77" customFormat="1">
      <c r="A96" s="98"/>
      <c r="B96" s="3"/>
      <c r="C96" s="106"/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 ht="15">
      <c r="A98" s="98"/>
      <c r="B98" s="105" t="s">
        <v>84</v>
      </c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3"/>
  <sheetViews>
    <sheetView tabSelected="1" topLeftCell="A109" zoomScale="145" zoomScaleNormal="145" workbookViewId="0">
      <selection activeCell="G119" sqref="G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15000</v>
      </c>
      <c r="G2" s="77">
        <f>SUM(G4:G32)</f>
        <v>-71847.72</v>
      </c>
      <c r="H2" s="77">
        <f>F2+G2</f>
        <v>-56847.72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7">
        <v>45873</v>
      </c>
      <c r="B9" s="435" t="s">
        <v>1657</v>
      </c>
      <c r="C9" s="424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2">
        <v>45699</v>
      </c>
      <c r="B11" s="393" t="s">
        <v>1600</v>
      </c>
      <c r="C11" s="393"/>
      <c r="D11" s="388"/>
      <c r="E11" s="388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2">
        <v>45699</v>
      </c>
      <c r="B12" s="393" t="s">
        <v>75</v>
      </c>
      <c r="C12" s="393"/>
      <c r="D12" s="388"/>
      <c r="E12" s="388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4"/>
      <c r="B13" s="442" t="s">
        <v>72</v>
      </c>
      <c r="C13" s="418"/>
      <c r="D13" s="385"/>
      <c r="E13" s="385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2">
        <v>45705</v>
      </c>
      <c r="B14" s="394" t="s">
        <v>114</v>
      </c>
      <c r="C14" s="394"/>
      <c r="D14" s="388">
        <v>15000</v>
      </c>
      <c r="E14" s="388"/>
      <c r="F14" s="388">
        <v>15000</v>
      </c>
      <c r="G14" s="87"/>
      <c r="H14" s="87">
        <f t="shared" si="0"/>
        <v>-52111.33</v>
      </c>
      <c r="I14"/>
      <c r="J14"/>
    </row>
    <row r="15" spans="1:14" s="78" customFormat="1">
      <c r="A15" s="392">
        <v>45705</v>
      </c>
      <c r="B15" s="413" t="s">
        <v>73</v>
      </c>
      <c r="C15" s="413"/>
      <c r="D15" s="388"/>
      <c r="E15" s="388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2">
        <v>45705</v>
      </c>
      <c r="B16" s="413" t="s">
        <v>74</v>
      </c>
      <c r="C16" s="413"/>
      <c r="D16" s="388"/>
      <c r="E16" s="388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2">
        <v>45709</v>
      </c>
      <c r="B17" s="443" t="s">
        <v>1675</v>
      </c>
      <c r="C17" s="443"/>
      <c r="D17" s="388"/>
      <c r="E17" s="388"/>
      <c r="F17" s="388"/>
      <c r="G17" s="388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87">
        <f t="shared" si="0"/>
        <v>-56847.72</v>
      </c>
      <c r="J19" s="9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87">
        <f t="shared" si="0"/>
        <v>-56847.72</v>
      </c>
      <c r="J20" s="9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87">
        <f t="shared" si="0"/>
        <v>-56847.72</v>
      </c>
      <c r="J21" s="9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87">
        <f t="shared" si="0"/>
        <v>-56847.72</v>
      </c>
      <c r="J22" s="94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87">
        <f t="shared" si="0"/>
        <v>-56847.72</v>
      </c>
      <c r="J23" s="9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87">
        <f t="shared" si="0"/>
        <v>-56847.72</v>
      </c>
      <c r="J24" s="94"/>
      <c r="K24" s="94"/>
      <c r="L24" s="95"/>
      <c r="M24" s="96"/>
    </row>
    <row r="25" spans="1:13" s="78" customFormat="1">
      <c r="A25" s="98">
        <v>45716</v>
      </c>
      <c r="B25" s="3" t="s">
        <v>98</v>
      </c>
      <c r="C25" s="3" t="s">
        <v>1606</v>
      </c>
      <c r="D25" s="77"/>
      <c r="E25" s="77">
        <v>-1380</v>
      </c>
      <c r="F25" s="77"/>
      <c r="G25" s="77"/>
      <c r="H25" s="87">
        <f t="shared" si="0"/>
        <v>-56847.72</v>
      </c>
      <c r="J25" s="94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-56847.72</v>
      </c>
      <c r="J26" s="94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-56847.72</v>
      </c>
      <c r="J27" s="94"/>
      <c r="K27" s="94"/>
      <c r="L27" s="95"/>
      <c r="M27" s="96"/>
    </row>
    <row r="28" spans="1:13" s="78" customFormat="1">
      <c r="B28" s="3" t="s">
        <v>107</v>
      </c>
      <c r="C28" s="3"/>
      <c r="D28" s="77">
        <v>15000</v>
      </c>
      <c r="E28" s="77"/>
      <c r="F28" s="77"/>
      <c r="G28" s="77"/>
      <c r="H28" s="77">
        <f t="shared" si="0"/>
        <v>-56847.72</v>
      </c>
    </row>
    <row r="29" spans="1:13" s="78" customFormat="1">
      <c r="D29" s="77"/>
      <c r="E29" s="77"/>
      <c r="F29" s="77"/>
      <c r="G29" s="77"/>
      <c r="H29" s="77">
        <f t="shared" si="0"/>
        <v>-56847.72</v>
      </c>
    </row>
    <row r="30" spans="1:13">
      <c r="A30" s="100"/>
      <c r="B30" s="101" t="s">
        <v>1663</v>
      </c>
      <c r="C30" s="101"/>
      <c r="H30" s="77">
        <f t="shared" si="0"/>
        <v>-56847.72</v>
      </c>
      <c r="I30" s="78"/>
      <c r="J30" s="78"/>
    </row>
    <row r="31" spans="1:13">
      <c r="A31" s="100"/>
      <c r="H31" s="77">
        <f t="shared" si="0"/>
        <v>-56847.72</v>
      </c>
    </row>
    <row r="32" spans="1:13" s="78" customFormat="1">
      <c r="A32"/>
      <c r="E32" s="77"/>
      <c r="F32" s="77"/>
      <c r="G32" s="77"/>
      <c r="H32" s="77">
        <f t="shared" si="0"/>
        <v>-56847.72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1664</v>
      </c>
      <c r="H36" s="431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1665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1637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1636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1635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1617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1616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1619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1618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1620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1638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1621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1622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1621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1623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1624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1625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1626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1627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1628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1624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1630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1629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1616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1621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1622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1631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1652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1085262.9450000001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45699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45699</v>
      </c>
      <c r="B118" s="90" t="s">
        <v>140</v>
      </c>
      <c r="C118" s="12"/>
      <c r="D118" s="12"/>
      <c r="E118" s="90"/>
      <c r="F118" s="90"/>
      <c r="G118" s="17">
        <v>25000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/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7">
        <v>920</v>
      </c>
      <c r="G121" s="17">
        <f t="shared" ref="G121" si="2">F121*C121</f>
        <v>46000</v>
      </c>
      <c r="H121" s="90"/>
      <c r="I121" s="90">
        <f t="shared" ref="I121" si="3">G121-E121</f>
        <v>2386.8167500000054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7">
        <f>F121</f>
        <v>920</v>
      </c>
      <c r="G122" s="17">
        <f t="shared" ref="G122:G125" si="5">F122*C122</f>
        <v>50600</v>
      </c>
      <c r="H122" s="90"/>
      <c r="I122" s="90">
        <f t="shared" ref="I122:I125" si="6">G122-E122</f>
        <v>2329.0248849999989</v>
      </c>
    </row>
    <row r="123" spans="1:14">
      <c r="A123" s="100">
        <v>45680</v>
      </c>
      <c r="B123" s="82" t="s">
        <v>1611</v>
      </c>
      <c r="C123" s="114">
        <v>120</v>
      </c>
      <c r="D123" s="115">
        <v>305</v>
      </c>
      <c r="E123" s="116">
        <f t="shared" si="4"/>
        <v>36600</v>
      </c>
      <c r="F123" s="90">
        <v>310</v>
      </c>
      <c r="G123" s="17">
        <f t="shared" si="5"/>
        <v>37200</v>
      </c>
      <c r="H123" s="90"/>
      <c r="I123" s="90">
        <f t="shared" si="6"/>
        <v>600</v>
      </c>
    </row>
    <row r="124" spans="1:14">
      <c r="A124" s="100">
        <v>45620</v>
      </c>
      <c r="B124" s="82" t="s">
        <v>1613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36.31</v>
      </c>
      <c r="G124" s="17">
        <f t="shared" si="5"/>
        <v>145240</v>
      </c>
      <c r="H124" s="90"/>
      <c r="I124" s="90">
        <f t="shared" si="6"/>
        <v>15040.000000000015</v>
      </c>
    </row>
    <row r="125" spans="1:14" ht="13.5" thickBot="1">
      <c r="A125" s="100">
        <v>45659</v>
      </c>
      <c r="B125" s="82" t="s">
        <v>1612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36.31</v>
      </c>
      <c r="G125" s="17">
        <f t="shared" si="5"/>
        <v>145240</v>
      </c>
      <c r="H125" s="422">
        <f>SUM(G121:G125)</f>
        <v>424280</v>
      </c>
      <c r="I125" s="90">
        <f t="shared" si="6"/>
        <v>21800</v>
      </c>
    </row>
    <row r="126" spans="1:14" ht="13.5" thickBot="1">
      <c r="A126" s="100"/>
      <c r="B126" s="90"/>
      <c r="C126" s="12"/>
      <c r="D126" s="12"/>
      <c r="E126" s="90">
        <f>SUM(E121:E125)</f>
        <v>382124.15836499998</v>
      </c>
      <c r="F126" s="90"/>
      <c r="G126" s="17"/>
      <c r="H126" s="117">
        <f>(SUM(G121:G125))-(SUM(E121:E125))</f>
        <v>42155.841635000019</v>
      </c>
      <c r="I126" s="117">
        <f>SUM(I121:I125)</f>
        <v>42155.841635000019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45345</v>
      </c>
      <c r="B128" s="82" t="s">
        <v>144</v>
      </c>
      <c r="C128" s="118">
        <v>125000</v>
      </c>
      <c r="D128" s="83">
        <v>1.0399430000000001</v>
      </c>
      <c r="E128" s="116">
        <f>D128*C128</f>
        <v>129992.87500000001</v>
      </c>
      <c r="F128" s="119">
        <v>0.76337699999999997</v>
      </c>
      <c r="G128" s="17">
        <f>F128*C128</f>
        <v>95422.125</v>
      </c>
      <c r="H128" s="90"/>
      <c r="I128" s="90">
        <f t="shared" ref="I128:I132" si="7">G128-E128</f>
        <v>-34570.750000000015</v>
      </c>
    </row>
    <row r="129" spans="1:9">
      <c r="A129" s="100">
        <v>45667</v>
      </c>
      <c r="B129" s="82" t="s">
        <v>1615</v>
      </c>
      <c r="C129" s="118">
        <v>240</v>
      </c>
      <c r="D129" s="83">
        <v>872.26366499999995</v>
      </c>
      <c r="E129" s="116">
        <f>D129*C129</f>
        <v>209343.27959999998</v>
      </c>
      <c r="F129" s="406">
        <f>F122</f>
        <v>920</v>
      </c>
      <c r="G129" s="17">
        <f>F129*C129</f>
        <v>220800</v>
      </c>
      <c r="H129" s="90"/>
      <c r="I129" s="90">
        <f t="shared" si="7"/>
        <v>11456.72040000002</v>
      </c>
    </row>
    <row r="130" spans="1:9">
      <c r="A130" s="100">
        <v>45400</v>
      </c>
      <c r="B130" s="82" t="s">
        <v>145</v>
      </c>
      <c r="C130" s="114">
        <v>10</v>
      </c>
      <c r="D130" s="83">
        <v>135</v>
      </c>
      <c r="E130" s="116">
        <f>D130*C130</f>
        <v>1350</v>
      </c>
      <c r="F130" s="90">
        <v>112.7</v>
      </c>
      <c r="G130" s="17">
        <f>F130*C130</f>
        <v>1127</v>
      </c>
      <c r="H130" s="90"/>
      <c r="I130" s="90">
        <f t="shared" si="7"/>
        <v>-223</v>
      </c>
    </row>
    <row r="131" spans="1:9">
      <c r="A131" s="100">
        <v>45418</v>
      </c>
      <c r="B131" s="82" t="s">
        <v>146</v>
      </c>
      <c r="C131" s="114">
        <v>38</v>
      </c>
      <c r="D131" s="83">
        <v>30.5</v>
      </c>
      <c r="E131" s="116">
        <f>D131*C131</f>
        <v>1159</v>
      </c>
      <c r="F131" s="90">
        <v>17.07</v>
      </c>
      <c r="G131" s="17">
        <f>F131*C131</f>
        <v>648.66</v>
      </c>
      <c r="H131" s="90"/>
      <c r="I131" s="90">
        <f t="shared" si="7"/>
        <v>-510.34000000000003</v>
      </c>
    </row>
    <row r="132" spans="1:9" ht="13.5" thickBot="1">
      <c r="A132" s="100">
        <v>45418</v>
      </c>
      <c r="B132" s="82" t="s">
        <v>147</v>
      </c>
      <c r="C132" s="114">
        <v>26</v>
      </c>
      <c r="D132" s="83">
        <v>37.115000000000002</v>
      </c>
      <c r="E132" s="116">
        <f>D132*C132</f>
        <v>964.99</v>
      </c>
      <c r="F132" s="90">
        <v>23.66</v>
      </c>
      <c r="G132" s="17">
        <f>F132*C132</f>
        <v>615.16</v>
      </c>
      <c r="H132" s="422">
        <f>SUM(G128:G132)</f>
        <v>318612.94499999995</v>
      </c>
      <c r="I132" s="90">
        <f t="shared" si="7"/>
        <v>-349.83000000000004</v>
      </c>
    </row>
    <row r="133" spans="1:9" ht="13.5" thickBot="1">
      <c r="A133" s="100"/>
      <c r="B133" s="90"/>
      <c r="C133" s="12"/>
      <c r="D133" s="12"/>
      <c r="E133" s="90">
        <f>SUM(E128:E132)</f>
        <v>342810.1446</v>
      </c>
      <c r="F133" s="90"/>
      <c r="G133" s="90"/>
      <c r="H133" s="117">
        <f>(SUM(G128:G132))-(SUM(E128:E132))</f>
        <v>-24197.199600000051</v>
      </c>
      <c r="I133" s="90"/>
    </row>
    <row r="134" spans="1:9">
      <c r="A134" s="100"/>
      <c r="B134" s="90"/>
      <c r="C134" s="90"/>
      <c r="D134" s="90"/>
      <c r="E134" s="17"/>
      <c r="F134" s="90"/>
      <c r="G134" s="90"/>
      <c r="H134" s="90"/>
      <c r="I134" s="90"/>
    </row>
    <row r="135" spans="1:9">
      <c r="A135" s="100">
        <v>45509</v>
      </c>
      <c r="B135" s="82" t="s">
        <v>148</v>
      </c>
      <c r="C135" s="114">
        <v>1</v>
      </c>
      <c r="D135" s="83">
        <v>2500</v>
      </c>
      <c r="E135" s="116">
        <f>D135*C135</f>
        <v>2500</v>
      </c>
      <c r="F135" s="90">
        <v>3400</v>
      </c>
      <c r="G135" s="17">
        <f>C135*F135</f>
        <v>3400</v>
      </c>
      <c r="H135" s="90"/>
      <c r="I135" s="90">
        <f t="shared" ref="I135:I137" si="8">G135-E135</f>
        <v>900</v>
      </c>
    </row>
    <row r="136" spans="1:9">
      <c r="A136" s="100">
        <v>45509</v>
      </c>
      <c r="B136" s="82" t="s">
        <v>149</v>
      </c>
      <c r="C136" s="114">
        <v>16</v>
      </c>
      <c r="D136" s="83">
        <v>4100</v>
      </c>
      <c r="E136" s="116">
        <f>D136*C136</f>
        <v>65600</v>
      </c>
      <c r="F136" s="90">
        <f>F135*1.73</f>
        <v>5882</v>
      </c>
      <c r="G136" s="17">
        <f>C136*F136</f>
        <v>94112</v>
      </c>
      <c r="H136" s="90"/>
      <c r="I136" s="90">
        <f t="shared" si="8"/>
        <v>28512</v>
      </c>
    </row>
    <row r="137" spans="1:9" ht="13.5" thickBot="1">
      <c r="A137" s="100">
        <v>45509</v>
      </c>
      <c r="B137" s="82" t="s">
        <v>150</v>
      </c>
      <c r="C137" s="114">
        <v>1</v>
      </c>
      <c r="D137" s="83">
        <v>16200</v>
      </c>
      <c r="E137" s="116">
        <f>D137*C137</f>
        <v>16200</v>
      </c>
      <c r="F137" s="90">
        <f>F136*4</f>
        <v>23528</v>
      </c>
      <c r="G137" s="17">
        <f>C137*F137</f>
        <v>23528</v>
      </c>
      <c r="H137" s="422">
        <f>SUM(G135:G137)</f>
        <v>121040</v>
      </c>
      <c r="I137" s="90">
        <f t="shared" si="8"/>
        <v>7328</v>
      </c>
    </row>
    <row r="138" spans="1:9" ht="13.5" thickBot="1">
      <c r="A138" s="100"/>
      <c r="B138" s="90"/>
      <c r="C138" s="12"/>
      <c r="D138" s="12"/>
      <c r="E138" s="90">
        <f>SUM(E135:E137)</f>
        <v>84300</v>
      </c>
      <c r="F138" s="90"/>
      <c r="G138" s="90"/>
      <c r="H138" s="117">
        <f>(SUM(G135:G137))-(SUM(E135:E137))</f>
        <v>36740</v>
      </c>
      <c r="I138" s="90"/>
    </row>
    <row r="139" spans="1:9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9">
      <c r="A140" s="100"/>
      <c r="B140" s="90" t="s">
        <v>152</v>
      </c>
      <c r="C140" s="120">
        <v>36.854999999999997</v>
      </c>
      <c r="D140" s="12"/>
      <c r="E140" s="90"/>
      <c r="F140" s="90"/>
      <c r="G140" s="17"/>
      <c r="H140" s="90"/>
      <c r="I140" s="90"/>
    </row>
    <row r="141" spans="1:9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9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9" ht="13.5" thickBot="1">
      <c r="A143" s="100"/>
      <c r="B143" s="90"/>
      <c r="C143" s="90"/>
      <c r="D143" s="90"/>
      <c r="E143" s="121"/>
      <c r="F143" s="122"/>
      <c r="G143" s="123" t="s">
        <v>155</v>
      </c>
      <c r="H143" s="436">
        <f>H138+H133+H126</f>
        <v>54698.642034999968</v>
      </c>
      <c r="I143" s="90"/>
    </row>
    <row r="144" spans="1:9">
      <c r="A144" s="100"/>
      <c r="B144" s="90"/>
      <c r="C144" s="125"/>
      <c r="D144" s="92"/>
      <c r="E144" s="90"/>
      <c r="F144" s="90"/>
      <c r="G144" s="125"/>
      <c r="H144" s="90"/>
      <c r="I144" s="90"/>
    </row>
    <row r="145" spans="1:14">
      <c r="A145" s="100"/>
      <c r="B145" s="90"/>
      <c r="C145" s="125"/>
      <c r="D145" s="18" t="s">
        <v>156</v>
      </c>
      <c r="E145" s="90"/>
      <c r="F145" s="90"/>
      <c r="G145" s="9">
        <f>SUM(G116:G142)</f>
        <v>1085262.9450000001</v>
      </c>
      <c r="H145" s="90"/>
      <c r="I145" s="90"/>
    </row>
    <row r="146" spans="1:14">
      <c r="A146" s="100"/>
      <c r="B146" s="90"/>
      <c r="C146" s="126" t="str">
        <f>A112</f>
        <v>MART 2025 e</v>
      </c>
      <c r="D146" s="127" t="s">
        <v>157</v>
      </c>
      <c r="E146" s="90"/>
      <c r="F146" s="90"/>
      <c r="G146" s="128"/>
      <c r="H146" s="90"/>
      <c r="I146" s="90"/>
    </row>
    <row r="147" spans="1:14" s="11" customFormat="1">
      <c r="A147" s="100"/>
      <c r="B147" s="90"/>
      <c r="C147" s="126"/>
      <c r="D147" s="127"/>
      <c r="E147" s="90"/>
      <c r="F147" s="90"/>
      <c r="G147" s="128"/>
      <c r="H147" s="90"/>
      <c r="I147" s="90"/>
      <c r="K147" s="78"/>
      <c r="L147" s="78"/>
      <c r="M147" s="78"/>
      <c r="N147" s="78"/>
    </row>
    <row r="148" spans="1:14" s="11" customFormat="1">
      <c r="A148" s="100"/>
      <c r="B148" s="90"/>
      <c r="C148" s="126"/>
      <c r="D148" s="127"/>
      <c r="E148" s="90"/>
      <c r="F148" s="90"/>
      <c r="G148" s="128"/>
      <c r="H148" s="90"/>
      <c r="I148" s="90"/>
      <c r="K148" s="78"/>
      <c r="L148" s="78"/>
      <c r="M148" s="78"/>
      <c r="N148" s="78"/>
    </row>
    <row r="149" spans="1:14" s="11" customFormat="1">
      <c r="A149" s="100"/>
      <c r="B149" s="90"/>
      <c r="C149" s="126"/>
      <c r="D149" s="127"/>
      <c r="E149" s="90"/>
      <c r="F149" s="90"/>
      <c r="G149" s="128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1653</v>
      </c>
      <c r="C151" s="114"/>
      <c r="D151" s="115">
        <v>752.55561799999998</v>
      </c>
      <c r="E151" s="116">
        <f>D151*C151</f>
        <v>0</v>
      </c>
      <c r="F151" s="406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8">
        <v>45680</v>
      </c>
      <c r="B152" s="399" t="s">
        <v>1656</v>
      </c>
      <c r="C152" s="400">
        <v>-25</v>
      </c>
      <c r="D152" s="401">
        <v>752.55561799999998</v>
      </c>
      <c r="E152" s="402">
        <f>D152*C152</f>
        <v>-18813.890449999999</v>
      </c>
      <c r="F152" s="403">
        <v>899.26057400000002</v>
      </c>
      <c r="G152" s="404">
        <f>F152*C152</f>
        <v>-22481.514350000001</v>
      </c>
      <c r="H152" s="403"/>
      <c r="I152" s="403">
        <f>E152-G152</f>
        <v>3667.6239000000023</v>
      </c>
    </row>
    <row r="153" spans="1:14">
      <c r="A153" s="398">
        <v>45680</v>
      </c>
      <c r="B153" s="399" t="s">
        <v>1614</v>
      </c>
      <c r="C153" s="400"/>
      <c r="D153" s="401"/>
      <c r="E153" s="402">
        <v>299.37</v>
      </c>
      <c r="F153" s="403"/>
      <c r="G153" s="404"/>
      <c r="H153" s="403"/>
      <c r="I153" s="403">
        <f>G153-E153</f>
        <v>-299.37</v>
      </c>
    </row>
    <row r="154" spans="1:14" s="11" customFormat="1">
      <c r="A154" s="100">
        <v>45691</v>
      </c>
      <c r="B154" s="82" t="s">
        <v>1654</v>
      </c>
      <c r="C154" s="114"/>
      <c r="D154" s="115">
        <v>872.26366499999995</v>
      </c>
      <c r="E154" s="116">
        <f>D154*C154</f>
        <v>0</v>
      </c>
      <c r="F154" s="407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8">
        <v>45680</v>
      </c>
      <c r="B155" s="399" t="s">
        <v>142</v>
      </c>
      <c r="C155" s="400">
        <v>-9</v>
      </c>
      <c r="D155" s="115">
        <v>872.26366499999995</v>
      </c>
      <c r="E155" s="402">
        <f>D155*C155</f>
        <v>-7850.372985</v>
      </c>
      <c r="F155" s="403">
        <v>899.26057400000002</v>
      </c>
      <c r="G155" s="404">
        <f>F155*C155</f>
        <v>-8093.3451660000001</v>
      </c>
      <c r="H155" s="403"/>
      <c r="I155" s="403">
        <f>E155-G155</f>
        <v>242.97218100000009</v>
      </c>
    </row>
    <row r="156" spans="1:14">
      <c r="A156" s="398">
        <v>45680</v>
      </c>
      <c r="B156" s="399" t="s">
        <v>1614</v>
      </c>
      <c r="C156" s="400"/>
      <c r="D156" s="401"/>
      <c r="E156" s="402"/>
      <c r="F156" s="403"/>
      <c r="G156" s="404"/>
      <c r="H156" s="403"/>
      <c r="I156" s="403"/>
    </row>
    <row r="157" spans="1:14" s="11" customFormat="1">
      <c r="A157" s="100">
        <v>45692</v>
      </c>
      <c r="B157" s="82" t="s">
        <v>1654</v>
      </c>
      <c r="C157" s="114"/>
      <c r="D157" s="115">
        <v>872.26366499999995</v>
      </c>
      <c r="E157" s="116">
        <f>D157*C157</f>
        <v>0</v>
      </c>
      <c r="F157" s="407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8">
        <v>45692</v>
      </c>
      <c r="B158" s="399" t="s">
        <v>1655</v>
      </c>
      <c r="C158" s="400">
        <v>-25</v>
      </c>
      <c r="D158" s="401">
        <v>872.26366499999995</v>
      </c>
      <c r="E158" s="402">
        <f t="shared" ref="E158" si="9">D158*C158</f>
        <v>-21806.591624999997</v>
      </c>
      <c r="F158" s="426">
        <v>900.29758900000002</v>
      </c>
      <c r="G158" s="404">
        <f t="shared" ref="G158" si="10">F158*C158</f>
        <v>-22507.439725</v>
      </c>
      <c r="H158" s="403"/>
      <c r="I158" s="403">
        <f>E158-G158</f>
        <v>700.84810000000289</v>
      </c>
      <c r="K158" s="78"/>
      <c r="L158" s="78"/>
      <c r="M158" s="78"/>
      <c r="N158" s="78"/>
    </row>
    <row r="159" spans="1:14" s="11" customFormat="1">
      <c r="A159" s="398">
        <v>45680</v>
      </c>
      <c r="B159" s="399" t="s">
        <v>1614</v>
      </c>
      <c r="C159" s="400"/>
      <c r="D159" s="401"/>
      <c r="E159" s="402"/>
      <c r="F159" s="403"/>
      <c r="G159" s="404"/>
      <c r="H159" s="403"/>
      <c r="I159" s="403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1668</v>
      </c>
      <c r="C160" s="114"/>
      <c r="D160" s="115">
        <v>872.26366499999995</v>
      </c>
      <c r="E160" s="116">
        <f>D160*C160</f>
        <v>0</v>
      </c>
      <c r="F160" s="407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8">
        <v>45692</v>
      </c>
      <c r="B161" s="399" t="s">
        <v>1667</v>
      </c>
      <c r="C161" s="400">
        <v>-21</v>
      </c>
      <c r="D161" s="401">
        <v>872.26366499999995</v>
      </c>
      <c r="E161" s="402">
        <f t="shared" ref="E161" si="11">D161*C161</f>
        <v>-18317.536964999999</v>
      </c>
      <c r="F161" s="426">
        <v>907.06739800000003</v>
      </c>
      <c r="G161" s="404">
        <f t="shared" ref="G161" si="12">F161*C161</f>
        <v>-19048.415358000002</v>
      </c>
      <c r="H161" s="403"/>
      <c r="I161" s="403">
        <f>E161-G161</f>
        <v>730.87839300000269</v>
      </c>
      <c r="K161" s="78"/>
      <c r="L161" s="78"/>
      <c r="M161" s="78"/>
      <c r="N161" s="78"/>
    </row>
    <row r="162" spans="1:14" s="11" customFormat="1">
      <c r="A162" s="398">
        <v>45699</v>
      </c>
      <c r="B162" s="399" t="s">
        <v>1614</v>
      </c>
      <c r="C162" s="400"/>
      <c r="D162" s="401"/>
      <c r="E162" s="402"/>
      <c r="F162" s="403"/>
      <c r="G162" s="404"/>
      <c r="H162" s="403"/>
      <c r="I162" s="403">
        <v>-73.09</v>
      </c>
      <c r="K162" s="78"/>
      <c r="L162" s="78"/>
      <c r="M162" s="78"/>
      <c r="N162" s="78"/>
    </row>
    <row r="163" spans="1:14" s="11" customFormat="1">
      <c r="A163" s="398"/>
      <c r="B163" s="399"/>
      <c r="C163" s="400"/>
      <c r="D163" s="401"/>
      <c r="E163" s="402"/>
      <c r="F163" s="403"/>
      <c r="G163" s="404"/>
      <c r="H163" s="403"/>
      <c r="I163" s="403"/>
      <c r="K163" s="78"/>
      <c r="L163" s="78"/>
      <c r="M163" s="78"/>
      <c r="N163" s="78"/>
    </row>
    <row r="164" spans="1:14" s="11" customFormat="1">
      <c r="A164" s="398"/>
      <c r="B164" s="399"/>
      <c r="C164" s="400"/>
      <c r="D164" s="401"/>
      <c r="E164" s="402"/>
      <c r="F164" s="403"/>
      <c r="G164" s="404"/>
      <c r="H164" s="403"/>
      <c r="I164" s="403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7">
        <v>900.29758900000002</v>
      </c>
    </row>
  </sheetData>
  <conditionalFormatting sqref="F135:F137 F159 F156 F152:F153">
    <cfRule type="cellIs" dxfId="22" priority="12" operator="lessThan">
      <formula>D135</formula>
    </cfRule>
  </conditionalFormatting>
  <conditionalFormatting sqref="F130:F132">
    <cfRule type="cellIs" dxfId="21" priority="13" operator="lessThan">
      <formula>D130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7"/>
  <sheetViews>
    <sheetView zoomScale="205" zoomScaleNormal="205" workbookViewId="0">
      <selection activeCell="H75" sqref="H7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8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2">
        <v>45688</v>
      </c>
      <c r="B31" s="393" t="s">
        <v>80</v>
      </c>
      <c r="C31" s="393"/>
      <c r="D31" s="388"/>
      <c r="E31" s="388">
        <v>-600</v>
      </c>
      <c r="F31" s="430"/>
      <c r="G31" s="430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2">
        <v>45688</v>
      </c>
      <c r="B32" s="393" t="s">
        <v>81</v>
      </c>
      <c r="C32" s="393"/>
      <c r="D32" s="388"/>
      <c r="E32" s="388">
        <v>-800</v>
      </c>
      <c r="F32" s="430"/>
      <c r="G32" s="430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2">
        <v>45688</v>
      </c>
      <c r="B33" s="388" t="s">
        <v>1645</v>
      </c>
      <c r="C33" s="388"/>
      <c r="D33" s="388"/>
      <c r="E33" s="388"/>
      <c r="F33" s="430"/>
      <c r="G33" s="430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9" t="s">
        <v>114</v>
      </c>
      <c r="C34" s="419"/>
      <c r="D34" s="420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7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398"/>
      <c r="B36" s="433" t="s">
        <v>1662</v>
      </c>
      <c r="C36" s="434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1649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1648</v>
      </c>
      <c r="K75" s="78"/>
      <c r="L75" s="78"/>
      <c r="M75" s="78"/>
      <c r="N75" s="78"/>
    </row>
    <row r="76" spans="1:14" s="77" customFormat="1">
      <c r="A76" s="100"/>
      <c r="B76" s="77" t="s">
        <v>1650</v>
      </c>
      <c r="D76" s="421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2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2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2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1080.7929879999999</v>
      </c>
      <c r="M17" s="441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2025-02-21T15:36:24Z</dcterms:modified>
  <dc:language>tr-TR</dc:language>
</cp:coreProperties>
</file>