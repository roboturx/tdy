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_rels/sheet3.xml.rels" ContentType="application/vnd.openxmlformats-package.relationships+xml"/>
  <Override PartName="/xl/worksheets/_rels/sheet1.xml.rels" ContentType="application/vnd.openxmlformats-package.relationships+xml"/>
  <Override PartName="/xl/worksheets/sheet6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media/image1.png" ContentType="image/png"/>
  <Override PartName="/xl/media/image2.png" ContentType="image/png"/>
  <Override PartName="/xl/media/image3.png" ContentType="image/png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Sayfa2" sheetId="1" state="visible" r:id="rId2"/>
    <sheet name="Sayfa4" sheetId="2" state="visible" r:id="rId3"/>
    <sheet name="Yasemin" sheetId="3" state="visible" r:id="rId4"/>
    <sheet name="801" sheetId="4" state="visible" r:id="rId5"/>
    <sheet name="Sayfa3" sheetId="5" state="visible" r:id="rId6"/>
    <sheet name="Sayfa1" sheetId="6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<sst xmlns="http://schemas.openxmlformats.org/spreadsheetml/2006/main" count="451" uniqueCount="231">
  <si>
    <t xml:space="preserve">Toplam Yatırım</t>
  </si>
  <si>
    <t xml:space="preserve">Satış</t>
  </si>
  <si>
    <t xml:space="preserve">NET TL</t>
  </si>
  <si>
    <t xml:space="preserve">Mevcut</t>
  </si>
  <si>
    <t xml:space="preserve">Satılan</t>
  </si>
  <si>
    <t xml:space="preserve">ALIŞ</t>
  </si>
  <si>
    <t xml:space="preserve">SATIŞ</t>
  </si>
  <si>
    <t xml:space="preserve">FARK</t>
  </si>
  <si>
    <t xml:space="preserve">GÜN</t>
  </si>
  <si>
    <t xml:space="preserve">AY </t>
  </si>
  <si>
    <t xml:space="preserve">Açıklama</t>
  </si>
  <si>
    <t xml:space="preserve">tarih</t>
  </si>
  <si>
    <t xml:space="preserve">adet</t>
  </si>
  <si>
    <t xml:space="preserve">birim fiyat</t>
  </si>
  <si>
    <t xml:space="preserve">Tutar</t>
  </si>
  <si>
    <t xml:space="preserve">Tarih2</t>
  </si>
  <si>
    <t xml:space="preserve">Miktar</t>
  </si>
  <si>
    <t xml:space="preserve">Fiyat</t>
  </si>
  <si>
    <t xml:space="preserve">Tutar3</t>
  </si>
  <si>
    <t xml:space="preserve">Miktar3</t>
  </si>
  <si>
    <t xml:space="preserve">Tutar2</t>
  </si>
  <si>
    <t xml:space="preserve">Mktr</t>
  </si>
  <si>
    <t xml:space="preserve">%</t>
  </si>
  <si>
    <t xml:space="preserve">TTE Fon</t>
  </si>
  <si>
    <t xml:space="preserve">XAU</t>
  </si>
  <si>
    <t xml:space="preserve">Euro </t>
  </si>
  <si>
    <t xml:space="preserve">USD</t>
  </si>
  <si>
    <t xml:space="preserve">NET</t>
  </si>
  <si>
    <t xml:space="preserve">Euro satış MOGAN</t>
  </si>
  <si>
    <t xml:space="preserve">Euro satış LMKDC için</t>
  </si>
  <si>
    <t xml:space="preserve">MOGAN halkaarz</t>
  </si>
  <si>
    <t xml:space="preserve">OBAMS halkaarz</t>
  </si>
  <si>
    <t xml:space="preserve">OBAMS komisyon</t>
  </si>
  <si>
    <t xml:space="preserve">ALVES halkaarz</t>
  </si>
  <si>
    <t xml:space="preserve">ALVES komisyon</t>
  </si>
  <si>
    <t xml:space="preserve">LMKDC halkaarz</t>
  </si>
  <si>
    <t xml:space="preserve">LMKDC komisyon</t>
  </si>
  <si>
    <t xml:space="preserve">TABGD ALIŞ</t>
  </si>
  <si>
    <t xml:space="preserve">GUBRF alış</t>
  </si>
  <si>
    <t xml:space="preserve">komisyon</t>
  </si>
  <si>
    <t xml:space="preserve">SURGY Halka Arz</t>
  </si>
  <si>
    <t xml:space="preserve">Mega Metal Halka Arz</t>
  </si>
  <si>
    <t xml:space="preserve">Avrupakent GYO Halka Arz</t>
  </si>
  <si>
    <t xml:space="preserve">Avrupakent GYO Alış</t>
  </si>
  <si>
    <t xml:space="preserve">İŞ Fon 801 alış</t>
  </si>
  <si>
    <t xml:space="preserve">İŞ Fon 801 obams için</t>
  </si>
  <si>
    <t xml:space="preserve">İŞ Fon 801 alves için</t>
  </si>
  <si>
    <t xml:space="preserve">İŞ Fon 801 tte için</t>
  </si>
  <si>
    <t xml:space="preserve">İŞ Fon 801</t>
  </si>
  <si>
    <t xml:space="preserve">İŞ Fon 808 alış</t>
  </si>
  <si>
    <t xml:space="preserve">İŞ Fon 801 satış</t>
  </si>
  <si>
    <t xml:space="preserve">GAU</t>
  </si>
  <si>
    <t xml:space="preserve">EUR</t>
  </si>
  <si>
    <t xml:space="preserve">TTE</t>
  </si>
  <si>
    <t xml:space="preserve">TPL</t>
  </si>
  <si>
    <t xml:space="preserve">XU100</t>
  </si>
  <si>
    <t xml:space="preserve">LMKDC</t>
  </si>
  <si>
    <t xml:space="preserve">ALVES</t>
  </si>
  <si>
    <t xml:space="preserve">OBAMS</t>
  </si>
  <si>
    <t xml:space="preserve">MOGAN</t>
  </si>
  <si>
    <t xml:space="preserve">alış</t>
  </si>
  <si>
    <t xml:space="preserve">satış</t>
  </si>
  <si>
    <t xml:space="preserve">TL</t>
  </si>
  <si>
    <t xml:space="preserve"> + </t>
  </si>
  <si>
    <t xml:space="preserve">YASEMİN</t>
  </si>
  <si>
    <t xml:space="preserve">Toplam</t>
  </si>
  <si>
    <t xml:space="preserve">AVPGY Halka Arz</t>
  </si>
  <si>
    <t xml:space="preserve">TABGD</t>
  </si>
  <si>
    <t xml:space="preserve">MOGAN komisyon</t>
  </si>
  <si>
    <t xml:space="preserve">Tarih</t>
  </si>
  <si>
    <t xml:space="preserve">Değişim</t>
  </si>
  <si>
    <t xml:space="preserve">Değişim Oranı (%)</t>
  </si>
  <si>
    <t xml:space="preserve">Küm.Oran (%)</t>
  </si>
  <si>
    <t xml:space="preserve">0.000000</t>
  </si>
  <si>
    <t xml:space="preserve">0.00</t>
  </si>
  <si>
    <t xml:space="preserve">0.616584</t>
  </si>
  <si>
    <t xml:space="preserve">0.593753</t>
  </si>
  <si>
    <t xml:space="preserve">0.601064</t>
  </si>
  <si>
    <t xml:space="preserve">0.608605</t>
  </si>
  <si>
    <t xml:space="preserve">0.604285</t>
  </si>
  <si>
    <t xml:space="preserve">0.604500</t>
  </si>
  <si>
    <t xml:space="preserve">0.600845</t>
  </si>
  <si>
    <t xml:space="preserve">0.599500</t>
  </si>
  <si>
    <t xml:space="preserve">0.597470</t>
  </si>
  <si>
    <t xml:space="preserve">0.605467</t>
  </si>
  <si>
    <t xml:space="preserve">0.608884</t>
  </si>
  <si>
    <t xml:space="preserve">0.629702</t>
  </si>
  <si>
    <t xml:space="preserve">0.625502</t>
  </si>
  <si>
    <t xml:space="preserve">0.625781</t>
  </si>
  <si>
    <t xml:space="preserve">0.614817</t>
  </si>
  <si>
    <t xml:space="preserve">0.634786</t>
  </si>
  <si>
    <t xml:space="preserve">0.631570</t>
  </si>
  <si>
    <t xml:space="preserve">0.629156</t>
  </si>
  <si>
    <t xml:space="preserve">0.641710</t>
  </si>
  <si>
    <t xml:space="preserve">0.665196</t>
  </si>
  <si>
    <t xml:space="preserve">0.658159</t>
  </si>
  <si>
    <t xml:space="preserve">0.658668</t>
  </si>
  <si>
    <t xml:space="preserve">0.658434</t>
  </si>
  <si>
    <t xml:space="preserve">0.662731</t>
  </si>
  <si>
    <t xml:space="preserve">0.645802</t>
  </si>
  <si>
    <t xml:space="preserve">0.657615</t>
  </si>
  <si>
    <t xml:space="preserve">0.666105</t>
  </si>
  <si>
    <t xml:space="preserve">0.670066</t>
  </si>
  <si>
    <t xml:space="preserve">0.667361</t>
  </si>
  <si>
    <t xml:space="preserve">0.675217</t>
  </si>
  <si>
    <t xml:space="preserve">0.681558</t>
  </si>
  <si>
    <t xml:space="preserve">0.689368</t>
  </si>
  <si>
    <t xml:space="preserve">0.690072</t>
  </si>
  <si>
    <t xml:space="preserve">İŞLEM   </t>
  </si>
  <si>
    <t xml:space="preserve">KYMT  </t>
  </si>
  <si>
    <t xml:space="preserve">FAİZ ORANI </t>
  </si>
  <si>
    <t xml:space="preserve">KIYMET           </t>
  </si>
  <si>
    <t xml:space="preserve">TL  TUTAR         </t>
  </si>
  <si>
    <t xml:space="preserve">TL-KIYMET /     </t>
  </si>
  <si>
    <t xml:space="preserve"> AÇIKLAMA</t>
  </si>
  <si>
    <t xml:space="preserve"> ŞUBE</t>
  </si>
  <si>
    <t xml:space="preserve">FİŞ NO  </t>
  </si>
  <si>
    <t xml:space="preserve">İŞL</t>
  </si>
  <si>
    <t xml:space="preserve">TARİHİ  </t>
  </si>
  <si>
    <t xml:space="preserve">ADI   </t>
  </si>
  <si>
    <t xml:space="preserve">BİRİM FİAT </t>
  </si>
  <si>
    <t xml:space="preserve">ADEDİ            </t>
  </si>
  <si>
    <t xml:space="preserve">MALİYET</t>
  </si>
  <si>
    <t xml:space="preserve">MASRAF</t>
  </si>
  <si>
    <t xml:space="preserve">                  </t>
  </si>
  <si>
    <t xml:space="preserve"> BAKİYE</t>
  </si>
  <si>
    <t xml:space="preserve">     </t>
  </si>
  <si>
    <t xml:space="preserve">        </t>
  </si>
  <si>
    <t xml:space="preserve">KOD</t>
  </si>
  <si>
    <t xml:space="preserve">========</t>
  </si>
  <si>
    <t xml:space="preserve">======</t>
  </si>
  <si>
    <t xml:space="preserve">===========</t>
  </si>
  <si>
    <t xml:space="preserve">==========</t>
  </si>
  <si>
    <t xml:space="preserve">=========</t>
  </si>
  <si>
    <t xml:space="preserve">======================</t>
  </si>
  <si>
    <t xml:space="preserve"> ====</t>
  </si>
  <si>
    <t xml:space="preserve"> ==</t>
  </si>
  <si>
    <t xml:space="preserve">      </t>
  </si>
  <si>
    <t xml:space="preserve">          -</t>
  </si>
  <si>
    <t xml:space="preserve">                -</t>
  </si>
  <si>
    <t xml:space="preserve">CARİ/YATIRIM VİRMANI</t>
  </si>
  <si>
    <t xml:space="preserve"> QC</t>
  </si>
  <si>
    <t xml:space="preserve">TABGD </t>
  </si>
  <si>
    <t xml:space="preserve">HALKA ARZ TALEP GİRİŞİ</t>
  </si>
  <si>
    <t xml:space="preserve"> HF</t>
  </si>
  <si>
    <t xml:space="preserve">HALKA ARZ  +0.000 ALIM TALEP SONUCU</t>
  </si>
  <si>
    <t xml:space="preserve"> HX</t>
  </si>
  <si>
    <t xml:space="preserve">HALKA ARZ SENET 9</t>
  </si>
  <si>
    <t xml:space="preserve">30000025400 NOLU ALIŞ TALİMATI</t>
  </si>
  <si>
    <t xml:space="preserve"> QX</t>
  </si>
  <si>
    <t xml:space="preserve">30000025506 NOLU ALIŞ TALİMATI</t>
  </si>
  <si>
    <t xml:space="preserve">30000281703 NOLU ALIŞ TALİMATI</t>
  </si>
  <si>
    <t xml:space="preserve">030000281703 NOLU TALİMAT İPTALİ</t>
  </si>
  <si>
    <t xml:space="preserve"> QT</t>
  </si>
  <si>
    <t xml:space="preserve">030000025506 NOLU TALİMAT İPTALİ</t>
  </si>
  <si>
    <t xml:space="preserve">030000025400 NOLU TALİMAT İPTALİ</t>
  </si>
  <si>
    <t xml:space="preserve">MEGMT </t>
  </si>
  <si>
    <t xml:space="preserve">SURGY </t>
  </si>
  <si>
    <t xml:space="preserve">YATIRIM FONU ALIŞI 300</t>
  </si>
  <si>
    <t xml:space="preserve">YATIRIM FONU ALIŞI 10</t>
  </si>
  <si>
    <t xml:space="preserve">207000086784 NOLU ALIŞ TALİMATI</t>
  </si>
  <si>
    <t xml:space="preserve">207000086784 NOLU TLM.EMİR İYİLEŞT</t>
  </si>
  <si>
    <t xml:space="preserve"> QU</t>
  </si>
  <si>
    <t xml:space="preserve">TAKAS KOM: 2.87 - 19 - ALIŞ BSMV: 0.14</t>
  </si>
  <si>
    <t xml:space="preserve"> QA</t>
  </si>
  <si>
    <t xml:space="preserve">HALKA ARZ ALIM TALEP SONUCU</t>
  </si>
  <si>
    <t xml:space="preserve">HALKA ARZ SENET 10 GİRİŞİ,SIRANO:</t>
  </si>
  <si>
    <t xml:space="preserve">HALKA ARZ SENET 13 GİRİŞİ,SIRANO:</t>
  </si>
  <si>
    <t xml:space="preserve">          - </t>
  </si>
  <si>
    <t xml:space="preserve">           - </t>
  </si>
  <si>
    <t xml:space="preserve">QC</t>
  </si>
  <si>
    <t xml:space="preserve">AVPGY</t>
  </si>
  <si>
    <t xml:space="preserve">HF</t>
  </si>
  <si>
    <t xml:space="preserve">YATIRIM FONU ALIŞI 50</t>
  </si>
  <si>
    <t xml:space="preserve">HX</t>
  </si>
  <si>
    <t xml:space="preserve">HALKA ARZ SENET 26 GİRİŞİ,SIRANO:</t>
  </si>
  <si>
    <t xml:space="preserve">YATIRIM FONU SATIŞI</t>
  </si>
  <si>
    <t xml:space="preserve">YATIRIM/CARİ VİRMANI</t>
  </si>
  <si>
    <t xml:space="preserve">QP</t>
  </si>
  <si>
    <t xml:space="preserve">228000154978 NOLU ALIŞ TALİMATI</t>
  </si>
  <si>
    <t xml:space="preserve">QX</t>
  </si>
  <si>
    <t xml:space="preserve">228000162133 NOLU ALIŞ TALİMATI</t>
  </si>
  <si>
    <t xml:space="preserve">TABGD  </t>
  </si>
  <si>
    <t xml:space="preserve">TAKAS KOM: 4.60  - 39 - ALIŞ BSMV: 0.23</t>
  </si>
  <si>
    <t xml:space="preserve">QA</t>
  </si>
  <si>
    <t xml:space="preserve">AVPGY  </t>
  </si>
  <si>
    <t xml:space="preserve">TAKAS KOM: 7.90 -126 - ALIŞ BSMV: 0.40</t>
  </si>
  <si>
    <t xml:space="preserve">YATIRIM FONU SATIŞI 22</t>
  </si>
  <si>
    <t xml:space="preserve">       </t>
  </si>
  <si>
    <t xml:space="preserve">           -</t>
  </si>
  <si>
    <t xml:space="preserve">YAT.HS.SAKLAMA ÜCRETİ</t>
  </si>
  <si>
    <t xml:space="preserve">QM</t>
  </si>
  <si>
    <t xml:space="preserve">BSMV TUTARI</t>
  </si>
  <si>
    <t xml:space="preserve">ST</t>
  </si>
  <si>
    <t xml:space="preserve">YATIRIM FONU ALIŞI 110</t>
  </si>
  <si>
    <t xml:space="preserve">  +0.0</t>
  </si>
  <si>
    <t xml:space="preserve">TALİMAT</t>
  </si>
  <si>
    <t xml:space="preserve">IZ</t>
  </si>
  <si>
    <t xml:space="preserve">YATIRIM FONU -160 - TALİMAT SONUCU - ALIM</t>
  </si>
  <si>
    <t xml:space="preserve">MN</t>
  </si>
  <si>
    <t xml:space="preserve">122000524210 NOLU SATIŞ TALİMATI - 126</t>
  </si>
  <si>
    <t xml:space="preserve">QY</t>
  </si>
  <si>
    <t xml:space="preserve">MEGMT  </t>
  </si>
  <si>
    <t xml:space="preserve">122000524730 NOLU SATIŞ TALİMATI -13</t>
  </si>
  <si>
    <t xml:space="preserve">TAKAS KOM: 12.95 - 0- SATIŞ BSMV: 0.65</t>
  </si>
  <si>
    <t xml:space="preserve">QZ</t>
  </si>
  <si>
    <t xml:space="preserve">TAKAS KOM: 1.08 - SATIŞ BSMV: 0.05</t>
  </si>
  <si>
    <t xml:space="preserve">ev elektrik</t>
  </si>
  <si>
    <t xml:space="preserve">umut</t>
  </si>
  <si>
    <t xml:space="preserve">yasemin</t>
  </si>
  <si>
    <t xml:space="preserve">peri</t>
  </si>
  <si>
    <t xml:space="preserve">hmb</t>
  </si>
  <si>
    <t xml:space="preserve">kr a</t>
  </si>
  <si>
    <t xml:space="preserve">kr b</t>
  </si>
  <si>
    <t xml:space="preserve">kr c</t>
  </si>
  <si>
    <t xml:space="preserve">kr d</t>
  </si>
  <si>
    <t xml:space="preserve">kr e</t>
  </si>
  <si>
    <t xml:space="preserve">kr f</t>
  </si>
  <si>
    <t xml:space="preserve">kr g</t>
  </si>
  <si>
    <t xml:space="preserve">kr h</t>
  </si>
  <si>
    <t xml:space="preserve">100 KASA</t>
  </si>
  <si>
    <t xml:space="preserve">101 ALINAN ÇEKLER</t>
  </si>
  <si>
    <t xml:space="preserve">102 BANKALAR</t>
  </si>
  <si>
    <t xml:space="preserve">110 Hisse Senetleri</t>
  </si>
  <si>
    <t xml:space="preserve">645 Menkul Kıymet Satış Karları</t>
  </si>
  <si>
    <t xml:space="preserve">110.20 MEGMT - 745 MEGA METAL</t>
  </si>
  <si>
    <t xml:space="preserve">110.21 SURGY- 744 SUR GYO</t>
  </si>
  <si>
    <t xml:space="preserve">110.02 İŞ 808</t>
  </si>
  <si>
    <t xml:space="preserve">110.22 AVPGY - 747 AVRUPAKENT GYO</t>
  </si>
  <si>
    <t xml:space="preserve">110.01 İŞ 801</t>
  </si>
  <si>
    <t xml:space="preserve">110.23 TABGD</t>
  </si>
</sst>
</file>

<file path=xl/styles.xml><?xml version="1.0" encoding="utf-8"?>
<styleSheet xmlns="http://schemas.openxmlformats.org/spreadsheetml/2006/main">
  <numFmts count="18">
    <numFmt numFmtId="164" formatCode="General"/>
    <numFmt numFmtId="165" formatCode="dd/mm/yy;@"/>
    <numFmt numFmtId="166" formatCode="0.00"/>
    <numFmt numFmtId="167" formatCode="#,##0.00"/>
    <numFmt numFmtId="168" formatCode="#,##0.000000"/>
    <numFmt numFmtId="169" formatCode="#,##0.00_ ;[RED]\-#,##0.00\ "/>
    <numFmt numFmtId="170" formatCode="0.00_ ;[RED]\-0.00\ "/>
    <numFmt numFmtId="171" formatCode="%0"/>
    <numFmt numFmtId="172" formatCode="0.0"/>
    <numFmt numFmtId="173" formatCode="%0.00"/>
    <numFmt numFmtId="174" formatCode="0_ ;[RED]\-0\ "/>
    <numFmt numFmtId="175" formatCode="0"/>
    <numFmt numFmtId="176" formatCode="dd/mmm"/>
    <numFmt numFmtId="177" formatCode="%0.0000"/>
    <numFmt numFmtId="178" formatCode="0.000000"/>
    <numFmt numFmtId="179" formatCode="dd/mm/yyyy"/>
    <numFmt numFmtId="180" formatCode="#,##0"/>
    <numFmt numFmtId="181" formatCode="0.000"/>
  </numFmts>
  <fonts count="23">
    <font>
      <sz val="10"/>
      <color rgb="FF000000"/>
      <name val="Liberation Sans1"/>
      <family val="0"/>
      <charset val="16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FFFFFF"/>
      <name val="Liberation Sans1"/>
      <family val="0"/>
      <charset val="162"/>
    </font>
    <font>
      <b val="true"/>
      <sz val="10"/>
      <color rgb="FF000000"/>
      <name val="Liberation Sans1"/>
      <family val="0"/>
      <charset val="162"/>
    </font>
    <font>
      <sz val="10"/>
      <color rgb="FFCC0000"/>
      <name val="Liberation Sans1"/>
      <family val="0"/>
      <charset val="162"/>
    </font>
    <font>
      <b val="true"/>
      <sz val="10"/>
      <color rgb="FFFFFFFF"/>
      <name val="Liberation Sans1"/>
      <family val="0"/>
      <charset val="162"/>
    </font>
    <font>
      <i val="true"/>
      <sz val="10"/>
      <color rgb="FF808080"/>
      <name val="Liberation Sans1"/>
      <family val="0"/>
      <charset val="162"/>
    </font>
    <font>
      <sz val="10"/>
      <color rgb="FF006600"/>
      <name val="Liberation Sans1"/>
      <family val="0"/>
      <charset val="162"/>
    </font>
    <font>
      <sz val="18"/>
      <color rgb="FF000000"/>
      <name val="Liberation Sans1"/>
      <family val="0"/>
      <charset val="162"/>
    </font>
    <font>
      <b val="true"/>
      <sz val="24"/>
      <color rgb="FF000000"/>
      <name val="Liberation Sans1"/>
      <family val="0"/>
      <charset val="162"/>
    </font>
    <font>
      <sz val="12"/>
      <color rgb="FF000000"/>
      <name val="Liberation Sans1"/>
      <family val="0"/>
      <charset val="162"/>
    </font>
    <font>
      <u val="single"/>
      <sz val="10"/>
      <color rgb="FF0000EE"/>
      <name val="Liberation Sans1"/>
      <family val="0"/>
      <charset val="162"/>
    </font>
    <font>
      <sz val="10"/>
      <color rgb="FF996600"/>
      <name val="Liberation Sans1"/>
      <family val="0"/>
      <charset val="162"/>
    </font>
    <font>
      <sz val="10"/>
      <color rgb="FF333333"/>
      <name val="Liberation Sans1"/>
      <family val="0"/>
      <charset val="162"/>
    </font>
    <font>
      <b val="true"/>
      <i val="true"/>
      <u val="single"/>
      <sz val="10"/>
      <color rgb="FF000000"/>
      <name val="Liberation Sans1"/>
      <family val="0"/>
      <charset val="162"/>
    </font>
    <font>
      <b val="true"/>
      <u val="single"/>
      <sz val="10"/>
      <color rgb="FF000000"/>
      <name val="Liberation Sans1"/>
      <family val="0"/>
      <charset val="162"/>
    </font>
    <font>
      <sz val="10"/>
      <color rgb="FFFFFF00"/>
      <name val="Liberation Sans1"/>
      <family val="0"/>
      <charset val="162"/>
    </font>
    <font>
      <sz val="10"/>
      <color rgb="FFFF0000"/>
      <name val="Liberation Sans1"/>
      <family val="0"/>
      <charset val="162"/>
    </font>
    <font>
      <b val="true"/>
      <sz val="10"/>
      <color rgb="FFFF0000"/>
      <name val="Liberation Sans1"/>
      <family val="0"/>
      <charset val="162"/>
    </font>
    <font>
      <u val="single"/>
      <sz val="10"/>
      <color rgb="FF000000"/>
      <name val="Liberation Sans1"/>
      <family val="0"/>
      <charset val="162"/>
    </font>
    <font>
      <b val="true"/>
      <sz val="12"/>
      <color rgb="FF000000"/>
      <name val="Arial Rounded MT Bold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808080"/>
        <bgColor rgb="FF666699"/>
      </patternFill>
    </fill>
    <fill>
      <patternFill patternType="solid">
        <fgColor rgb="FFDDDDDD"/>
        <bgColor rgb="FFDAE3F3"/>
      </patternFill>
    </fill>
    <fill>
      <patternFill patternType="solid">
        <fgColor rgb="FFFFCCCC"/>
        <bgColor rgb="FFFBE5D6"/>
      </patternFill>
    </fill>
    <fill>
      <patternFill patternType="solid">
        <fgColor rgb="FFCC0000"/>
        <bgColor rgb="FFFF0000"/>
      </patternFill>
    </fill>
    <fill>
      <patternFill patternType="solid">
        <fgColor rgb="FFCCFFCC"/>
        <bgColor rgb="FFE2F0D9"/>
      </patternFill>
    </fill>
    <fill>
      <patternFill patternType="solid">
        <fgColor rgb="FFFFFFCC"/>
        <bgColor rgb="FFFFF2CC"/>
      </patternFill>
    </fill>
    <fill>
      <patternFill patternType="solid">
        <fgColor rgb="FFFBE5D6"/>
        <bgColor rgb="FFFFF2CC"/>
      </patternFill>
    </fill>
    <fill>
      <patternFill patternType="solid">
        <fgColor rgb="FF1F4E79"/>
        <bgColor rgb="FF003366"/>
      </patternFill>
    </fill>
    <fill>
      <patternFill patternType="solid">
        <fgColor rgb="FFEDEDED"/>
        <bgColor rgb="FFDEEBF7"/>
      </patternFill>
    </fill>
    <fill>
      <patternFill patternType="solid">
        <fgColor rgb="FFA9D18E"/>
        <bgColor rgb="FFC5E0B4"/>
      </patternFill>
    </fill>
    <fill>
      <patternFill patternType="solid">
        <fgColor rgb="FFFFF2CC"/>
        <bgColor rgb="FFFFFFCC"/>
      </patternFill>
    </fill>
    <fill>
      <patternFill patternType="solid">
        <fgColor rgb="FFE2F0D9"/>
        <bgColor rgb="FFEDEDED"/>
      </patternFill>
    </fill>
    <fill>
      <patternFill patternType="solid">
        <fgColor rgb="FFDEEBF7"/>
        <bgColor rgb="FFDAE3F3"/>
      </patternFill>
    </fill>
    <fill>
      <patternFill patternType="solid">
        <fgColor rgb="FFDAE3F3"/>
        <bgColor rgb="FFDEEBF7"/>
      </patternFill>
    </fill>
    <fill>
      <patternFill patternType="solid">
        <fgColor rgb="FFFFFF00"/>
        <bgColor rgb="FFFFFF00"/>
      </patternFill>
    </fill>
    <fill>
      <patternFill patternType="solid">
        <fgColor rgb="FFC5E0B4"/>
        <bgColor rgb="FFD0CECE"/>
      </patternFill>
    </fill>
    <fill>
      <patternFill patternType="solid">
        <fgColor rgb="FFD0CECE"/>
        <bgColor rgb="FFDDDDDD"/>
      </patternFill>
    </fill>
    <fill>
      <patternFill patternType="solid">
        <fgColor rgb="FFFFC000"/>
        <bgColor rgb="FFFF9900"/>
      </patternFill>
    </fill>
    <fill>
      <patternFill patternType="solid">
        <fgColor rgb="FFED7D31"/>
        <bgColor rgb="FFFF8080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 diagonalUp="false" diagonalDown="false">
      <left/>
      <right/>
      <top/>
      <bottom style="thin"/>
      <diagonal/>
    </border>
  </borders>
  <cellStyleXfs count="38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171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2" borderId="0" applyFont="true" applyBorder="false" applyAlignment="true" applyProtection="false">
      <alignment horizontal="general" vertical="bottom" textRotation="0" wrapText="false" indent="0" shrinkToFit="false"/>
    </xf>
    <xf numFmtId="164" fontId="4" fillId="3" borderId="0" applyFont="true" applyBorder="false" applyAlignment="true" applyProtection="false">
      <alignment horizontal="general" vertical="bottom" textRotation="0" wrapText="false" indent="0" shrinkToFit="false"/>
    </xf>
    <xf numFmtId="164" fontId="5" fillId="4" borderId="0" applyFont="true" applyBorder="false" applyAlignment="true" applyProtection="false">
      <alignment horizontal="general" vertical="bottom" textRotation="0" wrapText="false" indent="0" shrinkToFit="false"/>
    </xf>
    <xf numFmtId="164" fontId="5" fillId="0" borderId="0" applyFont="true" applyBorder="false" applyAlignment="true" applyProtection="false">
      <alignment horizontal="general" vertical="bottom" textRotation="0" wrapText="false" indent="0" shrinkToFit="false"/>
    </xf>
    <xf numFmtId="164" fontId="6" fillId="5" borderId="0" applyFont="true" applyBorder="false" applyAlignment="true" applyProtection="false">
      <alignment horizontal="general" vertical="bottom" textRotation="0" wrapText="false" indent="0" shrinkToFit="false"/>
    </xf>
    <xf numFmtId="164" fontId="7" fillId="6" borderId="0" applyFont="true" applyBorder="false" applyAlignment="true" applyProtection="false">
      <alignment horizontal="general" vertical="bottom" textRotation="0" wrapText="false" indent="0" shrinkToFit="false"/>
    </xf>
    <xf numFmtId="164" fontId="8" fillId="0" borderId="0" applyFont="true" applyBorder="false" applyAlignment="true" applyProtection="false">
      <alignment horizontal="general" vertical="bottom" textRotation="0" wrapText="false" indent="0" shrinkToFit="false"/>
    </xf>
    <xf numFmtId="164" fontId="9" fillId="7" borderId="0" applyFont="true" applyBorder="false" applyAlignment="true" applyProtection="false">
      <alignment horizontal="general" vertical="bottom" textRotation="0" wrapText="false" indent="0" shrinkToFit="false"/>
    </xf>
    <xf numFmtId="164" fontId="10" fillId="0" borderId="0" applyFont="true" applyBorder="false" applyAlignment="true" applyProtection="false">
      <alignment horizontal="general" vertical="bottom" textRotation="0" wrapText="false" indent="0" shrinkToFit="false"/>
    </xf>
    <xf numFmtId="164" fontId="11" fillId="0" borderId="0" applyFont="true" applyBorder="false" applyAlignment="true" applyProtection="false">
      <alignment horizontal="general" vertical="bottom" textRotation="0" wrapText="false" indent="0" shrinkToFit="false"/>
    </xf>
    <xf numFmtId="164" fontId="12" fillId="0" borderId="0" applyFont="true" applyBorder="false" applyAlignment="true" applyProtection="false">
      <alignment horizontal="general" vertical="bottom" textRotation="0" wrapText="false" indent="0" shrinkToFit="false"/>
    </xf>
    <xf numFmtId="164" fontId="13" fillId="0" borderId="0" applyFont="true" applyBorder="false" applyAlignment="true" applyProtection="false">
      <alignment horizontal="general" vertical="bottom" textRotation="0" wrapText="false" indent="0" shrinkToFit="false"/>
    </xf>
    <xf numFmtId="164" fontId="14" fillId="8" borderId="0" applyFont="true" applyBorder="false" applyAlignment="true" applyProtection="false">
      <alignment horizontal="general" vertical="bottom" textRotation="0" wrapText="false" indent="0" shrinkToFit="false"/>
    </xf>
    <xf numFmtId="164" fontId="15" fillId="8" borderId="1" applyFont="true" applyBorder="true" applyAlignment="true" applyProtection="false">
      <alignment horizontal="general" vertical="bottom" textRotation="0" wrapText="false" indent="0" shrinkToFit="false"/>
    </xf>
    <xf numFmtId="164" fontId="16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6" fillId="0" borderId="0" applyFont="true" applyBorder="false" applyAlignment="true" applyProtection="false">
      <alignment horizontal="general" vertical="bottom" textRotation="0" wrapText="false" indent="0" shrinkToFit="false"/>
    </xf>
  </cellStyleXfs>
  <cellXfs count="20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7" fillId="0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7" fillId="0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7" fillId="0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17" fillId="0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7" fillId="0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0" fillId="9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8" fillId="1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9" fillId="0" borderId="0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11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11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1" borderId="0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5" fillId="11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11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0" fillId="11" borderId="0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0" fillId="11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1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5" fillId="1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12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12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12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0" fillId="12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0" fillId="12" borderId="0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0" fillId="12" borderId="0" xfId="19" applyFont="fals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0" fillId="12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3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0" fillId="13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13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13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13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5" fillId="1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7" fillId="13" borderId="0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20" fillId="13" borderId="0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3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20" fillId="0" borderId="0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14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4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9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9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0" fillId="9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0" fillId="15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14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9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12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0" fillId="12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7" fillId="1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14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15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15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15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5" fillId="14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19" applyFont="fals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0" fillId="16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16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1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5" fillId="1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0" fillId="12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1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1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5" fillId="1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19" applyFont="false" applyBorder="true" applyAlignment="false" applyProtection="tru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1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5" fillId="1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1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1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5" fillId="1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0" fillId="13" borderId="0" xfId="19" applyFont="false" applyBorder="true" applyAlignment="false" applyProtection="true">
      <alignment horizontal="general" vertical="bottom" textRotation="0" wrapText="false" indent="0" shrinkToFit="false"/>
      <protection locked="true" hidden="false"/>
    </xf>
    <xf numFmtId="171" fontId="17" fillId="13" borderId="2" xfId="19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6" fontId="17" fillId="1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9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5" fillId="9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9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15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15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15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19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0" fillId="16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19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9" fontId="5" fillId="14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0" fillId="16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0" fillId="14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1" fillId="1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19" applyFont="false" applyBorder="true" applyAlignment="false" applyProtection="true">
      <alignment horizontal="general" vertical="bottom" textRotation="0" wrapText="false" indent="0" shrinkToFit="false"/>
      <protection locked="true" hidden="false"/>
    </xf>
    <xf numFmtId="169" fontId="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7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17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7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0" fillId="17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7" fontId="0" fillId="0" borderId="0" xfId="19" applyFont="fals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0" fillId="1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9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19" applyFont="fals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0" fillId="1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5" fillId="16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9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3" fontId="17" fillId="9" borderId="0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20" fillId="15" borderId="0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0" fillId="17" borderId="0" xfId="19" applyFont="fals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0" fillId="1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7" fillId="16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7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17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17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5" fillId="17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17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17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5" fillId="17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9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17" fillId="0" borderId="2" xfId="19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true">
      <alignment horizontal="general" vertical="bottom" textRotation="0" wrapText="false" indent="0" shrinkToFit="false"/>
      <protection locked="false" hidden="false"/>
    </xf>
    <xf numFmtId="167" fontId="0" fillId="0" borderId="0" xfId="0" applyFont="fals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8" fontId="0" fillId="0" borderId="0" xfId="0" applyFont="true" applyBorder="false" applyAlignment="true" applyProtection="true">
      <alignment horizontal="general" vertical="top" textRotation="0" wrapText="true" indent="0" shrinkToFit="false"/>
      <protection locked="false" hidden="false"/>
    </xf>
    <xf numFmtId="164" fontId="0" fillId="0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top" textRotation="0" wrapText="true" indent="0" shrinkToFit="false"/>
      <protection locked="true" hidden="false"/>
    </xf>
    <xf numFmtId="166" fontId="0" fillId="0" borderId="0" xfId="0" applyFont="true" applyBorder="false" applyAlignment="true" applyProtection="false">
      <alignment horizontal="center" vertical="top" textRotation="0" wrapText="true" indent="0" shrinkToFit="false"/>
      <protection locked="true" hidden="false"/>
    </xf>
    <xf numFmtId="179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73" fontId="0" fillId="0" borderId="0" xfId="0" applyFont="false" applyBorder="false" applyAlignment="true" applyProtection="false">
      <alignment horizontal="center" vertical="top" textRotation="0" wrapText="true" indent="0" shrinkToFit="false"/>
      <protection locked="true" hidden="false"/>
    </xf>
    <xf numFmtId="168" fontId="0" fillId="0" borderId="0" xfId="0" applyFont="false" applyBorder="false" applyAlignment="true" applyProtection="true">
      <alignment horizontal="general" vertical="top" textRotation="0" wrapText="false" indent="0" shrinkToFit="false"/>
      <protection locked="false" hidden="false"/>
    </xf>
    <xf numFmtId="180" fontId="0" fillId="0" borderId="0" xfId="0" applyFont="false" applyBorder="false" applyAlignment="true" applyProtection="false">
      <alignment horizontal="right" vertical="top" textRotation="0" wrapText="true" indent="0" shrinkToFit="false"/>
      <protection locked="true" hidden="false"/>
    </xf>
    <xf numFmtId="167" fontId="0" fillId="0" borderId="0" xfId="19" applyFont="fals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1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2" fillId="1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1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22" fillId="1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1" fontId="22" fillId="1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1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2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22" fillId="2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1" fontId="22" fillId="2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2" fillId="2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2" fillId="1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1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19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22" fillId="2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2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22" fillId="2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1" fontId="22" fillId="2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22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1" fontId="22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2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22" fillId="1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1" fontId="22" fillId="1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22" fillId="1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1" fontId="22" fillId="1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24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Accent 1 5" xfId="20"/>
    <cellStyle name="Accent 2 6" xfId="21"/>
    <cellStyle name="Accent 3 7" xfId="22"/>
    <cellStyle name="Accent 4" xfId="23"/>
    <cellStyle name="Bad 8" xfId="24"/>
    <cellStyle name="Error 9" xfId="25"/>
    <cellStyle name="Footnote 10" xfId="26"/>
    <cellStyle name="Good 11" xfId="27"/>
    <cellStyle name="Heading 1 13" xfId="28"/>
    <cellStyle name="Heading 12" xfId="29"/>
    <cellStyle name="Heading 2 14" xfId="30"/>
    <cellStyle name="Hyperlink 15" xfId="31"/>
    <cellStyle name="Neutral 16" xfId="32"/>
    <cellStyle name="Note 17" xfId="33"/>
    <cellStyle name="Result 18" xfId="34"/>
    <cellStyle name="Status 19" xfId="35"/>
    <cellStyle name="Text 20" xfId="36"/>
    <cellStyle name="Warning 21" xfId="37"/>
  </cellStyles>
  <dxfs count="8">
    <dxf>
      <fill>
        <patternFill patternType="solid">
          <fgColor rgb="FFA9D18E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00FFFFFF"/>
        </patternFill>
      </fill>
    </dxf>
    <dxf>
      <fill>
        <patternFill patternType="solid">
          <fgColor rgb="FFDFDFDF"/>
          <bgColor rgb="FF303030"/>
        </patternFill>
      </fill>
    </dxf>
    <dxf>
      <fill>
        <patternFill patternType="solid">
          <fgColor rgb="FFE2F0D9"/>
        </patternFill>
      </fill>
    </dxf>
    <dxf>
      <fill>
        <patternFill patternType="solid">
          <fgColor rgb="FFDEEBF7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BE5D6"/>
        </patternFill>
      </fill>
    </dxf>
  </dxfs>
  <colors>
    <indexedColors>
      <rgbColor rgb="FF000000"/>
      <rgbColor rgb="FFFFFFFF"/>
      <rgbColor rgb="FFFF0000"/>
      <rgbColor rgb="FF00FF00"/>
      <rgbColor rgb="FF0000EE"/>
      <rgbColor rgb="FFFFFF00"/>
      <rgbColor rgb="FFFF00FF"/>
      <rgbColor rgb="FF00FFFF"/>
      <rgbColor rgb="FFCC0000"/>
      <rgbColor rgb="FF006600"/>
      <rgbColor rgb="FF000080"/>
      <rgbColor rgb="FF996600"/>
      <rgbColor rgb="FF800080"/>
      <rgbColor rgb="FF008080"/>
      <rgbColor rgb="FFD0CECE"/>
      <rgbColor rgb="FF808080"/>
      <rgbColor rgb="FFEDEDED"/>
      <rgbColor rgb="FF993366"/>
      <rgbColor rgb="FFFFFFCC"/>
      <rgbColor rgb="FFDEEBF7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F0D9"/>
      <rgbColor rgb="FFCCFFCC"/>
      <rgbColor rgb="FFFFF2CC"/>
      <rgbColor rgb="FFC5E0B4"/>
      <rgbColor rgb="FFFBE5D6"/>
      <rgbColor rgb="FFDAE3F3"/>
      <rgbColor rgb="FFFFCCCC"/>
      <rgbColor rgb="FF3366FF"/>
      <rgbColor rgb="FF33CCCC"/>
      <rgbColor rgb="FF99CC00"/>
      <rgbColor rgb="FFFFC000"/>
      <rgbColor rgb="FFFF9900"/>
      <rgbColor rgb="FFED7D31"/>
      <rgbColor rgb="FF666699"/>
      <rgbColor rgb="FFA9D18E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17</xdr:col>
      <xdr:colOff>398520</xdr:colOff>
      <xdr:row>10</xdr:row>
      <xdr:rowOff>83520</xdr:rowOff>
    </xdr:from>
    <xdr:to>
      <xdr:col>21</xdr:col>
      <xdr:colOff>620280</xdr:colOff>
      <xdr:row>20</xdr:row>
      <xdr:rowOff>54720</xdr:rowOff>
    </xdr:to>
    <xdr:pic>
      <xdr:nvPicPr>
        <xdr:cNvPr id="0" name="Resim 1" descr=""/>
        <xdr:cNvPicPr/>
      </xdr:nvPicPr>
      <xdr:blipFill>
        <a:blip r:embed="rId1"/>
        <a:stretch/>
      </xdr:blipFill>
      <xdr:spPr>
        <a:xfrm>
          <a:off x="12767760" y="1702800"/>
          <a:ext cx="2804760" cy="15904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15</xdr:col>
      <xdr:colOff>602280</xdr:colOff>
      <xdr:row>11</xdr:row>
      <xdr:rowOff>74160</xdr:rowOff>
    </xdr:from>
    <xdr:to>
      <xdr:col>20</xdr:col>
      <xdr:colOff>575640</xdr:colOff>
      <xdr:row>20</xdr:row>
      <xdr:rowOff>74160</xdr:rowOff>
    </xdr:to>
    <xdr:pic>
      <xdr:nvPicPr>
        <xdr:cNvPr id="1" name="Resim 2" descr=""/>
        <xdr:cNvPicPr/>
      </xdr:nvPicPr>
      <xdr:blipFill>
        <a:blip r:embed="rId2"/>
        <a:stretch/>
      </xdr:blipFill>
      <xdr:spPr>
        <a:xfrm>
          <a:off x="11649240" y="1855440"/>
          <a:ext cx="3248280" cy="14572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15</xdr:col>
      <xdr:colOff>72360</xdr:colOff>
      <xdr:row>10</xdr:row>
      <xdr:rowOff>119160</xdr:rowOff>
    </xdr:from>
    <xdr:to>
      <xdr:col>19</xdr:col>
      <xdr:colOff>561960</xdr:colOff>
      <xdr:row>20</xdr:row>
      <xdr:rowOff>100080</xdr:rowOff>
    </xdr:to>
    <xdr:pic>
      <xdr:nvPicPr>
        <xdr:cNvPr id="2" name="Resim 3" descr=""/>
        <xdr:cNvPicPr/>
      </xdr:nvPicPr>
      <xdr:blipFill>
        <a:blip r:embed="rId3"/>
        <a:stretch/>
      </xdr:blipFill>
      <xdr:spPr>
        <a:xfrm>
          <a:off x="11119320" y="1738440"/>
          <a:ext cx="3133800" cy="1600200"/>
        </a:xfrm>
        <a:prstGeom prst="rect">
          <a:avLst/>
        </a:prstGeom>
        <a:ln w="0">
          <a:noFill/>
        </a:ln>
      </xdr:spPr>
    </xdr:pic>
    <xdr:clientData/>
  </xdr:twoCellAnchor>
</xdr:wsDr>
</file>

<file path=xl/tables/table1.xml><?xml version="1.0" encoding="utf-8"?>
<table xmlns="http://schemas.openxmlformats.org/spreadsheetml/2006/main" id="1" name="Tablo2" displayName="Tablo2" ref="A9:M76" headerRowCount="1" totalsRowCount="0" totalsRowShown="0">
  <autoFilter ref="A9:M76"/>
  <tableColumns count="13">
    <tableColumn id="1" name="Açıklama"/>
    <tableColumn id="2" name="tarih"/>
    <tableColumn id="3" name="adet"/>
    <tableColumn id="4" name="birim fiyat"/>
    <tableColumn id="5" name="Tutar"/>
    <tableColumn id="6" name="Tarih2"/>
    <tableColumn id="7" name="Miktar"/>
    <tableColumn id="8" name="Fiyat"/>
    <tableColumn id="9" name="Tutar3"/>
    <tableColumn id="10" name="Miktar3"/>
    <tableColumn id="11" name="Tutar2"/>
    <tableColumn id="12" name="Mktr"/>
    <tableColumn id="13" name="%"/>
  </tableColumns>
</table>
</file>

<file path=xl/tables/table2.xml><?xml version="1.0" encoding="utf-8"?>
<table xmlns="http://schemas.openxmlformats.org/spreadsheetml/2006/main" id="2" name="Tablo23" displayName="Tablo23" ref="A12:M33" headerRowCount="1" totalsRowCount="0" totalsRowShown="0">
  <autoFilter ref="A12:M33"/>
  <tableColumns count="13">
    <tableColumn id="1" name="Açıklama"/>
    <tableColumn id="2" name="tarih"/>
    <tableColumn id="3" name="adet"/>
    <tableColumn id="4" name="birim fiyat"/>
    <tableColumn id="5" name="Tutar"/>
    <tableColumn id="6" name="Tarih2"/>
    <tableColumn id="7" name="Miktar"/>
    <tableColumn id="8" name="Fiyat"/>
    <tableColumn id="9" name="Tutar3"/>
    <tableColumn id="10" name="Miktar3"/>
    <tableColumn id="11" name="Tutar2"/>
    <tableColumn id="12" name="Mktr"/>
    <tableColumn id="13" name="%"/>
  </tableColumns>
</tabl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T84"/>
  <sheetViews>
    <sheetView showFormulas="false" showGridLines="true" showRowColHeaders="true" showZeros="true" rightToLeft="false" tabSelected="false" showOutlineSymbols="true" defaultGridColor="true" view="normal" topLeftCell="A1" colorId="64" zoomScale="160" zoomScaleNormal="160" zoomScalePageLayoutView="100" workbookViewId="0">
      <selection pane="topLeft" activeCell="B3" activeCellId="0" sqref="B3"/>
    </sheetView>
  </sheetViews>
  <sheetFormatPr defaultColWidth="8.57421875" defaultRowHeight="12.75" zeroHeight="false" outlineLevelRow="0" outlineLevelCol="0"/>
  <cols>
    <col collapsed="false" customWidth="true" hidden="false" outlineLevel="0" max="1" min="1" style="1" width="17.43"/>
    <col collapsed="false" customWidth="true" hidden="false" outlineLevel="0" max="2" min="2" style="2" width="8.28"/>
    <col collapsed="false" customWidth="true" hidden="false" outlineLevel="0" max="3" min="3" style="3" width="8.86"/>
    <col collapsed="false" customWidth="true" hidden="false" outlineLevel="0" max="4" min="4" style="1" width="11.58"/>
    <col collapsed="false" customWidth="true" hidden="false" outlineLevel="0" max="5" min="5" style="4" width="15"/>
    <col collapsed="false" customWidth="true" hidden="false" outlineLevel="0" max="6" min="6" style="2" width="8.28"/>
    <col collapsed="false" customWidth="true" hidden="false" outlineLevel="0" max="7" min="7" style="3" width="8.86"/>
    <col collapsed="false" customWidth="true" hidden="false" outlineLevel="0" max="8" min="8" style="5" width="12.58"/>
    <col collapsed="false" customWidth="true" hidden="false" outlineLevel="0" max="9" min="9" style="6" width="12.72"/>
    <col collapsed="false" customWidth="true" hidden="false" outlineLevel="0" max="10" min="10" style="3" width="8"/>
    <col collapsed="false" customWidth="true" hidden="false" outlineLevel="0" max="11" min="11" style="1" width="10.86"/>
    <col collapsed="false" customWidth="true" hidden="false" outlineLevel="0" max="12" min="12" style="1" width="7.28"/>
    <col collapsed="false" customWidth="true" hidden="false" outlineLevel="0" max="14" min="13" style="7" width="5.71"/>
    <col collapsed="false" customWidth="true" hidden="false" outlineLevel="0" max="15" min="15" style="1" width="10"/>
    <col collapsed="false" customWidth="true" hidden="false" outlineLevel="0" max="16" min="16" style="1" width="11"/>
    <col collapsed="false" customWidth="false" hidden="false" outlineLevel="0" max="1024" min="17" style="1" width="8.57"/>
  </cols>
  <sheetData>
    <row r="1" customFormat="false" ht="12.75" hidden="false" customHeight="false" outlineLevel="0" collapsed="false">
      <c r="E1" s="8" t="s">
        <v>0</v>
      </c>
      <c r="F1" s="9"/>
      <c r="G1" s="10"/>
      <c r="H1" s="11"/>
      <c r="I1" s="12" t="s">
        <v>1</v>
      </c>
      <c r="K1" s="10" t="s">
        <v>2</v>
      </c>
    </row>
    <row r="2" customFormat="false" ht="12.75" hidden="false" customHeight="false" outlineLevel="0" collapsed="false">
      <c r="B2" s="13" t="n">
        <v>45380</v>
      </c>
      <c r="K2" s="14" t="n">
        <f aca="false">SUM(K5:K6)</f>
        <v>246143.717427</v>
      </c>
    </row>
    <row r="3" customFormat="false" ht="12.75" hidden="false" customHeight="false" outlineLevel="0" collapsed="false">
      <c r="B3" s="2" t="n">
        <v>43803</v>
      </c>
      <c r="C3" s="3" t="n">
        <f aca="false">B2-B3</f>
        <v>1577</v>
      </c>
      <c r="D3" s="3" t="n">
        <f aca="false">K2/C3</f>
        <v>156.083524050095</v>
      </c>
      <c r="L3" s="15"/>
    </row>
    <row r="4" customFormat="false" ht="12.75" hidden="false" customHeight="false" outlineLevel="0" collapsed="false">
      <c r="B4" s="16"/>
      <c r="C4" s="17"/>
      <c r="D4" s="18"/>
      <c r="E4" s="19"/>
      <c r="F4" s="16"/>
      <c r="G4" s="17"/>
      <c r="H4" s="20"/>
      <c r="I4" s="19"/>
      <c r="J4" s="17"/>
      <c r="K4" s="19"/>
      <c r="L4" s="21"/>
      <c r="M4" s="22"/>
      <c r="N4" s="22"/>
      <c r="O4" s="23"/>
    </row>
    <row r="5" customFormat="false" ht="12.75" hidden="false" customHeight="false" outlineLevel="0" collapsed="false">
      <c r="D5" s="24" t="s">
        <v>3</v>
      </c>
      <c r="E5" s="25" t="n">
        <f aca="false">SUBTOTAL(109,E10:E26)</f>
        <v>288235.26908</v>
      </c>
      <c r="F5" s="26"/>
      <c r="G5" s="27"/>
      <c r="H5" s="28"/>
      <c r="I5" s="29" t="n">
        <f aca="false">SUM(I11:I25)</f>
        <v>518160.30912</v>
      </c>
      <c r="J5" s="27"/>
      <c r="K5" s="25" t="n">
        <f aca="false">SUBTOTAL(109,K10:K26)</f>
        <v>229925.04004</v>
      </c>
      <c r="L5" s="30" t="n">
        <f aca="false">K5/E5</f>
        <v>0.797699187798507</v>
      </c>
      <c r="M5" s="31" t="n">
        <f aca="false">SUBTOTAL(101,M10:M16)</f>
        <v>-0.174731382533147</v>
      </c>
      <c r="N5" s="31" t="n">
        <f aca="false">SUBTOTAL(101,N10:N16)</f>
        <v>-0.155982946482305</v>
      </c>
      <c r="O5" s="32"/>
    </row>
    <row r="6" customFormat="false" ht="12.75" hidden="false" customHeight="false" outlineLevel="0" collapsed="false">
      <c r="B6" s="3"/>
      <c r="D6" s="33" t="s">
        <v>4</v>
      </c>
      <c r="E6" s="34" t="n">
        <f aca="false">SUBTOTAL(109,E29:E75)</f>
        <v>462985.008084</v>
      </c>
      <c r="F6" s="35"/>
      <c r="G6" s="36"/>
      <c r="H6" s="37"/>
      <c r="I6" s="34" t="n">
        <f aca="false">SUBTOTAL(109,I29:I75)</f>
        <v>472251.574495</v>
      </c>
      <c r="J6" s="36"/>
      <c r="K6" s="38" t="n">
        <f aca="false">SUBTOTAL(109,K29:K74)</f>
        <v>16218.677387</v>
      </c>
      <c r="L6" s="39" t="n">
        <f aca="false">K6/E6</f>
        <v>0.0350306750841</v>
      </c>
      <c r="M6" s="40"/>
      <c r="N6" s="40"/>
      <c r="O6" s="41"/>
    </row>
    <row r="7" customFormat="false" ht="12.75" hidden="false" customHeight="false" outlineLevel="0" collapsed="false">
      <c r="D7" s="42"/>
      <c r="E7" s="43"/>
      <c r="I7" s="43"/>
      <c r="K7" s="43"/>
      <c r="L7" s="44"/>
      <c r="M7" s="45"/>
      <c r="N7" s="45"/>
    </row>
    <row r="8" customFormat="false" ht="12.75" hidden="false" customHeight="false" outlineLevel="0" collapsed="false">
      <c r="B8" s="2" t="s">
        <v>5</v>
      </c>
      <c r="C8" s="46" t="s">
        <v>5</v>
      </c>
      <c r="D8" s="47" t="s">
        <v>5</v>
      </c>
      <c r="E8" s="47" t="s">
        <v>5</v>
      </c>
      <c r="F8" s="48" t="s">
        <v>6</v>
      </c>
      <c r="G8" s="49" t="s">
        <v>6</v>
      </c>
      <c r="H8" s="50" t="s">
        <v>6</v>
      </c>
      <c r="I8" s="51" t="s">
        <v>6</v>
      </c>
      <c r="J8" s="52" t="s">
        <v>7</v>
      </c>
      <c r="K8" s="53" t="s">
        <v>7</v>
      </c>
      <c r="L8" s="53" t="s">
        <v>8</v>
      </c>
      <c r="M8" s="54" t="s">
        <v>8</v>
      </c>
      <c r="N8" s="54" t="s">
        <v>9</v>
      </c>
    </row>
    <row r="9" customFormat="false" ht="12.75" hidden="false" customHeight="false" outlineLevel="0" collapsed="false">
      <c r="A9" s="55" t="s">
        <v>10</v>
      </c>
      <c r="B9" s="48" t="s">
        <v>11</v>
      </c>
      <c r="C9" s="46" t="s">
        <v>12</v>
      </c>
      <c r="D9" s="47" t="s">
        <v>13</v>
      </c>
      <c r="E9" s="56" t="s">
        <v>14</v>
      </c>
      <c r="F9" s="48" t="s">
        <v>15</v>
      </c>
      <c r="G9" s="49" t="s">
        <v>16</v>
      </c>
      <c r="H9" s="57" t="s">
        <v>17</v>
      </c>
      <c r="I9" s="51" t="s">
        <v>18</v>
      </c>
      <c r="J9" s="52" t="s">
        <v>19</v>
      </c>
      <c r="K9" s="55" t="s">
        <v>20</v>
      </c>
      <c r="L9" s="55" t="s">
        <v>21</v>
      </c>
      <c r="M9" s="54" t="s">
        <v>22</v>
      </c>
      <c r="N9" s="54" t="s">
        <v>22</v>
      </c>
    </row>
    <row r="10" customFormat="false" ht="12.75" hidden="false" customHeight="false" outlineLevel="0" collapsed="false">
      <c r="C10" s="52"/>
      <c r="E10" s="53"/>
      <c r="F10" s="48"/>
      <c r="G10" s="52"/>
      <c r="J10" s="52"/>
      <c r="M10" s="54"/>
      <c r="N10" s="54"/>
    </row>
    <row r="11" customFormat="false" ht="12.75" hidden="false" customHeight="false" outlineLevel="0" collapsed="false">
      <c r="A11" s="24" t="s">
        <v>3</v>
      </c>
      <c r="B11" s="26"/>
      <c r="C11" s="27"/>
      <c r="D11" s="32"/>
      <c r="E11" s="58"/>
      <c r="F11" s="26"/>
      <c r="G11" s="27"/>
      <c r="H11" s="28"/>
      <c r="I11" s="29"/>
      <c r="J11" s="27"/>
      <c r="K11" s="32"/>
      <c r="L11" s="32"/>
      <c r="M11" s="59"/>
      <c r="N11" s="59"/>
      <c r="O11" s="60" t="e">
        <f aca="false">SUM(O11:O25)</f>
        <v>#VALUE!</v>
      </c>
    </row>
    <row r="12" customFormat="false" ht="12.75" hidden="false" customHeight="false" outlineLevel="0" collapsed="false">
      <c r="O12" s="61"/>
    </row>
    <row r="15" customFormat="false" ht="12.75" hidden="false" customHeight="false" outlineLevel="0" collapsed="false">
      <c r="A15" s="1" t="s">
        <v>23</v>
      </c>
      <c r="B15" s="2" t="n">
        <v>45348</v>
      </c>
      <c r="C15" s="46" t="n">
        <v>75000</v>
      </c>
      <c r="D15" s="47" t="n">
        <v>1.064435</v>
      </c>
      <c r="E15" s="62" t="n">
        <f aca="false">Sayfa2!$D15*Sayfa2!$C15</f>
        <v>79832.625</v>
      </c>
      <c r="F15" s="63" t="n">
        <f aca="false">$B$2</f>
        <v>45380</v>
      </c>
      <c r="G15" s="64" t="n">
        <f aca="false">Tablo2[[#This Row],[adet]]</f>
        <v>75000</v>
      </c>
      <c r="H15" s="65" t="n">
        <f aca="false">Sayfa4!I2</f>
        <v>0.852431</v>
      </c>
      <c r="I15" s="51" t="n">
        <f aca="false">Sayfa2!$H15*Sayfa2!$G15</f>
        <v>63932.325</v>
      </c>
      <c r="J15" s="46" t="n">
        <f aca="false">H15-D15</f>
        <v>-0.212004</v>
      </c>
      <c r="K15" s="66" t="n">
        <f aca="false">Sayfa2!$J15*Sayfa2!$C15</f>
        <v>-15900.3</v>
      </c>
      <c r="L15" s="67" t="n">
        <f aca="false">F15-B15</f>
        <v>32</v>
      </c>
      <c r="M15" s="68" t="n">
        <f aca="false">K15/E15</f>
        <v>-0.199170451929897</v>
      </c>
      <c r="N15" s="68" t="n">
        <f aca="false">M15/L15*30</f>
        <v>-0.186722298684278</v>
      </c>
      <c r="O15" s="69"/>
    </row>
    <row r="16" customFormat="false" ht="12.75" hidden="false" customHeight="false" outlineLevel="0" collapsed="false">
      <c r="A16" s="1" t="s">
        <v>23</v>
      </c>
      <c r="B16" s="2" t="n">
        <v>45344</v>
      </c>
      <c r="C16" s="46" t="n">
        <v>50000</v>
      </c>
      <c r="D16" s="47" t="n">
        <v>1.003205</v>
      </c>
      <c r="E16" s="62" t="n">
        <f aca="false">Sayfa2!$D16*Sayfa2!$C16</f>
        <v>50160.25</v>
      </c>
      <c r="F16" s="63" t="n">
        <f aca="false">$B$2</f>
        <v>45380</v>
      </c>
      <c r="G16" s="64" t="n">
        <f aca="false">Tablo2[[#This Row],[adet]]</f>
        <v>50000</v>
      </c>
      <c r="H16" s="65" t="n">
        <f aca="false">H15</f>
        <v>0.852431</v>
      </c>
      <c r="I16" s="51" t="n">
        <f aca="false">Sayfa2!$H16*Sayfa2!$G16</f>
        <v>42621.55</v>
      </c>
      <c r="J16" s="46" t="n">
        <f aca="false">H16-D16</f>
        <v>-0.150774</v>
      </c>
      <c r="K16" s="66" t="n">
        <f aca="false">Sayfa2!$J16*Sayfa2!$C16</f>
        <v>-7538.69999999999</v>
      </c>
      <c r="L16" s="67" t="n">
        <f aca="false">F16-B16</f>
        <v>36</v>
      </c>
      <c r="M16" s="68" t="n">
        <f aca="false">K16/E16</f>
        <v>-0.150292313136398</v>
      </c>
      <c r="N16" s="68" t="n">
        <f aca="false">M16/L16*30</f>
        <v>-0.125243594280331</v>
      </c>
      <c r="O16" s="70" t="n">
        <f aca="false">SUM(K13:K16)</f>
        <v>-23439</v>
      </c>
    </row>
    <row r="17" customFormat="false" ht="12.75" hidden="false" customHeight="false" outlineLevel="0" collapsed="false">
      <c r="A17" s="32"/>
      <c r="B17" s="26"/>
      <c r="C17" s="71"/>
      <c r="D17" s="72"/>
      <c r="E17" s="58"/>
      <c r="F17" s="26"/>
      <c r="G17" s="27"/>
      <c r="H17" s="28"/>
      <c r="I17" s="29"/>
      <c r="J17" s="71"/>
      <c r="K17" s="73"/>
      <c r="L17" s="74"/>
      <c r="M17" s="31"/>
      <c r="N17" s="31"/>
      <c r="O17" s="32"/>
    </row>
    <row r="18" customFormat="false" ht="12.75" hidden="false" customHeight="false" outlineLevel="0" collapsed="false">
      <c r="A18" s="1" t="s">
        <v>24</v>
      </c>
      <c r="B18" s="2" t="n">
        <v>45219</v>
      </c>
      <c r="C18" s="46" t="n">
        <v>50</v>
      </c>
      <c r="D18" s="47" t="n">
        <v>1826.53</v>
      </c>
      <c r="E18" s="62" t="n">
        <f aca="false">Sayfa2!$D18*Sayfa2!$C18</f>
        <v>91326.5</v>
      </c>
      <c r="F18" s="63" t="n">
        <f aca="false">$B$2</f>
        <v>45380</v>
      </c>
      <c r="G18" s="64" t="n">
        <v>50</v>
      </c>
      <c r="H18" s="65" t="n">
        <f aca="false">Sayfa4!C5</f>
        <v>2273.32</v>
      </c>
      <c r="I18" s="51" t="n">
        <f aca="false">Sayfa2!$H18*Sayfa2!$G18</f>
        <v>113666</v>
      </c>
      <c r="J18" s="46" t="n">
        <f aca="false">H18-D18</f>
        <v>446.79</v>
      </c>
      <c r="K18" s="66" t="n">
        <f aca="false">Sayfa2!$J18*Sayfa2!$C18</f>
        <v>22339.5</v>
      </c>
      <c r="L18" s="67" t="n">
        <f aca="false">F18-B18</f>
        <v>161</v>
      </c>
      <c r="M18" s="68" t="n">
        <f aca="false">K18/E18</f>
        <v>0.244611366908838</v>
      </c>
      <c r="N18" s="68" t="n">
        <f aca="false">M18/L18*30</f>
        <v>0.0455797578091003</v>
      </c>
      <c r="O18" s="69"/>
      <c r="P18" s="6" t="n">
        <f aca="false">Tablo2[[#This Row],[Tutar3]]</f>
        <v>113666</v>
      </c>
      <c r="Q18" s="1" t="n">
        <v>2000</v>
      </c>
      <c r="R18" s="1" t="n">
        <f aca="false">P18/Q18</f>
        <v>56.833</v>
      </c>
    </row>
    <row r="19" customFormat="false" ht="12.75" hidden="false" customHeight="false" outlineLevel="0" collapsed="false">
      <c r="A19" s="1" t="s">
        <v>24</v>
      </c>
      <c r="B19" s="2" t="n">
        <v>44244</v>
      </c>
      <c r="C19" s="46" t="n">
        <v>11</v>
      </c>
      <c r="D19" s="47" t="n">
        <v>402.1</v>
      </c>
      <c r="E19" s="62" t="n">
        <f aca="false">Sayfa2!$D19*Sayfa2!$C19</f>
        <v>4423.1</v>
      </c>
      <c r="F19" s="63" t="n">
        <f aca="false">$B$2</f>
        <v>45380</v>
      </c>
      <c r="G19" s="64" t="n">
        <v>11</v>
      </c>
      <c r="H19" s="65" t="n">
        <f aca="false">H18</f>
        <v>2273.32</v>
      </c>
      <c r="I19" s="51" t="n">
        <f aca="false">Sayfa2!$H19*Sayfa2!$G19</f>
        <v>25006.52</v>
      </c>
      <c r="J19" s="46" t="n">
        <f aca="false">H19-D19</f>
        <v>1871.22</v>
      </c>
      <c r="K19" s="66" t="n">
        <f aca="false">Sayfa2!$J19*Sayfa2!$C19</f>
        <v>20583.42</v>
      </c>
      <c r="L19" s="67" t="n">
        <f aca="false">F19-B19</f>
        <v>1136</v>
      </c>
      <c r="M19" s="68" t="n">
        <f aca="false">K19/E19</f>
        <v>4.65361850285999</v>
      </c>
      <c r="N19" s="68" t="n">
        <f aca="false">M19/L19*30</f>
        <v>0.122894854829049</v>
      </c>
      <c r="O19" s="69"/>
      <c r="P19" s="6" t="n">
        <f aca="false">Tablo2[[#This Row],[Tutar3]]</f>
        <v>25006.52</v>
      </c>
      <c r="Q19" s="1" t="n">
        <v>2000</v>
      </c>
      <c r="R19" s="1" t="n">
        <f aca="false">P19/Q19</f>
        <v>12.50326</v>
      </c>
    </row>
    <row r="20" customFormat="false" ht="12.75" hidden="false" customHeight="false" outlineLevel="0" collapsed="false">
      <c r="A20" s="1" t="s">
        <v>24</v>
      </c>
      <c r="B20" s="2" t="n">
        <v>44084</v>
      </c>
      <c r="C20" s="46" t="n">
        <v>50</v>
      </c>
      <c r="D20" s="47" t="n">
        <v>468.86</v>
      </c>
      <c r="E20" s="62" t="n">
        <f aca="false">Sayfa2!$D20*Sayfa2!$C20</f>
        <v>23443</v>
      </c>
      <c r="F20" s="63" t="n">
        <f aca="false">$B$2</f>
        <v>45380</v>
      </c>
      <c r="G20" s="64" t="n">
        <v>50</v>
      </c>
      <c r="H20" s="65" t="n">
        <f aca="false">H19</f>
        <v>2273.32</v>
      </c>
      <c r="I20" s="51" t="n">
        <f aca="false">Sayfa2!$H20*Sayfa2!$G20</f>
        <v>113666</v>
      </c>
      <c r="J20" s="46" t="n">
        <f aca="false">H20-D20</f>
        <v>1804.46</v>
      </c>
      <c r="K20" s="66" t="n">
        <f aca="false">Sayfa2!$J20*Sayfa2!$C20</f>
        <v>90223</v>
      </c>
      <c r="L20" s="67" t="n">
        <f aca="false">F20-B20</f>
        <v>1296</v>
      </c>
      <c r="M20" s="68" t="n">
        <f aca="false">K20/E20</f>
        <v>3.84861152582861</v>
      </c>
      <c r="N20" s="68" t="n">
        <f aca="false">M20/L20*30</f>
        <v>0.0890882297645511</v>
      </c>
      <c r="O20" s="69"/>
      <c r="P20" s="6" t="n">
        <f aca="false">Tablo2[[#This Row],[Tutar3]]</f>
        <v>113666</v>
      </c>
      <c r="Q20" s="1" t="n">
        <v>2000</v>
      </c>
      <c r="R20" s="1" t="n">
        <f aca="false">P20/Q20</f>
        <v>56.833</v>
      </c>
    </row>
    <row r="21" customFormat="false" ht="12.75" hidden="false" customHeight="false" outlineLevel="0" collapsed="false">
      <c r="A21" s="1" t="s">
        <v>24</v>
      </c>
      <c r="B21" s="2" t="n">
        <v>44020</v>
      </c>
      <c r="C21" s="46" t="n">
        <v>25</v>
      </c>
      <c r="D21" s="47" t="n">
        <v>399.87</v>
      </c>
      <c r="E21" s="62" t="n">
        <f aca="false">Sayfa2!$D21*Sayfa2!$C21</f>
        <v>9996.75</v>
      </c>
      <c r="F21" s="63" t="n">
        <f aca="false">$B$2</f>
        <v>45380</v>
      </c>
      <c r="G21" s="64" t="n">
        <f aca="false">Tablo2[[#This Row],[adet]]</f>
        <v>25</v>
      </c>
      <c r="H21" s="65" t="n">
        <f aca="false">H20</f>
        <v>2273.32</v>
      </c>
      <c r="I21" s="51" t="n">
        <f aca="false">Sayfa2!$H21*Sayfa2!$G21</f>
        <v>56833</v>
      </c>
      <c r="J21" s="46" t="n">
        <f aca="false">H21-D21</f>
        <v>1873.45</v>
      </c>
      <c r="K21" s="66" t="n">
        <f aca="false">Sayfa2!$J21*Sayfa2!$C21</f>
        <v>46836.25</v>
      </c>
      <c r="L21" s="67" t="n">
        <f aca="false">F21-B21</f>
        <v>1360</v>
      </c>
      <c r="M21" s="68" t="n">
        <f aca="false">K21/E21</f>
        <v>4.68514767299372</v>
      </c>
      <c r="N21" s="68" t="n">
        <f aca="false">M21/L21*30</f>
        <v>0.103348845727803</v>
      </c>
      <c r="O21" s="69"/>
      <c r="R21" s="1" t="n">
        <f aca="false">SUM(R18:R20)</f>
        <v>126.16926</v>
      </c>
    </row>
    <row r="22" customFormat="false" ht="12.75" hidden="false" customHeight="false" outlineLevel="0" collapsed="false">
      <c r="A22" s="1" t="s">
        <v>24</v>
      </c>
      <c r="B22" s="2" t="n">
        <v>43803</v>
      </c>
      <c r="C22" s="46" t="n">
        <v>24</v>
      </c>
      <c r="D22" s="47" t="n">
        <v>273.81</v>
      </c>
      <c r="E22" s="62" t="n">
        <f aca="false">Sayfa2!$D22*Sayfa2!$C22</f>
        <v>6571.44</v>
      </c>
      <c r="F22" s="63" t="n">
        <f aca="false">$B$2</f>
        <v>45380</v>
      </c>
      <c r="G22" s="64" t="n">
        <f aca="false">Tablo2[[#This Row],[adet]]</f>
        <v>24</v>
      </c>
      <c r="H22" s="65" t="n">
        <f aca="false">H21</f>
        <v>2273.32</v>
      </c>
      <c r="I22" s="51" t="n">
        <f aca="false">Sayfa2!$H22*Sayfa2!$G22</f>
        <v>54559.68</v>
      </c>
      <c r="J22" s="46" t="n">
        <f aca="false">H22-D22</f>
        <v>1999.51</v>
      </c>
      <c r="K22" s="66" t="n">
        <f aca="false">Sayfa2!$J22*Sayfa2!$C22</f>
        <v>47988.24</v>
      </c>
      <c r="L22" s="67" t="n">
        <f aca="false">F22-B22</f>
        <v>1577</v>
      </c>
      <c r="M22" s="68" t="n">
        <f aca="false">K22/E22</f>
        <v>7.30254556079033</v>
      </c>
      <c r="N22" s="68" t="n">
        <f aca="false">M22/L22*30</f>
        <v>0.138919699951623</v>
      </c>
      <c r="O22" s="69"/>
    </row>
    <row r="23" customFormat="false" ht="12.75" hidden="false" customHeight="false" outlineLevel="0" collapsed="false">
      <c r="A23" s="1" t="s">
        <v>24</v>
      </c>
      <c r="B23" s="2" t="n">
        <v>43803</v>
      </c>
      <c r="C23" s="46" t="n">
        <v>1</v>
      </c>
      <c r="D23" s="47" t="n">
        <v>237.59</v>
      </c>
      <c r="E23" s="62" t="n">
        <f aca="false">Sayfa2!$D23*Sayfa2!$C23</f>
        <v>237.59</v>
      </c>
      <c r="F23" s="63" t="n">
        <f aca="false">$B$2</f>
        <v>45380</v>
      </c>
      <c r="G23" s="64" t="n">
        <f aca="false">Tablo2[[#This Row],[adet]]</f>
        <v>1</v>
      </c>
      <c r="H23" s="65" t="n">
        <f aca="false">H22</f>
        <v>2273.32</v>
      </c>
      <c r="I23" s="51" t="n">
        <f aca="false">Sayfa2!$H23*Sayfa2!$G23</f>
        <v>2273.32</v>
      </c>
      <c r="J23" s="46" t="n">
        <f aca="false">H23-D23</f>
        <v>2035.73</v>
      </c>
      <c r="K23" s="66" t="n">
        <f aca="false">Sayfa2!$J23*Sayfa2!$C23</f>
        <v>2035.73</v>
      </c>
      <c r="L23" s="67" t="n">
        <f aca="false">F23-B23</f>
        <v>1577</v>
      </c>
      <c r="M23" s="68" t="n">
        <f aca="false">K23/E23</f>
        <v>8.56824782187803</v>
      </c>
      <c r="N23" s="68" t="n">
        <f aca="false">M23/L23*30</f>
        <v>0.162997739160647</v>
      </c>
      <c r="O23" s="69"/>
      <c r="P23" s="6" t="n">
        <f aca="false">SUM(P18:P22)</f>
        <v>252338.52</v>
      </c>
      <c r="R23" s="1" t="n">
        <f aca="false">P23/2220.32</f>
        <v>113.649618073071</v>
      </c>
    </row>
    <row r="24" customFormat="false" ht="12.75" hidden="false" customHeight="false" outlineLevel="0" collapsed="false">
      <c r="A24" s="1" t="s">
        <v>25</v>
      </c>
      <c r="B24" s="2" t="n">
        <v>44784</v>
      </c>
      <c r="C24" s="46" t="n">
        <v>298.8</v>
      </c>
      <c r="D24" s="47" t="n">
        <v>18.7216</v>
      </c>
      <c r="E24" s="62" t="n">
        <f aca="false">Sayfa2!$D24*Sayfa2!$C24</f>
        <v>5594.01408</v>
      </c>
      <c r="F24" s="63" t="n">
        <f aca="false">$B$2</f>
        <v>45380</v>
      </c>
      <c r="G24" s="64" t="n">
        <f aca="false">Tablo2[[#This Row],[adet]]</f>
        <v>298.8</v>
      </c>
      <c r="H24" s="65" t="n">
        <f aca="false">Sayfa4!G2</f>
        <v>34.3699</v>
      </c>
      <c r="I24" s="51" t="n">
        <f aca="false">Sayfa2!$H24*Sayfa2!$G24</f>
        <v>10269.72612</v>
      </c>
      <c r="J24" s="46" t="n">
        <f aca="false">H24-D24</f>
        <v>15.6483</v>
      </c>
      <c r="K24" s="66" t="n">
        <f aca="false">Sayfa2!$J24*Sayfa2!$C24</f>
        <v>4675.71204</v>
      </c>
      <c r="L24" s="67" t="n">
        <f aca="false">F24-B24</f>
        <v>596</v>
      </c>
      <c r="M24" s="68" t="n">
        <f aca="false">K24/E24</f>
        <v>0.835842022049398</v>
      </c>
      <c r="N24" s="68" t="n">
        <f aca="false">M24/L24*30</f>
        <v>0.0420725850024865</v>
      </c>
      <c r="O24" s="69"/>
      <c r="P24" s="1" t="n">
        <f aca="false">P23*Q24</f>
        <v>25233.852</v>
      </c>
      <c r="Q24" s="75" t="n">
        <v>0.1</v>
      </c>
      <c r="T24" s="1" t="n">
        <v>2300</v>
      </c>
    </row>
    <row r="25" customFormat="false" ht="12.75" hidden="false" customHeight="false" outlineLevel="0" collapsed="false">
      <c r="A25" s="1" t="s">
        <v>26</v>
      </c>
      <c r="B25" s="2" t="n">
        <v>44774</v>
      </c>
      <c r="C25" s="46" t="n">
        <v>1110</v>
      </c>
      <c r="D25" s="47" t="n">
        <v>15</v>
      </c>
      <c r="E25" s="62" t="n">
        <f aca="false">Sayfa2!$D25*Sayfa2!$C25</f>
        <v>16650</v>
      </c>
      <c r="F25" s="63" t="n">
        <f aca="false">$B$2</f>
        <v>45380</v>
      </c>
      <c r="G25" s="64" t="n">
        <f aca="false">Tablo2[[#This Row],[adet]]</f>
        <v>1110</v>
      </c>
      <c r="H25" s="65" t="n">
        <f aca="false">Sayfa4!E2</f>
        <v>31.8308</v>
      </c>
      <c r="I25" s="51" t="n">
        <f aca="false">Sayfa2!$H25*Sayfa2!$G25</f>
        <v>35332.188</v>
      </c>
      <c r="J25" s="46" t="n">
        <f aca="false">H25-D25</f>
        <v>16.8308</v>
      </c>
      <c r="K25" s="66" t="n">
        <f aca="false">Sayfa2!$J25*Sayfa2!$C25</f>
        <v>18682.188</v>
      </c>
      <c r="L25" s="67" t="n">
        <f aca="false">F25-B25</f>
        <v>606</v>
      </c>
      <c r="M25" s="68" t="n">
        <f aca="false">K25/E25</f>
        <v>1.12205333333333</v>
      </c>
      <c r="N25" s="68" t="n">
        <f aca="false">M25/L25*30</f>
        <v>0.0555471947194719</v>
      </c>
      <c r="O25" s="70" t="n">
        <f aca="false">SUM(K18:K25)</f>
        <v>253364.04004</v>
      </c>
      <c r="P25" s="6" t="n">
        <f aca="false">SUM(P23:P24)</f>
        <v>277572.372</v>
      </c>
      <c r="R25" s="1" t="n">
        <f aca="false">P25/2000</f>
        <v>138.786186</v>
      </c>
      <c r="T25" s="1" t="n">
        <f aca="false">P23/T24</f>
        <v>109.7124</v>
      </c>
    </row>
    <row r="26" customFormat="false" ht="12.75" hidden="false" customHeight="false" outlineLevel="0" collapsed="false">
      <c r="A26" s="32"/>
      <c r="B26" s="26"/>
      <c r="C26" s="71"/>
      <c r="D26" s="72"/>
      <c r="E26" s="73"/>
      <c r="F26" s="76"/>
      <c r="G26" s="77"/>
      <c r="H26" s="78"/>
      <c r="I26" s="29"/>
      <c r="J26" s="71"/>
      <c r="K26" s="32"/>
      <c r="L26" s="32"/>
      <c r="M26" s="31"/>
      <c r="N26" s="31"/>
      <c r="O26" s="32"/>
      <c r="R26" s="68" t="n">
        <f aca="false">1-(R25/R23)</f>
        <v>-0.221176</v>
      </c>
    </row>
    <row r="27" customFormat="false" ht="12.75" hidden="false" customHeight="false" outlineLevel="0" collapsed="false">
      <c r="A27" s="61"/>
      <c r="B27" s="79"/>
      <c r="C27" s="80"/>
      <c r="D27" s="61"/>
      <c r="E27" s="81"/>
      <c r="F27" s="82"/>
      <c r="G27" s="83"/>
      <c r="H27" s="84"/>
      <c r="I27" s="85"/>
      <c r="J27" s="80"/>
      <c r="K27" s="61"/>
      <c r="L27" s="61"/>
      <c r="M27" s="86"/>
      <c r="N27" s="87"/>
      <c r="O27" s="61"/>
      <c r="P27" s="61"/>
    </row>
    <row r="28" customFormat="false" ht="12.75" hidden="false" customHeight="false" outlineLevel="0" collapsed="false">
      <c r="A28" s="61"/>
      <c r="B28" s="79"/>
      <c r="C28" s="88"/>
      <c r="D28" s="61"/>
      <c r="E28" s="81"/>
      <c r="F28" s="82"/>
      <c r="G28" s="83"/>
      <c r="H28" s="84"/>
      <c r="I28" s="85"/>
      <c r="J28" s="80"/>
      <c r="K28" s="61"/>
      <c r="L28" s="61"/>
      <c r="M28" s="86"/>
      <c r="N28" s="86"/>
      <c r="O28" s="61"/>
      <c r="P28" s="61"/>
      <c r="R28" s="1" t="n">
        <f aca="false">R25*2220.32</f>
        <v>308149.74449952</v>
      </c>
    </row>
    <row r="29" customFormat="false" ht="12.75" hidden="false" customHeight="false" outlineLevel="0" collapsed="false">
      <c r="A29" s="33" t="s">
        <v>4</v>
      </c>
      <c r="B29" s="35"/>
      <c r="C29" s="89"/>
      <c r="D29" s="41"/>
      <c r="E29" s="90"/>
      <c r="F29" s="91"/>
      <c r="G29" s="92"/>
      <c r="H29" s="93"/>
      <c r="I29" s="34"/>
      <c r="J29" s="36"/>
      <c r="K29" s="34"/>
      <c r="L29" s="41"/>
      <c r="M29" s="94"/>
      <c r="N29" s="95" t="s">
        <v>27</v>
      </c>
      <c r="O29" s="96" t="n">
        <f aca="false">SUM(O73,O51,O32)</f>
        <v>15095.277387</v>
      </c>
    </row>
    <row r="30" customFormat="false" ht="12.75" hidden="false" customHeight="false" outlineLevel="0" collapsed="false">
      <c r="A30" s="41"/>
      <c r="C30" s="52"/>
      <c r="E30" s="97"/>
      <c r="F30" s="98"/>
      <c r="G30" s="99"/>
      <c r="H30" s="100"/>
      <c r="K30" s="6"/>
      <c r="M30" s="68"/>
      <c r="N30" s="68"/>
      <c r="O30" s="69"/>
    </row>
    <row r="31" customFormat="false" ht="12.75" hidden="false" customHeight="false" outlineLevel="0" collapsed="false">
      <c r="A31" s="41" t="s">
        <v>28</v>
      </c>
      <c r="B31" s="2" t="n">
        <v>44784</v>
      </c>
      <c r="C31" s="46" t="n">
        <v>23.19</v>
      </c>
      <c r="D31" s="47" t="n">
        <v>18.7216</v>
      </c>
      <c r="E31" s="62" t="n">
        <f aca="false">Sayfa2!$D31*Sayfa2!$C31</f>
        <v>434.153904</v>
      </c>
      <c r="F31" s="2" t="n">
        <v>45350</v>
      </c>
      <c r="G31" s="101" t="n">
        <v>23.19</v>
      </c>
      <c r="H31" s="102" t="n">
        <v>33.2229</v>
      </c>
      <c r="I31" s="51" t="n">
        <f aca="false">Sayfa2!$H31*Sayfa2!$G31</f>
        <v>770.439051</v>
      </c>
      <c r="J31" s="46" t="n">
        <f aca="false">H31-D31</f>
        <v>14.5013</v>
      </c>
      <c r="K31" s="66" t="n">
        <f aca="false">Sayfa2!$J31*Sayfa2!$C31</f>
        <v>336.285147</v>
      </c>
      <c r="L31" s="67" t="n">
        <f aca="false">F31-B31</f>
        <v>566</v>
      </c>
      <c r="M31" s="68" t="n">
        <f aca="false">K31/E31</f>
        <v>0.774575890949492</v>
      </c>
      <c r="N31" s="68" t="n">
        <f aca="false">M31/L31*30</f>
        <v>0.0410552592376056</v>
      </c>
      <c r="O31" s="69"/>
    </row>
    <row r="32" customFormat="false" ht="12.75" hidden="false" customHeight="false" outlineLevel="0" collapsed="false">
      <c r="A32" s="41" t="s">
        <v>29</v>
      </c>
      <c r="B32" s="2" t="n">
        <v>44784</v>
      </c>
      <c r="C32" s="46" t="n">
        <v>18.01</v>
      </c>
      <c r="D32" s="47" t="n">
        <v>18.7216</v>
      </c>
      <c r="E32" s="62" t="n">
        <f aca="false">Sayfa2!$D32*Sayfa2!$C32</f>
        <v>337.176016</v>
      </c>
      <c r="F32" s="2" t="n">
        <v>45341</v>
      </c>
      <c r="G32" s="49" t="n">
        <v>18.01</v>
      </c>
      <c r="H32" s="103" t="n">
        <v>32.382</v>
      </c>
      <c r="I32" s="51" t="n">
        <f aca="false">Sayfa2!$H32*Sayfa2!$G32</f>
        <v>583.19982</v>
      </c>
      <c r="J32" s="46" t="n">
        <f aca="false">H32-D32</f>
        <v>13.6604</v>
      </c>
      <c r="K32" s="66" t="n">
        <f aca="false">Sayfa2!$J32*Sayfa2!$C32</f>
        <v>246.023804</v>
      </c>
      <c r="L32" s="67" t="n">
        <f aca="false">F32-B32</f>
        <v>557</v>
      </c>
      <c r="M32" s="68" t="n">
        <f aca="false">K32/E32</f>
        <v>0.729659858131784</v>
      </c>
      <c r="N32" s="68" t="n">
        <f aca="false">M32/L32*30</f>
        <v>0.039299453759342</v>
      </c>
      <c r="O32" s="70" t="n">
        <f aca="false">SUM(K31:K32)</f>
        <v>582.308951</v>
      </c>
    </row>
    <row r="33" customFormat="false" ht="12.75" hidden="false" customHeight="false" outlineLevel="0" collapsed="false">
      <c r="A33" s="41"/>
      <c r="O33" s="69"/>
    </row>
    <row r="34" customFormat="false" ht="12.75" hidden="false" customHeight="false" outlineLevel="0" collapsed="false">
      <c r="A34" s="41"/>
      <c r="O34" s="69"/>
    </row>
    <row r="35" customFormat="false" ht="12.75" hidden="false" customHeight="false" outlineLevel="0" collapsed="false">
      <c r="A35" s="41" t="s">
        <v>30</v>
      </c>
      <c r="B35" s="2" t="n">
        <v>45350</v>
      </c>
      <c r="C35" s="46" t="n">
        <v>68</v>
      </c>
      <c r="D35" s="47" t="n">
        <v>11.33</v>
      </c>
      <c r="E35" s="56" t="n">
        <f aca="false">Sayfa2!$D35*Sayfa2!$C35</f>
        <v>770.44</v>
      </c>
      <c r="F35" s="63" t="n">
        <v>45370</v>
      </c>
      <c r="G35" s="64" t="n">
        <v>68</v>
      </c>
      <c r="H35" s="65" t="n">
        <v>19.69</v>
      </c>
      <c r="I35" s="51" t="n">
        <f aca="false">Sayfa2!$H35*Sayfa2!$G35</f>
        <v>1338.92</v>
      </c>
      <c r="J35" s="46" t="n">
        <f aca="false">H35-D35</f>
        <v>8.36</v>
      </c>
      <c r="K35" s="66" t="n">
        <f aca="false">Sayfa2!$J35*Sayfa2!$C35</f>
        <v>568.48</v>
      </c>
      <c r="L35" s="67" t="n">
        <f aca="false">F35-B35</f>
        <v>20</v>
      </c>
      <c r="M35" s="68" t="n">
        <f aca="false">K35/E35</f>
        <v>0.737864077669903</v>
      </c>
      <c r="N35" s="68" t="n">
        <f aca="false">M35/L35*30</f>
        <v>1.10679611650485</v>
      </c>
      <c r="O35" s="69"/>
    </row>
    <row r="36" customFormat="false" ht="12.75" hidden="false" customHeight="false" outlineLevel="0" collapsed="false">
      <c r="A36" s="41" t="s">
        <v>30</v>
      </c>
      <c r="C36" s="46"/>
      <c r="D36" s="47"/>
      <c r="E36" s="56"/>
      <c r="F36" s="63"/>
      <c r="G36" s="64"/>
      <c r="H36" s="65"/>
      <c r="I36" s="51"/>
      <c r="J36" s="46"/>
      <c r="K36" s="66" t="n">
        <v>-2.81</v>
      </c>
      <c r="L36" s="67"/>
      <c r="M36" s="68"/>
      <c r="N36" s="68"/>
      <c r="O36" s="69"/>
    </row>
    <row r="37" customFormat="false" ht="12.75" hidden="false" customHeight="false" outlineLevel="0" collapsed="false">
      <c r="A37" s="104" t="s">
        <v>31</v>
      </c>
      <c r="B37" s="48" t="n">
        <v>45344</v>
      </c>
      <c r="C37" s="46" t="n">
        <v>15</v>
      </c>
      <c r="D37" s="47" t="n">
        <v>39.24</v>
      </c>
      <c r="E37" s="56" t="n">
        <f aca="false">Sayfa2!$D37*Sayfa2!$C37</f>
        <v>588.6</v>
      </c>
      <c r="F37" s="105" t="n">
        <v>45362</v>
      </c>
      <c r="G37" s="106" t="n">
        <v>15</v>
      </c>
      <c r="H37" s="107" t="n">
        <v>55.6</v>
      </c>
      <c r="I37" s="51" t="n">
        <f aca="false">Sayfa2!$H37*Sayfa2!$G37</f>
        <v>834</v>
      </c>
      <c r="J37" s="46" t="n">
        <f aca="false">H37-D37</f>
        <v>16.36</v>
      </c>
      <c r="K37" s="56" t="n">
        <f aca="false">Sayfa2!$J37*Sayfa2!$C37</f>
        <v>245.4</v>
      </c>
      <c r="L37" s="108" t="n">
        <f aca="false">F37-B37</f>
        <v>18</v>
      </c>
      <c r="M37" s="109" t="n">
        <f aca="false">K37/E37</f>
        <v>0.416921508664628</v>
      </c>
      <c r="N37" s="109" t="n">
        <f aca="false">M37/L37*30</f>
        <v>0.694869181107713</v>
      </c>
      <c r="O37" s="110"/>
    </row>
    <row r="38" customFormat="false" ht="12.75" hidden="false" customHeight="false" outlineLevel="0" collapsed="false">
      <c r="A38" s="104" t="s">
        <v>32</v>
      </c>
      <c r="B38" s="48"/>
      <c r="C38" s="46"/>
      <c r="D38" s="47"/>
      <c r="E38" s="56"/>
      <c r="F38" s="105"/>
      <c r="G38" s="106"/>
      <c r="H38" s="107"/>
      <c r="I38" s="51"/>
      <c r="J38" s="46"/>
      <c r="K38" s="56" t="n">
        <v>-1.75</v>
      </c>
      <c r="L38" s="108"/>
      <c r="M38" s="111"/>
      <c r="N38" s="109"/>
      <c r="O38" s="110"/>
    </row>
    <row r="39" customFormat="false" ht="12.75" hidden="false" customHeight="false" outlineLevel="0" collapsed="false">
      <c r="A39" s="104" t="s">
        <v>33</v>
      </c>
      <c r="B39" s="48" t="n">
        <v>45344</v>
      </c>
      <c r="C39" s="46" t="n">
        <v>12</v>
      </c>
      <c r="D39" s="47" t="n">
        <v>19.45</v>
      </c>
      <c r="E39" s="56" t="n">
        <f aca="false">Sayfa2!$D39*Sayfa2!$C39</f>
        <v>233.4</v>
      </c>
      <c r="F39" s="105" t="n">
        <v>45364</v>
      </c>
      <c r="G39" s="106" t="n">
        <v>12</v>
      </c>
      <c r="H39" s="107" t="n">
        <v>45.72</v>
      </c>
      <c r="I39" s="51" t="n">
        <f aca="false">Sayfa2!$H39*Sayfa2!$G39</f>
        <v>548.64</v>
      </c>
      <c r="J39" s="46" t="n">
        <f aca="false">H39-D39</f>
        <v>26.27</v>
      </c>
      <c r="K39" s="56" t="n">
        <f aca="false">Sayfa2!$J39*Sayfa2!$C39</f>
        <v>315.24</v>
      </c>
      <c r="L39" s="108" t="n">
        <f aca="false">F39-B39</f>
        <v>20</v>
      </c>
      <c r="M39" s="109" t="n">
        <f aca="false">K39/E39</f>
        <v>1.35064267352185</v>
      </c>
      <c r="N39" s="109" t="n">
        <f aca="false">M39/L39*30</f>
        <v>2.02596401028278</v>
      </c>
      <c r="O39" s="69"/>
    </row>
    <row r="40" customFormat="false" ht="12.75" hidden="false" customHeight="false" outlineLevel="0" collapsed="false">
      <c r="A40" s="104" t="s">
        <v>34</v>
      </c>
      <c r="B40" s="48"/>
      <c r="C40" s="46"/>
      <c r="D40" s="47"/>
      <c r="E40" s="56"/>
      <c r="F40" s="105"/>
      <c r="G40" s="106"/>
      <c r="H40" s="107"/>
      <c r="I40" s="51"/>
      <c r="J40" s="46"/>
      <c r="K40" s="56" t="n">
        <v>-1.16</v>
      </c>
      <c r="L40" s="108"/>
      <c r="M40" s="111"/>
      <c r="N40" s="109"/>
      <c r="O40" s="69"/>
    </row>
    <row r="41" customFormat="false" ht="12.75" hidden="false" customHeight="false" outlineLevel="0" collapsed="false">
      <c r="A41" s="41" t="s">
        <v>35</v>
      </c>
      <c r="B41" s="2" t="n">
        <v>45341</v>
      </c>
      <c r="C41" s="46" t="n">
        <v>36</v>
      </c>
      <c r="D41" s="47" t="n">
        <v>16.2</v>
      </c>
      <c r="E41" s="62" t="n">
        <f aca="false">Sayfa2!$D41*Sayfa2!$C41</f>
        <v>583.2</v>
      </c>
      <c r="F41" s="2" t="n">
        <v>45356</v>
      </c>
      <c r="G41" s="49" t="n">
        <v>36</v>
      </c>
      <c r="H41" s="103" t="n">
        <v>38</v>
      </c>
      <c r="I41" s="51" t="n">
        <f aca="false">Sayfa2!$H41*Sayfa2!$G41</f>
        <v>1368</v>
      </c>
      <c r="J41" s="46" t="n">
        <f aca="false">H41-D41</f>
        <v>21.8</v>
      </c>
      <c r="K41" s="112" t="n">
        <f aca="false">Sayfa2!$J41*Sayfa2!$C41</f>
        <v>784.8</v>
      </c>
      <c r="L41" s="67" t="n">
        <f aca="false">F41-B41</f>
        <v>15</v>
      </c>
      <c r="M41" s="68" t="n">
        <f aca="false">K41/E41</f>
        <v>1.34567901234568</v>
      </c>
      <c r="N41" s="68" t="n">
        <f aca="false">M41/L41*30</f>
        <v>2.69135802469136</v>
      </c>
      <c r="O41" s="113"/>
    </row>
    <row r="42" customFormat="false" ht="12.75" hidden="false" customHeight="false" outlineLevel="0" collapsed="false">
      <c r="A42" s="41" t="s">
        <v>36</v>
      </c>
      <c r="C42" s="46"/>
      <c r="D42" s="47"/>
      <c r="E42" s="62"/>
      <c r="G42" s="49"/>
      <c r="H42" s="103"/>
      <c r="I42" s="51"/>
      <c r="J42" s="46"/>
      <c r="K42" s="112" t="n">
        <v>-2.88</v>
      </c>
      <c r="L42" s="67"/>
      <c r="M42" s="68"/>
      <c r="N42" s="68"/>
      <c r="O42" s="113"/>
    </row>
    <row r="43" customFormat="false" ht="12.75" hidden="false" customHeight="false" outlineLevel="0" collapsed="false">
      <c r="A43" s="41" t="s">
        <v>37</v>
      </c>
      <c r="B43" s="2" t="n">
        <v>45222</v>
      </c>
      <c r="C43" s="3" t="n">
        <v>9</v>
      </c>
      <c r="D43" s="1" t="n">
        <v>130</v>
      </c>
      <c r="E43" s="62" t="n">
        <f aca="false">Sayfa2!$D43*Sayfa2!$C43</f>
        <v>1170</v>
      </c>
      <c r="F43" s="114" t="n">
        <v>45334</v>
      </c>
      <c r="G43" s="46" t="n">
        <v>9</v>
      </c>
      <c r="H43" s="115" t="n">
        <v>145.5</v>
      </c>
      <c r="I43" s="51" t="n">
        <f aca="false">Sayfa2!$H43*Sayfa2!$G43</f>
        <v>1309.5</v>
      </c>
      <c r="J43" s="116" t="n">
        <f aca="false">H43-D43</f>
        <v>15.5</v>
      </c>
      <c r="K43" s="66" t="n">
        <f aca="false">Sayfa2!$J43*Sayfa2!$G43</f>
        <v>139.5</v>
      </c>
      <c r="L43" s="67" t="n">
        <f aca="false">F43-B43</f>
        <v>112</v>
      </c>
      <c r="M43" s="68" t="n">
        <f aca="false">K43/E43</f>
        <v>0.119230769230769</v>
      </c>
      <c r="N43" s="68" t="n">
        <f aca="false">K43/E43</f>
        <v>0.119230769230769</v>
      </c>
      <c r="O43" s="113"/>
    </row>
    <row r="44" customFormat="false" ht="12.75" hidden="false" customHeight="false" outlineLevel="0" collapsed="false">
      <c r="A44" s="41" t="s">
        <v>37</v>
      </c>
      <c r="B44" s="2" t="n">
        <v>45271</v>
      </c>
      <c r="C44" s="3" t="n">
        <v>10</v>
      </c>
      <c r="D44" s="1" t="n">
        <v>144.001</v>
      </c>
      <c r="E44" s="62" t="n">
        <f aca="false">Sayfa2!$D44*Sayfa2!$C44</f>
        <v>1440.01</v>
      </c>
      <c r="F44" s="114" t="n">
        <v>45334</v>
      </c>
      <c r="G44" s="46" t="n">
        <v>10</v>
      </c>
      <c r="H44" s="115" t="n">
        <v>145.5</v>
      </c>
      <c r="I44" s="51" t="n">
        <f aca="false">Sayfa2!$H44*Sayfa2!$G44</f>
        <v>1455</v>
      </c>
      <c r="J44" s="116" t="n">
        <f aca="false">H44-D44</f>
        <v>1.499</v>
      </c>
      <c r="K44" s="66" t="n">
        <f aca="false">Sayfa2!$J44*Sayfa2!$G44</f>
        <v>14.99</v>
      </c>
      <c r="L44" s="67" t="n">
        <f aca="false">F44-B44</f>
        <v>63</v>
      </c>
      <c r="M44" s="68" t="n">
        <f aca="false">K44/E44</f>
        <v>0.0104096499329865</v>
      </c>
      <c r="N44" s="68" t="n">
        <f aca="false">K44/E44</f>
        <v>0.0104096499329865</v>
      </c>
      <c r="O44" s="113"/>
    </row>
    <row r="45" customFormat="false" ht="12.75" hidden="false" customHeight="false" outlineLevel="0" collapsed="false">
      <c r="A45" s="41" t="s">
        <v>37</v>
      </c>
      <c r="B45" s="2" t="n">
        <v>45288</v>
      </c>
      <c r="C45" s="3" t="n">
        <v>20</v>
      </c>
      <c r="D45" s="1" t="n">
        <v>115.34</v>
      </c>
      <c r="E45" s="62" t="n">
        <f aca="false">Sayfa2!$D45*Sayfa2!$C45</f>
        <v>2306.8</v>
      </c>
      <c r="F45" s="114" t="n">
        <v>45334</v>
      </c>
      <c r="G45" s="46" t="n">
        <v>20</v>
      </c>
      <c r="H45" s="115" t="n">
        <v>145.5</v>
      </c>
      <c r="I45" s="51" t="n">
        <f aca="false">Sayfa2!$H45*Sayfa2!$G45</f>
        <v>2910</v>
      </c>
      <c r="J45" s="116" t="n">
        <f aca="false">H45-D45</f>
        <v>30.16</v>
      </c>
      <c r="K45" s="66" t="n">
        <f aca="false">Sayfa2!$J45*Sayfa2!$G45</f>
        <v>603.2</v>
      </c>
      <c r="L45" s="67" t="n">
        <f aca="false">F45-B45</f>
        <v>46</v>
      </c>
      <c r="M45" s="68" t="n">
        <f aca="false">K45/E45</f>
        <v>0.261487775273106</v>
      </c>
      <c r="N45" s="68" t="n">
        <f aca="false">K45/E45</f>
        <v>0.261487775273106</v>
      </c>
      <c r="O45" s="113"/>
    </row>
    <row r="46" customFormat="false" ht="12.75" hidden="false" customHeight="false" outlineLevel="0" collapsed="false">
      <c r="A46" s="41" t="s">
        <v>38</v>
      </c>
      <c r="B46" s="2" t="n">
        <v>45335</v>
      </c>
      <c r="C46" s="3" t="n">
        <v>313</v>
      </c>
      <c r="D46" s="3" t="n">
        <v>190.8</v>
      </c>
      <c r="E46" s="62" t="n">
        <f aca="false">Sayfa2!$D46*Sayfa2!$C46</f>
        <v>59720.4</v>
      </c>
      <c r="F46" s="2" t="n">
        <v>45337</v>
      </c>
      <c r="G46" s="46" t="n">
        <v>313</v>
      </c>
      <c r="H46" s="1" t="n">
        <v>203.3</v>
      </c>
      <c r="I46" s="51" t="n">
        <f aca="false">Sayfa2!$H46*Sayfa2!$G46</f>
        <v>63632.9</v>
      </c>
      <c r="J46" s="46" t="n">
        <f aca="false">H46-D46</f>
        <v>12.5</v>
      </c>
      <c r="K46" s="66" t="n">
        <f aca="false">Sayfa2!$J46*Sayfa2!$G46</f>
        <v>3912.5</v>
      </c>
      <c r="L46" s="67" t="n">
        <f aca="false">F46-B46</f>
        <v>2</v>
      </c>
      <c r="M46" s="68" t="n">
        <f aca="false">K46/E46</f>
        <v>0.0655136268343816</v>
      </c>
      <c r="N46" s="68" t="n">
        <f aca="false">M46/L46*30</f>
        <v>0.982704402515723</v>
      </c>
      <c r="O46" s="113"/>
    </row>
    <row r="47" customFormat="false" ht="12.75" hidden="false" customHeight="false" outlineLevel="0" collapsed="false">
      <c r="A47" s="41" t="s">
        <v>39</v>
      </c>
      <c r="E47" s="62" t="n">
        <f aca="false">Sayfa2!$D47*Sayfa2!$C47</f>
        <v>0</v>
      </c>
      <c r="F47" s="48"/>
      <c r="I47" s="51" t="n">
        <f aca="false">Sayfa2!$H47*Sayfa2!$G47</f>
        <v>0</v>
      </c>
      <c r="J47" s="3" t="n">
        <v>-133.63</v>
      </c>
      <c r="K47" s="66" t="n">
        <f aca="false">Sayfa2!$J47*Sayfa2!$G47</f>
        <v>0</v>
      </c>
      <c r="M47" s="68"/>
      <c r="N47" s="68"/>
      <c r="O47" s="113"/>
    </row>
    <row r="48" customFormat="false" ht="12.75" hidden="false" customHeight="false" outlineLevel="0" collapsed="false">
      <c r="A48" s="41" t="s">
        <v>40</v>
      </c>
      <c r="B48" s="48" t="n">
        <v>45267</v>
      </c>
      <c r="C48" s="52" t="n">
        <v>10</v>
      </c>
      <c r="D48" s="1" t="n">
        <v>49.18</v>
      </c>
      <c r="E48" s="62" t="n">
        <f aca="false">Sayfa2!$D48*Sayfa2!$C48</f>
        <v>491.8</v>
      </c>
      <c r="F48" s="48" t="n">
        <v>45327</v>
      </c>
      <c r="G48" s="52" t="n">
        <v>10</v>
      </c>
      <c r="H48" s="55" t="n">
        <v>52</v>
      </c>
      <c r="I48" s="51" t="n">
        <f aca="false">Sayfa2!$H48*Sayfa2!$G48</f>
        <v>520</v>
      </c>
      <c r="J48" s="6" t="n">
        <f aca="false">H48-D48</f>
        <v>2.82</v>
      </c>
      <c r="K48" s="66" t="n">
        <f aca="false">Sayfa2!$J48*Sayfa2!$G48</f>
        <v>28.2</v>
      </c>
      <c r="L48" s="67" t="n">
        <f aca="false">F48-B48</f>
        <v>60</v>
      </c>
      <c r="M48" s="68" t="n">
        <f aca="false">K48/E48</f>
        <v>0.0573403822692151</v>
      </c>
      <c r="N48" s="68" t="n">
        <f aca="false">M48/L48*30</f>
        <v>0.0286701911346076</v>
      </c>
      <c r="O48" s="113"/>
      <c r="P48" s="3"/>
    </row>
    <row r="49" customFormat="false" ht="12.75" hidden="false" customHeight="false" outlineLevel="0" collapsed="false">
      <c r="A49" s="41" t="s">
        <v>41</v>
      </c>
      <c r="B49" s="2" t="n">
        <v>45267</v>
      </c>
      <c r="C49" s="3" t="n">
        <v>13</v>
      </c>
      <c r="D49" s="1" t="n">
        <v>28.3</v>
      </c>
      <c r="E49" s="62" t="n">
        <f aca="false">Sayfa2!$D49*Sayfa2!$C49</f>
        <v>367.9</v>
      </c>
      <c r="F49" s="2" t="n">
        <v>45313</v>
      </c>
      <c r="G49" s="46" t="n">
        <v>13</v>
      </c>
      <c r="H49" s="1" t="n">
        <v>41.6</v>
      </c>
      <c r="I49" s="51" t="n">
        <f aca="false">Sayfa2!$H49*Sayfa2!$G49</f>
        <v>540.8</v>
      </c>
      <c r="J49" s="6" t="n">
        <f aca="false">H49-D49</f>
        <v>13.3</v>
      </c>
      <c r="K49" s="66" t="n">
        <f aca="false">Sayfa2!$J49*Sayfa2!$G49</f>
        <v>172.9</v>
      </c>
      <c r="L49" s="117" t="n">
        <f aca="false">F49-B49</f>
        <v>46</v>
      </c>
      <c r="M49" s="68" t="n">
        <f aca="false">K49/E49</f>
        <v>0.469964664310954</v>
      </c>
      <c r="N49" s="68" t="n">
        <f aca="false">M49/L49*30</f>
        <v>0.30649869411584</v>
      </c>
      <c r="O49" s="113"/>
      <c r="P49" s="3"/>
    </row>
    <row r="50" customFormat="false" ht="12.75" hidden="false" customHeight="false" outlineLevel="0" collapsed="false">
      <c r="A50" s="118" t="s">
        <v>42</v>
      </c>
      <c r="B50" s="119" t="n">
        <v>45273</v>
      </c>
      <c r="C50" s="120" t="n">
        <v>26</v>
      </c>
      <c r="D50" s="121" t="n">
        <v>55.08</v>
      </c>
      <c r="E50" s="62" t="n">
        <f aca="false">Sayfa2!$D50*Sayfa2!$C50</f>
        <v>1432.08</v>
      </c>
      <c r="F50" s="2" t="n">
        <v>45313</v>
      </c>
      <c r="G50" s="46" t="n">
        <v>26</v>
      </c>
      <c r="H50" s="1" t="n">
        <v>51.4</v>
      </c>
      <c r="I50" s="51" t="n">
        <f aca="false">Sayfa2!$H50*Sayfa2!$G50</f>
        <v>1336.4</v>
      </c>
      <c r="J50" s="116" t="n">
        <f aca="false">H50-D50</f>
        <v>-3.68</v>
      </c>
      <c r="K50" s="66" t="n">
        <f aca="false">Sayfa2!$J50*Sayfa2!$G50</f>
        <v>-95.68</v>
      </c>
      <c r="L50" s="55"/>
      <c r="M50" s="68" t="n">
        <f aca="false">K50/E50</f>
        <v>-0.0668119099491648</v>
      </c>
      <c r="N50" s="68"/>
      <c r="O50" s="113"/>
      <c r="P50" s="3"/>
    </row>
    <row r="51" customFormat="false" ht="12.75" hidden="false" customHeight="false" outlineLevel="0" collapsed="false">
      <c r="A51" s="41" t="s">
        <v>43</v>
      </c>
      <c r="B51" s="2" t="n">
        <v>45288</v>
      </c>
      <c r="C51" s="3" t="n">
        <v>100</v>
      </c>
      <c r="D51" s="1" t="n">
        <v>39.5</v>
      </c>
      <c r="E51" s="62" t="n">
        <f aca="false">Sayfa2!$D51*Sayfa2!$C51</f>
        <v>3950</v>
      </c>
      <c r="F51" s="2" t="n">
        <v>45313</v>
      </c>
      <c r="G51" s="46" t="n">
        <v>100</v>
      </c>
      <c r="H51" s="1" t="n">
        <v>51.4</v>
      </c>
      <c r="I51" s="51" t="n">
        <f aca="false">Sayfa2!$H51*Sayfa2!$G51</f>
        <v>5140</v>
      </c>
      <c r="J51" s="116" t="n">
        <f aca="false">H51-D51</f>
        <v>11.9</v>
      </c>
      <c r="K51" s="66" t="n">
        <f aca="false">Sayfa2!$J51*Sayfa2!$G51</f>
        <v>1190</v>
      </c>
      <c r="L51" s="117" t="n">
        <f aca="false">F51-B51</f>
        <v>25</v>
      </c>
      <c r="M51" s="68" t="n">
        <f aca="false">K51/E51</f>
        <v>0.30126582278481</v>
      </c>
      <c r="N51" s="68" t="n">
        <f aca="false">M51/L51*30</f>
        <v>0.361518987341772</v>
      </c>
      <c r="O51" s="70" t="n">
        <f aca="false">SUM(K41:K51)</f>
        <v>6747.53</v>
      </c>
    </row>
    <row r="52" customFormat="false" ht="12.75" hidden="false" customHeight="false" outlineLevel="0" collapsed="false">
      <c r="A52" s="41"/>
      <c r="E52" s="62"/>
      <c r="G52" s="46"/>
      <c r="H52" s="1"/>
      <c r="I52" s="51"/>
      <c r="J52" s="116"/>
      <c r="K52" s="66"/>
      <c r="L52" s="117"/>
      <c r="M52" s="122"/>
      <c r="N52" s="68"/>
      <c r="O52" s="113"/>
    </row>
    <row r="53" customFormat="false" ht="12.75" hidden="false" customHeight="false" outlineLevel="0" collapsed="false">
      <c r="A53" s="41"/>
      <c r="E53" s="62"/>
      <c r="G53" s="46"/>
      <c r="H53" s="1"/>
      <c r="I53" s="51"/>
      <c r="J53" s="116"/>
      <c r="K53" s="66"/>
      <c r="L53" s="117"/>
      <c r="M53" s="122"/>
      <c r="N53" s="68"/>
      <c r="O53" s="113"/>
    </row>
    <row r="54" customFormat="false" ht="12.75" hidden="false" customHeight="false" outlineLevel="0" collapsed="false">
      <c r="A54" s="41" t="s">
        <v>44</v>
      </c>
      <c r="B54" s="2" t="n">
        <v>45344</v>
      </c>
      <c r="C54" s="46" t="n">
        <v>12</v>
      </c>
      <c r="D54" s="47" t="n">
        <v>571.105228</v>
      </c>
      <c r="E54" s="62" t="n">
        <f aca="false">Sayfa2!$D54*Sayfa2!$C54</f>
        <v>6853.262736</v>
      </c>
      <c r="F54" s="2" t="n">
        <v>45357</v>
      </c>
      <c r="G54" s="49" t="n">
        <v>12</v>
      </c>
      <c r="H54" s="103" t="n">
        <v>580.059248</v>
      </c>
      <c r="I54" s="51" t="n">
        <f aca="false">Sayfa2!$H54*Sayfa2!$G54</f>
        <v>6960.710976</v>
      </c>
      <c r="J54" s="46" t="n">
        <f aca="false">H54-D54</f>
        <v>8.95402000000001</v>
      </c>
      <c r="K54" s="66" t="n">
        <f aca="false">Sayfa2!$J54*Sayfa2!$C54</f>
        <v>107.44824</v>
      </c>
      <c r="L54" s="67" t="n">
        <f aca="false">F54-B54</f>
        <v>13</v>
      </c>
      <c r="M54" s="68" t="n">
        <f aca="false">K54/E54</f>
        <v>0.0156784066420768</v>
      </c>
      <c r="N54" s="68" t="n">
        <f aca="false">M54/L54*30</f>
        <v>0.0361809384047927</v>
      </c>
      <c r="O54" s="113"/>
    </row>
    <row r="55" customFormat="false" ht="12.75" hidden="false" customHeight="false" outlineLevel="0" collapsed="false">
      <c r="A55" s="41" t="s">
        <v>44</v>
      </c>
      <c r="B55" s="2" t="n">
        <v>45344</v>
      </c>
      <c r="C55" s="46" t="n">
        <v>22</v>
      </c>
      <c r="D55" s="47" t="n">
        <v>571.105228</v>
      </c>
      <c r="E55" s="62" t="n">
        <f aca="false">Sayfa2!$D55*Sayfa2!$C55</f>
        <v>12564.315016</v>
      </c>
      <c r="F55" s="2" t="n">
        <v>45357</v>
      </c>
      <c r="G55" s="49" t="n">
        <v>10</v>
      </c>
      <c r="H55" s="103" t="n">
        <v>580.059248</v>
      </c>
      <c r="I55" s="51" t="n">
        <f aca="false">Sayfa2!$H55*Sayfa2!$G55</f>
        <v>5800.59248</v>
      </c>
      <c r="J55" s="46" t="n">
        <f aca="false">H55-D55</f>
        <v>8.95402000000001</v>
      </c>
      <c r="K55" s="66" t="n">
        <f aca="false">Sayfa2!$J55*Sayfa2!$C55</f>
        <v>196.98844</v>
      </c>
      <c r="L55" s="67" t="n">
        <f aca="false">F55-B55</f>
        <v>13</v>
      </c>
      <c r="M55" s="68" t="n">
        <f aca="false">K55/E55</f>
        <v>0.0156784066420768</v>
      </c>
      <c r="N55" s="68" t="n">
        <f aca="false">M55/L55*30</f>
        <v>0.0361809384047927</v>
      </c>
      <c r="O55" s="113"/>
    </row>
    <row r="56" customFormat="false" ht="12.75" hidden="false" customHeight="false" outlineLevel="0" collapsed="false">
      <c r="A56" s="41" t="s">
        <v>44</v>
      </c>
      <c r="B56" s="2" t="n">
        <v>45344</v>
      </c>
      <c r="C56" s="46" t="n">
        <v>11</v>
      </c>
      <c r="D56" s="47" t="n">
        <v>571.105228</v>
      </c>
      <c r="E56" s="62" t="n">
        <f aca="false">Sayfa2!$D56*Sayfa2!$C56</f>
        <v>6282.157508</v>
      </c>
      <c r="F56" s="2" t="n">
        <v>45356</v>
      </c>
      <c r="G56" s="49" t="n">
        <v>11</v>
      </c>
      <c r="H56" s="103" t="n">
        <v>580.059248</v>
      </c>
      <c r="I56" s="51" t="n">
        <f aca="false">Sayfa2!$H56*Sayfa2!$G56</f>
        <v>6380.651728</v>
      </c>
      <c r="J56" s="46" t="n">
        <f aca="false">H56-D56</f>
        <v>8.95402000000001</v>
      </c>
      <c r="K56" s="66" t="n">
        <f aca="false">Sayfa2!$J56*Sayfa2!$C56</f>
        <v>98.4942200000002</v>
      </c>
      <c r="L56" s="67" t="n">
        <f aca="false">F56-B56</f>
        <v>12</v>
      </c>
      <c r="M56" s="68" t="n">
        <f aca="false">K56/E56</f>
        <v>0.0156784066420768</v>
      </c>
      <c r="N56" s="68" t="n">
        <f aca="false">M56/L56*30</f>
        <v>0.0391960166051921</v>
      </c>
      <c r="O56" s="113"/>
    </row>
    <row r="57" customFormat="false" ht="12.75" hidden="false" customHeight="false" outlineLevel="0" collapsed="false">
      <c r="A57" s="41" t="s">
        <v>44</v>
      </c>
      <c r="B57" s="2" t="n">
        <v>45355</v>
      </c>
      <c r="C57" s="46" t="n">
        <v>60</v>
      </c>
      <c r="D57" s="47" t="n">
        <v>578.660603</v>
      </c>
      <c r="E57" s="62" t="n">
        <f aca="false">Sayfa2!$D57*Sayfa2!$C57</f>
        <v>34719.63618</v>
      </c>
      <c r="F57" s="2" t="n">
        <v>45356</v>
      </c>
      <c r="G57" s="49" t="n">
        <v>60</v>
      </c>
      <c r="H57" s="103" t="n">
        <v>580.059248</v>
      </c>
      <c r="I57" s="51" t="n">
        <f aca="false">Sayfa2!$H57*Sayfa2!$G57</f>
        <v>34803.55488</v>
      </c>
      <c r="J57" s="46" t="n">
        <f aca="false">H57-D57</f>
        <v>1.39864499999999</v>
      </c>
      <c r="K57" s="66" t="n">
        <f aca="false">Sayfa2!$J57*Sayfa2!$C57</f>
        <v>83.9186999999993</v>
      </c>
      <c r="L57" s="67" t="n">
        <f aca="false">F57-B57</f>
        <v>1</v>
      </c>
      <c r="M57" s="68" t="n">
        <f aca="false">K57/E57</f>
        <v>0.00241703857623773</v>
      </c>
      <c r="N57" s="68" t="n">
        <f aca="false">M57/L57*30</f>
        <v>0.072511157287132</v>
      </c>
      <c r="O57" s="113"/>
    </row>
    <row r="58" customFormat="false" ht="12.75" hidden="false" customHeight="false" outlineLevel="0" collapsed="false">
      <c r="A58" s="41" t="s">
        <v>44</v>
      </c>
      <c r="B58" s="2" t="n">
        <v>45350</v>
      </c>
      <c r="C58" s="46" t="n">
        <v>24</v>
      </c>
      <c r="D58" s="47" t="n">
        <v>575.215354</v>
      </c>
      <c r="E58" s="62" t="n">
        <f aca="false">Sayfa2!$D58*Sayfa2!$C58</f>
        <v>13805.168496</v>
      </c>
      <c r="F58" s="2" t="n">
        <v>45356</v>
      </c>
      <c r="G58" s="49" t="n">
        <v>24</v>
      </c>
      <c r="H58" s="103" t="n">
        <v>580.059248</v>
      </c>
      <c r="I58" s="51" t="n">
        <f aca="false">Sayfa2!$H58*Sayfa2!$G58</f>
        <v>13921.421952</v>
      </c>
      <c r="J58" s="46" t="n">
        <f aca="false">H58-D58</f>
        <v>4.84389399999998</v>
      </c>
      <c r="K58" s="66" t="n">
        <f aca="false">Sayfa2!$J58*Sayfa2!$C58</f>
        <v>116.253455999999</v>
      </c>
      <c r="L58" s="67" t="n">
        <f aca="false">F58-B58</f>
        <v>6</v>
      </c>
      <c r="M58" s="68" t="n">
        <f aca="false">K58/E58</f>
        <v>0.00842100956853105</v>
      </c>
      <c r="N58" s="68" t="n">
        <f aca="false">M58/L58*30</f>
        <v>0.0421050478426553</v>
      </c>
      <c r="O58" s="113"/>
    </row>
    <row r="59" customFormat="false" ht="12.75" hidden="false" customHeight="false" outlineLevel="0" collapsed="false">
      <c r="A59" s="41" t="s">
        <v>45</v>
      </c>
      <c r="B59" s="2" t="n">
        <v>45344</v>
      </c>
      <c r="C59" s="46" t="n">
        <v>2</v>
      </c>
      <c r="D59" s="47" t="n">
        <v>571.105228</v>
      </c>
      <c r="E59" s="62" t="n">
        <f aca="false">Sayfa2!$D59*Sayfa2!$C59</f>
        <v>1142.210456</v>
      </c>
      <c r="F59" s="2" t="n">
        <v>45347</v>
      </c>
      <c r="G59" s="49" t="n">
        <v>2</v>
      </c>
      <c r="H59" s="103" t="n">
        <v>573.835914</v>
      </c>
      <c r="I59" s="51" t="n">
        <f aca="false">Sayfa2!$H59*Sayfa2!$G59</f>
        <v>1147.671828</v>
      </c>
      <c r="J59" s="46" t="n">
        <f aca="false">H59-D59</f>
        <v>2.73068599999999</v>
      </c>
      <c r="K59" s="112" t="n">
        <f aca="false">Sayfa2!$J59*Sayfa2!$G59</f>
        <v>5.46137199999998</v>
      </c>
      <c r="L59" s="67" t="n">
        <f aca="false">F59-B59</f>
        <v>3</v>
      </c>
      <c r="M59" s="68" t="n">
        <f aca="false">K59/E59</f>
        <v>0.00478140606340237</v>
      </c>
      <c r="N59" s="68" t="n">
        <f aca="false">M59/L59*30</f>
        <v>0.0478140606340237</v>
      </c>
      <c r="O59" s="113"/>
    </row>
    <row r="60" customFormat="false" ht="12.75" hidden="false" customHeight="false" outlineLevel="0" collapsed="false">
      <c r="A60" s="41" t="s">
        <v>46</v>
      </c>
      <c r="B60" s="2" t="n">
        <v>45344</v>
      </c>
      <c r="C60" s="46" t="n">
        <v>1</v>
      </c>
      <c r="D60" s="47" t="n">
        <v>571.105228</v>
      </c>
      <c r="E60" s="62" t="n">
        <f aca="false">Sayfa2!$D60*Sayfa2!$C60</f>
        <v>571.105228</v>
      </c>
      <c r="F60" s="2" t="n">
        <v>45350</v>
      </c>
      <c r="G60" s="49" t="n">
        <v>1</v>
      </c>
      <c r="H60" s="103" t="n">
        <v>573.835914</v>
      </c>
      <c r="I60" s="51" t="n">
        <f aca="false">Sayfa2!$H60*Sayfa2!$G60</f>
        <v>573.835914</v>
      </c>
      <c r="J60" s="46" t="n">
        <f aca="false">H60-D60</f>
        <v>2.73068599999999</v>
      </c>
      <c r="K60" s="112" t="n">
        <f aca="false">Sayfa2!$J60*Sayfa2!$G60</f>
        <v>2.73068599999999</v>
      </c>
      <c r="L60" s="67" t="n">
        <f aca="false">F60-B60</f>
        <v>6</v>
      </c>
      <c r="M60" s="68" t="n">
        <f aca="false">K60/E60</f>
        <v>0.00478140606340237</v>
      </c>
      <c r="N60" s="68" t="n">
        <f aca="false">M60/L60*30</f>
        <v>0.0239070303170118</v>
      </c>
      <c r="O60" s="113"/>
    </row>
    <row r="61" customFormat="false" ht="12.75" hidden="false" customHeight="false" outlineLevel="0" collapsed="false">
      <c r="A61" s="41" t="s">
        <v>47</v>
      </c>
      <c r="B61" s="2" t="n">
        <v>45344</v>
      </c>
      <c r="C61" s="46" t="n">
        <v>44</v>
      </c>
      <c r="D61" s="47" t="n">
        <v>571.105228</v>
      </c>
      <c r="E61" s="62" t="n">
        <f aca="false">Sayfa2!$D61*Sayfa2!$C61</f>
        <v>25128.630032</v>
      </c>
      <c r="F61" s="2" t="n">
        <v>45350</v>
      </c>
      <c r="G61" s="49" t="n">
        <v>44</v>
      </c>
      <c r="H61" s="103" t="n">
        <v>573.835914</v>
      </c>
      <c r="I61" s="51" t="n">
        <f aca="false">Sayfa2!$H61*Sayfa2!$G61</f>
        <v>25248.780216</v>
      </c>
      <c r="J61" s="46" t="n">
        <f aca="false">H61-D61</f>
        <v>2.73068599999999</v>
      </c>
      <c r="K61" s="112" t="n">
        <f aca="false">Sayfa2!$J61*Sayfa2!$G61</f>
        <v>120.150184</v>
      </c>
      <c r="L61" s="67" t="n">
        <f aca="false">F61-B61</f>
        <v>6</v>
      </c>
      <c r="M61" s="68" t="n">
        <f aca="false">K61/E61</f>
        <v>0.00478140606340237</v>
      </c>
      <c r="N61" s="68" t="n">
        <f aca="false">M61/L61*30</f>
        <v>0.0239070303170118</v>
      </c>
      <c r="O61" s="113"/>
    </row>
    <row r="62" customFormat="false" ht="12.75" hidden="false" customHeight="false" outlineLevel="0" collapsed="false">
      <c r="A62" s="41" t="s">
        <v>47</v>
      </c>
      <c r="B62" s="2" t="n">
        <v>45341</v>
      </c>
      <c r="C62" s="46" t="n">
        <v>106</v>
      </c>
      <c r="D62" s="47" t="n">
        <v>569.092584</v>
      </c>
      <c r="E62" s="62" t="n">
        <f aca="false">Sayfa2!$D62*Sayfa2!$C62</f>
        <v>60323.813904</v>
      </c>
      <c r="F62" s="2" t="n">
        <v>45350</v>
      </c>
      <c r="G62" s="49" t="n">
        <v>106</v>
      </c>
      <c r="H62" s="103" t="n">
        <v>573.835914</v>
      </c>
      <c r="I62" s="51" t="n">
        <f aca="false">Sayfa2!$H62*Sayfa2!$G62</f>
        <v>60826.606884</v>
      </c>
      <c r="J62" s="46" t="n">
        <f aca="false">H62-D62</f>
        <v>4.74333000000001</v>
      </c>
      <c r="K62" s="112" t="n">
        <f aca="false">Sayfa2!$J62*Sayfa2!$G62</f>
        <v>502.792980000002</v>
      </c>
      <c r="L62" s="67" t="n">
        <f aca="false">F62-B62</f>
        <v>9</v>
      </c>
      <c r="M62" s="68" t="n">
        <f aca="false">K62/E62</f>
        <v>0.00833490038942418</v>
      </c>
      <c r="N62" s="68" t="n">
        <f aca="false">M62/L62*30</f>
        <v>0.0277830012980806</v>
      </c>
      <c r="O62" s="113"/>
    </row>
    <row r="63" customFormat="false" ht="12.75" hidden="false" customHeight="false" outlineLevel="0" collapsed="false">
      <c r="A63" s="41" t="s">
        <v>48</v>
      </c>
      <c r="B63" s="2" t="n">
        <v>45338</v>
      </c>
      <c r="C63" s="3" t="n">
        <v>64</v>
      </c>
      <c r="D63" s="1" t="n">
        <v>567.082351</v>
      </c>
      <c r="E63" s="62" t="n">
        <f aca="false">Sayfa2!$D63*Sayfa2!$C63</f>
        <v>36293.270464</v>
      </c>
      <c r="F63" s="2" t="n">
        <v>45344</v>
      </c>
      <c r="G63" s="46" t="n">
        <v>64</v>
      </c>
      <c r="H63" s="1" t="n">
        <v>571.105228</v>
      </c>
      <c r="I63" s="51" t="n">
        <f aca="false">Sayfa2!$H63*Sayfa2!$G63</f>
        <v>36550.734592</v>
      </c>
      <c r="J63" s="46" t="n">
        <f aca="false">H63-D63</f>
        <v>4.02287699999999</v>
      </c>
      <c r="K63" s="112" t="n">
        <f aca="false">Sayfa2!$J63*Sayfa2!$G63</f>
        <v>257.464128</v>
      </c>
      <c r="L63" s="67" t="n">
        <f aca="false">F63-B63</f>
        <v>6</v>
      </c>
      <c r="M63" s="68" t="n">
        <f aca="false">K63/E63</f>
        <v>0.00709399083379337</v>
      </c>
      <c r="N63" s="68" t="n">
        <f aca="false">M63/L63*30</f>
        <v>0.0354699541689668</v>
      </c>
      <c r="O63" s="113"/>
    </row>
    <row r="64" customFormat="false" ht="12.75" hidden="false" customHeight="false" outlineLevel="0" collapsed="false">
      <c r="A64" s="41" t="s">
        <v>44</v>
      </c>
      <c r="B64" s="2" t="n">
        <v>45299</v>
      </c>
      <c r="C64" s="3" t="n">
        <v>50</v>
      </c>
      <c r="D64" s="1" t="n">
        <v>542.434502</v>
      </c>
      <c r="E64" s="62" t="n">
        <f aca="false">Sayfa2!$D64*Sayfa2!$C64</f>
        <v>27121.7251</v>
      </c>
      <c r="F64" s="2" t="n">
        <v>45344</v>
      </c>
      <c r="G64" s="46" t="n">
        <v>50</v>
      </c>
      <c r="H64" s="1" t="n">
        <v>571.105228</v>
      </c>
      <c r="I64" s="51" t="n">
        <f aca="false">Sayfa2!$H64*Sayfa2!$G64</f>
        <v>28555.2614</v>
      </c>
      <c r="J64" s="46" t="n">
        <f aca="false">H64-D64</f>
        <v>28.6707260000001</v>
      </c>
      <c r="K64" s="112" t="n">
        <f aca="false">Sayfa2!$J64*Sayfa2!$G64</f>
        <v>1433.5363</v>
      </c>
      <c r="L64" s="67" t="n">
        <f aca="false">F64-B64</f>
        <v>45</v>
      </c>
      <c r="M64" s="68" t="n">
        <f aca="false">K64/E64</f>
        <v>0.052855645970691</v>
      </c>
      <c r="N64" s="68" t="n">
        <f aca="false">M64/L64*30</f>
        <v>0.035237097313794</v>
      </c>
      <c r="O64" s="113"/>
    </row>
    <row r="65" customFormat="false" ht="12.75" hidden="false" customHeight="false" outlineLevel="0" collapsed="false">
      <c r="A65" s="41" t="s">
        <v>44</v>
      </c>
      <c r="B65" s="2" t="n">
        <v>45321</v>
      </c>
      <c r="C65" s="3" t="n">
        <v>50</v>
      </c>
      <c r="D65" s="1" t="n">
        <v>555.950107</v>
      </c>
      <c r="E65" s="62" t="n">
        <f aca="false">Sayfa2!$D65*Sayfa2!$C65</f>
        <v>27797.50535</v>
      </c>
      <c r="F65" s="2" t="n">
        <v>45344</v>
      </c>
      <c r="G65" s="46" t="n">
        <v>50</v>
      </c>
      <c r="H65" s="1" t="n">
        <v>571.105228</v>
      </c>
      <c r="I65" s="51" t="n">
        <f aca="false">Sayfa2!$H65*Sayfa2!$G65</f>
        <v>28555.2614</v>
      </c>
      <c r="J65" s="46" t="n">
        <f aca="false">H65-D65</f>
        <v>15.155121</v>
      </c>
      <c r="K65" s="112" t="n">
        <f aca="false">Sayfa2!$J65*Sayfa2!$G65</f>
        <v>757.75605</v>
      </c>
      <c r="L65" s="67" t="n">
        <f aca="false">F65-B65</f>
        <v>23</v>
      </c>
      <c r="M65" s="68" t="n">
        <f aca="false">K65/E65</f>
        <v>0.0272598580505355</v>
      </c>
      <c r="N65" s="68" t="n">
        <f aca="false">M65/L65*30</f>
        <v>0.035556336587655</v>
      </c>
      <c r="O65" s="113"/>
    </row>
    <row r="66" customFormat="false" ht="12.75" hidden="false" customHeight="false" outlineLevel="0" collapsed="false">
      <c r="A66" s="41" t="s">
        <v>44</v>
      </c>
      <c r="B66" s="2" t="n">
        <v>45322</v>
      </c>
      <c r="C66" s="3" t="n">
        <v>16</v>
      </c>
      <c r="D66" s="1" t="n">
        <v>555.950107</v>
      </c>
      <c r="E66" s="62" t="n">
        <f aca="false">Sayfa2!$D66*Sayfa2!$C66</f>
        <v>8895.201712</v>
      </c>
      <c r="F66" s="2" t="n">
        <v>45344</v>
      </c>
      <c r="G66" s="46" t="n">
        <v>16</v>
      </c>
      <c r="H66" s="1" t="n">
        <v>571.105228</v>
      </c>
      <c r="I66" s="51" t="n">
        <f aca="false">Sayfa2!$H66*Sayfa2!$G66</f>
        <v>9137.683648</v>
      </c>
      <c r="J66" s="46" t="n">
        <f aca="false">H66-D66</f>
        <v>15.155121</v>
      </c>
      <c r="K66" s="112" t="n">
        <f aca="false">Sayfa2!$J66*Sayfa2!$G66</f>
        <v>242.481936</v>
      </c>
      <c r="L66" s="67" t="n">
        <f aca="false">F66-B66</f>
        <v>22</v>
      </c>
      <c r="M66" s="68" t="n">
        <f aca="false">K66/E66</f>
        <v>0.0272598580505355</v>
      </c>
      <c r="N66" s="68" t="n">
        <f aca="false">M66/L66*30</f>
        <v>0.0371725337052756</v>
      </c>
      <c r="O66" s="113"/>
    </row>
    <row r="67" customFormat="false" ht="12.75" hidden="false" customHeight="false" outlineLevel="0" collapsed="false">
      <c r="A67" s="41" t="s">
        <v>44</v>
      </c>
      <c r="B67" s="2" t="n">
        <v>45296</v>
      </c>
      <c r="C67" s="3" t="n">
        <v>110</v>
      </c>
      <c r="D67" s="1" t="n">
        <v>540.601108</v>
      </c>
      <c r="E67" s="62" t="n">
        <f aca="false">Sayfa2!$D67*Sayfa2!$C67</f>
        <v>59466.12188</v>
      </c>
      <c r="F67" s="2" t="n">
        <v>45335</v>
      </c>
      <c r="G67" s="46" t="n">
        <v>110</v>
      </c>
      <c r="H67" s="1" t="n">
        <v>565.112829</v>
      </c>
      <c r="I67" s="51" t="n">
        <f aca="false">Sayfa2!$H67*Sayfa2!$G67</f>
        <v>62162.41119</v>
      </c>
      <c r="J67" s="116" t="n">
        <f aca="false">H67-D67</f>
        <v>24.5117210000001</v>
      </c>
      <c r="K67" s="66" t="n">
        <f aca="false">Sayfa2!$J67*Sayfa2!$G67</f>
        <v>2696.28931000001</v>
      </c>
      <c r="L67" s="67" t="n">
        <f aca="false">F67-B67</f>
        <v>39</v>
      </c>
      <c r="M67" s="68" t="n">
        <f aca="false">K67/E67</f>
        <v>0.0453416033324151</v>
      </c>
      <c r="N67" s="68" t="n">
        <f aca="false">K67/E67</f>
        <v>0.0453416033324151</v>
      </c>
      <c r="O67" s="113"/>
    </row>
    <row r="68" customFormat="false" ht="12.75" hidden="false" customHeight="false" outlineLevel="0" collapsed="false">
      <c r="A68" s="41" t="s">
        <v>44</v>
      </c>
      <c r="B68" s="2" t="n">
        <v>45322</v>
      </c>
      <c r="C68" s="3" t="n">
        <v>10</v>
      </c>
      <c r="D68" s="1" t="n">
        <v>555.950107</v>
      </c>
      <c r="E68" s="62" t="n">
        <f aca="false">Sayfa2!$D68*Sayfa2!$C68</f>
        <v>5559.50107</v>
      </c>
      <c r="F68" s="2" t="n">
        <v>45334</v>
      </c>
      <c r="G68" s="46" t="n">
        <v>10</v>
      </c>
      <c r="H68" s="1" t="n">
        <v>564.450098</v>
      </c>
      <c r="I68" s="51" t="n">
        <f aca="false">Sayfa2!$H68*Sayfa2!$G68</f>
        <v>5644.50098</v>
      </c>
      <c r="J68" s="116" t="n">
        <f aca="false">H68-D68</f>
        <v>8.49999100000002</v>
      </c>
      <c r="K68" s="66" t="n">
        <f aca="false">Sayfa2!$J68*Sayfa2!$G68</f>
        <v>84.9999100000002</v>
      </c>
      <c r="L68" s="67" t="n">
        <f aca="false">F68-B68</f>
        <v>12</v>
      </c>
      <c r="M68" s="68" t="n">
        <f aca="false">K68/E68</f>
        <v>0.0152891255761554</v>
      </c>
      <c r="N68" s="68" t="n">
        <f aca="false">M68/L68*30</f>
        <v>0.0382228139403885</v>
      </c>
      <c r="O68" s="113"/>
    </row>
    <row r="69" customFormat="false" ht="12.75" hidden="false" customHeight="false" outlineLevel="0" collapsed="false">
      <c r="A69" s="41" t="s">
        <v>44</v>
      </c>
      <c r="B69" s="48" t="n">
        <v>45322</v>
      </c>
      <c r="C69" s="52" t="n">
        <v>46</v>
      </c>
      <c r="D69" s="1" t="n">
        <v>555.950107</v>
      </c>
      <c r="E69" s="62" t="n">
        <f aca="false">Sayfa2!$D69*Sayfa2!$C69</f>
        <v>25573.704922</v>
      </c>
      <c r="F69" s="48" t="n">
        <v>45327</v>
      </c>
      <c r="G69" s="52" t="n">
        <v>46</v>
      </c>
      <c r="H69" s="1" t="n">
        <v>559.833857</v>
      </c>
      <c r="I69" s="51" t="n">
        <f aca="false">Sayfa2!$H69*Sayfa2!$G69</f>
        <v>25752.357422</v>
      </c>
      <c r="J69" s="6" t="n">
        <f aca="false">H69-D69</f>
        <v>3.88374999999996</v>
      </c>
      <c r="K69" s="66" t="n">
        <f aca="false">Sayfa2!$J69*Sayfa2!$G69</f>
        <v>178.652499999998</v>
      </c>
      <c r="L69" s="67" t="n">
        <f aca="false">F69-B69</f>
        <v>5</v>
      </c>
      <c r="M69" s="68" t="n">
        <f aca="false">K69/E69</f>
        <v>0.00698578874452841</v>
      </c>
      <c r="N69" s="68" t="n">
        <f aca="false">M69/L69*30</f>
        <v>0.0419147324671704</v>
      </c>
      <c r="O69" s="113"/>
    </row>
    <row r="70" customFormat="false" ht="12.75" hidden="false" customHeight="false" outlineLevel="0" collapsed="false">
      <c r="A70" s="41" t="s">
        <v>49</v>
      </c>
      <c r="B70" s="2" t="n">
        <v>45267</v>
      </c>
      <c r="C70" s="3" t="n">
        <v>300</v>
      </c>
      <c r="D70" s="1" t="n">
        <v>18.207358</v>
      </c>
      <c r="E70" s="62" t="n">
        <f aca="false">Sayfa2!$D70*Sayfa2!$C70</f>
        <v>5462.2074</v>
      </c>
      <c r="F70" s="2" t="n">
        <v>45288</v>
      </c>
      <c r="G70" s="46" t="n">
        <v>300</v>
      </c>
      <c r="H70" s="1" t="n">
        <v>18.625761</v>
      </c>
      <c r="I70" s="51" t="n">
        <f aca="false">Sayfa2!$H70*Sayfa2!$G70</f>
        <v>5587.7283</v>
      </c>
      <c r="J70" s="116" t="n">
        <f aca="false">H70-D70</f>
        <v>0.418403000000001</v>
      </c>
      <c r="K70" s="66" t="n">
        <f aca="false">Sayfa2!$J70*Sayfa2!$G70</f>
        <v>125.5209</v>
      </c>
      <c r="L70" s="1" t="n">
        <f aca="false">F70-B70</f>
        <v>21</v>
      </c>
      <c r="M70" s="68" t="n">
        <f aca="false">K70/E70</f>
        <v>0.0229798853847989</v>
      </c>
      <c r="N70" s="68" t="n">
        <f aca="false">M70/L70*30</f>
        <v>0.0328284076925699</v>
      </c>
      <c r="O70" s="113"/>
    </row>
    <row r="71" customFormat="false" ht="12.75" hidden="false" customHeight="false" outlineLevel="0" collapsed="false">
      <c r="A71" s="41" t="s">
        <v>44</v>
      </c>
      <c r="B71" s="2" t="n">
        <v>45267</v>
      </c>
      <c r="C71" s="3" t="n">
        <v>10</v>
      </c>
      <c r="D71" s="1" t="n">
        <v>523.889871</v>
      </c>
      <c r="E71" s="62" t="n">
        <f aca="false">Sayfa2!$D71*Sayfa2!$C71</f>
        <v>5238.89871</v>
      </c>
      <c r="F71" s="2" t="n">
        <v>45293</v>
      </c>
      <c r="G71" s="46" t="n">
        <v>10</v>
      </c>
      <c r="H71" s="1" t="n">
        <v>538.789707</v>
      </c>
      <c r="I71" s="51" t="n">
        <f aca="false">Sayfa2!$H71*Sayfa2!$G71</f>
        <v>5387.89707</v>
      </c>
      <c r="J71" s="116" t="n">
        <f aca="false">H71-D71</f>
        <v>14.8998360000001</v>
      </c>
      <c r="K71" s="66" t="n">
        <f aca="false">Sayfa2!$J71*Sayfa2!$G71</f>
        <v>148.998360000001</v>
      </c>
      <c r="L71" s="1" t="n">
        <f aca="false">F71-B71</f>
        <v>26</v>
      </c>
      <c r="M71" s="68" t="n">
        <f aca="false">K71/E71</f>
        <v>0.0284407789208814</v>
      </c>
      <c r="N71" s="68" t="n">
        <f aca="false">M71/L71*30</f>
        <v>0.0328162833702477</v>
      </c>
      <c r="O71" s="113"/>
    </row>
    <row r="72" customFormat="false" ht="12.75" hidden="false" customHeight="false" outlineLevel="0" collapsed="false">
      <c r="A72" s="41" t="s">
        <v>44</v>
      </c>
      <c r="B72" s="2" t="n">
        <v>45273</v>
      </c>
      <c r="C72" s="3" t="n">
        <v>28</v>
      </c>
      <c r="D72" s="1" t="n">
        <v>527.21224</v>
      </c>
      <c r="E72" s="62" t="n">
        <f aca="false">Sayfa2!$D72*Sayfa2!$C72</f>
        <v>14761.94272</v>
      </c>
      <c r="F72" s="2" t="n">
        <v>45293</v>
      </c>
      <c r="G72" s="46" t="n">
        <v>28</v>
      </c>
      <c r="H72" s="1" t="n">
        <f aca="false">H71</f>
        <v>538.789707</v>
      </c>
      <c r="I72" s="51" t="n">
        <f aca="false">Sayfa2!$H72*Sayfa2!$G72</f>
        <v>15086.111796</v>
      </c>
      <c r="J72" s="116" t="n">
        <f aca="false">H72-D72</f>
        <v>11.5774670000001</v>
      </c>
      <c r="K72" s="66" t="n">
        <f aca="false">Sayfa2!$J72*Sayfa2!$G72</f>
        <v>324.169076000002</v>
      </c>
      <c r="L72" s="1" t="n">
        <f aca="false">F72-B72</f>
        <v>20</v>
      </c>
      <c r="M72" s="68" t="n">
        <f aca="false">K72/E72</f>
        <v>0.0219597841658609</v>
      </c>
      <c r="N72" s="68" t="n">
        <f aca="false">M72/L72*30</f>
        <v>0.0329396762487914</v>
      </c>
      <c r="O72" s="113"/>
    </row>
    <row r="73" customFormat="false" ht="12.75" hidden="false" customHeight="false" outlineLevel="0" collapsed="false">
      <c r="A73" s="41" t="s">
        <v>50</v>
      </c>
      <c r="B73" s="2" t="n">
        <v>45273</v>
      </c>
      <c r="C73" s="3" t="n">
        <v>22</v>
      </c>
      <c r="D73" s="1" t="n">
        <v>527.21224</v>
      </c>
      <c r="E73" s="62" t="n">
        <f aca="false">Sayfa2!$D73*Sayfa2!$C73</f>
        <v>11598.66928</v>
      </c>
      <c r="F73" s="2" t="n">
        <v>45295</v>
      </c>
      <c r="G73" s="46" t="n">
        <v>22</v>
      </c>
      <c r="H73" s="1" t="n">
        <v>540.000044</v>
      </c>
      <c r="I73" s="51" t="n">
        <f aca="false">Sayfa2!$H73*Sayfa2!$G73</f>
        <v>11880.000968</v>
      </c>
      <c r="J73" s="116" t="n">
        <f aca="false">H73-D72</f>
        <v>12.7878040000001</v>
      </c>
      <c r="K73" s="66" t="n">
        <f aca="false">Sayfa2!$J73*Sayfa2!$G73</f>
        <v>281.331688000001</v>
      </c>
      <c r="L73" s="1" t="n">
        <f aca="false">F73-B72</f>
        <v>22</v>
      </c>
      <c r="M73" s="68" t="n">
        <f aca="false">K73/E73</f>
        <v>0.024255514249821</v>
      </c>
      <c r="N73" s="68" t="n">
        <f aca="false">M73/L73*30</f>
        <v>0.0330757012497559</v>
      </c>
      <c r="O73" s="70" t="n">
        <f aca="false">SUM(K54:K73)</f>
        <v>7765.43843600002</v>
      </c>
    </row>
    <row r="74" customFormat="false" ht="12.75" hidden="false" customHeight="false" outlineLevel="0" collapsed="false">
      <c r="E74" s="53"/>
      <c r="F74" s="48"/>
      <c r="G74" s="52"/>
      <c r="I74" s="123"/>
      <c r="K74" s="55"/>
      <c r="L74" s="55"/>
    </row>
    <row r="75" customFormat="false" ht="12.75" hidden="false" customHeight="false" outlineLevel="0" collapsed="false">
      <c r="E75" s="53"/>
      <c r="F75" s="48"/>
      <c r="G75" s="52"/>
      <c r="I75" s="123"/>
      <c r="K75" s="55"/>
      <c r="L75" s="55"/>
    </row>
    <row r="76" customFormat="false" ht="12.75" hidden="false" customHeight="false" outlineLevel="0" collapsed="false">
      <c r="E76" s="53"/>
      <c r="F76" s="48"/>
      <c r="G76" s="52"/>
      <c r="I76" s="123"/>
      <c r="K76" s="55"/>
      <c r="L76" s="55"/>
    </row>
    <row r="77" customFormat="false" ht="12.75" hidden="false" customHeight="false" outlineLevel="0" collapsed="false">
      <c r="E77" s="53"/>
      <c r="F77" s="48"/>
      <c r="G77" s="52"/>
      <c r="I77" s="123"/>
      <c r="K77" s="55"/>
      <c r="L77" s="55"/>
    </row>
    <row r="78" customFormat="false" ht="12.75" hidden="false" customHeight="false" outlineLevel="0" collapsed="false">
      <c r="E78" s="53"/>
      <c r="F78" s="48"/>
      <c r="G78" s="52"/>
      <c r="I78" s="123"/>
      <c r="K78" s="55"/>
      <c r="L78" s="55"/>
    </row>
    <row r="79" customFormat="false" ht="12.75" hidden="false" customHeight="false" outlineLevel="0" collapsed="false">
      <c r="E79" s="53"/>
      <c r="F79" s="48"/>
      <c r="G79" s="52"/>
      <c r="I79" s="123"/>
      <c r="K79" s="55"/>
      <c r="L79" s="55"/>
    </row>
    <row r="80" customFormat="false" ht="12.75" hidden="false" customHeight="false" outlineLevel="0" collapsed="false">
      <c r="E80" s="53"/>
      <c r="F80" s="48"/>
      <c r="G80" s="52"/>
      <c r="I80" s="123"/>
      <c r="K80" s="55"/>
      <c r="L80" s="55"/>
    </row>
    <row r="81" customFormat="false" ht="12.75" hidden="false" customHeight="false" outlineLevel="0" collapsed="false">
      <c r="E81" s="53"/>
      <c r="F81" s="48"/>
      <c r="G81" s="52"/>
    </row>
    <row r="82" customFormat="false" ht="12.75" hidden="false" customHeight="false" outlineLevel="0" collapsed="false">
      <c r="E82" s="53"/>
      <c r="F82" s="48"/>
      <c r="G82" s="52"/>
    </row>
    <row r="83" customFormat="false" ht="12.75" hidden="false" customHeight="false" outlineLevel="0" collapsed="false">
      <c r="E83" s="53"/>
      <c r="F83" s="48"/>
      <c r="G83" s="52"/>
    </row>
    <row r="84" customFormat="false" ht="12.75" hidden="false" customHeight="false" outlineLevel="0" collapsed="false">
      <c r="E84" s="53"/>
      <c r="F84" s="48"/>
      <c r="G84" s="52"/>
    </row>
  </sheetData>
  <dataValidations count="1">
    <dataValidation allowBlank="true" errorStyle="stop" operator="between" showDropDown="false" showErrorMessage="true" showInputMessage="true" sqref="N43 N48 L50 N73 I74:L74 I75:I80 K75:L80" type="list">
      <formula1>Sayfa1!$C:$C</formula1>
      <formula2>0</formula2>
    </dataValidation>
  </dataValidations>
  <printOptions headings="false" gridLines="false" gridLinesSet="true" horizontalCentered="false" verticalCentered="false"/>
  <pageMargins left="0.25" right="0.25" top="0.75" bottom="0.7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2:AA38"/>
  <sheetViews>
    <sheetView showFormulas="false" showGridLines="true" showRowColHeaders="true" showZeros="true" rightToLeft="false" tabSelected="true" showOutlineSymbols="true" defaultGridColor="true" view="normal" topLeftCell="A1" colorId="64" zoomScale="145" zoomScaleNormal="145" zoomScalePageLayoutView="100" workbookViewId="0">
      <pane xSplit="1" ySplit="0" topLeftCell="B1" activePane="topRight" state="frozen"/>
      <selection pane="topLeft" activeCell="A1" activeCellId="0" sqref="A1"/>
      <selection pane="topRight" activeCell="N6" activeCellId="0" sqref="N6"/>
    </sheetView>
  </sheetViews>
  <sheetFormatPr defaultColWidth="8.71484375" defaultRowHeight="12.75" zeroHeight="false" outlineLevelRow="0" outlineLevelCol="0"/>
  <cols>
    <col collapsed="false" customWidth="true" hidden="false" outlineLevel="0" max="1" min="1" style="0" width="6.86"/>
    <col collapsed="false" customWidth="true" hidden="false" outlineLevel="0" max="2" min="2" style="124" width="4.14"/>
    <col collapsed="false" customWidth="true" hidden="false" outlineLevel="0" max="3" min="3" style="0" width="8.42"/>
    <col collapsed="false" customWidth="true" hidden="false" outlineLevel="0" max="4" min="4" style="0" width="5.14"/>
    <col collapsed="false" customWidth="true" hidden="false" outlineLevel="0" max="5" min="5" style="0" width="8.42"/>
    <col collapsed="false" customWidth="true" hidden="false" outlineLevel="0" max="6" min="6" style="0" width="7.42"/>
    <col collapsed="false" customWidth="true" hidden="false" outlineLevel="0" max="7" min="7" style="0" width="8.42"/>
    <col collapsed="false" customWidth="true" hidden="false" outlineLevel="0" max="11" min="9" style="0" width="9.42"/>
    <col collapsed="false" customWidth="true" hidden="false" outlineLevel="0" max="12" min="12" style="125" width="11.13"/>
    <col collapsed="false" customWidth="true" hidden="false" outlineLevel="0" max="14" min="14" style="0" width="10.57"/>
    <col collapsed="false" customWidth="true" hidden="false" outlineLevel="0" max="16" min="16" style="0" width="14.58"/>
    <col collapsed="false" customWidth="true" hidden="false" outlineLevel="0" max="18" min="18" style="0" width="3"/>
    <col collapsed="false" customWidth="true" hidden="false" outlineLevel="0" max="19" min="19" style="0" width="8.57"/>
    <col collapsed="false" customWidth="true" hidden="false" outlineLevel="0" max="20" min="20" style="0" width="3"/>
    <col collapsed="false" customWidth="true" hidden="false" outlineLevel="0" max="21" min="21" style="0" width="11.58"/>
    <col collapsed="false" customWidth="true" hidden="false" outlineLevel="0" max="22" min="22" style="0" width="3"/>
    <col collapsed="false" customWidth="true" hidden="false" outlineLevel="0" max="23" min="23" style="0" width="10.72"/>
    <col collapsed="false" customWidth="true" hidden="false" outlineLevel="0" max="24" min="24" style="0" width="3"/>
    <col collapsed="false" customWidth="true" hidden="false" outlineLevel="0" max="26" min="26" style="0" width="3"/>
    <col collapsed="false" customWidth="true" hidden="false" outlineLevel="0" max="27" min="27" style="0" width="9.57"/>
    <col collapsed="false" customWidth="true" hidden="false" outlineLevel="0" max="29" min="29" style="0" width="2.71"/>
    <col collapsed="false" customWidth="true" hidden="false" outlineLevel="0" max="30" min="30" style="0" width="7.57"/>
    <col collapsed="false" customWidth="true" hidden="false" outlineLevel="0" max="31" min="31" style="0" width="4.43"/>
    <col collapsed="false" customWidth="true" hidden="false" outlineLevel="0" max="33" min="33" style="0" width="4.43"/>
    <col collapsed="false" customWidth="true" hidden="false" outlineLevel="0" max="1024" min="1023" style="0" width="11.28"/>
  </cols>
  <sheetData>
    <row r="2" customFormat="false" ht="12.75" hidden="false" customHeight="false" outlineLevel="0" collapsed="false">
      <c r="A2" s="126" t="n">
        <f aca="false">A5</f>
        <v>45380</v>
      </c>
      <c r="C2" s="0" t="n">
        <f aca="false">C5</f>
        <v>2273.32</v>
      </c>
      <c r="E2" s="0" t="n">
        <f aca="false">E5</f>
        <v>31.8308</v>
      </c>
      <c r="G2" s="0" t="n">
        <f aca="false">G5</f>
        <v>34.3699</v>
      </c>
      <c r="I2" s="0" t="n">
        <f aca="false">I5</f>
        <v>0.852431</v>
      </c>
      <c r="K2" s="0" t="n">
        <f aca="false">I5</f>
        <v>0.852431</v>
      </c>
      <c r="M2" s="127" t="n">
        <f aca="false">Sayfa2!D3</f>
        <v>156.083524050095</v>
      </c>
      <c r="N2" s="128" t="n">
        <f aca="false">Sayfa2!K2</f>
        <v>246143.717427</v>
      </c>
      <c r="S2" s="0" t="n">
        <f aca="false">S5</f>
        <v>0</v>
      </c>
      <c r="U2" s="0" t="n">
        <f aca="false">U5</f>
        <v>0</v>
      </c>
      <c r="W2" s="0" t="n">
        <f aca="false">W5</f>
        <v>0</v>
      </c>
      <c r="Y2" s="0" t="n">
        <f aca="false">Y5</f>
        <v>0</v>
      </c>
      <c r="AA2" s="0" t="n">
        <f aca="false">AA13</f>
        <v>19.69</v>
      </c>
    </row>
    <row r="3" customFormat="false" ht="12.75" hidden="false" customHeight="false" outlineLevel="0" collapsed="false">
      <c r="A3" s="129"/>
      <c r="B3" s="130"/>
      <c r="C3" s="131" t="s">
        <v>51</v>
      </c>
      <c r="D3" s="131"/>
      <c r="E3" s="131" t="s">
        <v>26</v>
      </c>
      <c r="F3" s="131"/>
      <c r="G3" s="131" t="s">
        <v>52</v>
      </c>
      <c r="H3" s="131"/>
      <c r="I3" s="131" t="s">
        <v>53</v>
      </c>
      <c r="J3" s="131"/>
      <c r="K3" s="131" t="s">
        <v>53</v>
      </c>
      <c r="L3" s="132" t="s">
        <v>54</v>
      </c>
      <c r="O3" s="131" t="s">
        <v>55</v>
      </c>
      <c r="P3" s="131"/>
      <c r="Q3" s="131"/>
      <c r="R3" s="131"/>
      <c r="S3" s="131" t="s">
        <v>56</v>
      </c>
      <c r="T3" s="131"/>
      <c r="U3" s="131" t="n">
        <v>801</v>
      </c>
      <c r="V3" s="131"/>
      <c r="W3" s="131" t="s">
        <v>57</v>
      </c>
      <c r="X3" s="131"/>
      <c r="Y3" s="131" t="s">
        <v>58</v>
      </c>
      <c r="Z3" s="131"/>
      <c r="AA3" s="131" t="s">
        <v>59</v>
      </c>
    </row>
    <row r="5" customFormat="false" ht="12.75" hidden="false" customHeight="false" outlineLevel="0" collapsed="false">
      <c r="A5" s="126" t="n">
        <v>45380</v>
      </c>
      <c r="B5" s="124" t="n">
        <v>161</v>
      </c>
      <c r="C5" s="0" t="n">
        <v>2273.32</v>
      </c>
      <c r="D5" s="0" t="n">
        <f aca="false">D25</f>
        <v>1110</v>
      </c>
      <c r="E5" s="0" t="n">
        <v>31.8308</v>
      </c>
      <c r="F5" s="0" t="n">
        <f aca="false">F25</f>
        <v>321.99</v>
      </c>
      <c r="G5" s="0" t="n">
        <v>34.3699</v>
      </c>
      <c r="H5" s="0" t="n">
        <f aca="false">H25</f>
        <v>50000</v>
      </c>
      <c r="I5" s="0" t="n">
        <v>0.852431</v>
      </c>
      <c r="J5" s="0" t="n">
        <f aca="false">J25</f>
        <v>75000</v>
      </c>
      <c r="K5" s="129" t="n">
        <f aca="false">I5</f>
        <v>0.852431</v>
      </c>
      <c r="L5" s="125" t="n">
        <f aca="false">(B5*C5)+(D5*E5)+(F5*G5)+(H5*I5)+(Z13*AA13)+(J5*K5)</f>
        <v>520296.267101</v>
      </c>
      <c r="M5" s="0" t="n">
        <v>156.08</v>
      </c>
      <c r="N5" s="0" t="n">
        <v>246143.72</v>
      </c>
      <c r="O5" s="127"/>
      <c r="P5" s="133" t="e">
        <f aca="false">(1-(O14/O5))</f>
        <v>#DIV/0!</v>
      </c>
    </row>
    <row r="6" customFormat="false" ht="12.75" hidden="false" customHeight="false" outlineLevel="0" collapsed="false">
      <c r="A6" s="126" t="n">
        <v>45379</v>
      </c>
      <c r="B6" s="124" t="n">
        <v>161</v>
      </c>
      <c r="C6" s="0" t="n">
        <v>2240.09</v>
      </c>
      <c r="D6" s="0" t="n">
        <f aca="false">D26</f>
        <v>1110</v>
      </c>
      <c r="E6" s="0" t="n">
        <v>31.8707</v>
      </c>
      <c r="F6" s="0" t="n">
        <f aca="false">F26</f>
        <v>321.99</v>
      </c>
      <c r="G6" s="0" t="n">
        <v>34.4808</v>
      </c>
      <c r="H6" s="0" t="n">
        <f aca="false">H26</f>
        <v>50000</v>
      </c>
      <c r="I6" s="0" t="n">
        <v>0.864732</v>
      </c>
      <c r="J6" s="0" t="n">
        <f aca="false">J26</f>
        <v>75000</v>
      </c>
      <c r="K6" s="129" t="n">
        <f aca="false">I6</f>
        <v>0.864732</v>
      </c>
      <c r="L6" s="125" t="n">
        <f aca="false">(B6*C6)+(D6*E6)+(F6*G6)+(T6*U6)+(H6*I6)+(R6*S6)+(V6*W6)+(X6*Y6)+(Z14*AA14)+(J6*K6)</f>
        <v>516786.219792</v>
      </c>
      <c r="M6" s="0" t="n">
        <v>153.81</v>
      </c>
      <c r="N6" s="0" t="n">
        <v>242408.74</v>
      </c>
      <c r="O6" s="127" t="n">
        <v>9079.97</v>
      </c>
      <c r="P6" s="133" t="n">
        <f aca="false">(1-(O15/O6))</f>
        <v>0.0276729989195998</v>
      </c>
    </row>
    <row r="7" customFormat="false" ht="12.75" hidden="false" customHeight="false" outlineLevel="0" collapsed="false">
      <c r="A7" s="126" t="n">
        <v>45378</v>
      </c>
      <c r="B7" s="124" t="n">
        <v>161</v>
      </c>
      <c r="C7" s="0" t="n">
        <v>2227.25</v>
      </c>
      <c r="D7" s="0" t="n">
        <f aca="false">D26</f>
        <v>1110</v>
      </c>
      <c r="E7" s="0" t="n">
        <v>31.822</v>
      </c>
      <c r="F7" s="0" t="n">
        <f aca="false">F26</f>
        <v>321.99</v>
      </c>
      <c r="G7" s="0" t="n">
        <v>34.5045</v>
      </c>
      <c r="H7" s="0" t="n">
        <f aca="false">H26</f>
        <v>50000</v>
      </c>
      <c r="I7" s="0" t="n">
        <v>0.859</v>
      </c>
      <c r="J7" s="0" t="n">
        <f aca="false">J26</f>
        <v>75000</v>
      </c>
      <c r="K7" s="129" t="n">
        <f aca="false">I7</f>
        <v>0.859</v>
      </c>
      <c r="L7" s="125" t="n">
        <f aca="false">(B7*C7)+(D7*E7)+(F7*G7)+(T7*U7)+(H7*I7)+(R7*S7)+(V7*W7)+(X7*Y7)+(Z14*AA14)+(J7*K7)</f>
        <v>513956.053955</v>
      </c>
      <c r="M7" s="0" t="n">
        <v>154.24</v>
      </c>
      <c r="N7" s="0" t="n">
        <v>242616.68</v>
      </c>
      <c r="O7" s="127" t="n">
        <v>8806.72</v>
      </c>
      <c r="P7" s="133" t="n">
        <f aca="false">(1-(O15/O7))</f>
        <v>-0.00249582137276994</v>
      </c>
    </row>
    <row r="8" customFormat="false" ht="12.75" hidden="false" customHeight="false" outlineLevel="0" collapsed="false">
      <c r="A8" s="126" t="n">
        <v>45377</v>
      </c>
      <c r="B8" s="124" t="n">
        <v>161</v>
      </c>
      <c r="C8" s="0" t="n">
        <v>2227.25</v>
      </c>
      <c r="D8" s="0" t="n">
        <f aca="false">D27</f>
        <v>1110</v>
      </c>
      <c r="E8" s="0" t="n">
        <v>31.531</v>
      </c>
      <c r="F8" s="0" t="n">
        <f aca="false">F27</f>
        <v>321.99</v>
      </c>
      <c r="G8" s="0" t="n">
        <v>34.1259</v>
      </c>
      <c r="H8" s="0" t="n">
        <f aca="false">H27</f>
        <v>50000</v>
      </c>
      <c r="I8" s="0" t="n">
        <v>0.890316</v>
      </c>
      <c r="J8" s="0" t="n">
        <f aca="false">J27</f>
        <v>75000</v>
      </c>
      <c r="K8" s="129" t="n">
        <f aca="false">I8</f>
        <v>0.890316</v>
      </c>
      <c r="L8" s="125" t="n">
        <f aca="false">(B8*C8)+(D8*E8)+(F8*G8)+(T8*U8)+(H8*I8)+(R8*S8)+(V8*W8)+(X8*Y8)+(Z15*AA15)+(J8*K8)</f>
        <v>517363.078541</v>
      </c>
      <c r="M8" s="0" t="n">
        <v>154.24</v>
      </c>
      <c r="N8" s="0" t="n">
        <v>242616.68</v>
      </c>
      <c r="O8" s="127" t="n">
        <v>8807.38</v>
      </c>
      <c r="P8" s="133" t="n">
        <f aca="false">(1-(O16/O8))</f>
        <v>-0.00864502269687484</v>
      </c>
    </row>
    <row r="9" customFormat="false" ht="12.75" hidden="false" customHeight="false" outlineLevel="0" collapsed="false">
      <c r="A9" s="126" t="n">
        <v>45376</v>
      </c>
      <c r="B9" s="124" t="n">
        <v>161</v>
      </c>
      <c r="C9" s="0" t="n">
        <v>2214.31</v>
      </c>
      <c r="D9" s="0" t="n">
        <f aca="false">D26</f>
        <v>1110</v>
      </c>
      <c r="E9" s="0" t="n">
        <v>31.7862</v>
      </c>
      <c r="F9" s="0" t="n">
        <f aca="false">F26</f>
        <v>321.99</v>
      </c>
      <c r="G9" s="0" t="n">
        <v>34.3863</v>
      </c>
      <c r="H9" s="0" t="n">
        <f aca="false">H26</f>
        <v>50000</v>
      </c>
      <c r="I9" s="0" t="n">
        <v>0.918891</v>
      </c>
      <c r="J9" s="0" t="n">
        <f aca="false">J26</f>
        <v>75000</v>
      </c>
      <c r="K9" s="129" t="n">
        <f aca="false">I9</f>
        <v>0.918891</v>
      </c>
      <c r="L9" s="125" t="n">
        <f aca="false">(B9*C9)+(D9*E9)+(F9*G9)+(T9*U9)+(H9*I9)+(R9*S9)+(V9*W9)+(X9*Y9)+(Z14*AA14)+(J9*K9)</f>
        <v>519281.291737</v>
      </c>
      <c r="M9" s="0" t="n">
        <v>155.99</v>
      </c>
      <c r="N9" s="0" t="n">
        <v>244906</v>
      </c>
      <c r="O9" s="127" t="n">
        <v>9029.38</v>
      </c>
      <c r="P9" s="133" t="n">
        <f aca="false">(1-(O10/O9))</f>
        <v>-0.00909475512161428</v>
      </c>
    </row>
    <row r="10" customFormat="false" ht="12.75" hidden="false" customHeight="false" outlineLevel="0" collapsed="false">
      <c r="A10" s="126" t="n">
        <v>45373</v>
      </c>
      <c r="B10" s="124" t="n">
        <v>161</v>
      </c>
      <c r="C10" s="0" t="n">
        <v>2212.11</v>
      </c>
      <c r="D10" s="0" t="n">
        <f aca="false">D26</f>
        <v>1110</v>
      </c>
      <c r="E10" s="0" t="n">
        <v>31.7107</v>
      </c>
      <c r="F10" s="0" t="n">
        <f aca="false">F26</f>
        <v>321.99</v>
      </c>
      <c r="G10" s="0" t="n">
        <v>34.3363</v>
      </c>
      <c r="H10" s="0" t="n">
        <f aca="false">H26</f>
        <v>50000</v>
      </c>
      <c r="I10" s="0" t="n">
        <v>0.930621</v>
      </c>
      <c r="J10" s="0" t="n">
        <f aca="false">J26</f>
        <v>75000</v>
      </c>
      <c r="K10" s="129" t="n">
        <f aca="false">I10</f>
        <v>0.930621</v>
      </c>
      <c r="L10" s="125" t="n">
        <f aca="false">(B10*C10)+(D10*E10)+(F10*G10)+(T10*U10)+(H10*I10)+(R10*S10)+(V10*W10)+(X10*Y10)+(Z14*AA14)+(J10*K10)</f>
        <v>520293.437237</v>
      </c>
      <c r="M10" s="0" t="n">
        <v>156.64</v>
      </c>
      <c r="N10" s="0" t="n">
        <v>245919.31</v>
      </c>
      <c r="O10" s="0" t="n">
        <v>9111.5</v>
      </c>
      <c r="P10" s="133" t="n">
        <f aca="false">(1-(O11/O10))</f>
        <v>-0.00320474126104386</v>
      </c>
    </row>
    <row r="11" customFormat="false" ht="12.75" hidden="false" customHeight="false" outlineLevel="0" collapsed="false">
      <c r="A11" s="126" t="n">
        <v>45372</v>
      </c>
      <c r="B11" s="124" t="n">
        <v>161</v>
      </c>
      <c r="C11" s="0" t="n">
        <v>2267.61</v>
      </c>
      <c r="D11" s="0" t="n">
        <f aca="false">D26</f>
        <v>1110</v>
      </c>
      <c r="E11" s="0" t="n">
        <v>32.0639</v>
      </c>
      <c r="F11" s="0" t="n">
        <f aca="false">F26</f>
        <v>321.99</v>
      </c>
      <c r="G11" s="0" t="n">
        <v>35.0651</v>
      </c>
      <c r="H11" s="0" t="n">
        <f aca="false">H26</f>
        <v>50000</v>
      </c>
      <c r="I11" s="0" t="n">
        <v>0.941665</v>
      </c>
      <c r="J11" s="0" t="n">
        <f aca="false">J26</f>
        <v>75000</v>
      </c>
      <c r="K11" s="129" t="n">
        <f aca="false">I11</f>
        <v>0.941665</v>
      </c>
      <c r="L11" s="125" t="n">
        <f aca="false">(B11*C11)+(D11*E11)+(F11*G11)+(T11*U11)+(H11*I11)+(R11*S11)+(V11*W11)+(X11*Y11)+(Z14*AA14)+(J11*K11)</f>
        <v>531236.155549</v>
      </c>
      <c r="M11" s="0" t="n">
        <v>163.91</v>
      </c>
      <c r="N11" s="0" t="n">
        <v>256845.12</v>
      </c>
      <c r="O11" s="127" t="n">
        <v>9140.7</v>
      </c>
      <c r="P11" s="133" t="n">
        <f aca="false">(1-(O12/O11))</f>
        <v>0.0203026026453116</v>
      </c>
    </row>
    <row r="12" customFormat="false" ht="12.75" hidden="false" customHeight="false" outlineLevel="0" collapsed="false">
      <c r="A12" s="126" t="n">
        <v>45371</v>
      </c>
      <c r="B12" s="124" t="n">
        <v>161</v>
      </c>
      <c r="C12" s="0" t="n">
        <v>2220.92</v>
      </c>
      <c r="D12" s="0" t="n">
        <f aca="false">D26</f>
        <v>1110</v>
      </c>
      <c r="E12" s="0" t="n">
        <v>32.0288</v>
      </c>
      <c r="F12" s="0" t="n">
        <f aca="false">F26</f>
        <v>321.99</v>
      </c>
      <c r="G12" s="0" t="n">
        <v>34.8088</v>
      </c>
      <c r="H12" s="0" t="n">
        <f aca="false">H26</f>
        <v>50000</v>
      </c>
      <c r="I12" s="0" t="n">
        <v>0.934706</v>
      </c>
      <c r="J12" s="0" t="n">
        <f aca="false">J26</f>
        <v>75000</v>
      </c>
      <c r="K12" s="129" t="n">
        <f aca="false">I12</f>
        <v>0.934706</v>
      </c>
      <c r="L12" s="125" t="n">
        <f aca="false">(B12*C12)+(D12*E12)+(F12*G12)+(T12*U12)+(H12*I12)+(R12*S12)+(V12*W12)+(X12*Y12)+(Z12*AA12)+(J12*K12)</f>
        <v>521166.423512</v>
      </c>
      <c r="M12" s="0" t="n">
        <v>158.48</v>
      </c>
      <c r="N12" s="0" t="n">
        <v>248342.62</v>
      </c>
      <c r="O12" s="127" t="n">
        <v>8955.12</v>
      </c>
      <c r="P12" s="133" t="n">
        <f aca="false">(1-(O13/O12))</f>
        <v>0.00281849936125944</v>
      </c>
    </row>
    <row r="13" customFormat="false" ht="12.75" hidden="false" customHeight="false" outlineLevel="0" collapsed="false">
      <c r="A13" s="126" t="n">
        <v>45370</v>
      </c>
      <c r="B13" s="124" t="n">
        <v>161</v>
      </c>
      <c r="C13" s="0" t="n">
        <v>2219.02</v>
      </c>
      <c r="D13" s="0" t="n">
        <f aca="false">D26</f>
        <v>1110</v>
      </c>
      <c r="E13" s="0" t="n">
        <v>32.0878</v>
      </c>
      <c r="F13" s="0" t="n">
        <f aca="false">F26</f>
        <v>321.99</v>
      </c>
      <c r="G13" s="0" t="n">
        <v>34.7991</v>
      </c>
      <c r="H13" s="0" t="n">
        <f aca="false">H26</f>
        <v>50000</v>
      </c>
      <c r="I13" s="0" t="n">
        <v>0.900336</v>
      </c>
      <c r="J13" s="0" t="n">
        <f aca="false">J26</f>
        <v>75000</v>
      </c>
      <c r="K13" s="129" t="n">
        <f aca="false">I13</f>
        <v>0.900336</v>
      </c>
      <c r="L13" s="125" t="n">
        <f aca="false">(B13*C13)+(D13*E13)+(F13*G13)+(T13*U13)+(H13*I13)+(R13*S13)+(V13*W13)+(X13*Y13)+(Z13*AA13)+(J13*K13)</f>
        <v>517965.560209</v>
      </c>
      <c r="M13" s="0" t="n">
        <v>155.59</v>
      </c>
      <c r="N13" s="0" t="n">
        <v>243803.06</v>
      </c>
      <c r="O13" s="127" t="n">
        <v>8929.88</v>
      </c>
      <c r="P13" s="133" t="n">
        <f aca="false">(1-(O14/O13))</f>
        <v>0.0237147643641347</v>
      </c>
      <c r="Z13" s="0" t="n">
        <v>68</v>
      </c>
      <c r="AA13" s="0" t="n">
        <v>19.69</v>
      </c>
    </row>
    <row r="14" customFormat="false" ht="12.75" hidden="false" customHeight="false" outlineLevel="0" collapsed="false">
      <c r="A14" s="126" t="n">
        <v>45369</v>
      </c>
      <c r="B14" s="124" t="n">
        <v>161</v>
      </c>
      <c r="C14" s="0" t="n">
        <v>2212.35</v>
      </c>
      <c r="D14" s="0" t="n">
        <f aca="false">D26</f>
        <v>1110</v>
      </c>
      <c r="E14" s="0" t="n">
        <v>31.9499</v>
      </c>
      <c r="F14" s="0" t="n">
        <f aca="false">F26</f>
        <v>321.99</v>
      </c>
      <c r="G14" s="0" t="n">
        <v>34.8125</v>
      </c>
      <c r="H14" s="0" t="n">
        <f aca="false">H26</f>
        <v>50000</v>
      </c>
      <c r="I14" s="0" t="n">
        <v>0.938879</v>
      </c>
      <c r="J14" s="0" t="n">
        <f aca="false">J26</f>
        <v>75000</v>
      </c>
      <c r="K14" s="0" t="n">
        <v>0.938879</v>
      </c>
      <c r="L14" s="125" t="n">
        <f aca="false">(B14*C14)+(D14*E14)+(F14*G14)+(T14*U14)+(H14*I14)+(R14*S14)+(V14*W14)+(X14*Y14)+(Z14*AA14)+(J14*K14)</f>
        <v>521783.170875</v>
      </c>
      <c r="M14" s="0" t="n">
        <v>155.44</v>
      </c>
      <c r="N14" s="0" t="n">
        <v>247623.17</v>
      </c>
      <c r="O14" s="127" t="n">
        <v>8718.11</v>
      </c>
      <c r="P14" s="133" t="n">
        <f aca="false">(1-(O15/O14))</f>
        <v>-0.0126850888552679</v>
      </c>
      <c r="Z14" s="0" t="n">
        <v>68</v>
      </c>
      <c r="AA14" s="0" t="n">
        <v>22.96</v>
      </c>
    </row>
    <row r="15" customFormat="false" ht="12.75" hidden="false" customHeight="false" outlineLevel="0" collapsed="false">
      <c r="A15" s="126" t="n">
        <v>45366</v>
      </c>
      <c r="B15" s="124" t="n">
        <v>161</v>
      </c>
      <c r="C15" s="0" t="n">
        <v>2213.54</v>
      </c>
      <c r="D15" s="0" t="n">
        <f aca="false">D26</f>
        <v>1110</v>
      </c>
      <c r="E15" s="0" t="n">
        <v>31.7963</v>
      </c>
      <c r="F15" s="0" t="n">
        <f aca="false">F26</f>
        <v>321.99</v>
      </c>
      <c r="G15" s="0" t="n">
        <v>34.6197</v>
      </c>
      <c r="H15" s="0" t="n">
        <f aca="false">H26</f>
        <v>50000</v>
      </c>
      <c r="I15" s="0" t="n">
        <v>0.948386</v>
      </c>
      <c r="J15" s="0" t="n">
        <f aca="false">J26</f>
        <v>75000</v>
      </c>
      <c r="K15" s="0" t="n">
        <v>0.948386</v>
      </c>
      <c r="L15" s="125" t="n">
        <f aca="false">(B15*C15)+(D15*E15)+(F15*G15)+(T15*U15)+(H15*I15)+(R15*S15)+(V15*W15)+(X15*Y15)+(Z15*AA15)+(J15*K15)</f>
        <v>522868.000203</v>
      </c>
      <c r="M15" s="0" t="n">
        <v>156.13</v>
      </c>
      <c r="N15" s="0" t="n">
        <v>248712.47</v>
      </c>
      <c r="O15" s="127" t="n">
        <v>8828.7</v>
      </c>
      <c r="P15" s="133" t="n">
        <f aca="false">(1-(O16/O15))</f>
        <v>-0.00620929468664699</v>
      </c>
      <c r="Z15" s="0" t="n">
        <v>68</v>
      </c>
      <c r="AA15" s="0" t="n">
        <v>22.04</v>
      </c>
    </row>
    <row r="16" customFormat="false" ht="12.75" hidden="false" customHeight="false" outlineLevel="0" collapsed="false">
      <c r="A16" s="126" t="n">
        <v>45365</v>
      </c>
      <c r="B16" s="124" t="n">
        <v>161</v>
      </c>
      <c r="C16" s="0" t="n">
        <v>2222.88</v>
      </c>
      <c r="D16" s="0" t="n">
        <f aca="false">D26</f>
        <v>1110</v>
      </c>
      <c r="E16" s="0" t="n">
        <v>31.7757</v>
      </c>
      <c r="F16" s="0" t="n">
        <f aca="false">F26</f>
        <v>321.99</v>
      </c>
      <c r="G16" s="0" t="n">
        <v>34.7625</v>
      </c>
      <c r="H16" s="0" t="n">
        <f aca="false">H26</f>
        <v>50000</v>
      </c>
      <c r="I16" s="0" t="n">
        <v>0.951007</v>
      </c>
      <c r="J16" s="0" t="n">
        <f aca="false">J26</f>
        <v>75000</v>
      </c>
      <c r="K16" s="0" t="n">
        <v>0.951007</v>
      </c>
      <c r="L16" s="125" t="n">
        <f aca="false">(B16*C16)+(D16*E16)+(F16*G16)+(T16*U16)+(H16*I16)+(R16*S16)+(V16*W16)+(X16*Y16)+(Z16*AA16)+(J16*K16)</f>
        <v>524610.959375</v>
      </c>
      <c r="M16" s="0" t="n">
        <v>157.21</v>
      </c>
      <c r="N16" s="0" t="n">
        <v>250427.64</v>
      </c>
      <c r="O16" s="127" t="n">
        <v>8883.52</v>
      </c>
      <c r="P16" s="133" t="n">
        <f aca="false">(1-(O17/O16))</f>
        <v>-0.00300669104138884</v>
      </c>
      <c r="Z16" s="0" t="n">
        <v>68</v>
      </c>
      <c r="AA16" s="0" t="n">
        <v>20.4</v>
      </c>
    </row>
    <row r="17" customFormat="false" ht="12.75" hidden="false" customHeight="false" outlineLevel="0" collapsed="false">
      <c r="A17" s="126" t="n">
        <v>45364</v>
      </c>
      <c r="B17" s="124" t="n">
        <v>161</v>
      </c>
      <c r="C17" s="0" t="n">
        <v>2220.32</v>
      </c>
      <c r="D17" s="0" t="n">
        <f aca="false">D26</f>
        <v>1110</v>
      </c>
      <c r="E17" s="0" t="n">
        <v>32</v>
      </c>
      <c r="F17" s="0" t="n">
        <f aca="false">F26</f>
        <v>321.99</v>
      </c>
      <c r="G17" s="0" t="n">
        <v>35</v>
      </c>
      <c r="H17" s="0" t="n">
        <f aca="false">H26</f>
        <v>50000</v>
      </c>
      <c r="I17" s="0" t="n">
        <v>0.957233</v>
      </c>
      <c r="J17" s="0" t="n">
        <f aca="false">J26</f>
        <v>75000</v>
      </c>
      <c r="K17" s="0" t="n">
        <v>0.957233</v>
      </c>
      <c r="L17" s="125" t="n">
        <f aca="false">(B17*C17)+(D17*E17)+(F17*G17)+(T17*U17)+(H17*I17)+(R17*S17)+(V17*W17)+(X17*Y17)+(Z17*AA17)+(J17*K17)</f>
        <v>525154.255</v>
      </c>
      <c r="M17" s="0" t="n">
        <v>160.79</v>
      </c>
      <c r="N17" s="0" t="n">
        <v>250989.9</v>
      </c>
      <c r="O17" s="127" t="n">
        <v>8910.23</v>
      </c>
      <c r="P17" s="133" t="n">
        <f aca="false">(1-(O18/O17))</f>
        <v>-0.0178222110989279</v>
      </c>
      <c r="Z17" s="0" t="n">
        <v>68</v>
      </c>
      <c r="AA17" s="0" t="n">
        <v>18.22</v>
      </c>
    </row>
    <row r="18" customFormat="false" ht="12.75" hidden="false" customHeight="false" outlineLevel="0" collapsed="false">
      <c r="A18" s="126" t="n">
        <v>45363</v>
      </c>
      <c r="B18" s="124" t="n">
        <v>161</v>
      </c>
      <c r="C18" s="0" t="n">
        <v>2220.32</v>
      </c>
      <c r="D18" s="0" t="n">
        <f aca="false">D26</f>
        <v>1110</v>
      </c>
      <c r="E18" s="0" t="n">
        <v>31.5164</v>
      </c>
      <c r="F18" s="0" t="n">
        <f aca="false">F26</f>
        <v>321.99</v>
      </c>
      <c r="G18" s="0" t="n">
        <v>34.4632</v>
      </c>
      <c r="H18" s="0" t="n">
        <f aca="false">H26</f>
        <v>50000</v>
      </c>
      <c r="I18" s="0" t="n">
        <v>0.979213</v>
      </c>
      <c r="J18" s="0" t="n">
        <f aca="false">J26</f>
        <v>75000</v>
      </c>
      <c r="K18" s="0" t="n">
        <v>0.979213</v>
      </c>
      <c r="L18" s="125" t="n">
        <f aca="false">(B18*C18)+(D18*E18)+(F18*G18)+(T18*U18)+(H18*I18)+(R18*S18)+(V18*W18)+(X18*Y18)+(Z18*AA18)+(J18*K18)</f>
        <v>527079.914768</v>
      </c>
      <c r="M18" s="0" t="n">
        <v>161.95</v>
      </c>
      <c r="N18" s="0" t="n">
        <v>252645.61</v>
      </c>
      <c r="O18" s="127" t="n">
        <v>9069.03</v>
      </c>
      <c r="P18" s="133" t="n">
        <f aca="false">(1-(O19/O18))</f>
        <v>-0.00686843025108508</v>
      </c>
      <c r="Z18" s="0" t="n">
        <v>68</v>
      </c>
      <c r="AA18" s="0" t="n">
        <v>16.57</v>
      </c>
    </row>
    <row r="19" customFormat="false" ht="12.75" hidden="false" customHeight="false" outlineLevel="0" collapsed="false">
      <c r="A19" s="126" t="n">
        <v>45362</v>
      </c>
      <c r="B19" s="124" t="n">
        <v>161</v>
      </c>
      <c r="C19" s="0" t="n">
        <v>2232.66</v>
      </c>
      <c r="D19" s="0" t="n">
        <f aca="false">D26</f>
        <v>1110</v>
      </c>
      <c r="E19" s="0" t="n">
        <v>31.5714</v>
      </c>
      <c r="F19" s="0" t="n">
        <f aca="false">F26</f>
        <v>321.99</v>
      </c>
      <c r="G19" s="0" t="n">
        <v>34.5581</v>
      </c>
      <c r="H19" s="0" t="n">
        <f aca="false">H26</f>
        <v>50000</v>
      </c>
      <c r="I19" s="0" t="n">
        <v>0.9985199</v>
      </c>
      <c r="J19" s="0" t="n">
        <f aca="false">J26</f>
        <v>75000</v>
      </c>
      <c r="K19" s="0" t="n">
        <v>0.9985199</v>
      </c>
      <c r="L19" s="125" t="n">
        <f aca="false">(B19*C19)+(D19*E19)+(F19*G19)+(T19*U19)+(H19*I19)+(R19*S19)+(V19*W19)+(X19*Y19)+(Z19*AA19)+(J19*K19)</f>
        <v>532801.834119</v>
      </c>
      <c r="M19" s="0" t="n">
        <v>164.91</v>
      </c>
      <c r="N19" s="0" t="n">
        <v>257088.48</v>
      </c>
      <c r="O19" s="127" t="n">
        <v>9131.32</v>
      </c>
      <c r="P19" s="133" t="n">
        <f aca="false">(1-(O20/O19))</f>
        <v>-0.00262831660701845</v>
      </c>
      <c r="V19" s="0" t="n">
        <v>12</v>
      </c>
      <c r="W19" s="0" t="n">
        <v>41.58</v>
      </c>
      <c r="X19" s="0" t="n">
        <f aca="false">X26</f>
        <v>15</v>
      </c>
      <c r="Y19" s="0" t="n">
        <v>55.55</v>
      </c>
      <c r="Z19" s="0" t="n">
        <v>68</v>
      </c>
      <c r="AA19" s="0" t="n">
        <v>15.07</v>
      </c>
    </row>
    <row r="20" customFormat="false" ht="12.75" hidden="false" customHeight="false" outlineLevel="0" collapsed="false">
      <c r="A20" s="126" t="n">
        <v>45359</v>
      </c>
      <c r="B20" s="124" t="n">
        <v>161</v>
      </c>
      <c r="C20" s="0" t="n">
        <v>2198.16</v>
      </c>
      <c r="D20" s="0" t="n">
        <f aca="false">D26</f>
        <v>1110</v>
      </c>
      <c r="E20" s="0" t="n">
        <v>31.403</v>
      </c>
      <c r="F20" s="0" t="n">
        <f aca="false">F26</f>
        <v>321.99</v>
      </c>
      <c r="G20" s="0" t="n">
        <v>34.3643</v>
      </c>
      <c r="H20" s="0" t="n">
        <f aca="false">H26</f>
        <v>50000</v>
      </c>
      <c r="I20" s="0" t="n">
        <v>0.991159</v>
      </c>
      <c r="J20" s="0" t="n">
        <f aca="false">J26</f>
        <v>75000</v>
      </c>
      <c r="K20" s="0" t="n">
        <v>0.991159</v>
      </c>
      <c r="L20" s="125" t="n">
        <f aca="false">(B20*C20)+(D20*E20)+(F20*G20)+(T20*U20)+(H20*I20)+(R20*S20)+(V20*W20)+(X20*Y20)+(Z20*AA20)+(J20*K20)</f>
        <v>525972.375957</v>
      </c>
      <c r="M20" s="0" t="n">
        <v>160.9</v>
      </c>
      <c r="O20" s="127" t="n">
        <v>9155.32</v>
      </c>
      <c r="P20" s="133" t="n">
        <f aca="false">(1-(O21/O20))</f>
        <v>0.0110471288824421</v>
      </c>
      <c r="V20" s="0" t="n">
        <v>12</v>
      </c>
      <c r="W20" s="0" t="n">
        <v>37.8</v>
      </c>
      <c r="X20" s="0" t="n">
        <f aca="false">X26</f>
        <v>15</v>
      </c>
      <c r="Y20" s="0" t="n">
        <v>57.75</v>
      </c>
      <c r="Z20" s="0" t="n">
        <v>68</v>
      </c>
      <c r="AA20" s="0" t="n">
        <v>13.7</v>
      </c>
    </row>
    <row r="21" customFormat="false" ht="12.75" hidden="false" customHeight="false" outlineLevel="0" collapsed="false">
      <c r="A21" s="126" t="n">
        <v>45358</v>
      </c>
      <c r="B21" s="124" t="n">
        <v>161</v>
      </c>
      <c r="C21" s="0" t="n">
        <v>2184.79</v>
      </c>
      <c r="D21" s="0" t="n">
        <f aca="false">D26</f>
        <v>1110</v>
      </c>
      <c r="E21" s="0" t="n">
        <v>31.297</v>
      </c>
      <c r="F21" s="0" t="n">
        <f aca="false">F26</f>
        <v>321.99</v>
      </c>
      <c r="G21" s="0" t="n">
        <v>34.1106</v>
      </c>
      <c r="H21" s="0" t="n">
        <f aca="false">H26</f>
        <v>50000</v>
      </c>
      <c r="I21" s="0" t="n">
        <v>0.945214</v>
      </c>
      <c r="J21" s="0" t="n">
        <f aca="false">J26</f>
        <v>75000</v>
      </c>
      <c r="K21" s="0" t="n">
        <v>0.945214</v>
      </c>
      <c r="L21" s="125" t="n">
        <f aca="false">(B21*C21)+(D21*E21)+(F21*G21)+(T21*U21)+(H21*I21)+(R21*S21)+(V21*W21)+(X21*Y21)+(Z21*AA21)+(J21*K21)</f>
        <v>517832.222094</v>
      </c>
      <c r="M21" s="0" t="n">
        <v>155.75</v>
      </c>
      <c r="O21" s="127" t="n">
        <v>9054.18</v>
      </c>
      <c r="P21" s="133" t="n">
        <f aca="false">(1-(O22/O21))</f>
        <v>0.0341941512097176</v>
      </c>
      <c r="V21" s="0" t="n">
        <v>12</v>
      </c>
      <c r="W21" s="0" t="n">
        <v>34.38</v>
      </c>
      <c r="X21" s="0" t="n">
        <f aca="false">X26</f>
        <v>15</v>
      </c>
      <c r="Y21" s="0" t="n">
        <v>63.1</v>
      </c>
      <c r="Z21" s="0" t="n">
        <v>68</v>
      </c>
      <c r="AA21" s="0" t="n">
        <v>12.46</v>
      </c>
    </row>
    <row r="22" customFormat="false" ht="12.75" hidden="false" customHeight="false" outlineLevel="0" collapsed="false">
      <c r="A22" s="126" t="n">
        <v>45357</v>
      </c>
      <c r="B22" s="124" t="n">
        <v>161</v>
      </c>
      <c r="C22" s="0" t="n">
        <v>2150.9</v>
      </c>
      <c r="D22" s="0" t="n">
        <f aca="false">D26</f>
        <v>1110</v>
      </c>
      <c r="E22" s="0" t="n">
        <v>31.2934</v>
      </c>
      <c r="F22" s="0" t="n">
        <f aca="false">F26</f>
        <v>321.99</v>
      </c>
      <c r="G22" s="0" t="n">
        <v>34.0065</v>
      </c>
      <c r="H22" s="0" t="n">
        <f aca="false">H26</f>
        <v>50000</v>
      </c>
      <c r="I22" s="0" t="n">
        <v>0.993971</v>
      </c>
      <c r="J22" s="0" t="n">
        <f aca="false">J26</f>
        <v>75000</v>
      </c>
      <c r="K22" s="0" t="n">
        <v>0.993971</v>
      </c>
      <c r="L22" s="125" t="n">
        <f aca="false">(B22*C22)+(D22*E22)+(F22*G22)+(T22*U22)+(H22*I22)+(R22*S22)+(V22*W22)+(X22*Y22)+(Z22*AA22)+(J22*K22)</f>
        <v>551296.639071</v>
      </c>
      <c r="M22" s="0" t="n">
        <v>156.16</v>
      </c>
      <c r="O22" s="127" t="n">
        <v>8744.58</v>
      </c>
      <c r="P22" s="133" t="n">
        <f aca="false">(1-(O23/O22))</f>
        <v>-0.0132584984070132</v>
      </c>
      <c r="T22" s="0" t="n">
        <f aca="false">T26</f>
        <v>57</v>
      </c>
      <c r="U22" s="0" t="n">
        <v>580.059248</v>
      </c>
      <c r="V22" s="0" t="n">
        <v>12</v>
      </c>
      <c r="W22" s="0" t="n">
        <v>31.26</v>
      </c>
      <c r="X22" s="0" t="n">
        <f aca="false">X26</f>
        <v>15</v>
      </c>
      <c r="Y22" s="0" t="n">
        <v>57.4</v>
      </c>
      <c r="Z22" s="0" t="n">
        <v>68</v>
      </c>
      <c r="AA22" s="0" t="n">
        <v>11.33</v>
      </c>
    </row>
    <row r="23" customFormat="false" ht="12.75" hidden="false" customHeight="false" outlineLevel="0" collapsed="false">
      <c r="A23" s="126" t="n">
        <v>45356</v>
      </c>
      <c r="B23" s="124" t="n">
        <v>161</v>
      </c>
      <c r="C23" s="0" t="n">
        <v>2116.34</v>
      </c>
      <c r="D23" s="0" t="n">
        <f aca="false">D26</f>
        <v>1110</v>
      </c>
      <c r="E23" s="0" t="n">
        <v>31.0799</v>
      </c>
      <c r="F23" s="0" t="n">
        <f aca="false">F26</f>
        <v>321.99</v>
      </c>
      <c r="G23" s="0" t="n">
        <v>33.7217</v>
      </c>
      <c r="H23" s="0" t="n">
        <f aca="false">H26</f>
        <v>50000</v>
      </c>
      <c r="I23" s="0" t="n">
        <v>1.016031</v>
      </c>
      <c r="J23" s="0" t="n">
        <f aca="false">J26</f>
        <v>75000</v>
      </c>
      <c r="K23" s="0" t="n">
        <v>1.016031</v>
      </c>
      <c r="L23" s="125" t="n">
        <f aca="false">(B23*C23)+(D23*E23)+(F23*G23)+(T23*U23)+(H23*I23)+(R23*S23)+(V23*W23)+(X23*Y23)+(Z23*AA23)+(J23*K23)</f>
        <v>549382.852109</v>
      </c>
      <c r="M23" s="0" t="n">
        <v>154.23</v>
      </c>
      <c r="O23" s="127" t="n">
        <v>8860.52</v>
      </c>
      <c r="P23" s="133" t="n">
        <f aca="false">(1-(O24/O23))</f>
        <v>-0.00531910091055599</v>
      </c>
      <c r="R23" s="0" t="n">
        <f aca="false">R26</f>
        <v>36</v>
      </c>
      <c r="S23" s="134" t="n">
        <v>38.15</v>
      </c>
      <c r="T23" s="0" t="n">
        <f aca="false">T26</f>
        <v>57</v>
      </c>
      <c r="U23" s="0" t="n">
        <v>579.361718</v>
      </c>
      <c r="V23" s="0" t="n">
        <f aca="false">V26</f>
        <v>12</v>
      </c>
      <c r="W23" s="0" t="n">
        <v>28.42</v>
      </c>
      <c r="X23" s="0" t="n">
        <f aca="false">X26</f>
        <v>15</v>
      </c>
      <c r="Y23" s="0" t="n">
        <v>52.2</v>
      </c>
      <c r="Z23" s="0" t="n">
        <v>68</v>
      </c>
      <c r="AA23" s="0" t="n">
        <v>11.33</v>
      </c>
    </row>
    <row r="24" customFormat="false" ht="12.75" hidden="false" customHeight="false" outlineLevel="0" collapsed="false">
      <c r="A24" s="126" t="n">
        <v>45355</v>
      </c>
      <c r="B24" s="124" t="n">
        <v>161</v>
      </c>
      <c r="C24" s="0" t="n">
        <v>2072.52</v>
      </c>
      <c r="D24" s="0" t="n">
        <f aca="false">D26</f>
        <v>1110</v>
      </c>
      <c r="E24" s="0" t="n">
        <v>30.906</v>
      </c>
      <c r="F24" s="0" t="n">
        <f aca="false">F26</f>
        <v>321.99</v>
      </c>
      <c r="G24" s="0" t="n">
        <v>33.5423</v>
      </c>
      <c r="H24" s="0" t="n">
        <f aca="false">H26</f>
        <v>50000</v>
      </c>
      <c r="I24" s="0" t="n">
        <v>1.041954</v>
      </c>
      <c r="J24" s="0" t="n">
        <f aca="false">J26</f>
        <v>75000</v>
      </c>
      <c r="K24" s="0" t="n">
        <v>1.041954</v>
      </c>
      <c r="L24" s="125" t="n">
        <f aca="false">(B24*C24)+(D24*E24)+(F24*G24)+(T24*U24)+(H24*I24)+(R24*S24)+(V24*W24)+(X24*Y24)+(Z24*AA24)+(J24*K24)</f>
        <v>545049.749548</v>
      </c>
      <c r="O24" s="127" t="n">
        <v>8907.65</v>
      </c>
      <c r="P24" s="133" t="n">
        <f aca="false">(1-(O25/O24))</f>
        <v>-0.021273848882702</v>
      </c>
      <c r="R24" s="0" t="n">
        <f aca="false">R26</f>
        <v>36</v>
      </c>
      <c r="S24" s="0" t="n">
        <v>34.66</v>
      </c>
      <c r="T24" s="0" t="n">
        <f aca="false">T26</f>
        <v>57</v>
      </c>
      <c r="U24" s="0" t="n">
        <v>578.660603</v>
      </c>
      <c r="V24" s="0" t="n">
        <f aca="false">V26</f>
        <v>12</v>
      </c>
      <c r="W24" s="0" t="n">
        <v>25.84</v>
      </c>
      <c r="X24" s="0" t="n">
        <f aca="false">X26</f>
        <v>15</v>
      </c>
      <c r="Y24" s="0" t="n">
        <v>47.46</v>
      </c>
      <c r="Z24" s="0" t="n">
        <v>68</v>
      </c>
      <c r="AA24" s="0" t="n">
        <v>11.33</v>
      </c>
    </row>
    <row r="25" customFormat="false" ht="12.75" hidden="false" customHeight="false" outlineLevel="0" collapsed="false">
      <c r="A25" s="126" t="n">
        <v>45352</v>
      </c>
      <c r="B25" s="124" t="n">
        <v>161</v>
      </c>
      <c r="C25" s="0" t="n">
        <v>2018.91</v>
      </c>
      <c r="D25" s="0" t="n">
        <f aca="false">D26</f>
        <v>1110</v>
      </c>
      <c r="E25" s="0" t="n">
        <v>30.7361</v>
      </c>
      <c r="F25" s="0" t="n">
        <f aca="false">F26</f>
        <v>321.99</v>
      </c>
      <c r="G25" s="0" t="n">
        <v>33.2257</v>
      </c>
      <c r="H25" s="0" t="n">
        <f aca="false">H26</f>
        <v>50000</v>
      </c>
      <c r="I25" s="0" t="n">
        <v>1.034036</v>
      </c>
      <c r="J25" s="0" t="n">
        <f aca="false">J26</f>
        <v>75000</v>
      </c>
      <c r="K25" s="0" t="n">
        <v>1.034036</v>
      </c>
      <c r="L25" s="125" t="n">
        <f aca="false">(B25*C25)+(D25*E25)+(F25*G25)+(T25*U25)+(H25*I25)+(R25*S25)+(V25*W25)+(X25*Y25)+(Z25*AA25)+(J25*K25)</f>
        <v>534814.50419</v>
      </c>
      <c r="O25" s="127" t="n">
        <v>9097.15</v>
      </c>
      <c r="P25" s="133" t="n">
        <f aca="false">(1-(O26/O25))</f>
        <v>-0.0106121147832015</v>
      </c>
      <c r="R25" s="0" t="n">
        <f aca="false">R26</f>
        <v>36</v>
      </c>
      <c r="S25" s="0" t="n">
        <v>31.52</v>
      </c>
      <c r="T25" s="0" t="n">
        <f aca="false">T26</f>
        <v>57</v>
      </c>
      <c r="U25" s="0" t="n">
        <v>576.588071</v>
      </c>
      <c r="V25" s="0" t="n">
        <f aca="false">V26</f>
        <v>12</v>
      </c>
      <c r="W25" s="0" t="n">
        <v>23.5</v>
      </c>
      <c r="X25" s="0" t="n">
        <f aca="false">X26</f>
        <v>15</v>
      </c>
      <c r="Y25" s="0" t="n">
        <v>43.16</v>
      </c>
      <c r="Z25" s="0" t="n">
        <v>68</v>
      </c>
      <c r="AA25" s="0" t="n">
        <v>11.33</v>
      </c>
    </row>
    <row r="26" customFormat="false" ht="12.75" hidden="false" customHeight="false" outlineLevel="0" collapsed="false">
      <c r="A26" s="126" t="n">
        <v>45351</v>
      </c>
      <c r="B26" s="124" t="n">
        <v>161</v>
      </c>
      <c r="C26" s="0" t="n">
        <v>2018.91</v>
      </c>
      <c r="D26" s="0" t="n">
        <f aca="false">D27</f>
        <v>1110</v>
      </c>
      <c r="E26" s="0" t="n">
        <v>30.7361</v>
      </c>
      <c r="F26" s="0" t="n">
        <f aca="false">F27</f>
        <v>321.99</v>
      </c>
      <c r="G26" s="0" t="n">
        <v>33.2257</v>
      </c>
      <c r="H26" s="0" t="n">
        <f aca="false">H27</f>
        <v>50000</v>
      </c>
      <c r="I26" s="0" t="n">
        <v>1.010337</v>
      </c>
      <c r="J26" s="0" t="n">
        <f aca="false">J27</f>
        <v>75000</v>
      </c>
      <c r="K26" s="0" t="n">
        <v>1.010337</v>
      </c>
      <c r="L26" s="125" t="n">
        <f aca="false">(B26*C26)+(D26*E26)+(F26*G26)+(T26*U26)+(H26*I26)+(R26*S26)+(V26*W26)+(X26*Y26)+(Z26*AA26)+(J26*K26)</f>
        <v>530894.48919</v>
      </c>
      <c r="O26" s="127" t="n">
        <v>9193.69</v>
      </c>
      <c r="P26" s="133" t="n">
        <f aca="false">(1-(O27/O26))</f>
        <v>0.0142847975078559</v>
      </c>
      <c r="R26" s="0" t="n">
        <f aca="false">R27</f>
        <v>36</v>
      </c>
      <c r="S26" s="0" t="n">
        <v>28.66</v>
      </c>
      <c r="T26" s="0" t="n">
        <f aca="false">T27</f>
        <v>57</v>
      </c>
      <c r="U26" s="0" t="n">
        <v>576.588071</v>
      </c>
      <c r="V26" s="0" t="n">
        <f aca="false">V27</f>
        <v>12</v>
      </c>
      <c r="W26" s="0" t="n">
        <v>21.38</v>
      </c>
      <c r="X26" s="0" t="n">
        <v>15</v>
      </c>
      <c r="Y26" s="0" t="n">
        <v>39.24</v>
      </c>
    </row>
    <row r="27" customFormat="false" ht="12.75" hidden="false" customHeight="false" outlineLevel="0" collapsed="false">
      <c r="A27" s="126" t="n">
        <v>45350</v>
      </c>
      <c r="B27" s="124" t="n">
        <v>161</v>
      </c>
      <c r="C27" s="0" t="n">
        <v>2018.91</v>
      </c>
      <c r="D27" s="0" t="n">
        <v>1110</v>
      </c>
      <c r="E27" s="0" t="n">
        <v>30.7361</v>
      </c>
      <c r="F27" s="0" t="n">
        <v>321.99</v>
      </c>
      <c r="G27" s="0" t="n">
        <v>33.2257</v>
      </c>
      <c r="H27" s="0" t="n">
        <f aca="false">H28</f>
        <v>50000</v>
      </c>
      <c r="I27" s="0" t="n">
        <v>1.067704</v>
      </c>
      <c r="J27" s="0" t="n">
        <f aca="false">J28</f>
        <v>75000</v>
      </c>
      <c r="K27" s="0" t="n">
        <v>1.067704</v>
      </c>
      <c r="L27" s="125" t="n">
        <f aca="false">(B27*C27)+(D27*E27)+(F27*G27)+(T27*U27)+(H27*I27)+(R27*S27)+(V27*W27)+(X27*Y27)+(Z27*AA27)+(J27*K27)</f>
        <v>537360.00419</v>
      </c>
      <c r="O27" s="127" t="n">
        <v>9062.36</v>
      </c>
      <c r="P27" s="133" t="n">
        <f aca="false">(1-(O28/O27))</f>
        <v>-0.0129237858571056</v>
      </c>
      <c r="R27" s="0" t="n">
        <f aca="false">R28</f>
        <v>36</v>
      </c>
      <c r="S27" s="0" t="n">
        <v>26.06</v>
      </c>
      <c r="T27" s="0" t="n">
        <v>57</v>
      </c>
      <c r="U27" s="0" t="n">
        <v>576.588071</v>
      </c>
      <c r="V27" s="0" t="n">
        <v>12</v>
      </c>
      <c r="W27" s="0" t="n">
        <v>19.45</v>
      </c>
    </row>
    <row r="28" customFormat="false" ht="12.75" hidden="false" customHeight="false" outlineLevel="0" collapsed="false">
      <c r="A28" s="126" t="n">
        <v>45349</v>
      </c>
      <c r="B28" s="124" t="n">
        <v>161</v>
      </c>
      <c r="C28" s="0" t="n">
        <v>2018.91</v>
      </c>
      <c r="D28" s="0" t="n">
        <v>1110</v>
      </c>
      <c r="E28" s="0" t="n">
        <v>30.7361</v>
      </c>
      <c r="F28" s="0" t="n">
        <v>321.99</v>
      </c>
      <c r="G28" s="0" t="n">
        <v>33.2257</v>
      </c>
      <c r="H28" s="0" t="n">
        <f aca="false">H29</f>
        <v>50000</v>
      </c>
      <c r="I28" s="0" t="n">
        <v>1.064435</v>
      </c>
      <c r="J28" s="0" t="n">
        <v>75000</v>
      </c>
      <c r="K28" s="0" t="n">
        <v>1.064435</v>
      </c>
      <c r="L28" s="125" t="n">
        <f aca="false">(B28*C28)+(D28*E28)+(F28*G28)+(T28*U28)+(H28*I28)+(R28*S28)+(V28*W28)+(X28*Y28)+(Z28*AA28)+(J28*K28)</f>
        <v>536633.01919</v>
      </c>
      <c r="O28" s="127" t="n">
        <v>9179.48</v>
      </c>
      <c r="P28" s="133" t="n">
        <f aca="false">(1-(O29/O28))</f>
        <v>-0.0168473595454208</v>
      </c>
      <c r="R28" s="0" t="n">
        <v>36</v>
      </c>
      <c r="S28" s="0" t="n">
        <v>23.7</v>
      </c>
      <c r="T28" s="0" t="n">
        <v>57</v>
      </c>
      <c r="U28" s="0" t="n">
        <v>576.588071</v>
      </c>
    </row>
    <row r="29" customFormat="false" ht="12.75" hidden="false" customHeight="false" outlineLevel="0" collapsed="false">
      <c r="A29" s="126" t="n">
        <v>45348</v>
      </c>
      <c r="B29" s="124" t="n">
        <v>161</v>
      </c>
      <c r="C29" s="0" t="n">
        <v>2018.91</v>
      </c>
      <c r="D29" s="0" t="n">
        <v>1110</v>
      </c>
      <c r="E29" s="0" t="n">
        <v>30.7361</v>
      </c>
      <c r="F29" s="0" t="n">
        <v>321.99</v>
      </c>
      <c r="G29" s="0" t="n">
        <v>33.2257</v>
      </c>
      <c r="H29" s="0" t="n">
        <f aca="false">H30</f>
        <v>50000</v>
      </c>
      <c r="I29" s="0" t="n">
        <v>1.01924</v>
      </c>
      <c r="K29" s="0" t="n">
        <v>1.01924</v>
      </c>
      <c r="L29" s="125" t="n">
        <f aca="false">(B29*C29)+(D29*E29)+(F29*G29)+(T29*U29)+(H29*I29)+(R29*S29)+(V29*W29)+(X29*Y29)+(Z29*AA29)+(J29*K29)</f>
        <v>454463.60419</v>
      </c>
      <c r="O29" s="127" t="n">
        <v>9334.13</v>
      </c>
      <c r="P29" s="133" t="n">
        <f aca="false">(1-(O30/O29))</f>
        <v>-0.00429284786048645</v>
      </c>
      <c r="R29" s="0" t="n">
        <v>36</v>
      </c>
      <c r="S29" s="0" t="n">
        <v>21.56</v>
      </c>
      <c r="T29" s="0" t="n">
        <v>57</v>
      </c>
      <c r="U29" s="0" t="n">
        <v>576.588071</v>
      </c>
    </row>
    <row r="30" customFormat="false" ht="12.75" hidden="false" customHeight="false" outlineLevel="0" collapsed="false">
      <c r="A30" s="126" t="n">
        <v>45345</v>
      </c>
      <c r="B30" s="124" t="n">
        <v>161</v>
      </c>
      <c r="C30" s="0" t="n">
        <v>2018.91</v>
      </c>
      <c r="D30" s="0" t="n">
        <v>1110</v>
      </c>
      <c r="E30" s="0" t="n">
        <v>30.7361</v>
      </c>
      <c r="F30" s="0" t="n">
        <v>321.99</v>
      </c>
      <c r="G30" s="0" t="n">
        <v>33.2257</v>
      </c>
      <c r="H30" s="0" t="n">
        <v>50000</v>
      </c>
      <c r="I30" s="0" t="n">
        <v>1.003205</v>
      </c>
      <c r="K30" s="0" t="n">
        <v>1.003205</v>
      </c>
      <c r="L30" s="125" t="n">
        <f aca="false">(B30*C30)+(D30*E30)+(F30*G30)+(T30*U30)+(H30*I30)+(R30*S30)+(V30*W30)+(X30*Y30)+(Z30*AA30)+(J30*K30)</f>
        <v>453591.29419</v>
      </c>
      <c r="O30" s="127" t="n">
        <v>9374.2</v>
      </c>
      <c r="P30" s="133" t="n">
        <f aca="false">(1-(O31/O30))</f>
        <v>0.00288344605406332</v>
      </c>
      <c r="R30" s="0" t="n">
        <v>36</v>
      </c>
      <c r="S30" s="0" t="n">
        <v>19.6</v>
      </c>
      <c r="T30" s="0" t="n">
        <v>57</v>
      </c>
      <c r="U30" s="0" t="n">
        <v>576.588071</v>
      </c>
    </row>
    <row r="31" customFormat="false" ht="12.75" hidden="false" customHeight="false" outlineLevel="0" collapsed="false">
      <c r="I31" s="0" t="n">
        <v>0.97161</v>
      </c>
      <c r="K31" s="0" t="n">
        <v>0.97161</v>
      </c>
      <c r="O31" s="127" t="n">
        <v>9347.17</v>
      </c>
      <c r="R31" s="0" t="n">
        <v>36</v>
      </c>
      <c r="S31" s="0" t="n">
        <v>17.82</v>
      </c>
    </row>
    <row r="32" customFormat="false" ht="12.75" hidden="false" customHeight="false" outlineLevel="0" collapsed="false">
      <c r="I32" s="0" t="n">
        <v>0.93849</v>
      </c>
      <c r="K32" s="0" t="n">
        <v>0.93849</v>
      </c>
      <c r="R32" s="0" t="n">
        <v>36</v>
      </c>
      <c r="S32" s="135" t="n">
        <v>15.3</v>
      </c>
      <c r="W32" s="135" t="n">
        <f aca="false">W27</f>
        <v>19.45</v>
      </c>
      <c r="Y32" s="135" t="n">
        <f aca="false">Y26</f>
        <v>39.24</v>
      </c>
      <c r="AA32" s="135" t="n">
        <f aca="false">AA25</f>
        <v>11.33</v>
      </c>
    </row>
    <row r="33" customFormat="false" ht="12.75" hidden="false" customHeight="false" outlineLevel="0" collapsed="false">
      <c r="I33" s="0" t="n">
        <v>0.91199</v>
      </c>
      <c r="K33" s="0" t="n">
        <v>0.91199</v>
      </c>
      <c r="P33" s="136" t="e">
        <f aca="false">SUM(P5:P32)</f>
        <v>#DIV/0!</v>
      </c>
      <c r="S33" s="135" t="s">
        <v>60</v>
      </c>
      <c r="W33" s="135" t="s">
        <v>60</v>
      </c>
      <c r="Y33" s="135" t="s">
        <v>60</v>
      </c>
      <c r="AA33" s="135" t="s">
        <v>60</v>
      </c>
    </row>
    <row r="34" customFormat="false" ht="12.75" hidden="false" customHeight="false" outlineLevel="0" collapsed="false">
      <c r="I34" s="0" t="n">
        <v>0.90268</v>
      </c>
      <c r="K34" s="0" t="n">
        <v>0.90268</v>
      </c>
      <c r="S34" s="137" t="s">
        <v>61</v>
      </c>
      <c r="W34" s="137" t="s">
        <v>61</v>
      </c>
      <c r="Y34" s="137" t="s">
        <v>61</v>
      </c>
      <c r="AA34" s="137" t="s">
        <v>61</v>
      </c>
    </row>
    <row r="35" customFormat="false" ht="12.75" hidden="false" customHeight="false" outlineLevel="0" collapsed="false">
      <c r="I35" s="0" t="n">
        <v>0.89848</v>
      </c>
      <c r="K35" s="0" t="n">
        <v>0.89848</v>
      </c>
      <c r="R35" s="0" t="s">
        <v>62</v>
      </c>
      <c r="S35" s="137" t="n">
        <v>38</v>
      </c>
      <c r="W35" s="137" t="n">
        <v>45.72</v>
      </c>
      <c r="Y35" s="137" t="n">
        <v>55.5</v>
      </c>
      <c r="AA35" s="137" t="n">
        <f aca="false">AA2</f>
        <v>19.69</v>
      </c>
    </row>
    <row r="36" customFormat="false" ht="12.75" hidden="false" customHeight="false" outlineLevel="0" collapsed="false">
      <c r="I36" s="0" t="n">
        <v>0.88784</v>
      </c>
      <c r="K36" s="0" t="n">
        <v>0.88784</v>
      </c>
      <c r="S36" s="138" t="n">
        <f aca="false">Sayfa2!M41</f>
        <v>1.34567901234568</v>
      </c>
      <c r="W36" s="138" t="n">
        <f aca="false">(W35-W27)/W27</f>
        <v>1.35064267352185</v>
      </c>
      <c r="Y36" s="138" t="n">
        <f aca="false">(Y35-Y26)/Y26</f>
        <v>0.414373088685015</v>
      </c>
      <c r="AA36" s="138" t="n">
        <f aca="false">(AA35-AA25)/AA25</f>
        <v>0.737864077669903</v>
      </c>
    </row>
    <row r="37" customFormat="false" ht="12.75" hidden="false" customHeight="false" outlineLevel="0" collapsed="false">
      <c r="I37" s="0" t="n">
        <v>0.86725</v>
      </c>
      <c r="K37" s="0" t="n">
        <v>0.86725</v>
      </c>
    </row>
    <row r="38" customFormat="false" ht="12.75" hidden="false" customHeight="false" outlineLevel="0" collapsed="false">
      <c r="R38" s="139" t="s">
        <v>63</v>
      </c>
      <c r="S38" s="139" t="n">
        <f aca="false">(38*36)-(36*16.2)</f>
        <v>784.8</v>
      </c>
      <c r="V38" s="139" t="s">
        <v>63</v>
      </c>
      <c r="W38" s="139" t="n">
        <f aca="false">(V27*W35)-(V5*W27)</f>
        <v>548.64</v>
      </c>
      <c r="X38" s="139" t="s">
        <v>63</v>
      </c>
      <c r="Y38" s="139" t="n">
        <f aca="false">(X26*Y35)-(X5*Y26)</f>
        <v>832.5</v>
      </c>
      <c r="AA38" s="139" t="n">
        <f aca="false">(Z25*AA35)-(Z13*AA25)</f>
        <v>568.48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X180"/>
  <sheetViews>
    <sheetView showFormulas="false" showGridLines="true" showRowColHeaders="true" showZeros="true" rightToLeft="false" tabSelected="false" showOutlineSymbols="true" defaultGridColor="true" view="normal" topLeftCell="A1" colorId="64" zoomScale="160" zoomScaleNormal="160" zoomScalePageLayoutView="100" workbookViewId="0">
      <selection pane="topLeft" activeCell="H18" activeCellId="0" sqref="H18"/>
    </sheetView>
  </sheetViews>
  <sheetFormatPr defaultColWidth="8.71484375" defaultRowHeight="12.75" zeroHeight="false" outlineLevelRow="0" outlineLevelCol="0"/>
  <cols>
    <col collapsed="false" customWidth="true" hidden="false" outlineLevel="0" max="2" min="2" style="140" width="9.28"/>
    <col collapsed="false" customWidth="true" hidden="false" outlineLevel="0" max="3" min="3" style="124" width="8.86"/>
    <col collapsed="false" customWidth="true" hidden="false" outlineLevel="0" max="4" min="4" style="127" width="11.58"/>
    <col collapsed="false" customWidth="true" hidden="false" outlineLevel="0" max="5" min="5" style="127" width="13.14"/>
    <col collapsed="false" customWidth="true" hidden="false" outlineLevel="0" max="6" min="6" style="127" width="9.42"/>
    <col collapsed="false" customWidth="true" hidden="false" outlineLevel="0" max="7" min="7" style="140" width="8.42"/>
    <col collapsed="false" customWidth="true" hidden="false" outlineLevel="0" max="8" min="8" style="140" width="12.72"/>
    <col collapsed="false" customWidth="true" hidden="false" outlineLevel="0" max="9" min="9" style="140" width="11"/>
    <col collapsed="false" customWidth="true" hidden="false" outlineLevel="0" max="10" min="10" style="140" width="9.13"/>
    <col collapsed="false" customWidth="true" hidden="false" outlineLevel="0" max="11" min="11" style="127" width="9.42"/>
    <col collapsed="false" customWidth="true" hidden="false" outlineLevel="0" max="12" min="12" style="140" width="10.57"/>
    <col collapsed="false" customWidth="true" hidden="false" outlineLevel="0" max="13" min="13" style="127" width="12.13"/>
    <col collapsed="false" customWidth="true" hidden="false" outlineLevel="0" max="14" min="14" style="127" width="9.13"/>
    <col collapsed="false" customWidth="true" hidden="false" outlineLevel="0" max="19" min="15" style="140" width="9.13"/>
  </cols>
  <sheetData>
    <row r="1" s="124" customFormat="true" ht="12.75" hidden="false" customHeight="false" outlineLevel="0" collapsed="false">
      <c r="D1" s="127"/>
      <c r="E1" s="127"/>
      <c r="F1" s="127"/>
      <c r="K1" s="127"/>
      <c r="M1" s="127"/>
      <c r="N1" s="127"/>
    </row>
    <row r="2" s="124" customFormat="true" ht="12.75" hidden="false" customHeight="false" outlineLevel="0" collapsed="false">
      <c r="B2" s="124" t="s">
        <v>64</v>
      </c>
      <c r="N2" s="127"/>
    </row>
    <row r="3" s="124" customFormat="true" ht="12.75" hidden="false" customHeight="false" outlineLevel="0" collapsed="false">
      <c r="N3" s="127"/>
    </row>
    <row r="4" customFormat="false" ht="12.75" hidden="false" customHeight="false" outlineLevel="0" collapsed="false">
      <c r="A4" s="1"/>
      <c r="B4" s="2"/>
      <c r="C4" s="3"/>
      <c r="D4" s="1"/>
      <c r="E4" s="8" t="s">
        <v>0</v>
      </c>
      <c r="F4" s="9"/>
      <c r="G4" s="10"/>
      <c r="H4" s="11"/>
      <c r="I4" s="12" t="s">
        <v>1</v>
      </c>
      <c r="J4" s="3"/>
      <c r="K4" s="10" t="s">
        <v>2</v>
      </c>
      <c r="L4" s="1"/>
      <c r="M4" s="7"/>
      <c r="N4" s="7"/>
      <c r="O4" s="1"/>
      <c r="P4" s="1"/>
      <c r="Q4" s="1"/>
      <c r="R4" s="1"/>
      <c r="S4" s="1"/>
      <c r="T4" s="1"/>
      <c r="U4" s="1"/>
      <c r="V4" s="1"/>
      <c r="W4" s="1"/>
      <c r="X4" s="1"/>
    </row>
    <row r="5" customFormat="false" ht="12.75" hidden="false" customHeight="false" outlineLevel="0" collapsed="false">
      <c r="A5" s="1"/>
      <c r="B5" s="13" t="n">
        <v>45373</v>
      </c>
      <c r="C5" s="3"/>
      <c r="D5" s="1"/>
      <c r="E5" s="4"/>
      <c r="F5" s="2"/>
      <c r="G5" s="3"/>
      <c r="H5" s="5"/>
      <c r="I5" s="6"/>
      <c r="J5" s="3"/>
      <c r="K5" s="14" t="n">
        <f aca="false">SUM(K8:K9)</f>
        <v>-169.901499999999</v>
      </c>
      <c r="L5" s="1"/>
      <c r="M5" s="7"/>
      <c r="N5" s="7"/>
      <c r="O5" s="1"/>
      <c r="P5" s="1"/>
      <c r="Q5" s="1"/>
      <c r="R5" s="1"/>
      <c r="S5" s="1"/>
      <c r="T5" s="1"/>
      <c r="U5" s="1"/>
      <c r="V5" s="1"/>
      <c r="W5" s="1"/>
      <c r="X5" s="1"/>
    </row>
    <row r="6" customFormat="false" ht="12.75" hidden="false" customHeight="false" outlineLevel="0" collapsed="false">
      <c r="A6" s="1"/>
      <c r="B6" s="2" t="n">
        <v>45273</v>
      </c>
      <c r="C6" s="3"/>
      <c r="D6" s="1"/>
      <c r="E6" s="4"/>
      <c r="F6" s="2"/>
      <c r="G6" s="3"/>
      <c r="H6" s="5"/>
      <c r="I6" s="6"/>
      <c r="J6" s="3"/>
      <c r="K6" s="1"/>
      <c r="L6" s="15"/>
      <c r="M6" s="7"/>
      <c r="N6" s="7"/>
      <c r="O6" s="1"/>
      <c r="P6" s="1"/>
      <c r="Q6" s="1"/>
      <c r="R6" s="1"/>
      <c r="S6" s="1"/>
      <c r="T6" s="1"/>
      <c r="U6" s="1"/>
      <c r="V6" s="1"/>
      <c r="W6" s="1"/>
      <c r="X6" s="1"/>
    </row>
    <row r="7" customFormat="false" ht="12.75" hidden="false" customHeight="false" outlineLevel="0" collapsed="false">
      <c r="A7" s="1"/>
      <c r="B7" s="3" t="n">
        <f aca="false">B5-B6</f>
        <v>100</v>
      </c>
      <c r="C7" s="3"/>
      <c r="D7" s="141" t="s">
        <v>65</v>
      </c>
      <c r="E7" s="38" t="n">
        <f aca="false">SUM(E7:E9)</f>
        <v>6960.2875</v>
      </c>
      <c r="F7" s="2"/>
      <c r="G7" s="3"/>
      <c r="H7" s="5"/>
      <c r="I7" s="38" t="e">
        <f aca="false">SUM(I7:I9)</f>
        <v>#VALUE!</v>
      </c>
      <c r="J7" s="3"/>
      <c r="K7" s="38" t="n">
        <f aca="false">SUM(K8:K9)</f>
        <v>-169.901499999999</v>
      </c>
      <c r="L7" s="44" t="n">
        <f aca="false">K7/E7</f>
        <v>-0.0244101267368624</v>
      </c>
      <c r="M7" s="7"/>
      <c r="N7" s="7"/>
      <c r="O7" s="1"/>
      <c r="P7" s="1"/>
      <c r="Q7" s="1"/>
      <c r="R7" s="1"/>
      <c r="S7" s="1"/>
      <c r="T7" s="1"/>
      <c r="U7" s="1"/>
      <c r="V7" s="1"/>
      <c r="W7" s="1"/>
      <c r="X7" s="1"/>
    </row>
    <row r="8" customFormat="false" ht="12.75" hidden="false" customHeight="false" outlineLevel="0" collapsed="false">
      <c r="A8" s="1"/>
      <c r="B8" s="3" t="n">
        <f aca="false">K5/B7</f>
        <v>-1.69901499999999</v>
      </c>
      <c r="C8" s="3"/>
      <c r="D8" s="141" t="s">
        <v>3</v>
      </c>
      <c r="E8" s="43" t="n">
        <f aca="false">SUBTOTAL(109,E13:E20)</f>
        <v>5997.08</v>
      </c>
      <c r="F8" s="2"/>
      <c r="G8" s="3"/>
      <c r="H8" s="5"/>
      <c r="I8" s="43" t="n">
        <f aca="false">SUBTOTAL(109,I13:I20)</f>
        <v>5261.5085</v>
      </c>
      <c r="J8" s="3"/>
      <c r="K8" s="142" t="n">
        <f aca="false">SUBTOTAL(109,K13:K20)</f>
        <v>-735.5715</v>
      </c>
      <c r="L8" s="44" t="n">
        <f aca="false">K8/E8</f>
        <v>-0.122654942071808</v>
      </c>
      <c r="M8" s="68" t="n">
        <f aca="false">SUBTOTAL(101,M13:M19)</f>
        <v>-0.11771211055613</v>
      </c>
      <c r="N8" s="68" t="n">
        <f aca="false">SUBTOTAL(101,N13:N19)</f>
        <v>-0.064987998612982</v>
      </c>
      <c r="O8" s="1"/>
      <c r="P8" s="1"/>
      <c r="Q8" s="1"/>
      <c r="R8" s="1"/>
      <c r="S8" s="1"/>
      <c r="T8" s="1"/>
      <c r="U8" s="1"/>
      <c r="V8" s="1"/>
      <c r="W8" s="1"/>
      <c r="X8" s="1"/>
    </row>
    <row r="9" customFormat="false" ht="12.75" hidden="false" customHeight="false" outlineLevel="0" collapsed="false">
      <c r="A9" s="1"/>
      <c r="B9" s="3"/>
      <c r="C9" s="3"/>
      <c r="D9" s="143" t="s">
        <v>4</v>
      </c>
      <c r="E9" s="116" t="n">
        <f aca="false">SUBTOTAL(109,E23:E32)</f>
        <v>770.44</v>
      </c>
      <c r="F9" s="13"/>
      <c r="G9" s="49"/>
      <c r="H9" s="103"/>
      <c r="I9" s="51" t="n">
        <f aca="false">SUBTOTAL(109,I23:I32)</f>
        <v>1338.92</v>
      </c>
      <c r="J9" s="49"/>
      <c r="K9" s="142" t="n">
        <f aca="false">SUBTOTAL(109,K23:K31)</f>
        <v>565.67</v>
      </c>
      <c r="L9" s="144" t="n">
        <f aca="false">K9/E9</f>
        <v>0.734216811172836</v>
      </c>
      <c r="M9" s="145"/>
      <c r="N9" s="146" t="n">
        <f aca="false">L9/(B7/30)</f>
        <v>0.220265043351851</v>
      </c>
      <c r="O9" s="1"/>
      <c r="P9" s="1"/>
      <c r="Q9" s="1"/>
      <c r="R9" s="1"/>
      <c r="S9" s="1"/>
      <c r="T9" s="1"/>
      <c r="U9" s="1"/>
      <c r="V9" s="1"/>
      <c r="W9" s="1"/>
      <c r="X9" s="1"/>
    </row>
    <row r="10" customFormat="false" ht="12.75" hidden="false" customHeight="false" outlineLevel="0" collapsed="false">
      <c r="A10" s="1"/>
      <c r="B10" s="2"/>
      <c r="C10" s="3"/>
      <c r="D10" s="42"/>
      <c r="E10" s="43"/>
      <c r="F10" s="2"/>
      <c r="G10" s="3"/>
      <c r="H10" s="5"/>
      <c r="J10" s="3"/>
      <c r="K10" s="43"/>
      <c r="L10" s="44"/>
      <c r="M10" s="45"/>
      <c r="N10" s="45"/>
      <c r="O10" s="1"/>
      <c r="P10" s="1"/>
      <c r="Q10" s="1"/>
      <c r="R10" s="1"/>
      <c r="S10" s="1"/>
      <c r="T10" s="1"/>
      <c r="U10" s="1"/>
      <c r="V10" s="1"/>
      <c r="W10" s="1"/>
      <c r="X10" s="1"/>
    </row>
    <row r="11" customFormat="false" ht="12.75" hidden="false" customHeight="false" outlineLevel="0" collapsed="false">
      <c r="A11" s="1"/>
      <c r="B11" s="2" t="s">
        <v>5</v>
      </c>
      <c r="C11" s="46" t="s">
        <v>5</v>
      </c>
      <c r="D11" s="47" t="s">
        <v>5</v>
      </c>
      <c r="E11" s="47" t="s">
        <v>5</v>
      </c>
      <c r="F11" s="48" t="s">
        <v>6</v>
      </c>
      <c r="G11" s="49" t="s">
        <v>6</v>
      </c>
      <c r="H11" s="50" t="s">
        <v>6</v>
      </c>
      <c r="I11" s="51" t="s">
        <v>6</v>
      </c>
      <c r="J11" s="52" t="s">
        <v>7</v>
      </c>
      <c r="K11" s="53" t="s">
        <v>7</v>
      </c>
      <c r="L11" s="53" t="s">
        <v>8</v>
      </c>
      <c r="M11" s="54" t="s">
        <v>8</v>
      </c>
      <c r="N11" s="54" t="s">
        <v>9</v>
      </c>
      <c r="O11" s="1"/>
      <c r="P11" s="1"/>
      <c r="Q11" s="1"/>
      <c r="R11" s="1"/>
      <c r="S11" s="1"/>
      <c r="T11" s="1"/>
      <c r="U11" s="1"/>
      <c r="V11" s="1"/>
      <c r="W11" s="1"/>
      <c r="X11" s="1"/>
    </row>
    <row r="12" customFormat="false" ht="12.75" hidden="false" customHeight="false" outlineLevel="0" collapsed="false">
      <c r="A12" s="55" t="s">
        <v>10</v>
      </c>
      <c r="B12" s="48" t="s">
        <v>11</v>
      </c>
      <c r="C12" s="46" t="s">
        <v>12</v>
      </c>
      <c r="D12" s="47" t="s">
        <v>13</v>
      </c>
      <c r="E12" s="56" t="s">
        <v>14</v>
      </c>
      <c r="F12" s="48" t="s">
        <v>15</v>
      </c>
      <c r="G12" s="49" t="s">
        <v>16</v>
      </c>
      <c r="H12" s="57" t="s">
        <v>17</v>
      </c>
      <c r="I12" s="51" t="s">
        <v>18</v>
      </c>
      <c r="J12" s="52" t="s">
        <v>19</v>
      </c>
      <c r="K12" s="55" t="s">
        <v>20</v>
      </c>
      <c r="L12" s="55" t="s">
        <v>21</v>
      </c>
      <c r="M12" s="54" t="s">
        <v>22</v>
      </c>
      <c r="N12" s="54" t="s">
        <v>22</v>
      </c>
      <c r="O12" s="1"/>
      <c r="P12" s="1"/>
      <c r="Q12" s="1"/>
      <c r="R12" s="1"/>
      <c r="S12" s="1"/>
      <c r="T12" s="1"/>
      <c r="U12" s="1"/>
      <c r="V12" s="1"/>
      <c r="W12" s="1"/>
      <c r="X12" s="1"/>
    </row>
    <row r="13" customFormat="false" ht="12.75" hidden="false" customHeight="false" outlineLevel="0" collapsed="false">
      <c r="A13" s="1"/>
      <c r="B13" s="2"/>
      <c r="C13" s="52"/>
      <c r="D13" s="1"/>
      <c r="E13" s="53"/>
      <c r="F13" s="48"/>
      <c r="G13" s="52"/>
      <c r="H13" s="5"/>
      <c r="I13" s="6"/>
      <c r="J13" s="52"/>
      <c r="K13" s="1"/>
      <c r="L13" s="1"/>
      <c r="M13" s="54"/>
      <c r="N13" s="54"/>
      <c r="P13" s="1"/>
      <c r="Q13" s="1"/>
      <c r="R13" s="1"/>
      <c r="S13" s="1"/>
      <c r="T13" s="1"/>
      <c r="U13" s="1"/>
      <c r="V13" s="1"/>
      <c r="W13" s="1"/>
      <c r="X13" s="1"/>
    </row>
    <row r="14" customFormat="false" ht="12.75" hidden="false" customHeight="false" outlineLevel="0" collapsed="false">
      <c r="A14" s="147" t="s">
        <v>3</v>
      </c>
      <c r="B14" s="2"/>
      <c r="C14" s="3"/>
      <c r="D14" s="1"/>
      <c r="E14" s="4"/>
      <c r="F14" s="2"/>
      <c r="G14" s="3"/>
      <c r="H14" s="5"/>
      <c r="I14" s="6"/>
      <c r="J14" s="3"/>
      <c r="K14" s="1"/>
      <c r="L14" s="1"/>
      <c r="M14" s="7"/>
      <c r="N14" s="147" t="s">
        <v>3</v>
      </c>
      <c r="O14" s="148" t="n">
        <f aca="false">SUM(O15:O18)</f>
        <v>-735.5715</v>
      </c>
      <c r="P14" s="1"/>
      <c r="Q14" s="1"/>
      <c r="R14" s="1"/>
      <c r="S14" s="1"/>
      <c r="T14" s="1"/>
      <c r="U14" s="1"/>
      <c r="V14" s="1"/>
      <c r="W14" s="1"/>
      <c r="X14" s="1"/>
    </row>
    <row r="15" customFormat="false" ht="12.75" hidden="false" customHeight="false" outlineLevel="0" collapsed="false">
      <c r="A15" s="1"/>
      <c r="B15" s="2"/>
      <c r="C15" s="3"/>
      <c r="D15" s="1"/>
      <c r="E15" s="4"/>
      <c r="F15" s="2"/>
      <c r="G15" s="3"/>
      <c r="H15" s="5"/>
      <c r="I15" s="6"/>
      <c r="J15" s="3"/>
      <c r="K15" s="1"/>
      <c r="L15" s="1"/>
      <c r="M15" s="7"/>
      <c r="N15" s="7"/>
      <c r="O15" s="1"/>
      <c r="P15" s="1"/>
      <c r="Q15" s="1"/>
      <c r="R15" s="1"/>
      <c r="S15" s="1"/>
      <c r="T15" s="1"/>
      <c r="U15" s="1"/>
      <c r="V15" s="1"/>
      <c r="W15" s="1"/>
      <c r="X15" s="1"/>
    </row>
    <row r="16" customFormat="false" ht="12.75" hidden="false" customHeight="false" outlineLevel="0" collapsed="false">
      <c r="A16" s="121" t="s">
        <v>66</v>
      </c>
      <c r="B16" s="119" t="n">
        <v>45273</v>
      </c>
      <c r="C16" s="120" t="n">
        <v>26</v>
      </c>
      <c r="D16" s="121" t="n">
        <v>55.08</v>
      </c>
      <c r="E16" s="62" t="n">
        <f aca="false">Tablo23[[#This Row],[adet]]*Tablo23[[#This Row],[birim fiyat]]</f>
        <v>1432.08</v>
      </c>
      <c r="F16" s="2" t="n">
        <f aca="false">B5</f>
        <v>45373</v>
      </c>
      <c r="G16" s="46" t="n">
        <v>26</v>
      </c>
      <c r="H16" s="1" t="n">
        <v>44</v>
      </c>
      <c r="I16" s="51" t="n">
        <f aca="false">Tablo23[[#This Row],[Fiyat]]*Tablo23[[#This Row],[Miktar]]</f>
        <v>1144</v>
      </c>
      <c r="J16" s="116" t="n">
        <f aca="false">H16-D16</f>
        <v>-11.08</v>
      </c>
      <c r="K16" s="66" t="n">
        <f aca="false">Tablo23[[#This Row],[Miktar3]]*Tablo23[[#This Row],[adet]]</f>
        <v>-288.08</v>
      </c>
      <c r="L16" s="67" t="n">
        <f aca="false">F16-B16</f>
        <v>100</v>
      </c>
      <c r="M16" s="68" t="n">
        <f aca="false">K16/E16</f>
        <v>-0.201161946259985</v>
      </c>
      <c r="N16" s="68" t="n">
        <f aca="false">M16/L16*30</f>
        <v>-0.0603485838779956</v>
      </c>
      <c r="O16" s="1"/>
      <c r="P16" s="1"/>
      <c r="Q16" s="1"/>
      <c r="R16" s="1"/>
      <c r="S16" s="1"/>
      <c r="T16" s="1"/>
      <c r="U16" s="1"/>
      <c r="V16" s="1"/>
      <c r="W16" s="1"/>
      <c r="X16" s="1"/>
    </row>
    <row r="17" customFormat="false" ht="12.75" hidden="false" customHeight="false" outlineLevel="0" collapsed="false">
      <c r="A17" s="1" t="s">
        <v>67</v>
      </c>
      <c r="B17" s="2" t="n">
        <v>45273</v>
      </c>
      <c r="C17" s="46" t="n">
        <v>9</v>
      </c>
      <c r="D17" s="47" t="n">
        <v>130</v>
      </c>
      <c r="E17" s="62" t="n">
        <f aca="false">Tablo23[[#This Row],[adet]]*Tablo23[[#This Row],[birim fiyat]]</f>
        <v>1170</v>
      </c>
      <c r="F17" s="63" t="n">
        <f aca="false">$B$5</f>
        <v>45373</v>
      </c>
      <c r="G17" s="64" t="n">
        <v>9</v>
      </c>
      <c r="H17" s="65" t="n">
        <v>126</v>
      </c>
      <c r="I17" s="51" t="n">
        <f aca="false">Tablo23[[#This Row],[Fiyat]]*Tablo23[[#This Row],[Miktar]]</f>
        <v>1134</v>
      </c>
      <c r="J17" s="46" t="n">
        <f aca="false">H17-D17</f>
        <v>-4</v>
      </c>
      <c r="K17" s="66" t="n">
        <f aca="false">Tablo23[[#This Row],[Miktar3]]*Tablo23[[#This Row],[adet]]</f>
        <v>-36</v>
      </c>
      <c r="L17" s="67" t="n">
        <f aca="false">F17-B17</f>
        <v>100</v>
      </c>
      <c r="M17" s="68" t="n">
        <f aca="false">K17/E17</f>
        <v>-0.0307692307692308</v>
      </c>
      <c r="N17" s="68" t="n">
        <f aca="false">M17/L17*30</f>
        <v>-0.00923076923076923</v>
      </c>
      <c r="O17" s="69"/>
      <c r="P17" s="1"/>
      <c r="Q17" s="1"/>
      <c r="R17" s="1"/>
      <c r="S17" s="1"/>
      <c r="T17" s="1"/>
      <c r="U17" s="1"/>
      <c r="V17" s="1"/>
      <c r="W17" s="1"/>
      <c r="X17" s="1"/>
    </row>
    <row r="18" customFormat="false" ht="12.75" hidden="false" customHeight="false" outlineLevel="0" collapsed="false">
      <c r="A18" s="1" t="s">
        <v>23</v>
      </c>
      <c r="B18" s="2" t="n">
        <v>45344</v>
      </c>
      <c r="C18" s="46" t="n">
        <v>3500</v>
      </c>
      <c r="D18" s="47" t="n">
        <v>0.97</v>
      </c>
      <c r="E18" s="62" t="n">
        <f aca="false">Tablo23[[#This Row],[adet]]*Tablo23[[#This Row],[birim fiyat]]</f>
        <v>3395</v>
      </c>
      <c r="F18" s="63" t="n">
        <f aca="false">B5</f>
        <v>45373</v>
      </c>
      <c r="G18" s="64" t="n">
        <v>3500</v>
      </c>
      <c r="H18" s="65" t="n">
        <f aca="false">Sayfa4!K5</f>
        <v>0.852431</v>
      </c>
      <c r="I18" s="51" t="n">
        <f aca="false">Tablo23[[#This Row],[Fiyat]]*Tablo23[[#This Row],[Miktar]]</f>
        <v>2983.5085</v>
      </c>
      <c r="J18" s="46" t="n">
        <f aca="false">H18-D18</f>
        <v>-0.117569</v>
      </c>
      <c r="K18" s="66" t="n">
        <f aca="false">Tablo23[[#This Row],[Miktar3]]*Tablo23[[#This Row],[adet]]</f>
        <v>-411.4915</v>
      </c>
      <c r="L18" s="67" t="n">
        <f aca="false">F18-B18</f>
        <v>29</v>
      </c>
      <c r="M18" s="68" t="n">
        <f aca="false">K18/E18</f>
        <v>-0.121205154639175</v>
      </c>
      <c r="N18" s="68" t="n">
        <f aca="false">M18/L18*30</f>
        <v>-0.125384642730181</v>
      </c>
      <c r="O18" s="70" t="n">
        <f aca="false">SUM(K15:K18)</f>
        <v>-735.5715</v>
      </c>
      <c r="P18" s="1"/>
      <c r="Q18" s="1"/>
      <c r="R18" s="1"/>
      <c r="S18" s="1"/>
      <c r="T18" s="1"/>
      <c r="U18" s="1"/>
      <c r="V18" s="1"/>
      <c r="W18" s="1"/>
      <c r="X18" s="1"/>
    </row>
    <row r="19" customFormat="false" ht="12.75" hidden="false" customHeight="false" outlineLevel="0" collapsed="false">
      <c r="A19" s="1"/>
      <c r="B19" s="2"/>
      <c r="C19" s="3"/>
      <c r="D19" s="1"/>
      <c r="E19" s="4"/>
      <c r="F19" s="2"/>
      <c r="G19" s="3"/>
      <c r="H19" s="5"/>
      <c r="I19" s="6"/>
      <c r="J19" s="3"/>
      <c r="K19" s="1"/>
      <c r="L19" s="1"/>
      <c r="M19" s="68"/>
      <c r="N19" s="68"/>
      <c r="O19" s="69"/>
      <c r="P19" s="1"/>
      <c r="Q19" s="1"/>
      <c r="R19" s="1"/>
      <c r="S19" s="1"/>
      <c r="T19" s="1"/>
      <c r="U19" s="1"/>
      <c r="V19" s="1"/>
      <c r="W19" s="1"/>
      <c r="X19" s="1"/>
    </row>
    <row r="20" customFormat="false" ht="12.75" hidden="false" customHeight="false" outlineLevel="0" collapsed="false">
      <c r="A20" s="1"/>
      <c r="B20" s="2"/>
      <c r="C20" s="46"/>
      <c r="D20" s="47"/>
      <c r="E20" s="66"/>
      <c r="F20" s="98"/>
      <c r="G20" s="101"/>
      <c r="H20" s="102"/>
      <c r="I20" s="51"/>
      <c r="J20" s="52"/>
      <c r="K20" s="1"/>
      <c r="L20" s="1"/>
      <c r="M20" s="68"/>
      <c r="N20" s="68"/>
      <c r="O20" s="1"/>
      <c r="P20" s="1"/>
      <c r="Q20" s="1"/>
      <c r="R20" s="68"/>
      <c r="S20" s="1"/>
      <c r="T20" s="1"/>
      <c r="U20" s="1"/>
      <c r="V20" s="1"/>
      <c r="W20" s="1"/>
      <c r="X20" s="1"/>
    </row>
    <row r="21" customFormat="false" ht="12.75" hidden="false" customHeight="false" outlineLevel="0" collapsed="false">
      <c r="A21" s="149"/>
      <c r="B21" s="150"/>
      <c r="C21" s="151"/>
      <c r="D21" s="149"/>
      <c r="E21" s="152"/>
      <c r="F21" s="153"/>
      <c r="G21" s="154"/>
      <c r="H21" s="155"/>
      <c r="I21" s="6"/>
      <c r="J21" s="151"/>
      <c r="K21" s="149"/>
      <c r="L21" s="149"/>
      <c r="M21" s="156" t="s">
        <v>4</v>
      </c>
      <c r="N21" s="157" t="s">
        <v>27</v>
      </c>
      <c r="O21" s="148" t="n">
        <f aca="false">SUM(O22:O32)</f>
        <v>565.67</v>
      </c>
      <c r="P21" s="1"/>
      <c r="Q21" s="1"/>
      <c r="R21" s="1"/>
      <c r="S21" s="1"/>
      <c r="T21" s="1"/>
      <c r="U21" s="1"/>
      <c r="V21" s="1"/>
      <c r="W21" s="1"/>
      <c r="X21" s="1"/>
    </row>
    <row r="22" customFormat="false" ht="12.75" hidden="false" customHeight="false" outlineLevel="0" collapsed="false">
      <c r="A22" s="1"/>
      <c r="B22" s="2"/>
      <c r="C22" s="52"/>
      <c r="D22" s="1"/>
      <c r="E22" s="97"/>
      <c r="F22" s="98"/>
      <c r="G22" s="99"/>
      <c r="H22" s="100"/>
      <c r="I22" s="6"/>
      <c r="J22" s="3"/>
      <c r="K22" s="1"/>
      <c r="L22" s="1"/>
      <c r="M22" s="68"/>
      <c r="N22" s="68"/>
      <c r="O22" s="69"/>
      <c r="P22" s="1"/>
      <c r="Q22" s="1"/>
      <c r="R22" s="1"/>
      <c r="S22" s="1"/>
      <c r="T22" s="1"/>
      <c r="U22" s="1"/>
      <c r="V22" s="1"/>
      <c r="W22" s="1"/>
      <c r="X22" s="1"/>
    </row>
    <row r="23" customFormat="false" ht="12.75" hidden="false" customHeight="false" outlineLevel="0" collapsed="false">
      <c r="A23" s="156" t="s">
        <v>4</v>
      </c>
      <c r="B23" s="2"/>
      <c r="C23" s="52"/>
      <c r="D23" s="1"/>
      <c r="E23" s="97"/>
      <c r="F23" s="98"/>
      <c r="G23" s="99"/>
      <c r="H23" s="100"/>
      <c r="I23" s="6"/>
      <c r="J23" s="3"/>
      <c r="K23" s="6"/>
      <c r="L23" s="1"/>
      <c r="M23" s="68"/>
      <c r="N23" s="68"/>
      <c r="O23" s="69"/>
      <c r="P23" s="1"/>
      <c r="Q23" s="1"/>
      <c r="R23" s="1"/>
      <c r="S23" s="1"/>
      <c r="T23" s="1"/>
      <c r="U23" s="1"/>
      <c r="V23" s="1"/>
      <c r="W23" s="1"/>
      <c r="X23" s="1"/>
    </row>
    <row r="24" customFormat="false" ht="12.75" hidden="false" customHeight="false" outlineLevel="0" collapsed="false">
      <c r="A24" s="1"/>
      <c r="B24" s="2"/>
      <c r="C24" s="52"/>
      <c r="D24" s="1"/>
      <c r="E24" s="97"/>
      <c r="F24" s="98"/>
      <c r="G24" s="99"/>
      <c r="H24" s="100"/>
      <c r="I24" s="6"/>
      <c r="J24" s="3"/>
      <c r="K24" s="6"/>
      <c r="L24" s="1"/>
      <c r="M24" s="68"/>
      <c r="N24" s="68"/>
      <c r="O24" s="69"/>
      <c r="P24" s="1"/>
      <c r="Q24" s="1"/>
      <c r="R24" s="1"/>
      <c r="S24" s="1"/>
      <c r="T24" s="1"/>
      <c r="U24" s="1"/>
      <c r="V24" s="1"/>
      <c r="W24" s="1"/>
      <c r="X24" s="1"/>
    </row>
    <row r="25" customFormat="false" ht="12.75" hidden="false" customHeight="false" outlineLevel="0" collapsed="false">
      <c r="A25" s="1"/>
      <c r="B25" s="2"/>
      <c r="C25" s="3"/>
      <c r="D25" s="1"/>
      <c r="E25" s="4"/>
      <c r="F25" s="2"/>
      <c r="G25" s="3"/>
      <c r="H25" s="5"/>
      <c r="I25" s="6"/>
      <c r="J25" s="3"/>
      <c r="K25" s="1"/>
      <c r="L25" s="1"/>
      <c r="M25" s="7"/>
      <c r="N25" s="7"/>
      <c r="O25" s="69"/>
      <c r="P25" s="1"/>
      <c r="Q25" s="1"/>
      <c r="R25" s="1"/>
      <c r="S25" s="1"/>
      <c r="T25" s="1"/>
      <c r="U25" s="1"/>
      <c r="V25" s="1"/>
      <c r="W25" s="1"/>
      <c r="X25" s="1"/>
    </row>
    <row r="26" customFormat="false" ht="12.75" hidden="false" customHeight="false" outlineLevel="0" collapsed="false">
      <c r="A26" s="1"/>
      <c r="B26" s="2"/>
      <c r="C26" s="3"/>
      <c r="D26" s="1"/>
      <c r="E26" s="4"/>
      <c r="F26" s="2"/>
      <c r="G26" s="3"/>
      <c r="H26" s="5"/>
      <c r="I26" s="6"/>
      <c r="J26" s="3"/>
      <c r="K26" s="1"/>
      <c r="L26" s="1"/>
      <c r="M26" s="7"/>
      <c r="N26" s="7"/>
      <c r="O26" s="69"/>
      <c r="P26" s="1"/>
      <c r="Q26" s="1"/>
      <c r="R26" s="1"/>
      <c r="S26" s="1"/>
      <c r="T26" s="1"/>
      <c r="U26" s="1"/>
      <c r="V26" s="1"/>
      <c r="W26" s="1"/>
      <c r="X26" s="1"/>
    </row>
    <row r="27" customFormat="false" ht="12.75" hidden="false" customHeight="false" outlineLevel="0" collapsed="false">
      <c r="A27" s="1" t="s">
        <v>30</v>
      </c>
      <c r="B27" s="2" t="n">
        <v>45350</v>
      </c>
      <c r="C27" s="46" t="n">
        <v>68</v>
      </c>
      <c r="D27" s="47" t="n">
        <v>11.33</v>
      </c>
      <c r="E27" s="62" t="n">
        <f aca="false">Tablo23[[#This Row],[adet]]*Tablo23[[#This Row],[birim fiyat]]</f>
        <v>770.44</v>
      </c>
      <c r="F27" s="63" t="n">
        <v>45370</v>
      </c>
      <c r="G27" s="64" t="n">
        <v>68</v>
      </c>
      <c r="H27" s="65" t="n">
        <v>19.69</v>
      </c>
      <c r="I27" s="51" t="n">
        <f aca="false">Tablo23[[#This Row],[Fiyat]]*Tablo23[[#This Row],[Miktar]]</f>
        <v>1338.92</v>
      </c>
      <c r="J27" s="46" t="n">
        <f aca="false">H27-D27</f>
        <v>8.36</v>
      </c>
      <c r="K27" s="66" t="n">
        <f aca="false">Tablo23[[#This Row],[Miktar3]]*Tablo23[[#This Row],[adet]]</f>
        <v>568.48</v>
      </c>
      <c r="L27" s="67" t="n">
        <f aca="false">F27-B27</f>
        <v>20</v>
      </c>
      <c r="M27" s="68" t="n">
        <f aca="false">K27/E27</f>
        <v>0.737864077669903</v>
      </c>
      <c r="N27" s="68" t="n">
        <f aca="false">M27/L27*30</f>
        <v>1.10679611650485</v>
      </c>
      <c r="O27" s="69"/>
      <c r="P27" s="1"/>
      <c r="Q27" s="1"/>
      <c r="R27" s="1"/>
      <c r="S27" s="1"/>
      <c r="T27" s="1"/>
      <c r="U27" s="1"/>
      <c r="V27" s="1"/>
      <c r="W27" s="1"/>
      <c r="X27" s="1"/>
    </row>
    <row r="28" customFormat="false" ht="12.75" hidden="false" customHeight="false" outlineLevel="0" collapsed="false">
      <c r="A28" s="1" t="s">
        <v>68</v>
      </c>
      <c r="B28" s="2"/>
      <c r="C28" s="46"/>
      <c r="D28" s="47"/>
      <c r="E28" s="56"/>
      <c r="F28" s="63"/>
      <c r="G28" s="64"/>
      <c r="H28" s="65"/>
      <c r="I28" s="51"/>
      <c r="J28" s="46"/>
      <c r="K28" s="66" t="n">
        <v>-2.81</v>
      </c>
      <c r="L28" s="67"/>
      <c r="M28" s="68"/>
      <c r="N28" s="68"/>
      <c r="O28" s="69"/>
      <c r="P28" s="1"/>
      <c r="Q28" s="1"/>
      <c r="R28" s="1"/>
      <c r="S28" s="1"/>
      <c r="T28" s="1"/>
      <c r="U28" s="1"/>
      <c r="V28" s="1"/>
      <c r="W28" s="1"/>
      <c r="X28" s="1"/>
    </row>
    <row r="29" customFormat="false" ht="12.75" hidden="false" customHeight="false" outlineLevel="0" collapsed="false">
      <c r="A29" s="1"/>
      <c r="B29" s="2"/>
      <c r="C29" s="3"/>
      <c r="D29" s="1"/>
      <c r="E29" s="62"/>
      <c r="F29" s="2"/>
      <c r="G29" s="46"/>
      <c r="H29" s="1"/>
      <c r="I29" s="51"/>
      <c r="J29" s="116"/>
      <c r="K29" s="66"/>
      <c r="L29" s="117"/>
      <c r="M29" s="122"/>
      <c r="N29" s="68"/>
      <c r="O29" s="70" t="n">
        <f aca="false">SUM(K24:K29)</f>
        <v>565.67</v>
      </c>
      <c r="P29" s="1"/>
      <c r="Q29" s="1"/>
      <c r="R29" s="1"/>
      <c r="S29" s="1"/>
      <c r="T29" s="1"/>
      <c r="U29" s="1"/>
      <c r="V29" s="1"/>
      <c r="W29" s="1"/>
      <c r="X29" s="1"/>
    </row>
    <row r="30" customFormat="false" ht="12.75" hidden="false" customHeight="false" outlineLevel="0" collapsed="false">
      <c r="A30" s="1"/>
      <c r="B30" s="2"/>
      <c r="C30" s="3"/>
      <c r="D30" s="1"/>
      <c r="E30" s="62"/>
      <c r="F30" s="2"/>
      <c r="G30" s="46"/>
      <c r="H30" s="1"/>
      <c r="I30" s="51"/>
      <c r="J30" s="116"/>
      <c r="K30" s="66"/>
      <c r="L30" s="117"/>
      <c r="M30" s="122"/>
      <c r="N30" s="68"/>
      <c r="O30" s="113"/>
      <c r="P30" s="1"/>
      <c r="Q30" s="1"/>
      <c r="R30" s="1"/>
      <c r="S30" s="1"/>
      <c r="T30" s="1"/>
      <c r="U30" s="1"/>
      <c r="V30" s="1"/>
      <c r="W30" s="1"/>
      <c r="X30" s="1"/>
    </row>
    <row r="31" customFormat="false" ht="12.75" hidden="false" customHeight="false" outlineLevel="0" collapsed="false">
      <c r="A31" s="1"/>
      <c r="B31" s="2"/>
      <c r="C31" s="3"/>
      <c r="D31" s="1"/>
      <c r="E31" s="53"/>
      <c r="F31" s="48"/>
      <c r="G31" s="52"/>
      <c r="H31" s="5"/>
      <c r="I31" s="123"/>
      <c r="J31" s="3"/>
      <c r="K31" s="55"/>
      <c r="L31" s="55"/>
      <c r="M31" s="7"/>
      <c r="N31" s="7"/>
      <c r="O31" s="1"/>
      <c r="P31" s="1"/>
      <c r="Q31" s="1"/>
      <c r="R31" s="1"/>
      <c r="S31" s="1"/>
      <c r="T31" s="1"/>
      <c r="U31" s="1"/>
      <c r="V31" s="1"/>
      <c r="W31" s="1"/>
      <c r="X31" s="1"/>
    </row>
    <row r="32" customFormat="false" ht="12.75" hidden="false" customHeight="false" outlineLevel="0" collapsed="false">
      <c r="A32" s="1"/>
      <c r="B32" s="2"/>
      <c r="C32" s="3"/>
      <c r="D32" s="1"/>
      <c r="E32" s="53"/>
      <c r="F32" s="48"/>
      <c r="G32" s="52"/>
      <c r="H32" s="5"/>
      <c r="I32" s="123"/>
      <c r="J32" s="3"/>
      <c r="K32" s="55"/>
      <c r="L32" s="55"/>
      <c r="M32" s="7"/>
      <c r="N32" s="7"/>
      <c r="O32" s="1"/>
      <c r="P32" s="1"/>
      <c r="Q32" s="1"/>
      <c r="R32" s="1"/>
      <c r="S32" s="1"/>
      <c r="T32" s="1"/>
      <c r="U32" s="1"/>
      <c r="V32" s="1"/>
      <c r="W32" s="1"/>
      <c r="X32" s="1"/>
    </row>
    <row r="33" customFormat="false" ht="12.75" hidden="false" customHeight="false" outlineLevel="0" collapsed="false">
      <c r="A33" s="1"/>
      <c r="B33" s="2"/>
      <c r="C33" s="3"/>
      <c r="D33" s="1"/>
      <c r="E33" s="53"/>
      <c r="F33" s="48"/>
      <c r="G33" s="52"/>
      <c r="H33" s="5"/>
      <c r="I33" s="123"/>
      <c r="J33" s="3"/>
      <c r="K33" s="55"/>
      <c r="L33" s="55"/>
      <c r="M33" s="7"/>
      <c r="N33" s="7"/>
      <c r="O33" s="1"/>
      <c r="P33" s="1"/>
      <c r="Q33" s="1"/>
      <c r="R33" s="1"/>
      <c r="S33" s="1"/>
      <c r="T33" s="1"/>
      <c r="U33" s="1"/>
      <c r="V33" s="1"/>
      <c r="W33" s="1"/>
      <c r="X33" s="1"/>
    </row>
    <row r="34" customFormat="false" ht="12.75" hidden="false" customHeight="false" outlineLevel="0" collapsed="false">
      <c r="A34" s="1"/>
      <c r="B34" s="2"/>
      <c r="C34" s="3"/>
      <c r="D34" s="1"/>
      <c r="E34" s="53"/>
      <c r="F34" s="48"/>
      <c r="G34" s="52"/>
      <c r="H34" s="5"/>
      <c r="I34" s="123"/>
      <c r="J34" s="3"/>
      <c r="K34" s="55"/>
      <c r="L34" s="55"/>
      <c r="M34" s="7"/>
      <c r="N34" s="7"/>
      <c r="O34" s="1"/>
      <c r="P34" s="1"/>
      <c r="Q34" s="1"/>
      <c r="R34" s="1"/>
      <c r="S34" s="1"/>
      <c r="T34" s="1"/>
      <c r="U34" s="1"/>
      <c r="V34" s="1"/>
      <c r="W34" s="1"/>
      <c r="X34" s="1"/>
    </row>
    <row r="35" customFormat="false" ht="12.75" hidden="false" customHeight="false" outlineLevel="0" collapsed="false">
      <c r="A35" s="1"/>
      <c r="B35" s="2"/>
      <c r="C35" s="3"/>
      <c r="D35" s="1"/>
      <c r="E35" s="53"/>
      <c r="F35" s="48"/>
      <c r="G35" s="52"/>
      <c r="H35" s="5"/>
      <c r="I35" s="123"/>
      <c r="J35" s="3"/>
      <c r="K35" s="55"/>
      <c r="L35" s="55"/>
      <c r="M35" s="7"/>
      <c r="N35" s="7"/>
      <c r="O35" s="1"/>
      <c r="P35" s="1"/>
      <c r="Q35" s="1"/>
      <c r="R35" s="1"/>
      <c r="S35" s="1"/>
      <c r="T35" s="1"/>
      <c r="U35" s="1"/>
      <c r="V35" s="1"/>
      <c r="W35" s="1"/>
      <c r="X35" s="1"/>
    </row>
    <row r="36" customFormat="false" ht="12.75" hidden="false" customHeight="false" outlineLevel="0" collapsed="false">
      <c r="A36" s="1"/>
      <c r="B36" s="2"/>
      <c r="C36" s="3"/>
      <c r="D36" s="1"/>
      <c r="E36" s="53"/>
      <c r="F36" s="48"/>
      <c r="G36" s="52"/>
      <c r="H36" s="5"/>
      <c r="I36" s="123"/>
      <c r="J36" s="3"/>
      <c r="K36" s="55"/>
      <c r="L36" s="55"/>
      <c r="M36" s="7"/>
      <c r="N36" s="7"/>
      <c r="O36" s="1"/>
      <c r="P36" s="1"/>
      <c r="Q36" s="1"/>
      <c r="R36" s="1"/>
      <c r="S36" s="1"/>
      <c r="T36" s="1"/>
      <c r="U36" s="1"/>
      <c r="V36" s="1"/>
      <c r="W36" s="1"/>
      <c r="X36" s="1"/>
    </row>
    <row r="37" customFormat="false" ht="12.75" hidden="false" customHeight="false" outlineLevel="0" collapsed="false">
      <c r="A37" s="1"/>
      <c r="B37" s="2"/>
      <c r="C37" s="3"/>
      <c r="D37" s="1"/>
      <c r="E37" s="53"/>
      <c r="F37" s="48"/>
      <c r="G37" s="52"/>
      <c r="H37" s="5"/>
      <c r="I37" s="123"/>
      <c r="J37" s="3"/>
      <c r="K37" s="55"/>
      <c r="L37" s="55"/>
      <c r="M37" s="7"/>
      <c r="N37" s="7"/>
      <c r="O37" s="1"/>
      <c r="P37" s="1"/>
      <c r="Q37" s="1"/>
      <c r="R37" s="1"/>
      <c r="S37" s="1"/>
      <c r="T37" s="1"/>
      <c r="U37" s="1"/>
      <c r="V37" s="1"/>
      <c r="W37" s="1"/>
      <c r="X37" s="1"/>
    </row>
    <row r="38" customFormat="false" ht="12.75" hidden="false" customHeight="false" outlineLevel="0" collapsed="false">
      <c r="A38" s="1"/>
      <c r="B38" s="2"/>
      <c r="C38" s="3"/>
      <c r="D38" s="1"/>
      <c r="E38" s="53"/>
      <c r="F38" s="48"/>
      <c r="G38" s="52"/>
      <c r="H38" s="5"/>
      <c r="I38" s="6"/>
      <c r="J38" s="3"/>
      <c r="K38" s="1"/>
      <c r="L38" s="1"/>
      <c r="M38" s="7"/>
      <c r="N38" s="7"/>
      <c r="O38" s="1"/>
      <c r="P38" s="1"/>
      <c r="Q38" s="1"/>
      <c r="R38" s="1"/>
      <c r="S38" s="1"/>
      <c r="T38" s="1"/>
      <c r="U38" s="1"/>
      <c r="V38" s="1"/>
      <c r="W38" s="1"/>
      <c r="X38" s="1"/>
    </row>
    <row r="39" customFormat="false" ht="12.75" hidden="false" customHeight="false" outlineLevel="0" collapsed="false">
      <c r="A39" s="1"/>
      <c r="B39" s="2"/>
      <c r="C39" s="3"/>
      <c r="D39" s="1"/>
      <c r="E39" s="53"/>
      <c r="F39" s="48"/>
      <c r="G39" s="52"/>
      <c r="H39" s="5"/>
      <c r="I39" s="6"/>
      <c r="J39" s="3"/>
      <c r="K39" s="1"/>
      <c r="L39" s="1"/>
      <c r="M39" s="7"/>
      <c r="N39" s="7"/>
      <c r="O39" s="1"/>
      <c r="P39" s="1"/>
      <c r="Q39" s="1"/>
      <c r="R39" s="1"/>
      <c r="S39" s="1"/>
      <c r="T39" s="1"/>
      <c r="U39" s="1"/>
      <c r="V39" s="1"/>
      <c r="W39" s="1"/>
      <c r="X39" s="1"/>
    </row>
    <row r="40" customFormat="false" ht="12.75" hidden="false" customHeight="false" outlineLevel="0" collapsed="false">
      <c r="A40" s="1"/>
      <c r="B40" s="2"/>
      <c r="C40" s="3"/>
      <c r="D40" s="1"/>
      <c r="E40" s="53"/>
      <c r="F40" s="48"/>
      <c r="G40" s="52"/>
      <c r="H40" s="5"/>
      <c r="I40" s="6"/>
      <c r="J40" s="3"/>
      <c r="K40" s="1"/>
      <c r="L40" s="1"/>
      <c r="M40" s="7"/>
      <c r="N40" s="7"/>
      <c r="O40" s="1"/>
      <c r="P40" s="1"/>
      <c r="Q40" s="1"/>
      <c r="R40" s="1"/>
      <c r="S40" s="1"/>
      <c r="T40" s="1"/>
      <c r="U40" s="1"/>
      <c r="V40" s="1"/>
      <c r="W40" s="1"/>
      <c r="X40" s="1"/>
    </row>
    <row r="41" customFormat="false" ht="12.75" hidden="false" customHeight="false" outlineLevel="0" collapsed="false">
      <c r="A41" s="1"/>
      <c r="B41" s="2"/>
      <c r="C41" s="3"/>
      <c r="D41" s="1"/>
      <c r="E41" s="53"/>
      <c r="F41" s="48"/>
      <c r="G41" s="52"/>
      <c r="H41" s="5"/>
      <c r="I41" s="6"/>
      <c r="J41" s="3"/>
      <c r="K41" s="1"/>
      <c r="L41" s="1"/>
      <c r="M41" s="7"/>
      <c r="N41" s="7"/>
      <c r="O41" s="1"/>
      <c r="P41" s="1"/>
      <c r="Q41" s="1"/>
      <c r="R41" s="1"/>
      <c r="S41" s="1"/>
      <c r="T41" s="1"/>
      <c r="U41" s="1"/>
      <c r="V41" s="1"/>
      <c r="W41" s="1"/>
      <c r="X41" s="1"/>
    </row>
    <row r="42" customFormat="false" ht="12.75" hidden="false" customHeight="false" outlineLevel="0" collapsed="false">
      <c r="A42" s="1"/>
      <c r="B42" s="2"/>
      <c r="C42" s="3"/>
      <c r="D42" s="1"/>
      <c r="E42" s="4"/>
      <c r="F42" s="2"/>
      <c r="G42" s="3"/>
      <c r="H42" s="5"/>
      <c r="I42" s="6"/>
      <c r="J42" s="3"/>
      <c r="K42" s="1"/>
      <c r="L42" s="1"/>
      <c r="M42" s="7"/>
      <c r="N42" s="7"/>
      <c r="O42" s="1"/>
      <c r="P42" s="1"/>
      <c r="Q42" s="1"/>
      <c r="R42" s="1"/>
      <c r="S42" s="1"/>
      <c r="T42" s="1"/>
      <c r="U42" s="1"/>
      <c r="V42" s="1"/>
      <c r="W42" s="1"/>
      <c r="X42" s="1"/>
    </row>
    <row r="43" customFormat="false" ht="12.75" hidden="false" customHeight="false" outlineLevel="0" collapsed="false">
      <c r="A43" s="1"/>
      <c r="B43" s="2"/>
      <c r="C43" s="3"/>
      <c r="D43" s="1"/>
      <c r="E43" s="4"/>
      <c r="F43" s="2"/>
      <c r="G43" s="3"/>
      <c r="H43" s="5"/>
      <c r="I43" s="6"/>
      <c r="J43" s="3"/>
      <c r="K43" s="1"/>
      <c r="L43" s="1"/>
      <c r="M43" s="7"/>
      <c r="N43" s="7"/>
      <c r="O43" s="1"/>
      <c r="P43" s="1"/>
      <c r="Q43" s="1"/>
      <c r="R43" s="1"/>
      <c r="S43" s="1"/>
      <c r="T43" s="1"/>
      <c r="U43" s="1"/>
      <c r="V43" s="1"/>
      <c r="W43" s="1"/>
      <c r="X43" s="1"/>
    </row>
    <row r="44" customFormat="false" ht="12.75" hidden="false" customHeight="false" outlineLevel="0" collapsed="false">
      <c r="A44" s="1"/>
      <c r="B44" s="2"/>
      <c r="C44" s="3"/>
      <c r="D44" s="1"/>
      <c r="E44" s="4"/>
      <c r="F44" s="2"/>
      <c r="G44" s="3"/>
      <c r="H44" s="5"/>
      <c r="I44" s="6"/>
      <c r="J44" s="3"/>
      <c r="K44" s="1"/>
      <c r="L44" s="1"/>
      <c r="M44" s="7"/>
      <c r="N44" s="7"/>
      <c r="O44" s="1"/>
      <c r="P44" s="1"/>
      <c r="Q44" s="1"/>
      <c r="R44" s="1"/>
      <c r="S44" s="1"/>
      <c r="T44" s="1"/>
      <c r="U44" s="1"/>
      <c r="V44" s="1"/>
      <c r="W44" s="1"/>
      <c r="X44" s="1"/>
    </row>
    <row r="45" customFormat="false" ht="12.75" hidden="false" customHeight="false" outlineLevel="0" collapsed="false">
      <c r="A45" s="1"/>
      <c r="B45" s="2"/>
      <c r="C45" s="3"/>
      <c r="D45" s="1"/>
      <c r="E45" s="4"/>
      <c r="F45" s="2"/>
      <c r="G45" s="3"/>
      <c r="H45" s="5"/>
      <c r="I45" s="6"/>
      <c r="J45" s="3"/>
      <c r="K45" s="1"/>
      <c r="L45" s="1"/>
      <c r="M45" s="7"/>
      <c r="N45" s="7"/>
      <c r="O45" s="1"/>
      <c r="P45" s="1"/>
      <c r="Q45" s="1"/>
      <c r="R45" s="1"/>
      <c r="S45" s="1"/>
      <c r="T45" s="1"/>
      <c r="U45" s="1"/>
      <c r="V45" s="1"/>
      <c r="W45" s="1"/>
      <c r="X45" s="1"/>
    </row>
    <row r="46" customFormat="false" ht="12.75" hidden="false" customHeight="false" outlineLevel="0" collapsed="false">
      <c r="A46" s="1"/>
      <c r="B46" s="2"/>
      <c r="C46" s="3"/>
      <c r="D46" s="1"/>
      <c r="E46" s="4"/>
      <c r="F46" s="2"/>
      <c r="G46" s="3"/>
      <c r="H46" s="5"/>
      <c r="I46" s="6"/>
      <c r="J46" s="3"/>
      <c r="K46" s="1"/>
      <c r="L46" s="1"/>
      <c r="M46" s="7"/>
      <c r="N46" s="7"/>
      <c r="O46" s="1"/>
      <c r="P46" s="1"/>
      <c r="Q46" s="1"/>
      <c r="R46" s="1"/>
      <c r="S46" s="1"/>
      <c r="T46" s="1"/>
      <c r="U46" s="1"/>
      <c r="V46" s="1"/>
      <c r="W46" s="1"/>
      <c r="X46" s="1"/>
    </row>
    <row r="47" customFormat="false" ht="12.75" hidden="false" customHeight="false" outlineLevel="0" collapsed="false">
      <c r="A47" s="1"/>
      <c r="B47" s="2"/>
      <c r="C47" s="3"/>
      <c r="D47" s="1"/>
      <c r="E47" s="4"/>
      <c r="F47" s="2"/>
      <c r="G47" s="3"/>
      <c r="H47" s="5"/>
      <c r="I47" s="6"/>
      <c r="J47" s="3"/>
      <c r="K47" s="1"/>
      <c r="L47" s="1"/>
      <c r="M47" s="7"/>
      <c r="N47" s="7"/>
      <c r="O47" s="1"/>
      <c r="P47" s="1"/>
      <c r="Q47" s="1"/>
      <c r="R47" s="1"/>
      <c r="S47" s="1"/>
      <c r="T47" s="1"/>
      <c r="U47" s="1"/>
      <c r="V47" s="1"/>
      <c r="W47" s="1"/>
      <c r="X47" s="1"/>
    </row>
    <row r="48" customFormat="false" ht="12.75" hidden="false" customHeight="false" outlineLevel="0" collapsed="false">
      <c r="A48" s="1"/>
      <c r="B48" s="2"/>
      <c r="C48" s="3"/>
      <c r="D48" s="1"/>
      <c r="E48" s="4"/>
      <c r="F48" s="2"/>
      <c r="G48" s="3"/>
      <c r="H48" s="5"/>
      <c r="I48" s="6"/>
      <c r="J48" s="3"/>
      <c r="K48" s="1"/>
      <c r="L48" s="1"/>
      <c r="M48" s="7"/>
      <c r="N48" s="7"/>
      <c r="O48" s="1"/>
      <c r="P48" s="1"/>
      <c r="Q48" s="1"/>
      <c r="R48" s="1"/>
      <c r="S48" s="1"/>
      <c r="T48" s="1"/>
      <c r="U48" s="1"/>
      <c r="V48" s="1"/>
      <c r="W48" s="1"/>
      <c r="X48" s="1"/>
    </row>
    <row r="49" customFormat="false" ht="12.75" hidden="false" customHeight="false" outlineLevel="0" collapsed="false">
      <c r="A49" s="1"/>
      <c r="B49" s="2"/>
      <c r="C49" s="3"/>
      <c r="D49" s="1"/>
      <c r="E49" s="4"/>
      <c r="F49" s="2"/>
      <c r="G49" s="3"/>
      <c r="H49" s="5"/>
      <c r="I49" s="6"/>
      <c r="J49" s="3"/>
      <c r="K49" s="1"/>
      <c r="L49" s="1"/>
      <c r="M49" s="7"/>
      <c r="N49" s="7"/>
      <c r="O49" s="1"/>
      <c r="P49" s="1"/>
      <c r="Q49" s="1"/>
      <c r="R49" s="1"/>
      <c r="S49" s="1"/>
      <c r="T49" s="1"/>
      <c r="U49" s="1"/>
      <c r="V49" s="1"/>
      <c r="W49" s="1"/>
      <c r="X49" s="1"/>
    </row>
    <row r="50" customFormat="false" ht="12.75" hidden="false" customHeight="false" outlineLevel="0" collapsed="false">
      <c r="A50" s="1"/>
      <c r="B50" s="2"/>
      <c r="C50" s="3"/>
      <c r="D50" s="1"/>
      <c r="E50" s="4"/>
      <c r="F50" s="2"/>
      <c r="G50" s="3"/>
      <c r="H50" s="5"/>
      <c r="I50" s="6"/>
      <c r="J50" s="3"/>
      <c r="K50" s="1"/>
      <c r="L50" s="1"/>
      <c r="M50" s="7"/>
      <c r="N50" s="7"/>
      <c r="O50" s="1"/>
      <c r="P50" s="1"/>
      <c r="Q50" s="1"/>
      <c r="R50" s="1"/>
      <c r="S50" s="1"/>
      <c r="T50" s="1"/>
      <c r="U50" s="1"/>
      <c r="V50" s="1"/>
      <c r="W50" s="1"/>
      <c r="X50" s="1"/>
    </row>
    <row r="51" customFormat="false" ht="12.75" hidden="false" customHeight="false" outlineLevel="0" collapsed="false">
      <c r="A51" s="1"/>
      <c r="B51" s="2"/>
      <c r="C51" s="3"/>
      <c r="D51" s="1"/>
      <c r="E51" s="4"/>
      <c r="F51" s="2"/>
      <c r="G51" s="3"/>
      <c r="H51" s="5"/>
      <c r="I51" s="6"/>
      <c r="J51" s="3"/>
      <c r="K51" s="1"/>
      <c r="L51" s="1"/>
      <c r="M51" s="7"/>
      <c r="N51" s="7"/>
      <c r="O51" s="1"/>
      <c r="P51" s="1"/>
      <c r="Q51" s="1"/>
      <c r="R51" s="1"/>
      <c r="S51" s="1"/>
      <c r="T51" s="1"/>
      <c r="U51" s="1"/>
      <c r="V51" s="1"/>
      <c r="W51" s="1"/>
      <c r="X51" s="1"/>
    </row>
    <row r="52" customFormat="false" ht="12.75" hidden="false" customHeight="false" outlineLevel="0" collapsed="false">
      <c r="A52" s="1"/>
      <c r="B52" s="2"/>
      <c r="C52" s="3"/>
      <c r="D52" s="1"/>
      <c r="E52" s="4"/>
      <c r="F52" s="2"/>
      <c r="G52" s="3"/>
      <c r="H52" s="5"/>
      <c r="I52" s="6"/>
      <c r="J52" s="3"/>
      <c r="K52" s="1"/>
      <c r="L52" s="1"/>
      <c r="M52" s="7"/>
      <c r="N52" s="7"/>
      <c r="O52" s="1"/>
      <c r="P52" s="1"/>
      <c r="Q52" s="1"/>
      <c r="R52" s="1"/>
      <c r="S52" s="1"/>
      <c r="T52" s="1"/>
      <c r="U52" s="1"/>
      <c r="V52" s="1"/>
      <c r="W52" s="1"/>
      <c r="X52" s="1"/>
    </row>
    <row r="53" customFormat="false" ht="12.75" hidden="false" customHeight="false" outlineLevel="0" collapsed="false">
      <c r="A53" s="1"/>
      <c r="B53" s="2"/>
      <c r="C53" s="3"/>
      <c r="D53" s="1"/>
      <c r="E53" s="4"/>
      <c r="F53" s="2"/>
      <c r="G53" s="3"/>
      <c r="H53" s="5"/>
      <c r="I53" s="6"/>
      <c r="J53" s="3"/>
      <c r="K53" s="1"/>
      <c r="L53" s="1"/>
      <c r="M53" s="7"/>
      <c r="N53" s="7"/>
      <c r="O53" s="1"/>
      <c r="P53" s="1"/>
      <c r="Q53" s="1"/>
      <c r="R53" s="1"/>
      <c r="S53" s="1"/>
      <c r="T53" s="1"/>
      <c r="U53" s="1"/>
      <c r="V53" s="1"/>
      <c r="W53" s="1"/>
      <c r="X53" s="1"/>
    </row>
    <row r="54" customFormat="false" ht="12.75" hidden="false" customHeight="false" outlineLevel="0" collapsed="false">
      <c r="A54" s="1"/>
      <c r="B54" s="2"/>
      <c r="C54" s="3"/>
      <c r="D54" s="1"/>
      <c r="E54" s="4"/>
      <c r="F54" s="2"/>
      <c r="G54" s="3"/>
      <c r="H54" s="5"/>
      <c r="I54" s="6"/>
      <c r="J54" s="3"/>
      <c r="K54" s="1"/>
      <c r="L54" s="1"/>
      <c r="M54" s="7"/>
      <c r="N54" s="7"/>
      <c r="O54" s="1"/>
      <c r="P54" s="1"/>
      <c r="Q54" s="1"/>
      <c r="R54" s="1"/>
      <c r="S54" s="1"/>
      <c r="T54" s="1"/>
      <c r="U54" s="1"/>
      <c r="V54" s="1"/>
      <c r="W54" s="1"/>
      <c r="X54" s="1"/>
    </row>
    <row r="55" customFormat="false" ht="12.75" hidden="false" customHeight="false" outlineLevel="0" collapsed="false">
      <c r="A55" s="1"/>
      <c r="B55" s="2"/>
      <c r="C55" s="3"/>
      <c r="D55" s="1"/>
      <c r="E55" s="4"/>
      <c r="F55" s="2"/>
      <c r="G55" s="3"/>
      <c r="H55" s="5"/>
      <c r="I55" s="6"/>
      <c r="J55" s="3"/>
      <c r="K55" s="1"/>
      <c r="L55" s="1"/>
      <c r="M55" s="7"/>
      <c r="N55" s="7"/>
      <c r="O55" s="1"/>
      <c r="P55" s="1"/>
      <c r="Q55" s="1"/>
      <c r="R55" s="1"/>
      <c r="S55" s="1"/>
      <c r="T55" s="1"/>
      <c r="U55" s="1"/>
      <c r="V55" s="1"/>
      <c r="W55" s="1"/>
      <c r="X55" s="1"/>
    </row>
    <row r="56" customFormat="false" ht="12.75" hidden="false" customHeight="false" outlineLevel="0" collapsed="false">
      <c r="A56" s="1"/>
      <c r="B56" s="2"/>
      <c r="C56" s="3"/>
      <c r="D56" s="1"/>
      <c r="E56" s="4"/>
      <c r="F56" s="2"/>
      <c r="G56" s="3"/>
      <c r="H56" s="5"/>
      <c r="I56" s="6"/>
      <c r="J56" s="3"/>
      <c r="K56" s="1"/>
      <c r="L56" s="1"/>
      <c r="M56" s="7"/>
      <c r="N56" s="7"/>
      <c r="O56" s="1"/>
      <c r="P56" s="1"/>
      <c r="Q56" s="1"/>
      <c r="R56" s="1"/>
      <c r="S56" s="1"/>
      <c r="T56" s="1"/>
      <c r="U56" s="1"/>
      <c r="V56" s="1"/>
      <c r="W56" s="1"/>
      <c r="X56" s="1"/>
    </row>
    <row r="57" customFormat="false" ht="12.75" hidden="false" customHeight="false" outlineLevel="0" collapsed="false">
      <c r="A57" s="1"/>
      <c r="B57" s="2"/>
      <c r="C57" s="3"/>
      <c r="D57" s="1"/>
      <c r="E57" s="4"/>
      <c r="F57" s="2"/>
      <c r="G57" s="3"/>
      <c r="H57" s="5"/>
      <c r="I57" s="6"/>
      <c r="J57" s="3"/>
      <c r="K57" s="1"/>
      <c r="L57" s="1"/>
      <c r="M57" s="7"/>
      <c r="N57" s="7"/>
      <c r="O57" s="1"/>
      <c r="P57" s="1"/>
      <c r="Q57" s="1"/>
      <c r="R57" s="1"/>
      <c r="S57" s="1"/>
      <c r="T57" s="1"/>
      <c r="U57" s="1"/>
      <c r="V57" s="1"/>
      <c r="W57" s="1"/>
      <c r="X57" s="1"/>
    </row>
    <row r="58" customFormat="false" ht="12.75" hidden="false" customHeight="false" outlineLevel="0" collapsed="false">
      <c r="A58" s="1"/>
      <c r="B58" s="2"/>
      <c r="C58" s="3"/>
      <c r="D58" s="1"/>
      <c r="E58" s="4"/>
      <c r="F58" s="2"/>
      <c r="G58" s="3"/>
      <c r="H58" s="5"/>
      <c r="I58" s="6"/>
      <c r="J58" s="3"/>
      <c r="K58" s="1"/>
      <c r="L58" s="1"/>
      <c r="M58" s="7"/>
      <c r="N58" s="7"/>
      <c r="O58" s="1"/>
      <c r="P58" s="1"/>
      <c r="Q58" s="1"/>
      <c r="R58" s="1"/>
      <c r="S58" s="1"/>
      <c r="T58" s="1"/>
      <c r="U58" s="1"/>
      <c r="V58" s="1"/>
      <c r="W58" s="1"/>
      <c r="X58" s="1"/>
    </row>
    <row r="59" customFormat="false" ht="12.75" hidden="false" customHeight="false" outlineLevel="0" collapsed="false">
      <c r="A59" s="1"/>
      <c r="B59" s="2"/>
      <c r="C59" s="3"/>
      <c r="D59" s="1"/>
      <c r="E59" s="4"/>
      <c r="F59" s="2"/>
      <c r="G59" s="3"/>
      <c r="H59" s="5"/>
      <c r="I59" s="6"/>
      <c r="J59" s="3"/>
      <c r="K59" s="1"/>
      <c r="L59" s="1"/>
      <c r="M59" s="7"/>
      <c r="N59" s="7"/>
      <c r="O59" s="1"/>
      <c r="P59" s="1"/>
      <c r="Q59" s="1"/>
      <c r="R59" s="1"/>
      <c r="S59" s="1"/>
      <c r="T59" s="1"/>
      <c r="U59" s="1"/>
      <c r="V59" s="1"/>
      <c r="W59" s="1"/>
      <c r="X59" s="1"/>
    </row>
    <row r="60" customFormat="false" ht="12.75" hidden="false" customHeight="false" outlineLevel="0" collapsed="false">
      <c r="A60" s="1"/>
      <c r="B60" s="2"/>
      <c r="C60" s="3"/>
      <c r="D60" s="1"/>
      <c r="E60" s="4"/>
      <c r="F60" s="2"/>
      <c r="G60" s="3"/>
      <c r="H60" s="5"/>
      <c r="I60" s="6"/>
      <c r="J60" s="3"/>
      <c r="K60" s="1"/>
      <c r="L60" s="1"/>
      <c r="M60" s="7"/>
      <c r="N60" s="7"/>
      <c r="O60" s="1"/>
      <c r="P60" s="1"/>
      <c r="Q60" s="1"/>
      <c r="R60" s="1"/>
      <c r="S60" s="1"/>
      <c r="T60" s="1"/>
      <c r="U60" s="1"/>
      <c r="V60" s="1"/>
      <c r="W60" s="1"/>
      <c r="X60" s="1"/>
    </row>
    <row r="61" customFormat="false" ht="12.75" hidden="false" customHeight="false" outlineLevel="0" collapsed="false">
      <c r="A61" s="1"/>
      <c r="B61" s="2"/>
      <c r="C61" s="3"/>
      <c r="D61" s="1"/>
      <c r="E61" s="4"/>
      <c r="F61" s="2"/>
      <c r="G61" s="3"/>
      <c r="H61" s="5"/>
      <c r="I61" s="6"/>
      <c r="J61" s="3"/>
      <c r="K61" s="1"/>
      <c r="L61" s="1"/>
      <c r="M61" s="7"/>
      <c r="N61" s="7"/>
      <c r="O61" s="1"/>
      <c r="P61" s="1"/>
      <c r="Q61" s="1"/>
      <c r="R61" s="1"/>
      <c r="S61" s="1"/>
      <c r="T61" s="1"/>
      <c r="U61" s="1"/>
      <c r="V61" s="1"/>
      <c r="W61" s="1"/>
      <c r="X61" s="1"/>
    </row>
    <row r="62" customFormat="false" ht="12.75" hidden="false" customHeight="false" outlineLevel="0" collapsed="false">
      <c r="A62" s="1"/>
      <c r="B62" s="2"/>
      <c r="C62" s="3"/>
      <c r="D62" s="1"/>
      <c r="E62" s="4"/>
      <c r="F62" s="2"/>
      <c r="G62" s="3"/>
      <c r="H62" s="5"/>
      <c r="I62" s="6"/>
      <c r="J62" s="3"/>
      <c r="K62" s="1"/>
      <c r="L62" s="1"/>
      <c r="M62" s="7"/>
      <c r="N62" s="7"/>
      <c r="O62" s="1"/>
      <c r="P62" s="1"/>
      <c r="Q62" s="1"/>
      <c r="R62" s="1"/>
      <c r="S62" s="1"/>
      <c r="T62" s="1"/>
      <c r="U62" s="1"/>
      <c r="V62" s="1"/>
      <c r="W62" s="1"/>
      <c r="X62" s="1"/>
    </row>
    <row r="63" customFormat="false" ht="12.75" hidden="false" customHeight="false" outlineLevel="0" collapsed="false">
      <c r="A63" s="1"/>
      <c r="B63" s="2"/>
      <c r="C63" s="3"/>
      <c r="D63" s="1"/>
      <c r="E63" s="4"/>
      <c r="F63" s="2"/>
      <c r="G63" s="3"/>
      <c r="H63" s="5"/>
      <c r="I63" s="6"/>
      <c r="J63" s="3"/>
      <c r="K63" s="1"/>
      <c r="L63" s="1"/>
      <c r="M63" s="7"/>
      <c r="N63" s="7"/>
      <c r="O63" s="1"/>
      <c r="P63" s="1"/>
      <c r="Q63" s="1"/>
      <c r="R63" s="1"/>
      <c r="S63" s="1"/>
      <c r="T63" s="1"/>
      <c r="U63" s="1"/>
      <c r="V63" s="1"/>
      <c r="W63" s="1"/>
      <c r="X63" s="1"/>
    </row>
    <row r="64" customFormat="false" ht="12.75" hidden="false" customHeight="false" outlineLevel="0" collapsed="false">
      <c r="A64" s="1"/>
      <c r="B64" s="2"/>
      <c r="C64" s="3"/>
      <c r="D64" s="1"/>
      <c r="E64" s="4"/>
      <c r="F64" s="2"/>
      <c r="G64" s="3"/>
      <c r="H64" s="5"/>
      <c r="I64" s="6"/>
      <c r="J64" s="3"/>
      <c r="K64" s="1"/>
      <c r="L64" s="1"/>
      <c r="M64" s="7"/>
      <c r="N64" s="7"/>
      <c r="O64" s="1"/>
      <c r="P64" s="1"/>
      <c r="Q64" s="1"/>
      <c r="R64" s="1"/>
      <c r="S64" s="1"/>
      <c r="T64" s="1"/>
      <c r="U64" s="1"/>
      <c r="V64" s="1"/>
      <c r="W64" s="1"/>
      <c r="X64" s="1"/>
    </row>
    <row r="65" customFormat="false" ht="12.75" hidden="false" customHeight="false" outlineLevel="0" collapsed="false">
      <c r="A65" s="1"/>
      <c r="B65" s="2"/>
      <c r="C65" s="3"/>
      <c r="D65" s="1"/>
      <c r="E65" s="4"/>
      <c r="F65" s="2"/>
      <c r="G65" s="3"/>
      <c r="H65" s="5"/>
      <c r="I65" s="6"/>
      <c r="J65" s="3"/>
      <c r="K65" s="1"/>
      <c r="L65" s="1"/>
      <c r="M65" s="7"/>
      <c r="N65" s="7"/>
      <c r="O65" s="1"/>
      <c r="P65" s="1"/>
      <c r="Q65" s="1"/>
      <c r="R65" s="1"/>
      <c r="S65" s="1"/>
      <c r="T65" s="1"/>
      <c r="U65" s="1"/>
      <c r="V65" s="1"/>
      <c r="W65" s="1"/>
      <c r="X65" s="1"/>
    </row>
    <row r="66" customFormat="false" ht="12.75" hidden="false" customHeight="false" outlineLevel="0" collapsed="false">
      <c r="A66" s="1"/>
      <c r="B66" s="2"/>
      <c r="C66" s="3"/>
      <c r="D66" s="1"/>
      <c r="E66" s="4"/>
      <c r="F66" s="2"/>
      <c r="G66" s="3"/>
      <c r="H66" s="5"/>
      <c r="I66" s="6"/>
      <c r="J66" s="3"/>
      <c r="K66" s="1"/>
      <c r="L66" s="1"/>
      <c r="M66" s="7"/>
      <c r="N66" s="7"/>
      <c r="O66" s="1"/>
      <c r="P66" s="1"/>
      <c r="Q66" s="1"/>
      <c r="R66" s="1"/>
      <c r="S66" s="1"/>
      <c r="T66" s="1"/>
      <c r="U66" s="1"/>
      <c r="V66" s="1"/>
      <c r="W66" s="1"/>
      <c r="X66" s="1"/>
    </row>
    <row r="67" customFormat="false" ht="12.75" hidden="false" customHeight="false" outlineLevel="0" collapsed="false">
      <c r="A67" s="1"/>
      <c r="B67" s="2"/>
      <c r="C67" s="3"/>
      <c r="D67" s="1"/>
      <c r="E67" s="4"/>
      <c r="F67" s="2"/>
      <c r="G67" s="3"/>
      <c r="H67" s="5"/>
      <c r="I67" s="6"/>
      <c r="J67" s="3"/>
      <c r="K67" s="1"/>
      <c r="L67" s="1"/>
      <c r="M67" s="7"/>
      <c r="N67" s="7"/>
      <c r="O67" s="1"/>
      <c r="P67" s="1"/>
      <c r="Q67" s="1"/>
      <c r="R67" s="1"/>
      <c r="S67" s="1"/>
      <c r="T67" s="1"/>
      <c r="U67" s="1"/>
      <c r="V67" s="1"/>
      <c r="W67" s="1"/>
      <c r="X67" s="1"/>
    </row>
    <row r="68" customFormat="false" ht="12.75" hidden="false" customHeight="false" outlineLevel="0" collapsed="false">
      <c r="A68" s="1"/>
      <c r="B68" s="2"/>
      <c r="C68" s="3"/>
      <c r="D68" s="1"/>
      <c r="E68" s="4"/>
      <c r="F68" s="2"/>
      <c r="G68" s="3"/>
      <c r="H68" s="5"/>
      <c r="I68" s="6"/>
      <c r="J68" s="3"/>
      <c r="K68" s="1"/>
      <c r="L68" s="1"/>
      <c r="M68" s="7"/>
      <c r="N68" s="7"/>
      <c r="O68" s="1"/>
      <c r="P68" s="1"/>
      <c r="Q68" s="1"/>
      <c r="R68" s="1"/>
      <c r="S68" s="1"/>
      <c r="T68" s="1"/>
      <c r="U68" s="1"/>
      <c r="V68" s="1"/>
      <c r="W68" s="1"/>
      <c r="X68" s="1"/>
    </row>
    <row r="69" customFormat="false" ht="12.75" hidden="false" customHeight="false" outlineLevel="0" collapsed="false">
      <c r="A69" s="1"/>
      <c r="B69" s="2"/>
      <c r="C69" s="3"/>
      <c r="D69" s="1"/>
      <c r="E69" s="4"/>
      <c r="F69" s="2"/>
      <c r="G69" s="3"/>
      <c r="H69" s="5"/>
      <c r="I69" s="6"/>
      <c r="J69" s="3"/>
      <c r="K69" s="1"/>
      <c r="L69" s="1"/>
      <c r="M69" s="7"/>
      <c r="N69" s="7"/>
      <c r="O69" s="1"/>
      <c r="P69" s="1"/>
      <c r="Q69" s="1"/>
      <c r="R69" s="1"/>
      <c r="S69" s="1"/>
      <c r="T69" s="1"/>
      <c r="U69" s="1"/>
      <c r="V69" s="1"/>
      <c r="W69" s="1"/>
      <c r="X69" s="1"/>
    </row>
    <row r="70" customFormat="false" ht="12.75" hidden="false" customHeight="false" outlineLevel="0" collapsed="false">
      <c r="A70" s="1"/>
      <c r="B70" s="2"/>
      <c r="C70" s="3"/>
      <c r="D70" s="1"/>
      <c r="E70" s="4"/>
      <c r="F70" s="2"/>
      <c r="G70" s="3"/>
      <c r="H70" s="5"/>
      <c r="I70" s="6"/>
      <c r="J70" s="3"/>
      <c r="K70" s="1"/>
      <c r="L70" s="1"/>
      <c r="M70" s="7"/>
      <c r="N70" s="7"/>
      <c r="O70" s="1"/>
      <c r="P70" s="1"/>
      <c r="Q70" s="1"/>
      <c r="R70" s="1"/>
      <c r="S70" s="1"/>
      <c r="T70" s="1"/>
      <c r="U70" s="1"/>
      <c r="V70" s="1"/>
      <c r="W70" s="1"/>
      <c r="X70" s="1"/>
    </row>
    <row r="71" customFormat="false" ht="12.75" hidden="false" customHeight="false" outlineLevel="0" collapsed="false">
      <c r="A71" s="1"/>
      <c r="B71" s="2"/>
      <c r="C71" s="3"/>
      <c r="D71" s="1"/>
      <c r="E71" s="4"/>
      <c r="F71" s="2"/>
      <c r="G71" s="3"/>
      <c r="H71" s="5"/>
      <c r="I71" s="6"/>
      <c r="J71" s="3"/>
      <c r="K71" s="1"/>
      <c r="L71" s="1"/>
      <c r="M71" s="7"/>
      <c r="N71" s="7"/>
      <c r="O71" s="1"/>
      <c r="P71" s="1"/>
      <c r="Q71" s="1"/>
      <c r="R71" s="1"/>
      <c r="S71" s="1"/>
      <c r="T71" s="1"/>
      <c r="U71" s="1"/>
      <c r="V71" s="1"/>
      <c r="W71" s="1"/>
      <c r="X71" s="1"/>
    </row>
    <row r="72" customFormat="false" ht="12.75" hidden="false" customHeight="false" outlineLevel="0" collapsed="false">
      <c r="A72" s="1"/>
      <c r="B72" s="2"/>
      <c r="C72" s="3"/>
      <c r="D72" s="1"/>
      <c r="E72" s="4"/>
      <c r="F72" s="2"/>
      <c r="G72" s="3"/>
      <c r="H72" s="5"/>
      <c r="I72" s="6"/>
      <c r="J72" s="3"/>
      <c r="K72" s="1"/>
      <c r="L72" s="1"/>
      <c r="M72" s="7"/>
      <c r="N72" s="7"/>
      <c r="O72" s="1"/>
      <c r="P72" s="1"/>
      <c r="Q72" s="1"/>
      <c r="R72" s="1"/>
      <c r="S72" s="1"/>
      <c r="T72" s="1"/>
      <c r="U72" s="1"/>
      <c r="V72" s="1"/>
      <c r="W72" s="1"/>
      <c r="X72" s="1"/>
    </row>
    <row r="73" customFormat="false" ht="12.75" hidden="false" customHeight="false" outlineLevel="0" collapsed="false">
      <c r="A73" s="1"/>
      <c r="B73" s="2"/>
      <c r="C73" s="3"/>
      <c r="D73" s="1"/>
      <c r="E73" s="4"/>
      <c r="F73" s="2"/>
      <c r="G73" s="3"/>
      <c r="H73" s="5"/>
      <c r="I73" s="6"/>
      <c r="J73" s="3"/>
      <c r="K73" s="1"/>
      <c r="L73" s="1"/>
      <c r="M73" s="7"/>
      <c r="N73" s="7"/>
      <c r="O73" s="1"/>
      <c r="P73" s="1"/>
      <c r="Q73" s="1"/>
      <c r="R73" s="1"/>
      <c r="S73" s="1"/>
      <c r="T73" s="1"/>
      <c r="U73" s="1"/>
      <c r="V73" s="1"/>
      <c r="W73" s="1"/>
      <c r="X73" s="1"/>
    </row>
    <row r="74" customFormat="false" ht="12.75" hidden="false" customHeight="false" outlineLevel="0" collapsed="false">
      <c r="A74" s="1"/>
      <c r="B74" s="2"/>
      <c r="C74" s="3"/>
      <c r="D74" s="1"/>
      <c r="E74" s="4"/>
      <c r="F74" s="2"/>
      <c r="G74" s="3"/>
      <c r="H74" s="5"/>
      <c r="I74" s="6"/>
      <c r="J74" s="3"/>
      <c r="K74" s="1"/>
      <c r="L74" s="1"/>
      <c r="M74" s="7"/>
      <c r="N74" s="7"/>
      <c r="O74" s="1"/>
      <c r="P74" s="1"/>
      <c r="Q74" s="1"/>
      <c r="R74" s="1"/>
      <c r="S74" s="1"/>
      <c r="T74" s="1"/>
      <c r="U74" s="1"/>
      <c r="V74" s="1"/>
      <c r="W74" s="1"/>
      <c r="X74" s="1"/>
    </row>
    <row r="75" customFormat="false" ht="12.75" hidden="false" customHeight="false" outlineLevel="0" collapsed="false">
      <c r="A75" s="1"/>
      <c r="B75" s="2"/>
      <c r="C75" s="3"/>
      <c r="D75" s="1"/>
      <c r="E75" s="4"/>
      <c r="F75" s="2"/>
      <c r="G75" s="3"/>
      <c r="H75" s="5"/>
      <c r="I75" s="6"/>
      <c r="J75" s="3"/>
      <c r="K75" s="1"/>
      <c r="L75" s="1"/>
      <c r="M75" s="7"/>
      <c r="N75" s="7"/>
      <c r="O75" s="1"/>
      <c r="P75" s="1"/>
      <c r="Q75" s="1"/>
      <c r="R75" s="1"/>
      <c r="S75" s="1"/>
      <c r="T75" s="1"/>
      <c r="U75" s="1"/>
      <c r="V75" s="1"/>
      <c r="W75" s="1"/>
      <c r="X75" s="1"/>
    </row>
    <row r="76" customFormat="false" ht="12.75" hidden="false" customHeight="false" outlineLevel="0" collapsed="false">
      <c r="A76" s="1"/>
      <c r="B76" s="2"/>
      <c r="C76" s="3"/>
      <c r="D76" s="1"/>
      <c r="E76" s="4"/>
      <c r="F76" s="2"/>
      <c r="G76" s="3"/>
      <c r="H76" s="5"/>
      <c r="I76" s="6"/>
      <c r="J76" s="3"/>
      <c r="K76" s="1"/>
      <c r="L76" s="1"/>
      <c r="M76" s="7"/>
      <c r="N76" s="7"/>
      <c r="O76" s="1"/>
      <c r="P76" s="1"/>
      <c r="Q76" s="1"/>
      <c r="R76" s="1"/>
      <c r="S76" s="1"/>
      <c r="T76" s="1"/>
      <c r="U76" s="1"/>
      <c r="V76" s="1"/>
      <c r="W76" s="1"/>
      <c r="X76" s="1"/>
    </row>
    <row r="77" customFormat="false" ht="12.75" hidden="false" customHeight="false" outlineLevel="0" collapsed="false">
      <c r="A77" s="1"/>
      <c r="B77" s="2"/>
      <c r="C77" s="3"/>
      <c r="D77" s="1"/>
      <c r="E77" s="4"/>
      <c r="F77" s="2"/>
      <c r="G77" s="3"/>
      <c r="H77" s="5"/>
      <c r="I77" s="6"/>
      <c r="J77" s="3"/>
      <c r="K77" s="1"/>
      <c r="L77" s="1"/>
      <c r="M77" s="7"/>
      <c r="N77" s="7"/>
      <c r="O77" s="1"/>
      <c r="P77" s="1"/>
      <c r="Q77" s="1"/>
      <c r="R77" s="1"/>
      <c r="S77" s="1"/>
      <c r="T77" s="1"/>
      <c r="U77" s="1"/>
      <c r="V77" s="1"/>
      <c r="W77" s="1"/>
      <c r="X77" s="1"/>
    </row>
    <row r="78" customFormat="false" ht="12.75" hidden="false" customHeight="false" outlineLevel="0" collapsed="false">
      <c r="A78" s="1"/>
      <c r="B78" s="2"/>
      <c r="C78" s="3"/>
      <c r="D78" s="1"/>
      <c r="E78" s="4"/>
      <c r="F78" s="2"/>
      <c r="G78" s="3"/>
      <c r="H78" s="5"/>
      <c r="I78" s="6"/>
      <c r="J78" s="3"/>
      <c r="K78" s="1"/>
      <c r="L78" s="1"/>
      <c r="M78" s="7"/>
      <c r="N78" s="7"/>
      <c r="O78" s="1"/>
      <c r="P78" s="1"/>
      <c r="Q78" s="1"/>
      <c r="R78" s="1"/>
      <c r="S78" s="1"/>
      <c r="T78" s="1"/>
      <c r="U78" s="1"/>
      <c r="V78" s="1"/>
      <c r="W78" s="1"/>
      <c r="X78" s="1"/>
    </row>
    <row r="79" customFormat="false" ht="12.75" hidden="false" customHeight="false" outlineLevel="0" collapsed="false">
      <c r="A79" s="1"/>
      <c r="B79" s="2"/>
      <c r="C79" s="3"/>
      <c r="D79" s="1"/>
      <c r="E79" s="4"/>
      <c r="F79" s="2"/>
      <c r="G79" s="3"/>
      <c r="H79" s="5"/>
      <c r="I79" s="6"/>
      <c r="J79" s="3"/>
      <c r="K79" s="1"/>
      <c r="L79" s="1"/>
      <c r="M79" s="7"/>
      <c r="N79" s="7"/>
      <c r="O79" s="1"/>
      <c r="P79" s="1"/>
      <c r="Q79" s="1"/>
      <c r="R79" s="1"/>
      <c r="S79" s="1"/>
      <c r="T79" s="1"/>
      <c r="U79" s="1"/>
      <c r="V79" s="1"/>
      <c r="W79" s="1"/>
      <c r="X79" s="1"/>
    </row>
    <row r="80" customFormat="false" ht="12.75" hidden="false" customHeight="false" outlineLevel="0" collapsed="false">
      <c r="A80" s="1"/>
      <c r="B80" s="2"/>
      <c r="C80" s="3"/>
      <c r="D80" s="1"/>
      <c r="E80" s="4"/>
      <c r="F80" s="2"/>
      <c r="G80" s="3"/>
      <c r="H80" s="5"/>
      <c r="I80" s="6"/>
      <c r="J80" s="3"/>
      <c r="K80" s="1"/>
      <c r="L80" s="1"/>
      <c r="M80" s="7"/>
      <c r="N80" s="7"/>
      <c r="O80" s="1"/>
      <c r="P80" s="1"/>
      <c r="Q80" s="1"/>
      <c r="R80" s="1"/>
      <c r="S80" s="1"/>
      <c r="T80" s="1"/>
      <c r="U80" s="1"/>
      <c r="V80" s="1"/>
      <c r="W80" s="1"/>
      <c r="X80" s="1"/>
    </row>
    <row r="81" customFormat="false" ht="12.75" hidden="false" customHeight="false" outlineLevel="0" collapsed="false">
      <c r="A81" s="1"/>
      <c r="B81" s="2"/>
      <c r="C81" s="3"/>
      <c r="D81" s="1"/>
      <c r="E81" s="4"/>
      <c r="F81" s="2"/>
      <c r="G81" s="3"/>
      <c r="H81" s="5"/>
      <c r="I81" s="6"/>
      <c r="J81" s="3"/>
      <c r="K81" s="1"/>
      <c r="L81" s="1"/>
      <c r="M81" s="7"/>
      <c r="N81" s="7"/>
      <c r="O81" s="1"/>
      <c r="P81" s="1"/>
      <c r="Q81" s="1"/>
      <c r="R81" s="1"/>
      <c r="S81" s="1"/>
      <c r="T81" s="1"/>
      <c r="U81" s="1"/>
      <c r="V81" s="1"/>
      <c r="W81" s="1"/>
      <c r="X81" s="1"/>
    </row>
    <row r="82" customFormat="false" ht="12.75" hidden="false" customHeight="false" outlineLevel="0" collapsed="false">
      <c r="A82" s="1"/>
      <c r="B82" s="2"/>
      <c r="C82" s="3"/>
      <c r="D82" s="1"/>
      <c r="E82" s="4"/>
      <c r="F82" s="2"/>
      <c r="G82" s="3"/>
      <c r="H82" s="5"/>
      <c r="I82" s="6"/>
      <c r="J82" s="3"/>
      <c r="K82" s="1"/>
      <c r="L82" s="1"/>
      <c r="M82" s="7"/>
      <c r="N82" s="7"/>
      <c r="O82" s="1"/>
      <c r="P82" s="1"/>
      <c r="Q82" s="1"/>
      <c r="R82" s="1"/>
      <c r="S82" s="1"/>
      <c r="T82" s="1"/>
      <c r="U82" s="1"/>
      <c r="V82" s="1"/>
      <c r="W82" s="1"/>
      <c r="X82" s="1"/>
    </row>
    <row r="83" customFormat="false" ht="12.75" hidden="false" customHeight="false" outlineLevel="0" collapsed="false">
      <c r="A83" s="1"/>
      <c r="B83" s="2"/>
      <c r="C83" s="3"/>
      <c r="D83" s="1"/>
      <c r="E83" s="4"/>
      <c r="F83" s="2"/>
      <c r="G83" s="3"/>
      <c r="H83" s="5"/>
      <c r="I83" s="6"/>
      <c r="J83" s="3"/>
      <c r="K83" s="1"/>
      <c r="L83" s="1"/>
      <c r="M83" s="7"/>
      <c r="N83" s="7"/>
      <c r="O83" s="1"/>
      <c r="P83" s="1"/>
      <c r="Q83" s="1"/>
      <c r="R83" s="1"/>
      <c r="S83" s="1"/>
      <c r="T83" s="1"/>
      <c r="U83" s="1"/>
      <c r="V83" s="1"/>
      <c r="W83" s="1"/>
      <c r="X83" s="1"/>
    </row>
    <row r="84" customFormat="false" ht="12.75" hidden="false" customHeight="false" outlineLevel="0" collapsed="false">
      <c r="A84" s="1"/>
      <c r="B84" s="2"/>
      <c r="C84" s="3"/>
      <c r="D84" s="1"/>
      <c r="E84" s="4"/>
      <c r="F84" s="2"/>
      <c r="G84" s="3"/>
      <c r="H84" s="5"/>
      <c r="I84" s="6"/>
      <c r="J84" s="3"/>
      <c r="K84" s="1"/>
      <c r="L84" s="1"/>
      <c r="M84" s="7"/>
      <c r="N84" s="7"/>
      <c r="O84" s="1"/>
      <c r="P84" s="1"/>
      <c r="Q84" s="1"/>
      <c r="R84" s="1"/>
      <c r="S84" s="1"/>
      <c r="T84" s="1"/>
      <c r="U84" s="1"/>
      <c r="V84" s="1"/>
      <c r="W84" s="1"/>
      <c r="X84" s="1"/>
    </row>
    <row r="85" customFormat="false" ht="12.75" hidden="false" customHeight="false" outlineLevel="0" collapsed="false">
      <c r="A85" s="1"/>
      <c r="B85" s="2"/>
      <c r="C85" s="3"/>
      <c r="D85" s="1"/>
      <c r="E85" s="4"/>
      <c r="F85" s="2"/>
      <c r="G85" s="3"/>
      <c r="H85" s="5"/>
      <c r="I85" s="6"/>
      <c r="J85" s="3"/>
      <c r="K85" s="1"/>
      <c r="L85" s="1"/>
      <c r="M85" s="7"/>
      <c r="N85" s="7"/>
      <c r="O85" s="1"/>
      <c r="P85" s="1"/>
      <c r="Q85" s="1"/>
      <c r="R85" s="1"/>
      <c r="S85" s="1"/>
      <c r="T85" s="1"/>
      <c r="U85" s="1"/>
      <c r="V85" s="1"/>
      <c r="W85" s="1"/>
      <c r="X85" s="1"/>
    </row>
    <row r="86" customFormat="false" ht="12.75" hidden="false" customHeight="false" outlineLevel="0" collapsed="false">
      <c r="A86" s="1"/>
      <c r="B86" s="2"/>
      <c r="C86" s="3"/>
      <c r="D86" s="1"/>
      <c r="E86" s="4"/>
      <c r="F86" s="2"/>
      <c r="G86" s="3"/>
      <c r="H86" s="5"/>
      <c r="I86" s="6"/>
      <c r="J86" s="3"/>
      <c r="K86" s="1"/>
      <c r="L86" s="1"/>
      <c r="M86" s="7"/>
      <c r="N86" s="7"/>
      <c r="O86" s="1"/>
      <c r="P86" s="1"/>
      <c r="Q86" s="1"/>
      <c r="R86" s="1"/>
      <c r="S86" s="1"/>
      <c r="T86" s="1"/>
      <c r="U86" s="1"/>
      <c r="V86" s="1"/>
      <c r="W86" s="1"/>
      <c r="X86" s="1"/>
    </row>
    <row r="87" customFormat="false" ht="12.75" hidden="false" customHeight="false" outlineLevel="0" collapsed="false">
      <c r="A87" s="1"/>
      <c r="B87" s="2"/>
      <c r="C87" s="3"/>
      <c r="D87" s="1"/>
      <c r="E87" s="4"/>
      <c r="F87" s="2"/>
      <c r="G87" s="3"/>
      <c r="H87" s="5"/>
      <c r="I87" s="6"/>
      <c r="J87" s="3"/>
      <c r="K87" s="1"/>
      <c r="L87" s="1"/>
      <c r="M87" s="7"/>
      <c r="N87" s="7"/>
      <c r="O87" s="1"/>
      <c r="P87" s="1"/>
      <c r="Q87" s="1"/>
      <c r="R87" s="1"/>
      <c r="S87" s="1"/>
      <c r="T87" s="1"/>
      <c r="U87" s="1"/>
      <c r="V87" s="1"/>
      <c r="W87" s="1"/>
      <c r="X87" s="1"/>
    </row>
    <row r="88" customFormat="false" ht="12.75" hidden="false" customHeight="false" outlineLevel="0" collapsed="false">
      <c r="A88" s="1"/>
      <c r="B88" s="2"/>
      <c r="C88" s="3"/>
      <c r="D88" s="1"/>
      <c r="E88" s="4"/>
      <c r="F88" s="2"/>
      <c r="G88" s="3"/>
      <c r="H88" s="5"/>
      <c r="I88" s="6"/>
      <c r="J88" s="3"/>
      <c r="K88" s="1"/>
      <c r="L88" s="1"/>
      <c r="M88" s="7"/>
      <c r="N88" s="7"/>
      <c r="O88" s="1"/>
      <c r="P88" s="1"/>
      <c r="Q88" s="1"/>
      <c r="R88" s="1"/>
      <c r="S88" s="1"/>
      <c r="T88" s="1"/>
      <c r="U88" s="1"/>
      <c r="V88" s="1"/>
      <c r="W88" s="1"/>
      <c r="X88" s="1"/>
    </row>
    <row r="89" customFormat="false" ht="12.75" hidden="false" customHeight="false" outlineLevel="0" collapsed="false">
      <c r="A89" s="1"/>
      <c r="B89" s="2"/>
      <c r="C89" s="3"/>
      <c r="D89" s="1"/>
      <c r="E89" s="4"/>
      <c r="F89" s="2"/>
      <c r="G89" s="3"/>
      <c r="H89" s="5"/>
      <c r="I89" s="6"/>
      <c r="J89" s="3"/>
      <c r="K89" s="1"/>
      <c r="L89" s="1"/>
      <c r="M89" s="7"/>
      <c r="N89" s="7"/>
      <c r="O89" s="1"/>
      <c r="P89" s="1"/>
      <c r="Q89" s="1"/>
      <c r="R89" s="1"/>
      <c r="S89" s="1"/>
      <c r="T89" s="1"/>
      <c r="U89" s="1"/>
      <c r="V89" s="1"/>
      <c r="W89" s="1"/>
      <c r="X89" s="1"/>
    </row>
    <row r="90" customFormat="false" ht="12.75" hidden="false" customHeight="false" outlineLevel="0" collapsed="false">
      <c r="A90" s="1"/>
      <c r="B90" s="2"/>
      <c r="C90" s="3"/>
      <c r="D90" s="1"/>
      <c r="E90" s="4"/>
      <c r="F90" s="2"/>
      <c r="G90" s="3"/>
      <c r="H90" s="5"/>
      <c r="I90" s="6"/>
      <c r="J90" s="3"/>
      <c r="K90" s="1"/>
      <c r="L90" s="1"/>
      <c r="M90" s="7"/>
      <c r="N90" s="7"/>
      <c r="O90" s="1"/>
      <c r="P90" s="1"/>
      <c r="Q90" s="1"/>
      <c r="R90" s="1"/>
      <c r="S90" s="1"/>
      <c r="T90" s="1"/>
      <c r="U90" s="1"/>
      <c r="V90" s="1"/>
      <c r="W90" s="1"/>
      <c r="X90" s="1"/>
    </row>
    <row r="91" customFormat="false" ht="12.75" hidden="false" customHeight="false" outlineLevel="0" collapsed="false">
      <c r="A91" s="1"/>
      <c r="B91" s="2"/>
      <c r="C91" s="3"/>
      <c r="D91" s="1"/>
      <c r="E91" s="4"/>
      <c r="F91" s="2"/>
      <c r="G91" s="3"/>
      <c r="H91" s="5"/>
      <c r="I91" s="6"/>
      <c r="J91" s="3"/>
      <c r="K91" s="1"/>
      <c r="L91" s="1"/>
      <c r="M91" s="7"/>
      <c r="N91" s="7"/>
      <c r="O91" s="1"/>
      <c r="P91" s="1"/>
      <c r="Q91" s="1"/>
      <c r="R91" s="1"/>
      <c r="S91" s="1"/>
      <c r="T91" s="1"/>
      <c r="U91" s="1"/>
      <c r="V91" s="1"/>
      <c r="W91" s="1"/>
      <c r="X91" s="1"/>
    </row>
    <row r="92" customFormat="false" ht="12.75" hidden="false" customHeight="false" outlineLevel="0" collapsed="false">
      <c r="A92" s="1"/>
      <c r="B92" s="2"/>
      <c r="C92" s="3"/>
      <c r="D92" s="1"/>
      <c r="E92" s="4"/>
      <c r="F92" s="2"/>
      <c r="G92" s="3"/>
      <c r="H92" s="5"/>
      <c r="I92" s="6"/>
      <c r="J92" s="3"/>
      <c r="K92" s="1"/>
      <c r="L92" s="1"/>
      <c r="M92" s="7"/>
      <c r="N92" s="7"/>
      <c r="O92" s="1"/>
      <c r="P92" s="1"/>
      <c r="Q92" s="1"/>
      <c r="R92" s="1"/>
      <c r="S92" s="1"/>
      <c r="T92" s="1"/>
      <c r="U92" s="1"/>
      <c r="V92" s="1"/>
      <c r="W92" s="1"/>
      <c r="X92" s="1"/>
    </row>
    <row r="93" customFormat="false" ht="12.75" hidden="false" customHeight="false" outlineLevel="0" collapsed="false">
      <c r="A93" s="1"/>
      <c r="B93" s="2"/>
      <c r="C93" s="3"/>
      <c r="D93" s="1"/>
      <c r="E93" s="4"/>
      <c r="F93" s="2"/>
      <c r="G93" s="3"/>
      <c r="H93" s="5"/>
      <c r="I93" s="6"/>
      <c r="J93" s="3"/>
      <c r="K93" s="1"/>
      <c r="L93" s="1"/>
      <c r="M93" s="7"/>
      <c r="N93" s="7"/>
      <c r="O93" s="1"/>
      <c r="P93" s="1"/>
      <c r="Q93" s="1"/>
      <c r="R93" s="1"/>
      <c r="S93" s="1"/>
      <c r="T93" s="1"/>
      <c r="U93" s="1"/>
      <c r="V93" s="1"/>
      <c r="W93" s="1"/>
      <c r="X93" s="1"/>
    </row>
    <row r="94" customFormat="false" ht="12.75" hidden="false" customHeight="false" outlineLevel="0" collapsed="false">
      <c r="A94" s="1"/>
      <c r="B94" s="2"/>
      <c r="C94" s="3"/>
      <c r="D94" s="1"/>
      <c r="E94" s="4"/>
      <c r="F94" s="2"/>
      <c r="G94" s="3"/>
      <c r="H94" s="5"/>
      <c r="I94" s="6"/>
      <c r="J94" s="3"/>
      <c r="K94" s="1"/>
      <c r="L94" s="1"/>
      <c r="M94" s="7"/>
      <c r="N94" s="7"/>
      <c r="O94" s="1"/>
      <c r="P94" s="1"/>
      <c r="Q94" s="1"/>
      <c r="R94" s="1"/>
      <c r="S94" s="1"/>
      <c r="T94" s="1"/>
      <c r="U94" s="1"/>
      <c r="V94" s="1"/>
      <c r="W94" s="1"/>
      <c r="X94" s="1"/>
    </row>
    <row r="95" customFormat="false" ht="12.75" hidden="false" customHeight="false" outlineLevel="0" collapsed="false">
      <c r="A95" s="1"/>
      <c r="B95" s="2"/>
      <c r="C95" s="3"/>
      <c r="D95" s="1"/>
      <c r="E95" s="4"/>
      <c r="F95" s="2"/>
      <c r="G95" s="3"/>
      <c r="H95" s="5"/>
      <c r="I95" s="6"/>
      <c r="J95" s="3"/>
      <c r="K95" s="1"/>
      <c r="L95" s="1"/>
      <c r="M95" s="7"/>
      <c r="N95" s="7"/>
      <c r="O95" s="1"/>
      <c r="P95" s="1"/>
      <c r="Q95" s="1"/>
      <c r="R95" s="1"/>
      <c r="S95" s="1"/>
      <c r="T95" s="1"/>
      <c r="U95" s="1"/>
      <c r="V95" s="1"/>
      <c r="W95" s="1"/>
      <c r="X95" s="1"/>
    </row>
    <row r="96" customFormat="false" ht="12.75" hidden="false" customHeight="false" outlineLevel="0" collapsed="false">
      <c r="A96" s="1"/>
      <c r="B96" s="2"/>
      <c r="C96" s="3"/>
      <c r="D96" s="1"/>
      <c r="E96" s="4"/>
      <c r="F96" s="2"/>
      <c r="G96" s="3"/>
      <c r="H96" s="5"/>
      <c r="I96" s="6"/>
      <c r="J96" s="3"/>
      <c r="K96" s="1"/>
      <c r="L96" s="1"/>
      <c r="M96" s="7"/>
      <c r="N96" s="7"/>
      <c r="O96" s="1"/>
      <c r="P96" s="1"/>
      <c r="Q96" s="1"/>
      <c r="R96" s="1"/>
      <c r="S96" s="1"/>
      <c r="T96" s="1"/>
      <c r="U96" s="1"/>
      <c r="V96" s="1"/>
      <c r="W96" s="1"/>
      <c r="X96" s="1"/>
    </row>
    <row r="97" customFormat="false" ht="12.75" hidden="false" customHeight="false" outlineLevel="0" collapsed="false">
      <c r="A97" s="1"/>
      <c r="B97" s="2"/>
      <c r="C97" s="3"/>
      <c r="D97" s="1"/>
      <c r="E97" s="4"/>
      <c r="F97" s="2"/>
      <c r="G97" s="3"/>
      <c r="H97" s="5"/>
      <c r="I97" s="6"/>
      <c r="J97" s="3"/>
      <c r="K97" s="1"/>
      <c r="L97" s="1"/>
      <c r="M97" s="7"/>
      <c r="N97" s="7"/>
      <c r="O97" s="1"/>
      <c r="P97" s="1"/>
      <c r="Q97" s="1"/>
      <c r="R97" s="1"/>
      <c r="S97" s="1"/>
      <c r="T97" s="1"/>
      <c r="U97" s="1"/>
      <c r="V97" s="1"/>
      <c r="W97" s="1"/>
      <c r="X97" s="1"/>
    </row>
    <row r="98" customFormat="false" ht="12.75" hidden="false" customHeight="false" outlineLevel="0" collapsed="false">
      <c r="A98" s="1"/>
      <c r="B98" s="2"/>
      <c r="C98" s="3"/>
      <c r="D98" s="1"/>
      <c r="E98" s="4"/>
      <c r="F98" s="2"/>
      <c r="G98" s="3"/>
      <c r="H98" s="5"/>
      <c r="I98" s="6"/>
      <c r="J98" s="3"/>
      <c r="K98" s="1"/>
      <c r="L98" s="1"/>
      <c r="M98" s="7"/>
      <c r="N98" s="7"/>
      <c r="O98" s="1"/>
      <c r="P98" s="1"/>
      <c r="Q98" s="1"/>
      <c r="R98" s="1"/>
      <c r="S98" s="1"/>
      <c r="T98" s="1"/>
      <c r="U98" s="1"/>
      <c r="V98" s="1"/>
      <c r="W98" s="1"/>
      <c r="X98" s="1"/>
    </row>
    <row r="99" customFormat="false" ht="12.75" hidden="false" customHeight="false" outlineLevel="0" collapsed="false">
      <c r="A99" s="1"/>
      <c r="B99" s="2"/>
      <c r="C99" s="3"/>
      <c r="D99" s="1"/>
      <c r="E99" s="4"/>
      <c r="F99" s="2"/>
      <c r="G99" s="3"/>
      <c r="H99" s="5"/>
      <c r="I99" s="6"/>
      <c r="J99" s="3"/>
      <c r="K99" s="1"/>
      <c r="L99" s="1"/>
      <c r="M99" s="7"/>
      <c r="N99" s="7"/>
      <c r="O99" s="1"/>
      <c r="P99" s="1"/>
      <c r="Q99" s="1"/>
      <c r="R99" s="1"/>
      <c r="S99" s="1"/>
      <c r="T99" s="1"/>
      <c r="U99" s="1"/>
      <c r="V99" s="1"/>
      <c r="W99" s="1"/>
      <c r="X99" s="1"/>
    </row>
    <row r="100" customFormat="false" ht="12.75" hidden="false" customHeight="false" outlineLevel="0" collapsed="false">
      <c r="A100" s="1"/>
      <c r="B100" s="2"/>
      <c r="C100" s="3"/>
      <c r="D100" s="1"/>
      <c r="E100" s="4"/>
      <c r="F100" s="2"/>
      <c r="G100" s="3"/>
      <c r="H100" s="5"/>
      <c r="I100" s="6"/>
      <c r="J100" s="3"/>
      <c r="K100" s="1"/>
      <c r="L100" s="1"/>
      <c r="M100" s="7"/>
      <c r="N100" s="7"/>
      <c r="O100" s="1"/>
      <c r="P100" s="1"/>
      <c r="Q100" s="1"/>
      <c r="R100" s="1"/>
      <c r="S100" s="1"/>
      <c r="T100" s="1"/>
      <c r="U100" s="1"/>
      <c r="V100" s="1"/>
      <c r="W100" s="1"/>
      <c r="X100" s="1"/>
    </row>
    <row r="101" customFormat="false" ht="12.75" hidden="false" customHeight="false" outlineLevel="0" collapsed="false">
      <c r="A101" s="1"/>
      <c r="B101" s="2"/>
      <c r="C101" s="3"/>
      <c r="D101" s="1"/>
      <c r="E101" s="4"/>
      <c r="F101" s="2"/>
      <c r="G101" s="3"/>
      <c r="H101" s="5"/>
      <c r="I101" s="6"/>
      <c r="J101" s="3"/>
      <c r="K101" s="1"/>
      <c r="L101" s="1"/>
      <c r="M101" s="7"/>
      <c r="N101" s="7"/>
      <c r="O101" s="1"/>
      <c r="P101" s="1"/>
      <c r="Q101" s="1"/>
      <c r="R101" s="1"/>
      <c r="S101" s="1"/>
      <c r="T101" s="1"/>
      <c r="U101" s="1"/>
      <c r="V101" s="1"/>
      <c r="W101" s="1"/>
      <c r="X101" s="1"/>
    </row>
    <row r="102" customFormat="false" ht="12.75" hidden="false" customHeight="false" outlineLevel="0" collapsed="false">
      <c r="A102" s="1"/>
      <c r="B102" s="2"/>
      <c r="C102" s="3"/>
      <c r="D102" s="1"/>
      <c r="E102" s="4"/>
      <c r="F102" s="2"/>
      <c r="G102" s="3"/>
      <c r="H102" s="5"/>
      <c r="I102" s="6"/>
      <c r="J102" s="3"/>
      <c r="K102" s="1"/>
      <c r="L102" s="1"/>
      <c r="M102" s="7"/>
      <c r="N102" s="7"/>
      <c r="O102" s="1"/>
      <c r="P102" s="1"/>
      <c r="Q102" s="1"/>
      <c r="R102" s="1"/>
      <c r="S102" s="1"/>
      <c r="T102" s="1"/>
      <c r="U102" s="1"/>
      <c r="V102" s="1"/>
      <c r="W102" s="1"/>
      <c r="X102" s="1"/>
    </row>
    <row r="103" customFormat="false" ht="12.75" hidden="false" customHeight="false" outlineLevel="0" collapsed="false">
      <c r="A103" s="1"/>
      <c r="B103" s="2"/>
      <c r="C103" s="3"/>
      <c r="D103" s="1"/>
      <c r="E103" s="4"/>
      <c r="F103" s="2"/>
      <c r="G103" s="3"/>
      <c r="H103" s="5"/>
      <c r="I103" s="6"/>
      <c r="J103" s="3"/>
      <c r="K103" s="1"/>
      <c r="L103" s="1"/>
      <c r="M103" s="7"/>
      <c r="N103" s="7"/>
      <c r="O103" s="1"/>
      <c r="P103" s="1"/>
      <c r="Q103" s="1"/>
      <c r="R103" s="1"/>
      <c r="S103" s="1"/>
      <c r="T103" s="1"/>
      <c r="U103" s="1"/>
      <c r="V103" s="1"/>
      <c r="W103" s="1"/>
      <c r="X103" s="1"/>
    </row>
    <row r="104" customFormat="false" ht="12.75" hidden="false" customHeight="false" outlineLevel="0" collapsed="false">
      <c r="A104" s="1"/>
      <c r="B104" s="2"/>
      <c r="C104" s="3"/>
      <c r="D104" s="1"/>
      <c r="E104" s="4"/>
      <c r="F104" s="2"/>
      <c r="G104" s="3"/>
      <c r="H104" s="5"/>
      <c r="I104" s="6"/>
      <c r="J104" s="3"/>
      <c r="K104" s="1"/>
      <c r="L104" s="1"/>
      <c r="M104" s="7"/>
      <c r="N104" s="7"/>
      <c r="O104" s="1"/>
      <c r="P104" s="1"/>
      <c r="Q104" s="1"/>
      <c r="R104" s="1"/>
      <c r="S104" s="1"/>
      <c r="T104" s="1"/>
      <c r="U104" s="1"/>
      <c r="V104" s="1"/>
      <c r="W104" s="1"/>
      <c r="X104" s="1"/>
    </row>
    <row r="105" customFormat="false" ht="12.75" hidden="false" customHeight="false" outlineLevel="0" collapsed="false">
      <c r="A105" s="1"/>
      <c r="B105" s="2"/>
      <c r="C105" s="3"/>
      <c r="D105" s="1"/>
      <c r="E105" s="4"/>
      <c r="F105" s="2"/>
      <c r="G105" s="3"/>
      <c r="H105" s="5"/>
      <c r="I105" s="6"/>
      <c r="J105" s="3"/>
      <c r="K105" s="1"/>
      <c r="L105" s="1"/>
      <c r="M105" s="7"/>
      <c r="N105" s="7"/>
      <c r="O105" s="1"/>
      <c r="P105" s="1"/>
      <c r="Q105" s="1"/>
      <c r="R105" s="1"/>
      <c r="S105" s="1"/>
      <c r="T105" s="1"/>
      <c r="U105" s="1"/>
      <c r="V105" s="1"/>
      <c r="W105" s="1"/>
      <c r="X105" s="1"/>
    </row>
    <row r="106" customFormat="false" ht="12.75" hidden="false" customHeight="false" outlineLevel="0" collapsed="false">
      <c r="A106" s="1"/>
      <c r="B106" s="2"/>
      <c r="C106" s="3"/>
      <c r="D106" s="1"/>
      <c r="E106" s="4"/>
      <c r="F106" s="2"/>
      <c r="G106" s="3"/>
      <c r="H106" s="5"/>
      <c r="I106" s="6"/>
      <c r="J106" s="3"/>
      <c r="K106" s="1"/>
      <c r="L106" s="1"/>
      <c r="M106" s="7"/>
      <c r="N106" s="7"/>
      <c r="O106" s="1"/>
      <c r="P106" s="1"/>
      <c r="Q106" s="1"/>
      <c r="R106" s="1"/>
      <c r="S106" s="1"/>
      <c r="T106" s="1"/>
      <c r="U106" s="1"/>
      <c r="V106" s="1"/>
      <c r="W106" s="1"/>
      <c r="X106" s="1"/>
    </row>
    <row r="107" customFormat="false" ht="12.75" hidden="false" customHeight="false" outlineLevel="0" collapsed="false">
      <c r="A107" s="1"/>
      <c r="B107" s="2"/>
      <c r="C107" s="3"/>
      <c r="D107" s="1"/>
      <c r="E107" s="4"/>
      <c r="F107" s="2"/>
      <c r="G107" s="3"/>
      <c r="H107" s="5"/>
      <c r="I107" s="6"/>
      <c r="J107" s="3"/>
      <c r="K107" s="1"/>
      <c r="L107" s="1"/>
      <c r="M107" s="7"/>
      <c r="N107" s="7"/>
      <c r="O107" s="1"/>
      <c r="P107" s="1"/>
      <c r="Q107" s="1"/>
      <c r="R107" s="1"/>
      <c r="S107" s="1"/>
      <c r="T107" s="1"/>
      <c r="U107" s="1"/>
      <c r="V107" s="1"/>
      <c r="W107" s="1"/>
      <c r="X107" s="1"/>
    </row>
    <row r="108" customFormat="false" ht="12.75" hidden="false" customHeight="false" outlineLevel="0" collapsed="false">
      <c r="A108" s="1"/>
      <c r="B108" s="2"/>
      <c r="C108" s="3"/>
      <c r="D108" s="1"/>
      <c r="E108" s="4"/>
      <c r="F108" s="2"/>
      <c r="G108" s="3"/>
      <c r="H108" s="5"/>
      <c r="I108" s="6"/>
      <c r="J108" s="3"/>
      <c r="K108" s="1"/>
      <c r="L108" s="1"/>
      <c r="M108" s="7"/>
      <c r="N108" s="7"/>
      <c r="O108" s="1"/>
      <c r="P108" s="1"/>
      <c r="Q108" s="1"/>
      <c r="R108" s="1"/>
      <c r="S108" s="1"/>
      <c r="T108" s="1"/>
      <c r="U108" s="1"/>
      <c r="V108" s="1"/>
      <c r="W108" s="1"/>
      <c r="X108" s="1"/>
    </row>
    <row r="109" customFormat="false" ht="12.75" hidden="false" customHeight="false" outlineLevel="0" collapsed="false">
      <c r="A109" s="1"/>
      <c r="B109" s="2"/>
      <c r="C109" s="3"/>
      <c r="D109" s="1"/>
      <c r="E109" s="4"/>
      <c r="F109" s="2"/>
      <c r="G109" s="3"/>
      <c r="H109" s="5"/>
      <c r="I109" s="6"/>
      <c r="J109" s="3"/>
      <c r="K109" s="1"/>
      <c r="L109" s="1"/>
      <c r="M109" s="7"/>
      <c r="N109" s="7"/>
      <c r="O109" s="1"/>
      <c r="P109" s="1"/>
      <c r="Q109" s="1"/>
      <c r="R109" s="1"/>
      <c r="S109" s="1"/>
      <c r="T109" s="1"/>
      <c r="U109" s="1"/>
      <c r="V109" s="1"/>
      <c r="W109" s="1"/>
      <c r="X109" s="1"/>
    </row>
    <row r="110" customFormat="false" ht="12.75" hidden="false" customHeight="false" outlineLevel="0" collapsed="false">
      <c r="A110" s="1"/>
      <c r="B110" s="2"/>
      <c r="C110" s="3"/>
      <c r="D110" s="1"/>
      <c r="E110" s="4"/>
      <c r="F110" s="2"/>
      <c r="G110" s="3"/>
      <c r="H110" s="5"/>
      <c r="I110" s="6"/>
      <c r="J110" s="3"/>
      <c r="K110" s="1"/>
      <c r="L110" s="1"/>
      <c r="M110" s="7"/>
      <c r="N110" s="7"/>
      <c r="O110" s="1"/>
      <c r="P110" s="1"/>
      <c r="Q110" s="1"/>
      <c r="R110" s="1"/>
      <c r="S110" s="1"/>
      <c r="T110" s="1"/>
      <c r="U110" s="1"/>
      <c r="V110" s="1"/>
      <c r="W110" s="1"/>
      <c r="X110" s="1"/>
    </row>
    <row r="111" customFormat="false" ht="12.75" hidden="false" customHeight="false" outlineLevel="0" collapsed="false">
      <c r="A111" s="1"/>
      <c r="B111" s="2"/>
      <c r="C111" s="3"/>
      <c r="D111" s="1"/>
      <c r="E111" s="4"/>
      <c r="F111" s="2"/>
      <c r="G111" s="3"/>
      <c r="H111" s="5"/>
      <c r="I111" s="6"/>
      <c r="J111" s="3"/>
      <c r="K111" s="1"/>
      <c r="L111" s="1"/>
      <c r="M111" s="7"/>
      <c r="N111" s="7"/>
      <c r="O111" s="1"/>
      <c r="P111" s="1"/>
      <c r="Q111" s="1"/>
      <c r="R111" s="1"/>
      <c r="S111" s="1"/>
      <c r="T111" s="1"/>
      <c r="U111" s="1"/>
      <c r="V111" s="1"/>
      <c r="W111" s="1"/>
      <c r="X111" s="1"/>
    </row>
    <row r="112" customFormat="false" ht="12.75" hidden="false" customHeight="false" outlineLevel="0" collapsed="false">
      <c r="A112" s="1"/>
      <c r="B112" s="2"/>
      <c r="C112" s="3"/>
      <c r="D112" s="1"/>
      <c r="E112" s="4"/>
      <c r="F112" s="2"/>
      <c r="G112" s="3"/>
      <c r="H112" s="5"/>
      <c r="I112" s="6"/>
      <c r="J112" s="3"/>
      <c r="K112" s="1"/>
      <c r="L112" s="1"/>
      <c r="M112" s="7"/>
      <c r="N112" s="7"/>
      <c r="O112" s="1"/>
      <c r="P112" s="1"/>
      <c r="Q112" s="1"/>
      <c r="R112" s="1"/>
      <c r="S112" s="1"/>
      <c r="T112" s="1"/>
      <c r="U112" s="1"/>
      <c r="V112" s="1"/>
      <c r="W112" s="1"/>
      <c r="X112" s="1"/>
    </row>
    <row r="113" customFormat="false" ht="12.75" hidden="false" customHeight="false" outlineLevel="0" collapsed="false">
      <c r="A113" s="1"/>
      <c r="B113" s="2"/>
      <c r="C113" s="3"/>
      <c r="D113" s="1"/>
      <c r="E113" s="4"/>
      <c r="F113" s="2"/>
      <c r="G113" s="3"/>
      <c r="H113" s="5"/>
      <c r="I113" s="6"/>
      <c r="J113" s="3"/>
      <c r="K113" s="1"/>
      <c r="L113" s="1"/>
      <c r="M113" s="7"/>
      <c r="N113" s="7"/>
      <c r="O113" s="1"/>
      <c r="P113" s="1"/>
      <c r="Q113" s="1"/>
      <c r="R113" s="1"/>
      <c r="S113" s="1"/>
      <c r="T113" s="1"/>
      <c r="U113" s="1"/>
      <c r="V113" s="1"/>
      <c r="W113" s="1"/>
      <c r="X113" s="1"/>
    </row>
    <row r="114" customFormat="false" ht="12.75" hidden="false" customHeight="false" outlineLevel="0" collapsed="false">
      <c r="A114" s="1"/>
      <c r="B114" s="2"/>
      <c r="C114" s="3"/>
      <c r="D114" s="1"/>
      <c r="E114" s="4"/>
      <c r="F114" s="2"/>
      <c r="G114" s="3"/>
      <c r="H114" s="5"/>
      <c r="I114" s="6"/>
      <c r="J114" s="3"/>
      <c r="K114" s="1"/>
      <c r="L114" s="1"/>
      <c r="M114" s="7"/>
      <c r="N114" s="7"/>
      <c r="O114" s="1"/>
      <c r="P114" s="1"/>
      <c r="Q114" s="1"/>
      <c r="R114" s="1"/>
      <c r="S114" s="1"/>
      <c r="T114" s="1"/>
      <c r="U114" s="1"/>
      <c r="V114" s="1"/>
      <c r="W114" s="1"/>
      <c r="X114" s="1"/>
    </row>
    <row r="115" customFormat="false" ht="12.75" hidden="false" customHeight="false" outlineLevel="0" collapsed="false">
      <c r="A115" s="1"/>
      <c r="B115" s="2"/>
      <c r="C115" s="3"/>
      <c r="D115" s="1"/>
      <c r="E115" s="4"/>
      <c r="F115" s="2"/>
      <c r="G115" s="3"/>
      <c r="H115" s="5"/>
      <c r="I115" s="6"/>
      <c r="J115" s="3"/>
      <c r="K115" s="1"/>
      <c r="L115" s="1"/>
      <c r="M115" s="7"/>
      <c r="N115" s="7"/>
      <c r="O115" s="1"/>
      <c r="P115" s="1"/>
      <c r="Q115" s="1"/>
      <c r="R115" s="1"/>
      <c r="S115" s="1"/>
      <c r="T115" s="1"/>
      <c r="U115" s="1"/>
      <c r="V115" s="1"/>
      <c r="W115" s="1"/>
      <c r="X115" s="1"/>
    </row>
    <row r="116" customFormat="false" ht="12.75" hidden="false" customHeight="false" outlineLevel="0" collapsed="false">
      <c r="A116" s="1"/>
      <c r="B116" s="2"/>
      <c r="C116" s="3"/>
      <c r="D116" s="1"/>
      <c r="E116" s="4"/>
      <c r="F116" s="2"/>
      <c r="G116" s="3"/>
      <c r="H116" s="5"/>
      <c r="I116" s="6"/>
      <c r="J116" s="3"/>
      <c r="K116" s="1"/>
      <c r="L116" s="1"/>
      <c r="M116" s="7"/>
      <c r="N116" s="7"/>
      <c r="O116" s="1"/>
      <c r="P116" s="1"/>
      <c r="Q116" s="1"/>
      <c r="R116" s="1"/>
      <c r="S116" s="1"/>
      <c r="T116" s="1"/>
      <c r="U116" s="1"/>
      <c r="V116" s="1"/>
      <c r="W116" s="1"/>
      <c r="X116" s="1"/>
    </row>
    <row r="117" customFormat="false" ht="12.75" hidden="false" customHeight="false" outlineLevel="0" collapsed="false">
      <c r="A117" s="1"/>
      <c r="B117" s="2"/>
      <c r="C117" s="3"/>
      <c r="D117" s="1"/>
      <c r="E117" s="4"/>
      <c r="F117" s="2"/>
      <c r="G117" s="3"/>
      <c r="H117" s="5"/>
      <c r="I117" s="6"/>
      <c r="J117" s="3"/>
      <c r="K117" s="1"/>
      <c r="L117" s="1"/>
      <c r="M117" s="7"/>
      <c r="N117" s="7"/>
      <c r="O117" s="1"/>
      <c r="P117" s="1"/>
      <c r="Q117" s="1"/>
      <c r="R117" s="1"/>
      <c r="S117" s="1"/>
      <c r="T117" s="1"/>
      <c r="U117" s="1"/>
      <c r="V117" s="1"/>
      <c r="W117" s="1"/>
      <c r="X117" s="1"/>
    </row>
    <row r="118" customFormat="false" ht="12.75" hidden="false" customHeight="false" outlineLevel="0" collapsed="false">
      <c r="A118" s="1"/>
      <c r="B118" s="2"/>
      <c r="C118" s="3"/>
      <c r="D118" s="1"/>
      <c r="E118" s="4"/>
      <c r="F118" s="2"/>
      <c r="G118" s="3"/>
      <c r="H118" s="5"/>
      <c r="I118" s="6"/>
      <c r="J118" s="3"/>
      <c r="K118" s="1"/>
      <c r="L118" s="1"/>
      <c r="M118" s="7"/>
      <c r="N118" s="7"/>
      <c r="O118" s="1"/>
      <c r="P118" s="1"/>
      <c r="Q118" s="1"/>
      <c r="R118" s="1"/>
      <c r="S118" s="1"/>
      <c r="T118" s="1"/>
      <c r="U118" s="1"/>
      <c r="V118" s="1"/>
      <c r="W118" s="1"/>
      <c r="X118" s="1"/>
    </row>
    <row r="119" customFormat="false" ht="12.75" hidden="false" customHeight="false" outlineLevel="0" collapsed="false">
      <c r="A119" s="1"/>
      <c r="B119" s="2"/>
      <c r="C119" s="3"/>
      <c r="D119" s="1"/>
      <c r="E119" s="4"/>
      <c r="F119" s="2"/>
      <c r="G119" s="3"/>
      <c r="H119" s="5"/>
      <c r="I119" s="6"/>
      <c r="J119" s="3"/>
      <c r="K119" s="1"/>
      <c r="L119" s="1"/>
      <c r="M119" s="7"/>
      <c r="N119" s="7"/>
      <c r="O119" s="1"/>
      <c r="P119" s="1"/>
      <c r="Q119" s="1"/>
      <c r="R119" s="1"/>
      <c r="S119" s="1"/>
      <c r="T119" s="1"/>
      <c r="U119" s="1"/>
      <c r="V119" s="1"/>
      <c r="W119" s="1"/>
      <c r="X119" s="1"/>
    </row>
    <row r="120" customFormat="false" ht="12.75" hidden="false" customHeight="false" outlineLevel="0" collapsed="false">
      <c r="A120" s="1"/>
      <c r="B120" s="2"/>
      <c r="C120" s="3"/>
      <c r="D120" s="1"/>
      <c r="E120" s="4"/>
      <c r="F120" s="2"/>
      <c r="G120" s="3"/>
      <c r="H120" s="5"/>
      <c r="I120" s="6"/>
      <c r="J120" s="3"/>
      <c r="K120" s="1"/>
      <c r="L120" s="1"/>
      <c r="M120" s="7"/>
      <c r="N120" s="7"/>
      <c r="O120" s="1"/>
      <c r="P120" s="1"/>
      <c r="Q120" s="1"/>
      <c r="R120" s="1"/>
      <c r="S120" s="1"/>
      <c r="T120" s="1"/>
      <c r="U120" s="1"/>
      <c r="V120" s="1"/>
      <c r="W120" s="1"/>
      <c r="X120" s="1"/>
    </row>
    <row r="121" customFormat="false" ht="12.75" hidden="false" customHeight="false" outlineLevel="0" collapsed="false">
      <c r="A121" s="1"/>
      <c r="B121" s="2"/>
      <c r="C121" s="3"/>
      <c r="D121" s="1"/>
      <c r="E121" s="4"/>
      <c r="F121" s="2"/>
      <c r="G121" s="3"/>
      <c r="H121" s="5"/>
      <c r="I121" s="6"/>
      <c r="J121" s="3"/>
      <c r="K121" s="1"/>
      <c r="L121" s="1"/>
      <c r="M121" s="7"/>
      <c r="N121" s="7"/>
      <c r="O121" s="1"/>
      <c r="P121" s="1"/>
      <c r="Q121" s="1"/>
      <c r="R121" s="1"/>
      <c r="S121" s="1"/>
      <c r="T121" s="1"/>
      <c r="U121" s="1"/>
      <c r="V121" s="1"/>
      <c r="W121" s="1"/>
      <c r="X121" s="1"/>
    </row>
    <row r="122" customFormat="false" ht="12.75" hidden="false" customHeight="false" outlineLevel="0" collapsed="false">
      <c r="A122" s="1"/>
      <c r="B122" s="2"/>
      <c r="C122" s="3"/>
      <c r="D122" s="1"/>
      <c r="E122" s="4"/>
      <c r="F122" s="2"/>
      <c r="G122" s="3"/>
      <c r="H122" s="5"/>
      <c r="I122" s="6"/>
      <c r="J122" s="3"/>
      <c r="K122" s="1"/>
      <c r="L122" s="1"/>
      <c r="M122" s="7"/>
      <c r="N122" s="7"/>
      <c r="O122" s="1"/>
      <c r="P122" s="1"/>
      <c r="Q122" s="1"/>
      <c r="R122" s="1"/>
      <c r="S122" s="1"/>
      <c r="T122" s="1"/>
      <c r="U122" s="1"/>
      <c r="V122" s="1"/>
      <c r="W122" s="1"/>
      <c r="X122" s="1"/>
    </row>
    <row r="123" customFormat="false" ht="12.75" hidden="false" customHeight="false" outlineLevel="0" collapsed="false">
      <c r="A123" s="1"/>
      <c r="B123" s="2"/>
      <c r="C123" s="3"/>
      <c r="D123" s="1"/>
      <c r="E123" s="4"/>
      <c r="F123" s="2"/>
      <c r="G123" s="3"/>
      <c r="H123" s="5"/>
      <c r="I123" s="6"/>
      <c r="J123" s="3"/>
      <c r="K123" s="1"/>
      <c r="L123" s="1"/>
      <c r="M123" s="7"/>
      <c r="N123" s="7"/>
      <c r="O123" s="1"/>
      <c r="P123" s="1"/>
      <c r="Q123" s="1"/>
      <c r="R123" s="1"/>
      <c r="S123" s="1"/>
      <c r="T123" s="1"/>
      <c r="U123" s="1"/>
      <c r="V123" s="1"/>
      <c r="W123" s="1"/>
      <c r="X123" s="1"/>
    </row>
    <row r="124" customFormat="false" ht="12.75" hidden="false" customHeight="false" outlineLevel="0" collapsed="false">
      <c r="A124" s="1"/>
      <c r="B124" s="2"/>
      <c r="C124" s="3"/>
      <c r="D124" s="1"/>
      <c r="E124" s="4"/>
      <c r="F124" s="2"/>
      <c r="G124" s="3"/>
      <c r="H124" s="5"/>
      <c r="I124" s="6"/>
      <c r="J124" s="3"/>
      <c r="K124" s="1"/>
      <c r="L124" s="1"/>
      <c r="M124" s="7"/>
      <c r="N124" s="7"/>
      <c r="O124" s="1"/>
      <c r="P124" s="1"/>
      <c r="Q124" s="1"/>
      <c r="R124" s="1"/>
      <c r="S124" s="1"/>
      <c r="T124" s="1"/>
      <c r="U124" s="1"/>
      <c r="V124" s="1"/>
      <c r="W124" s="1"/>
      <c r="X124" s="1"/>
    </row>
    <row r="125" customFormat="false" ht="12.75" hidden="false" customHeight="false" outlineLevel="0" collapsed="false">
      <c r="A125" s="1"/>
      <c r="B125" s="2"/>
      <c r="C125" s="3"/>
      <c r="D125" s="1"/>
      <c r="E125" s="4"/>
      <c r="F125" s="2"/>
      <c r="G125" s="3"/>
      <c r="H125" s="5"/>
      <c r="I125" s="6"/>
      <c r="J125" s="3"/>
      <c r="K125" s="1"/>
      <c r="L125" s="1"/>
      <c r="M125" s="7"/>
      <c r="N125" s="7"/>
      <c r="O125" s="1"/>
      <c r="P125" s="1"/>
      <c r="Q125" s="1"/>
      <c r="R125" s="1"/>
      <c r="S125" s="1"/>
      <c r="T125" s="1"/>
      <c r="U125" s="1"/>
      <c r="V125" s="1"/>
      <c r="W125" s="1"/>
      <c r="X125" s="1"/>
    </row>
    <row r="126" customFormat="false" ht="12.75" hidden="false" customHeight="false" outlineLevel="0" collapsed="false">
      <c r="A126" s="1"/>
      <c r="B126" s="2"/>
      <c r="C126" s="3"/>
      <c r="D126" s="1"/>
      <c r="E126" s="4"/>
      <c r="F126" s="2"/>
      <c r="G126" s="3"/>
      <c r="H126" s="5"/>
      <c r="I126" s="6"/>
      <c r="J126" s="3"/>
      <c r="K126" s="1"/>
      <c r="L126" s="1"/>
      <c r="M126" s="7"/>
      <c r="N126" s="7"/>
      <c r="O126" s="1"/>
      <c r="P126" s="1"/>
      <c r="Q126" s="1"/>
      <c r="R126" s="1"/>
      <c r="S126" s="1"/>
      <c r="T126" s="1"/>
      <c r="U126" s="1"/>
      <c r="V126" s="1"/>
      <c r="W126" s="1"/>
      <c r="X126" s="1"/>
    </row>
    <row r="127" customFormat="false" ht="12.75" hidden="false" customHeight="false" outlineLevel="0" collapsed="false">
      <c r="A127" s="1"/>
      <c r="B127" s="2"/>
      <c r="C127" s="3"/>
      <c r="D127" s="1"/>
      <c r="E127" s="4"/>
      <c r="F127" s="2"/>
      <c r="G127" s="3"/>
      <c r="H127" s="5"/>
      <c r="I127" s="6"/>
      <c r="J127" s="3"/>
      <c r="K127" s="1"/>
      <c r="L127" s="1"/>
      <c r="M127" s="7"/>
      <c r="N127" s="7"/>
      <c r="O127" s="1"/>
      <c r="P127" s="1"/>
      <c r="Q127" s="1"/>
      <c r="R127" s="1"/>
      <c r="S127" s="1"/>
      <c r="T127" s="1"/>
      <c r="U127" s="1"/>
      <c r="V127" s="1"/>
      <c r="W127" s="1"/>
      <c r="X127" s="1"/>
    </row>
    <row r="128" customFormat="false" ht="12.75" hidden="false" customHeight="false" outlineLevel="0" collapsed="false">
      <c r="A128" s="1"/>
      <c r="B128" s="2"/>
      <c r="C128" s="3"/>
      <c r="D128" s="1"/>
      <c r="E128" s="4"/>
      <c r="F128" s="2"/>
      <c r="G128" s="3"/>
      <c r="H128" s="5"/>
      <c r="I128" s="6"/>
      <c r="J128" s="3"/>
      <c r="K128" s="1"/>
      <c r="L128" s="1"/>
      <c r="M128" s="7"/>
      <c r="N128" s="7"/>
      <c r="O128" s="1"/>
      <c r="P128" s="1"/>
      <c r="Q128" s="1"/>
      <c r="R128" s="1"/>
      <c r="S128" s="1"/>
      <c r="T128" s="1"/>
      <c r="U128" s="1"/>
      <c r="V128" s="1"/>
      <c r="W128" s="1"/>
      <c r="X128" s="1"/>
    </row>
    <row r="129" customFormat="false" ht="12.75" hidden="false" customHeight="false" outlineLevel="0" collapsed="false">
      <c r="A129" s="1"/>
      <c r="B129" s="2"/>
      <c r="C129" s="3"/>
      <c r="D129" s="1"/>
      <c r="E129" s="4"/>
      <c r="F129" s="2"/>
      <c r="G129" s="3"/>
      <c r="H129" s="5"/>
      <c r="I129" s="6"/>
      <c r="J129" s="3"/>
      <c r="K129" s="1"/>
      <c r="L129" s="1"/>
      <c r="M129" s="7"/>
      <c r="N129" s="7"/>
      <c r="O129" s="1"/>
      <c r="P129" s="1"/>
      <c r="Q129" s="1"/>
      <c r="R129" s="1"/>
      <c r="S129" s="1"/>
      <c r="T129" s="1"/>
      <c r="U129" s="1"/>
      <c r="V129" s="1"/>
      <c r="W129" s="1"/>
      <c r="X129" s="1"/>
    </row>
    <row r="130" customFormat="false" ht="12.75" hidden="false" customHeight="false" outlineLevel="0" collapsed="false">
      <c r="A130" s="1"/>
      <c r="B130" s="2"/>
      <c r="C130" s="3"/>
      <c r="D130" s="1"/>
      <c r="E130" s="4"/>
      <c r="F130" s="2"/>
      <c r="G130" s="3"/>
      <c r="H130" s="5"/>
      <c r="I130" s="6"/>
      <c r="J130" s="3"/>
      <c r="K130" s="1"/>
      <c r="L130" s="1"/>
      <c r="M130" s="7"/>
      <c r="N130" s="7"/>
      <c r="O130" s="1"/>
      <c r="P130" s="1"/>
      <c r="Q130" s="1"/>
      <c r="R130" s="1"/>
      <c r="S130" s="1"/>
      <c r="T130" s="1"/>
      <c r="U130" s="1"/>
      <c r="V130" s="1"/>
      <c r="W130" s="1"/>
      <c r="X130" s="1"/>
    </row>
    <row r="131" customFormat="false" ht="12.75" hidden="false" customHeight="false" outlineLevel="0" collapsed="false">
      <c r="A131" s="1"/>
      <c r="B131" s="2"/>
      <c r="C131" s="3"/>
      <c r="D131" s="1"/>
      <c r="E131" s="4"/>
      <c r="F131" s="2"/>
      <c r="G131" s="3"/>
      <c r="H131" s="5"/>
      <c r="I131" s="6"/>
      <c r="J131" s="3"/>
      <c r="K131" s="1"/>
      <c r="L131" s="1"/>
      <c r="M131" s="7"/>
      <c r="N131" s="7"/>
      <c r="O131" s="1"/>
      <c r="P131" s="1"/>
      <c r="Q131" s="1"/>
      <c r="R131" s="1"/>
      <c r="S131" s="1"/>
      <c r="T131" s="1"/>
      <c r="U131" s="1"/>
      <c r="V131" s="1"/>
      <c r="W131" s="1"/>
      <c r="X131" s="1"/>
    </row>
    <row r="132" customFormat="false" ht="12.75" hidden="false" customHeight="false" outlineLevel="0" collapsed="false">
      <c r="A132" s="1"/>
      <c r="B132" s="2"/>
      <c r="C132" s="3"/>
      <c r="D132" s="1"/>
      <c r="E132" s="4"/>
      <c r="F132" s="2"/>
      <c r="G132" s="3"/>
      <c r="H132" s="5"/>
      <c r="I132" s="6"/>
      <c r="J132" s="3"/>
      <c r="K132" s="1"/>
      <c r="L132" s="1"/>
      <c r="M132" s="7"/>
      <c r="N132" s="7"/>
      <c r="O132" s="1"/>
      <c r="P132" s="1"/>
      <c r="Q132" s="1"/>
      <c r="R132" s="1"/>
      <c r="S132" s="1"/>
      <c r="T132" s="1"/>
      <c r="U132" s="1"/>
      <c r="V132" s="1"/>
      <c r="W132" s="1"/>
      <c r="X132" s="1"/>
    </row>
    <row r="133" customFormat="false" ht="12.75" hidden="false" customHeight="false" outlineLevel="0" collapsed="false">
      <c r="A133" s="1"/>
      <c r="B133" s="2"/>
      <c r="C133" s="3"/>
      <c r="D133" s="1"/>
      <c r="E133" s="4"/>
      <c r="F133" s="2"/>
      <c r="G133" s="3"/>
      <c r="H133" s="5"/>
      <c r="I133" s="6"/>
      <c r="J133" s="3"/>
      <c r="K133" s="1"/>
      <c r="L133" s="1"/>
      <c r="M133" s="7"/>
      <c r="N133" s="7"/>
      <c r="O133" s="1"/>
      <c r="P133" s="1"/>
      <c r="Q133" s="1"/>
      <c r="R133" s="1"/>
      <c r="S133" s="1"/>
      <c r="T133" s="1"/>
      <c r="U133" s="1"/>
      <c r="V133" s="1"/>
      <c r="W133" s="1"/>
      <c r="X133" s="1"/>
    </row>
    <row r="134" customFormat="false" ht="12.75" hidden="false" customHeight="false" outlineLevel="0" collapsed="false">
      <c r="A134" s="1"/>
      <c r="B134" s="2"/>
      <c r="C134" s="3"/>
      <c r="D134" s="1"/>
      <c r="E134" s="4"/>
      <c r="F134" s="2"/>
      <c r="G134" s="3"/>
      <c r="H134" s="5"/>
      <c r="I134" s="6"/>
      <c r="J134" s="3"/>
      <c r="K134" s="1"/>
      <c r="L134" s="1"/>
      <c r="M134" s="7"/>
      <c r="N134" s="7"/>
      <c r="O134" s="1"/>
      <c r="P134" s="1"/>
      <c r="Q134" s="1"/>
      <c r="R134" s="1"/>
      <c r="S134" s="1"/>
      <c r="T134" s="1"/>
      <c r="U134" s="1"/>
      <c r="V134" s="1"/>
      <c r="W134" s="1"/>
      <c r="X134" s="1"/>
    </row>
    <row r="135" customFormat="false" ht="12.75" hidden="false" customHeight="false" outlineLevel="0" collapsed="false">
      <c r="A135" s="1"/>
      <c r="B135" s="2"/>
      <c r="C135" s="3"/>
      <c r="D135" s="1"/>
      <c r="E135" s="4"/>
      <c r="F135" s="2"/>
      <c r="G135" s="3"/>
      <c r="H135" s="5"/>
      <c r="I135" s="6"/>
      <c r="J135" s="3"/>
      <c r="K135" s="1"/>
      <c r="L135" s="1"/>
      <c r="M135" s="7"/>
      <c r="N135" s="7"/>
      <c r="O135" s="1"/>
      <c r="P135" s="1"/>
      <c r="Q135" s="1"/>
      <c r="R135" s="1"/>
      <c r="S135" s="1"/>
      <c r="T135" s="1"/>
      <c r="U135" s="1"/>
      <c r="V135" s="1"/>
      <c r="W135" s="1"/>
      <c r="X135" s="1"/>
    </row>
    <row r="136" customFormat="false" ht="12.75" hidden="false" customHeight="false" outlineLevel="0" collapsed="false">
      <c r="A136" s="1"/>
      <c r="B136" s="2"/>
      <c r="C136" s="3"/>
      <c r="D136" s="1"/>
      <c r="E136" s="4"/>
      <c r="F136" s="2"/>
      <c r="G136" s="3"/>
      <c r="H136" s="5"/>
      <c r="I136" s="6"/>
      <c r="J136" s="3"/>
      <c r="K136" s="1"/>
      <c r="L136" s="1"/>
      <c r="M136" s="7"/>
      <c r="N136" s="7"/>
      <c r="O136" s="1"/>
      <c r="P136" s="1"/>
      <c r="Q136" s="1"/>
      <c r="R136" s="1"/>
      <c r="S136" s="1"/>
      <c r="T136" s="1"/>
      <c r="U136" s="1"/>
      <c r="V136" s="1"/>
      <c r="W136" s="1"/>
      <c r="X136" s="1"/>
    </row>
    <row r="137" customFormat="false" ht="12.75" hidden="false" customHeight="false" outlineLevel="0" collapsed="false">
      <c r="A137" s="1"/>
      <c r="B137" s="2"/>
      <c r="C137" s="3"/>
      <c r="D137" s="1"/>
      <c r="E137" s="4"/>
      <c r="F137" s="2"/>
      <c r="G137" s="3"/>
      <c r="H137" s="5"/>
      <c r="I137" s="6"/>
      <c r="J137" s="3"/>
      <c r="K137" s="1"/>
      <c r="L137" s="1"/>
      <c r="M137" s="7"/>
      <c r="N137" s="7"/>
      <c r="O137" s="1"/>
      <c r="P137" s="1"/>
      <c r="Q137" s="1"/>
      <c r="R137" s="1"/>
      <c r="S137" s="1"/>
      <c r="T137" s="1"/>
      <c r="U137" s="1"/>
      <c r="V137" s="1"/>
      <c r="W137" s="1"/>
      <c r="X137" s="1"/>
    </row>
    <row r="138" customFormat="false" ht="12.75" hidden="false" customHeight="false" outlineLevel="0" collapsed="false">
      <c r="A138" s="1"/>
      <c r="B138" s="2"/>
      <c r="C138" s="3"/>
      <c r="D138" s="1"/>
      <c r="E138" s="4"/>
      <c r="F138" s="2"/>
      <c r="G138" s="3"/>
      <c r="H138" s="5"/>
      <c r="I138" s="6"/>
      <c r="J138" s="3"/>
      <c r="K138" s="1"/>
      <c r="L138" s="1"/>
      <c r="M138" s="7"/>
      <c r="N138" s="7"/>
      <c r="O138" s="1"/>
      <c r="P138" s="1"/>
      <c r="Q138" s="1"/>
      <c r="R138" s="1"/>
      <c r="S138" s="1"/>
      <c r="T138" s="1"/>
      <c r="U138" s="1"/>
      <c r="V138" s="1"/>
      <c r="W138" s="1"/>
      <c r="X138" s="1"/>
    </row>
    <row r="139" customFormat="false" ht="12.75" hidden="false" customHeight="false" outlineLevel="0" collapsed="false">
      <c r="A139" s="1"/>
      <c r="B139" s="2"/>
      <c r="C139" s="3"/>
      <c r="D139" s="1"/>
      <c r="E139" s="4"/>
      <c r="F139" s="2"/>
      <c r="G139" s="3"/>
      <c r="H139" s="5"/>
      <c r="I139" s="6"/>
      <c r="J139" s="3"/>
      <c r="K139" s="1"/>
      <c r="L139" s="1"/>
      <c r="M139" s="7"/>
      <c r="N139" s="7"/>
      <c r="O139" s="1"/>
      <c r="P139" s="1"/>
      <c r="Q139" s="1"/>
      <c r="R139" s="1"/>
      <c r="S139" s="1"/>
      <c r="T139" s="1"/>
      <c r="U139" s="1"/>
      <c r="V139" s="1"/>
      <c r="W139" s="1"/>
      <c r="X139" s="1"/>
    </row>
    <row r="140" customFormat="false" ht="12.75" hidden="false" customHeight="false" outlineLevel="0" collapsed="false">
      <c r="A140" s="1"/>
      <c r="B140" s="2"/>
      <c r="C140" s="3"/>
      <c r="D140" s="1"/>
      <c r="E140" s="4"/>
      <c r="F140" s="2"/>
      <c r="G140" s="3"/>
      <c r="H140" s="5"/>
      <c r="I140" s="6"/>
      <c r="J140" s="3"/>
      <c r="K140" s="1"/>
      <c r="L140" s="1"/>
      <c r="M140" s="7"/>
      <c r="N140" s="7"/>
      <c r="O140" s="1"/>
      <c r="P140" s="1"/>
      <c r="Q140" s="1"/>
      <c r="R140" s="1"/>
      <c r="S140" s="1"/>
      <c r="T140" s="1"/>
      <c r="U140" s="1"/>
      <c r="V140" s="1"/>
      <c r="W140" s="1"/>
      <c r="X140" s="1"/>
    </row>
    <row r="141" customFormat="false" ht="12.75" hidden="false" customHeight="false" outlineLevel="0" collapsed="false">
      <c r="A141" s="1"/>
      <c r="B141" s="2"/>
      <c r="C141" s="3"/>
      <c r="D141" s="1"/>
      <c r="E141" s="4"/>
      <c r="F141" s="2"/>
      <c r="G141" s="3"/>
      <c r="H141" s="5"/>
      <c r="I141" s="6"/>
      <c r="J141" s="3"/>
      <c r="K141" s="1"/>
      <c r="L141" s="1"/>
      <c r="M141" s="7"/>
      <c r="N141" s="7"/>
      <c r="O141" s="1"/>
      <c r="P141" s="1"/>
      <c r="Q141" s="1"/>
      <c r="R141" s="1"/>
      <c r="S141" s="1"/>
      <c r="T141" s="1"/>
      <c r="U141" s="1"/>
      <c r="V141" s="1"/>
      <c r="W141" s="1"/>
      <c r="X141" s="1"/>
    </row>
    <row r="142" customFormat="false" ht="12.75" hidden="false" customHeight="false" outlineLevel="0" collapsed="false">
      <c r="A142" s="1"/>
      <c r="B142" s="2"/>
      <c r="C142" s="3"/>
      <c r="D142" s="1"/>
      <c r="E142" s="4"/>
      <c r="F142" s="2"/>
      <c r="G142" s="3"/>
      <c r="H142" s="5"/>
      <c r="I142" s="6"/>
      <c r="J142" s="3"/>
      <c r="K142" s="1"/>
      <c r="L142" s="1"/>
      <c r="M142" s="7"/>
      <c r="N142" s="7"/>
      <c r="O142" s="1"/>
      <c r="P142" s="1"/>
      <c r="Q142" s="1"/>
      <c r="R142" s="1"/>
      <c r="S142" s="1"/>
      <c r="T142" s="1"/>
      <c r="U142" s="1"/>
      <c r="V142" s="1"/>
      <c r="W142" s="1"/>
      <c r="X142" s="1"/>
    </row>
    <row r="143" customFormat="false" ht="12.75" hidden="false" customHeight="false" outlineLevel="0" collapsed="false">
      <c r="A143" s="1"/>
      <c r="B143" s="2"/>
      <c r="C143" s="3"/>
      <c r="D143" s="1"/>
      <c r="E143" s="4"/>
      <c r="F143" s="2"/>
      <c r="G143" s="3"/>
      <c r="H143" s="5"/>
      <c r="I143" s="6"/>
      <c r="J143" s="3"/>
      <c r="K143" s="1"/>
      <c r="L143" s="1"/>
      <c r="M143" s="7"/>
      <c r="N143" s="7"/>
      <c r="O143" s="1"/>
      <c r="P143" s="1"/>
      <c r="Q143" s="1"/>
      <c r="R143" s="1"/>
      <c r="S143" s="1"/>
      <c r="T143" s="1"/>
      <c r="U143" s="1"/>
      <c r="V143" s="1"/>
      <c r="W143" s="1"/>
      <c r="X143" s="1"/>
    </row>
    <row r="144" customFormat="false" ht="12.75" hidden="false" customHeight="false" outlineLevel="0" collapsed="false">
      <c r="A144" s="1"/>
      <c r="B144" s="2"/>
      <c r="C144" s="3"/>
      <c r="D144" s="1"/>
      <c r="E144" s="4"/>
      <c r="F144" s="2"/>
      <c r="G144" s="3"/>
      <c r="H144" s="5"/>
      <c r="I144" s="6"/>
      <c r="J144" s="3"/>
      <c r="K144" s="1"/>
      <c r="L144" s="1"/>
      <c r="M144" s="7"/>
      <c r="N144" s="7"/>
      <c r="O144" s="1"/>
      <c r="P144" s="1"/>
      <c r="Q144" s="1"/>
      <c r="R144" s="1"/>
      <c r="S144" s="1"/>
      <c r="T144" s="1"/>
      <c r="U144" s="1"/>
      <c r="V144" s="1"/>
      <c r="W144" s="1"/>
      <c r="X144" s="1"/>
    </row>
    <row r="145" customFormat="false" ht="12.75" hidden="false" customHeight="false" outlineLevel="0" collapsed="false">
      <c r="A145" s="1"/>
      <c r="B145" s="2"/>
      <c r="C145" s="3"/>
      <c r="D145" s="1"/>
      <c r="E145" s="4"/>
      <c r="F145" s="2"/>
      <c r="G145" s="3"/>
      <c r="H145" s="5"/>
      <c r="I145" s="6"/>
      <c r="J145" s="3"/>
      <c r="K145" s="1"/>
      <c r="L145" s="1"/>
      <c r="M145" s="7"/>
      <c r="N145" s="7"/>
      <c r="O145" s="1"/>
      <c r="P145" s="1"/>
      <c r="Q145" s="1"/>
      <c r="R145" s="1"/>
      <c r="S145" s="1"/>
      <c r="T145" s="1"/>
      <c r="U145" s="1"/>
      <c r="V145" s="1"/>
      <c r="W145" s="1"/>
      <c r="X145" s="1"/>
    </row>
    <row r="146" customFormat="false" ht="12.75" hidden="false" customHeight="false" outlineLevel="0" collapsed="false">
      <c r="A146" s="1"/>
      <c r="B146" s="2"/>
      <c r="C146" s="3"/>
      <c r="D146" s="1"/>
      <c r="E146" s="4"/>
      <c r="F146" s="2"/>
      <c r="G146" s="3"/>
      <c r="H146" s="5"/>
      <c r="I146" s="6"/>
      <c r="J146" s="3"/>
      <c r="K146" s="1"/>
      <c r="L146" s="1"/>
      <c r="M146" s="7"/>
      <c r="N146" s="7"/>
      <c r="O146" s="1"/>
      <c r="P146" s="1"/>
      <c r="Q146" s="1"/>
      <c r="R146" s="1"/>
      <c r="S146" s="1"/>
      <c r="T146" s="1"/>
      <c r="U146" s="1"/>
      <c r="V146" s="1"/>
      <c r="W146" s="1"/>
      <c r="X146" s="1"/>
    </row>
    <row r="147" customFormat="false" ht="12.75" hidden="false" customHeight="false" outlineLevel="0" collapsed="false">
      <c r="A147" s="1"/>
      <c r="B147" s="2"/>
      <c r="C147" s="3"/>
      <c r="D147" s="1"/>
      <c r="E147" s="4"/>
      <c r="F147" s="2"/>
      <c r="G147" s="3"/>
      <c r="H147" s="5"/>
      <c r="I147" s="6"/>
      <c r="J147" s="3"/>
      <c r="K147" s="1"/>
      <c r="L147" s="1"/>
      <c r="M147" s="7"/>
      <c r="N147" s="7"/>
      <c r="O147" s="1"/>
      <c r="P147" s="1"/>
      <c r="Q147" s="1"/>
      <c r="R147" s="1"/>
      <c r="S147" s="1"/>
      <c r="T147" s="1"/>
      <c r="U147" s="1"/>
      <c r="V147" s="1"/>
      <c r="W147" s="1"/>
      <c r="X147" s="1"/>
    </row>
    <row r="148" customFormat="false" ht="12.75" hidden="false" customHeight="false" outlineLevel="0" collapsed="false">
      <c r="A148" s="1"/>
      <c r="B148" s="2"/>
      <c r="C148" s="3"/>
      <c r="D148" s="1"/>
      <c r="E148" s="4"/>
      <c r="F148" s="2"/>
      <c r="G148" s="3"/>
      <c r="H148" s="5"/>
      <c r="I148" s="6"/>
      <c r="J148" s="3"/>
      <c r="K148" s="1"/>
      <c r="L148" s="1"/>
      <c r="M148" s="7"/>
      <c r="N148" s="7"/>
      <c r="O148" s="1"/>
      <c r="P148" s="1"/>
      <c r="Q148" s="1"/>
      <c r="R148" s="1"/>
      <c r="S148" s="1"/>
      <c r="T148" s="1"/>
      <c r="U148" s="1"/>
      <c r="V148" s="1"/>
      <c r="W148" s="1"/>
      <c r="X148" s="1"/>
    </row>
    <row r="149" customFormat="false" ht="12.75" hidden="false" customHeight="false" outlineLevel="0" collapsed="false">
      <c r="A149" s="1"/>
      <c r="B149" s="2"/>
      <c r="C149" s="3"/>
      <c r="D149" s="1"/>
      <c r="E149" s="4"/>
      <c r="F149" s="2"/>
      <c r="G149" s="3"/>
      <c r="H149" s="5"/>
      <c r="I149" s="6"/>
      <c r="J149" s="3"/>
      <c r="K149" s="1"/>
      <c r="L149" s="1"/>
      <c r="M149" s="7"/>
      <c r="N149" s="7"/>
      <c r="O149" s="1"/>
      <c r="P149" s="1"/>
      <c r="Q149" s="1"/>
      <c r="R149" s="1"/>
      <c r="S149" s="1"/>
      <c r="T149" s="1"/>
      <c r="U149" s="1"/>
      <c r="V149" s="1"/>
      <c r="W149" s="1"/>
      <c r="X149" s="1"/>
    </row>
    <row r="150" customFormat="false" ht="12.75" hidden="false" customHeight="false" outlineLevel="0" collapsed="false">
      <c r="A150" s="1"/>
      <c r="B150" s="2"/>
      <c r="C150" s="3"/>
      <c r="D150" s="1"/>
      <c r="E150" s="4"/>
      <c r="F150" s="2"/>
      <c r="G150" s="3"/>
      <c r="H150" s="5"/>
      <c r="I150" s="6"/>
      <c r="J150" s="3"/>
      <c r="K150" s="1"/>
      <c r="L150" s="1"/>
      <c r="M150" s="7"/>
      <c r="N150" s="7"/>
      <c r="O150" s="1"/>
      <c r="P150" s="1"/>
      <c r="Q150" s="1"/>
      <c r="R150" s="1"/>
      <c r="S150" s="1"/>
      <c r="T150" s="1"/>
      <c r="U150" s="1"/>
      <c r="V150" s="1"/>
      <c r="W150" s="1"/>
      <c r="X150" s="1"/>
    </row>
    <row r="151" customFormat="false" ht="12.75" hidden="false" customHeight="false" outlineLevel="0" collapsed="false">
      <c r="A151" s="1"/>
      <c r="B151" s="2"/>
      <c r="C151" s="3"/>
      <c r="D151" s="1"/>
      <c r="E151" s="4"/>
      <c r="F151" s="2"/>
      <c r="G151" s="3"/>
      <c r="H151" s="5"/>
      <c r="I151" s="6"/>
      <c r="J151" s="3"/>
      <c r="K151" s="1"/>
      <c r="L151" s="1"/>
      <c r="M151" s="7"/>
      <c r="N151" s="7"/>
      <c r="O151" s="1"/>
      <c r="P151" s="1"/>
      <c r="Q151" s="1"/>
      <c r="R151" s="1"/>
      <c r="S151" s="1"/>
      <c r="T151" s="1"/>
      <c r="U151" s="1"/>
      <c r="V151" s="1"/>
      <c r="W151" s="1"/>
      <c r="X151" s="1"/>
    </row>
    <row r="152" customFormat="false" ht="12.75" hidden="false" customHeight="false" outlineLevel="0" collapsed="false">
      <c r="A152" s="1"/>
      <c r="B152" s="2"/>
      <c r="C152" s="3"/>
      <c r="D152" s="1"/>
      <c r="E152" s="4"/>
      <c r="F152" s="2"/>
      <c r="G152" s="3"/>
      <c r="H152" s="5"/>
      <c r="I152" s="6"/>
      <c r="J152" s="3"/>
      <c r="K152" s="1"/>
      <c r="L152" s="1"/>
      <c r="M152" s="7"/>
      <c r="N152" s="7"/>
      <c r="O152" s="1"/>
      <c r="P152" s="1"/>
      <c r="Q152" s="1"/>
      <c r="R152" s="1"/>
      <c r="S152" s="1"/>
      <c r="T152" s="1"/>
      <c r="U152" s="1"/>
      <c r="V152" s="1"/>
      <c r="W152" s="1"/>
      <c r="X152" s="1"/>
    </row>
    <row r="153" customFormat="false" ht="12.75" hidden="false" customHeight="false" outlineLevel="0" collapsed="false">
      <c r="A153" s="1"/>
      <c r="B153" s="2"/>
      <c r="C153" s="3"/>
      <c r="D153" s="1"/>
      <c r="E153" s="4"/>
      <c r="F153" s="2"/>
      <c r="G153" s="3"/>
      <c r="H153" s="5"/>
      <c r="I153" s="6"/>
      <c r="J153" s="3"/>
      <c r="K153" s="1"/>
      <c r="L153" s="1"/>
      <c r="M153" s="7"/>
      <c r="N153" s="7"/>
      <c r="O153" s="1"/>
      <c r="P153" s="1"/>
      <c r="Q153" s="1"/>
      <c r="R153" s="1"/>
      <c r="S153" s="1"/>
      <c r="T153" s="1"/>
      <c r="U153" s="1"/>
      <c r="V153" s="1"/>
      <c r="W153" s="1"/>
      <c r="X153" s="1"/>
    </row>
    <row r="154" customFormat="false" ht="12.75" hidden="false" customHeight="false" outlineLevel="0" collapsed="false">
      <c r="A154" s="1"/>
      <c r="B154" s="2"/>
      <c r="C154" s="3"/>
      <c r="D154" s="1"/>
      <c r="E154" s="4"/>
      <c r="F154" s="2"/>
      <c r="G154" s="3"/>
      <c r="H154" s="5"/>
      <c r="I154" s="6"/>
      <c r="J154" s="3"/>
      <c r="K154" s="1"/>
      <c r="L154" s="1"/>
      <c r="M154" s="7"/>
      <c r="N154" s="7"/>
      <c r="O154" s="1"/>
      <c r="P154" s="1"/>
      <c r="Q154" s="1"/>
      <c r="R154" s="1"/>
      <c r="S154" s="1"/>
      <c r="T154" s="1"/>
      <c r="U154" s="1"/>
      <c r="V154" s="1"/>
      <c r="W154" s="1"/>
      <c r="X154" s="1"/>
    </row>
    <row r="155" customFormat="false" ht="12.75" hidden="false" customHeight="false" outlineLevel="0" collapsed="false">
      <c r="A155" s="1"/>
      <c r="B155" s="2"/>
      <c r="C155" s="3"/>
      <c r="D155" s="1"/>
      <c r="E155" s="4"/>
      <c r="F155" s="2"/>
      <c r="G155" s="3"/>
      <c r="H155" s="5"/>
      <c r="I155" s="6"/>
      <c r="J155" s="3"/>
      <c r="K155" s="1"/>
      <c r="L155" s="1"/>
      <c r="M155" s="7"/>
      <c r="N155" s="7"/>
      <c r="O155" s="1"/>
      <c r="P155" s="1"/>
      <c r="Q155" s="1"/>
      <c r="R155" s="1"/>
      <c r="S155" s="1"/>
      <c r="T155" s="1"/>
      <c r="U155" s="1"/>
      <c r="V155" s="1"/>
      <c r="W155" s="1"/>
      <c r="X155" s="1"/>
    </row>
    <row r="156" customFormat="false" ht="12.75" hidden="false" customHeight="false" outlineLevel="0" collapsed="false">
      <c r="A156" s="1"/>
      <c r="B156" s="2"/>
      <c r="C156" s="3"/>
      <c r="D156" s="1"/>
      <c r="E156" s="4"/>
      <c r="F156" s="2"/>
      <c r="G156" s="3"/>
      <c r="H156" s="5"/>
      <c r="I156" s="6"/>
      <c r="J156" s="3"/>
      <c r="K156" s="1"/>
      <c r="L156" s="1"/>
      <c r="M156" s="7"/>
      <c r="N156" s="7"/>
      <c r="O156" s="1"/>
      <c r="P156" s="1"/>
      <c r="Q156" s="1"/>
      <c r="R156" s="1"/>
      <c r="S156" s="1"/>
      <c r="T156" s="1"/>
      <c r="U156" s="1"/>
      <c r="V156" s="1"/>
      <c r="W156" s="1"/>
      <c r="X156" s="1"/>
    </row>
    <row r="157" customFormat="false" ht="12.75" hidden="false" customHeight="false" outlineLevel="0" collapsed="false">
      <c r="A157" s="1"/>
      <c r="B157" s="2"/>
      <c r="C157" s="3"/>
      <c r="D157" s="1"/>
      <c r="E157" s="4"/>
      <c r="F157" s="2"/>
      <c r="G157" s="3"/>
      <c r="H157" s="5"/>
      <c r="I157" s="6"/>
      <c r="J157" s="3"/>
      <c r="K157" s="1"/>
      <c r="L157" s="1"/>
      <c r="M157" s="7"/>
      <c r="N157" s="7"/>
      <c r="O157" s="1"/>
      <c r="P157" s="1"/>
      <c r="Q157" s="1"/>
      <c r="R157" s="1"/>
      <c r="S157" s="1"/>
      <c r="T157" s="1"/>
      <c r="U157" s="1"/>
      <c r="V157" s="1"/>
      <c r="W157" s="1"/>
      <c r="X157" s="1"/>
    </row>
    <row r="158" customFormat="false" ht="12.75" hidden="false" customHeight="false" outlineLevel="0" collapsed="false">
      <c r="A158" s="1"/>
      <c r="B158" s="2"/>
      <c r="C158" s="3"/>
      <c r="D158" s="1"/>
      <c r="E158" s="4"/>
      <c r="F158" s="2"/>
      <c r="G158" s="3"/>
      <c r="H158" s="5"/>
      <c r="I158" s="6"/>
      <c r="J158" s="3"/>
      <c r="K158" s="1"/>
      <c r="L158" s="1"/>
      <c r="M158" s="7"/>
      <c r="N158" s="7"/>
      <c r="O158" s="1"/>
      <c r="P158" s="1"/>
      <c r="Q158" s="1"/>
      <c r="R158" s="1"/>
      <c r="S158" s="1"/>
      <c r="T158" s="1"/>
      <c r="U158" s="1"/>
      <c r="V158" s="1"/>
      <c r="W158" s="1"/>
      <c r="X158" s="1"/>
    </row>
    <row r="159" customFormat="false" ht="12.75" hidden="false" customHeight="false" outlineLevel="0" collapsed="false">
      <c r="A159" s="1"/>
      <c r="B159" s="2"/>
      <c r="C159" s="3"/>
      <c r="D159" s="1"/>
      <c r="E159" s="4"/>
      <c r="F159" s="2"/>
      <c r="G159" s="3"/>
      <c r="H159" s="5"/>
      <c r="I159" s="6"/>
      <c r="J159" s="3"/>
      <c r="K159" s="1"/>
      <c r="L159" s="1"/>
      <c r="M159" s="7"/>
      <c r="N159" s="7"/>
      <c r="O159" s="1"/>
      <c r="P159" s="1"/>
      <c r="Q159" s="1"/>
      <c r="R159" s="1"/>
      <c r="S159" s="1"/>
      <c r="T159" s="1"/>
      <c r="U159" s="1"/>
      <c r="V159" s="1"/>
      <c r="W159" s="1"/>
      <c r="X159" s="1"/>
    </row>
    <row r="160" customFormat="false" ht="12.75" hidden="false" customHeight="false" outlineLevel="0" collapsed="false">
      <c r="A160" s="1"/>
      <c r="B160" s="2"/>
      <c r="C160" s="3"/>
      <c r="D160" s="1"/>
      <c r="E160" s="4"/>
      <c r="F160" s="2"/>
      <c r="G160" s="3"/>
      <c r="H160" s="5"/>
      <c r="I160" s="6"/>
      <c r="J160" s="3"/>
      <c r="K160" s="1"/>
      <c r="L160" s="1"/>
      <c r="M160" s="7"/>
      <c r="N160" s="7"/>
      <c r="O160" s="1"/>
      <c r="P160" s="1"/>
      <c r="Q160" s="1"/>
      <c r="R160" s="1"/>
      <c r="S160" s="1"/>
      <c r="T160" s="1"/>
      <c r="U160" s="1"/>
      <c r="V160" s="1"/>
      <c r="W160" s="1"/>
      <c r="X160" s="1"/>
    </row>
    <row r="161" customFormat="false" ht="12.75" hidden="false" customHeight="false" outlineLevel="0" collapsed="false">
      <c r="A161" s="1"/>
      <c r="B161" s="2"/>
      <c r="C161" s="3"/>
      <c r="D161" s="1"/>
      <c r="E161" s="4"/>
      <c r="F161" s="2"/>
      <c r="G161" s="3"/>
      <c r="H161" s="5"/>
      <c r="I161" s="6"/>
      <c r="J161" s="3"/>
      <c r="K161" s="1"/>
      <c r="L161" s="1"/>
      <c r="M161" s="7"/>
      <c r="N161" s="7"/>
      <c r="O161" s="1"/>
      <c r="P161" s="1"/>
      <c r="Q161" s="1"/>
      <c r="R161" s="1"/>
      <c r="S161" s="1"/>
      <c r="T161" s="1"/>
      <c r="U161" s="1"/>
      <c r="V161" s="1"/>
      <c r="W161" s="1"/>
      <c r="X161" s="1"/>
    </row>
    <row r="162" customFormat="false" ht="12.75" hidden="false" customHeight="false" outlineLevel="0" collapsed="false">
      <c r="A162" s="1"/>
      <c r="B162" s="2"/>
      <c r="C162" s="3"/>
      <c r="D162" s="1"/>
      <c r="E162" s="4"/>
      <c r="F162" s="2"/>
      <c r="G162" s="3"/>
      <c r="H162" s="5"/>
      <c r="I162" s="6"/>
      <c r="J162" s="3"/>
      <c r="K162" s="1"/>
      <c r="L162" s="1"/>
      <c r="M162" s="7"/>
      <c r="N162" s="7"/>
      <c r="O162" s="1"/>
      <c r="P162" s="1"/>
      <c r="Q162" s="1"/>
      <c r="R162" s="1"/>
      <c r="S162" s="1"/>
      <c r="T162" s="1"/>
      <c r="U162" s="1"/>
      <c r="V162" s="1"/>
      <c r="W162" s="1"/>
      <c r="X162" s="1"/>
    </row>
    <row r="163" customFormat="false" ht="12.75" hidden="false" customHeight="false" outlineLevel="0" collapsed="false">
      <c r="A163" s="1"/>
      <c r="B163" s="2"/>
      <c r="C163" s="3"/>
      <c r="D163" s="1"/>
      <c r="E163" s="4"/>
      <c r="F163" s="2"/>
      <c r="G163" s="3"/>
      <c r="H163" s="5"/>
      <c r="I163" s="6"/>
      <c r="J163" s="3"/>
      <c r="K163" s="1"/>
      <c r="L163" s="1"/>
      <c r="M163" s="7"/>
      <c r="N163" s="7"/>
      <c r="O163" s="1"/>
      <c r="P163" s="1"/>
      <c r="Q163" s="1"/>
      <c r="R163" s="1"/>
      <c r="S163" s="1"/>
      <c r="T163" s="1"/>
      <c r="U163" s="1"/>
      <c r="V163" s="1"/>
      <c r="W163" s="1"/>
      <c r="X163" s="1"/>
    </row>
    <row r="164" customFormat="false" ht="12.75" hidden="false" customHeight="false" outlineLevel="0" collapsed="false">
      <c r="A164" s="1"/>
      <c r="B164" s="2"/>
      <c r="C164" s="3"/>
      <c r="D164" s="1"/>
      <c r="E164" s="4"/>
      <c r="F164" s="2"/>
      <c r="G164" s="3"/>
      <c r="H164" s="5"/>
      <c r="I164" s="6"/>
      <c r="J164" s="3"/>
      <c r="K164" s="1"/>
      <c r="L164" s="1"/>
      <c r="M164" s="7"/>
      <c r="N164" s="7"/>
      <c r="O164" s="1"/>
      <c r="P164" s="1"/>
      <c r="Q164" s="1"/>
      <c r="R164" s="1"/>
      <c r="S164" s="1"/>
      <c r="T164" s="1"/>
      <c r="U164" s="1"/>
      <c r="V164" s="1"/>
      <c r="W164" s="1"/>
      <c r="X164" s="1"/>
    </row>
    <row r="165" customFormat="false" ht="12.75" hidden="false" customHeight="false" outlineLevel="0" collapsed="false">
      <c r="A165" s="1"/>
      <c r="B165" s="2"/>
      <c r="C165" s="3"/>
      <c r="D165" s="1"/>
      <c r="E165" s="4"/>
      <c r="F165" s="2"/>
      <c r="G165" s="3"/>
      <c r="H165" s="5"/>
      <c r="I165" s="6"/>
      <c r="J165" s="3"/>
      <c r="K165" s="1"/>
      <c r="L165" s="1"/>
      <c r="M165" s="7"/>
      <c r="N165" s="7"/>
      <c r="O165" s="1"/>
      <c r="P165" s="1"/>
      <c r="Q165" s="1"/>
      <c r="R165" s="1"/>
      <c r="S165" s="1"/>
      <c r="T165" s="1"/>
      <c r="U165" s="1"/>
      <c r="V165" s="1"/>
      <c r="W165" s="1"/>
      <c r="X165" s="1"/>
    </row>
    <row r="166" customFormat="false" ht="12.75" hidden="false" customHeight="false" outlineLevel="0" collapsed="false">
      <c r="A166" s="1"/>
      <c r="B166" s="2"/>
      <c r="C166" s="3"/>
      <c r="D166" s="1"/>
      <c r="E166" s="4"/>
      <c r="F166" s="2"/>
      <c r="G166" s="3"/>
      <c r="H166" s="5"/>
      <c r="I166" s="6"/>
      <c r="J166" s="3"/>
      <c r="K166" s="1"/>
      <c r="L166" s="1"/>
      <c r="M166" s="7"/>
      <c r="N166" s="7"/>
      <c r="O166" s="1"/>
      <c r="P166" s="1"/>
      <c r="Q166" s="1"/>
      <c r="R166" s="1"/>
      <c r="S166" s="1"/>
      <c r="T166" s="1"/>
      <c r="U166" s="1"/>
      <c r="V166" s="1"/>
      <c r="W166" s="1"/>
      <c r="X166" s="1"/>
    </row>
    <row r="167" customFormat="false" ht="12.75" hidden="false" customHeight="false" outlineLevel="0" collapsed="false">
      <c r="A167" s="1"/>
      <c r="B167" s="2"/>
      <c r="C167" s="3"/>
      <c r="D167" s="1"/>
      <c r="E167" s="4"/>
      <c r="F167" s="2"/>
      <c r="G167" s="3"/>
      <c r="H167" s="5"/>
      <c r="I167" s="6"/>
      <c r="J167" s="3"/>
      <c r="K167" s="1"/>
      <c r="L167" s="1"/>
      <c r="M167" s="7"/>
      <c r="N167" s="7"/>
      <c r="O167" s="1"/>
      <c r="P167" s="1"/>
      <c r="Q167" s="1"/>
      <c r="R167" s="1"/>
      <c r="S167" s="1"/>
      <c r="T167" s="1"/>
      <c r="U167" s="1"/>
      <c r="V167" s="1"/>
      <c r="W167" s="1"/>
      <c r="X167" s="1"/>
    </row>
    <row r="168" customFormat="false" ht="12.75" hidden="false" customHeight="false" outlineLevel="0" collapsed="false">
      <c r="A168" s="1"/>
      <c r="B168" s="2"/>
      <c r="C168" s="3"/>
      <c r="D168" s="1"/>
      <c r="E168" s="4"/>
      <c r="F168" s="2"/>
      <c r="G168" s="3"/>
      <c r="H168" s="5"/>
      <c r="I168" s="6"/>
      <c r="J168" s="3"/>
      <c r="K168" s="1"/>
      <c r="L168" s="1"/>
      <c r="M168" s="7"/>
      <c r="N168" s="7"/>
      <c r="O168" s="1"/>
      <c r="P168" s="1"/>
      <c r="Q168" s="1"/>
      <c r="R168" s="1"/>
      <c r="S168" s="1"/>
      <c r="T168" s="1"/>
      <c r="U168" s="1"/>
      <c r="V168" s="1"/>
      <c r="W168" s="1"/>
      <c r="X168" s="1"/>
    </row>
    <row r="169" customFormat="false" ht="12.75" hidden="false" customHeight="false" outlineLevel="0" collapsed="false">
      <c r="A169" s="1"/>
      <c r="B169" s="2"/>
      <c r="C169" s="3"/>
      <c r="D169" s="1"/>
      <c r="E169" s="4"/>
      <c r="F169" s="2"/>
      <c r="G169" s="3"/>
      <c r="H169" s="5"/>
      <c r="I169" s="6"/>
      <c r="J169" s="3"/>
      <c r="K169" s="1"/>
      <c r="L169" s="1"/>
      <c r="M169" s="7"/>
      <c r="N169" s="7"/>
      <c r="O169" s="1"/>
      <c r="P169" s="1"/>
      <c r="Q169" s="1"/>
      <c r="R169" s="1"/>
      <c r="S169" s="1"/>
      <c r="T169" s="1"/>
      <c r="U169" s="1"/>
      <c r="V169" s="1"/>
      <c r="W169" s="1"/>
      <c r="X169" s="1"/>
    </row>
    <row r="170" customFormat="false" ht="12.75" hidden="false" customHeight="false" outlineLevel="0" collapsed="false">
      <c r="A170" s="1"/>
      <c r="B170" s="2"/>
      <c r="C170" s="3"/>
      <c r="D170" s="1"/>
      <c r="E170" s="4"/>
      <c r="F170" s="2"/>
      <c r="G170" s="3"/>
      <c r="H170" s="5"/>
      <c r="I170" s="6"/>
      <c r="J170" s="3"/>
      <c r="K170" s="1"/>
      <c r="L170" s="1"/>
      <c r="M170" s="7"/>
      <c r="N170" s="7"/>
      <c r="O170" s="1"/>
      <c r="P170" s="1"/>
      <c r="Q170" s="1"/>
      <c r="R170" s="1"/>
      <c r="S170" s="1"/>
      <c r="T170" s="1"/>
      <c r="U170" s="1"/>
      <c r="V170" s="1"/>
      <c r="W170" s="1"/>
      <c r="X170" s="1"/>
    </row>
    <row r="171" customFormat="false" ht="12.75" hidden="false" customHeight="false" outlineLevel="0" collapsed="false">
      <c r="A171" s="1"/>
      <c r="B171" s="2"/>
      <c r="C171" s="3"/>
      <c r="D171" s="1"/>
      <c r="E171" s="4"/>
      <c r="F171" s="2"/>
      <c r="G171" s="3"/>
      <c r="H171" s="5"/>
      <c r="I171" s="6"/>
      <c r="J171" s="3"/>
      <c r="K171" s="1"/>
      <c r="L171" s="1"/>
      <c r="M171" s="7"/>
      <c r="N171" s="7"/>
      <c r="O171" s="1"/>
      <c r="P171" s="1"/>
      <c r="Q171" s="1"/>
      <c r="R171" s="1"/>
      <c r="S171" s="1"/>
      <c r="T171" s="1"/>
      <c r="U171" s="1"/>
      <c r="V171" s="1"/>
      <c r="W171" s="1"/>
      <c r="X171" s="1"/>
    </row>
    <row r="172" customFormat="false" ht="12.75" hidden="false" customHeight="false" outlineLevel="0" collapsed="false">
      <c r="A172" s="1"/>
      <c r="B172" s="2"/>
      <c r="C172" s="3"/>
      <c r="D172" s="1"/>
      <c r="E172" s="4"/>
      <c r="F172" s="2"/>
      <c r="G172" s="3"/>
      <c r="H172" s="5"/>
      <c r="I172" s="6"/>
      <c r="J172" s="3"/>
      <c r="K172" s="1"/>
      <c r="L172" s="1"/>
      <c r="M172" s="7"/>
      <c r="N172" s="7"/>
      <c r="O172" s="1"/>
      <c r="P172" s="1"/>
      <c r="Q172" s="1"/>
      <c r="R172" s="1"/>
      <c r="S172" s="1"/>
      <c r="T172" s="1"/>
      <c r="U172" s="1"/>
      <c r="V172" s="1"/>
      <c r="W172" s="1"/>
      <c r="X172" s="1"/>
    </row>
    <row r="173" customFormat="false" ht="12.75" hidden="false" customHeight="false" outlineLevel="0" collapsed="false">
      <c r="A173" s="1"/>
      <c r="B173" s="2"/>
      <c r="C173" s="3"/>
      <c r="D173" s="1"/>
      <c r="E173" s="4"/>
      <c r="F173" s="2"/>
      <c r="G173" s="3"/>
      <c r="H173" s="5"/>
      <c r="I173" s="6"/>
      <c r="J173" s="3"/>
      <c r="K173" s="1"/>
      <c r="L173" s="1"/>
      <c r="M173" s="7"/>
      <c r="N173" s="7"/>
      <c r="O173" s="1"/>
      <c r="P173" s="1"/>
      <c r="Q173" s="1"/>
      <c r="R173" s="1"/>
      <c r="S173" s="1"/>
      <c r="T173" s="1"/>
      <c r="U173" s="1"/>
      <c r="V173" s="1"/>
      <c r="W173" s="1"/>
      <c r="X173" s="1"/>
    </row>
    <row r="174" customFormat="false" ht="12.75" hidden="false" customHeight="false" outlineLevel="0" collapsed="false">
      <c r="A174" s="1"/>
      <c r="B174" s="2"/>
      <c r="C174" s="3"/>
      <c r="D174" s="1"/>
      <c r="E174" s="4"/>
      <c r="F174" s="2"/>
      <c r="G174" s="3"/>
      <c r="H174" s="5"/>
      <c r="I174" s="6"/>
      <c r="J174" s="3"/>
      <c r="K174" s="1"/>
      <c r="L174" s="1"/>
      <c r="M174" s="7"/>
      <c r="N174" s="7"/>
      <c r="O174" s="1"/>
      <c r="P174" s="1"/>
      <c r="Q174" s="1"/>
      <c r="R174" s="1"/>
      <c r="S174" s="1"/>
      <c r="T174" s="1"/>
      <c r="U174" s="1"/>
      <c r="V174" s="1"/>
      <c r="W174" s="1"/>
      <c r="X174" s="1"/>
    </row>
    <row r="175" customFormat="false" ht="12.75" hidden="false" customHeight="false" outlineLevel="0" collapsed="false">
      <c r="A175" s="1"/>
      <c r="B175" s="2"/>
      <c r="C175" s="3"/>
      <c r="D175" s="1"/>
      <c r="E175" s="4"/>
      <c r="F175" s="2"/>
      <c r="G175" s="3"/>
      <c r="H175" s="5"/>
      <c r="I175" s="6"/>
      <c r="J175" s="3"/>
      <c r="K175" s="1"/>
      <c r="L175" s="1"/>
      <c r="M175" s="7"/>
      <c r="N175" s="7"/>
      <c r="O175" s="1"/>
      <c r="P175" s="1"/>
      <c r="Q175" s="1"/>
      <c r="R175" s="1"/>
      <c r="S175" s="1"/>
      <c r="T175" s="1"/>
      <c r="U175" s="1"/>
      <c r="V175" s="1"/>
      <c r="W175" s="1"/>
      <c r="X175" s="1"/>
    </row>
    <row r="176" customFormat="false" ht="12.75" hidden="false" customHeight="false" outlineLevel="0" collapsed="false">
      <c r="A176" s="1"/>
      <c r="B176" s="2"/>
      <c r="C176" s="3"/>
      <c r="D176" s="1"/>
      <c r="E176" s="4"/>
      <c r="F176" s="2"/>
      <c r="G176" s="3"/>
      <c r="H176" s="5"/>
      <c r="I176" s="6"/>
      <c r="J176" s="3"/>
      <c r="K176" s="1"/>
      <c r="L176" s="1"/>
      <c r="M176" s="7"/>
      <c r="N176" s="7"/>
      <c r="O176" s="1"/>
      <c r="P176" s="1"/>
      <c r="Q176" s="1"/>
      <c r="R176" s="1"/>
      <c r="S176" s="1"/>
      <c r="T176" s="1"/>
      <c r="U176" s="1"/>
      <c r="V176" s="1"/>
      <c r="W176" s="1"/>
      <c r="X176" s="1"/>
    </row>
    <row r="177" customFormat="false" ht="12.75" hidden="false" customHeight="false" outlineLevel="0" collapsed="false">
      <c r="A177" s="1"/>
      <c r="B177" s="2"/>
      <c r="C177" s="3"/>
      <c r="D177" s="1"/>
      <c r="E177" s="4"/>
      <c r="F177" s="2"/>
      <c r="G177" s="3"/>
      <c r="H177" s="5"/>
      <c r="I177" s="6"/>
      <c r="J177" s="3"/>
      <c r="K177" s="1"/>
      <c r="L177" s="1"/>
      <c r="M177" s="7"/>
      <c r="N177" s="7"/>
      <c r="O177" s="1"/>
      <c r="P177" s="1"/>
      <c r="Q177" s="1"/>
      <c r="R177" s="1"/>
      <c r="S177" s="1"/>
      <c r="T177" s="1"/>
      <c r="U177" s="1"/>
      <c r="V177" s="1"/>
      <c r="W177" s="1"/>
      <c r="X177" s="1"/>
    </row>
    <row r="178" customFormat="false" ht="12.75" hidden="false" customHeight="false" outlineLevel="0" collapsed="false">
      <c r="A178" s="1"/>
      <c r="B178" s="2"/>
      <c r="C178" s="3"/>
      <c r="D178" s="1"/>
      <c r="E178" s="4"/>
      <c r="F178" s="2"/>
      <c r="G178" s="3"/>
      <c r="H178" s="5"/>
      <c r="I178" s="6"/>
      <c r="J178" s="3"/>
      <c r="K178" s="1"/>
      <c r="L178" s="1"/>
      <c r="M178" s="7"/>
      <c r="N178" s="7"/>
      <c r="O178" s="1"/>
      <c r="P178" s="1"/>
      <c r="Q178" s="1"/>
      <c r="R178" s="1"/>
      <c r="S178" s="1"/>
      <c r="T178" s="1"/>
      <c r="U178" s="1"/>
      <c r="V178" s="1"/>
      <c r="W178" s="1"/>
      <c r="X178" s="1"/>
    </row>
    <row r="179" customFormat="false" ht="12.75" hidden="false" customHeight="false" outlineLevel="0" collapsed="false">
      <c r="A179" s="1"/>
      <c r="B179" s="2"/>
      <c r="C179" s="3"/>
      <c r="D179" s="1"/>
      <c r="E179" s="4"/>
      <c r="F179" s="2"/>
      <c r="G179" s="3"/>
      <c r="H179" s="5"/>
      <c r="I179" s="6"/>
      <c r="J179" s="3"/>
      <c r="K179" s="1"/>
      <c r="L179" s="1"/>
      <c r="M179" s="7"/>
      <c r="N179" s="7"/>
      <c r="O179" s="1"/>
      <c r="P179" s="1"/>
      <c r="Q179" s="1"/>
      <c r="R179" s="1"/>
      <c r="S179" s="1"/>
      <c r="T179" s="1"/>
      <c r="U179" s="1"/>
      <c r="V179" s="1"/>
      <c r="W179" s="1"/>
      <c r="X179" s="1"/>
    </row>
    <row r="180" customFormat="false" ht="12.75" hidden="false" customHeight="false" outlineLevel="0" collapsed="false">
      <c r="A180" s="1"/>
      <c r="B180" s="2"/>
      <c r="C180" s="3"/>
      <c r="D180" s="1"/>
      <c r="E180" s="4"/>
      <c r="F180" s="2"/>
      <c r="G180" s="3"/>
      <c r="H180" s="5"/>
      <c r="I180" s="6"/>
      <c r="J180" s="3"/>
      <c r="K180" s="1"/>
      <c r="L180" s="1"/>
      <c r="M180" s="7"/>
      <c r="N180" s="7"/>
      <c r="O180" s="1"/>
      <c r="P180" s="1"/>
      <c r="Q180" s="1"/>
      <c r="R180" s="1"/>
      <c r="S180" s="1"/>
      <c r="T180" s="1"/>
      <c r="U180" s="1"/>
      <c r="V180" s="1"/>
      <c r="W180" s="1"/>
      <c r="X180" s="1"/>
    </row>
  </sheetData>
  <dataValidations count="1">
    <dataValidation allowBlank="true" errorStyle="stop" operator="between" showDropDown="false" showErrorMessage="true" showInputMessage="true" sqref="I31:L31 I32:I37 K32:L37" type="list">
      <formula1>Sayfa1!$C:$C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tableParts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K75"/>
  <sheetViews>
    <sheetView showFormulas="false" showGridLines="true" showRowColHeaders="true" showZeros="true" rightToLeft="false" tabSelected="false" showOutlineSymbols="true" defaultGridColor="true" view="normal" topLeftCell="A29" colorId="64" zoomScale="190" zoomScaleNormal="190" zoomScalePageLayoutView="100" workbookViewId="0">
      <selection pane="topLeft" activeCell="B45" activeCellId="0" sqref="B45"/>
    </sheetView>
  </sheetViews>
  <sheetFormatPr defaultColWidth="8.71484375" defaultRowHeight="12.75" zeroHeight="false" outlineLevelRow="0" outlineLevelCol="0"/>
  <cols>
    <col collapsed="false" customWidth="true" hidden="false" outlineLevel="0" max="1" min="1" style="128" width="10.43"/>
    <col collapsed="false" customWidth="true" hidden="false" outlineLevel="0" max="2" min="2" style="158" width="18.43"/>
    <col collapsed="false" customWidth="true" hidden="false" outlineLevel="0" max="3" min="3" style="159" width="13.29"/>
    <col collapsed="false" customWidth="true" hidden="false" outlineLevel="0" max="4" min="4" style="160" width="9.42"/>
    <col collapsed="false" customWidth="true" hidden="false" outlineLevel="0" max="5" min="5" style="161" width="8.86"/>
    <col collapsed="false" customWidth="true" hidden="false" outlineLevel="0" max="12" min="6" style="128" width="9.13"/>
  </cols>
  <sheetData>
    <row r="1" customFormat="false" ht="25.5" hidden="false" customHeight="false" outlineLevel="0" collapsed="false">
      <c r="A1" s="162" t="s">
        <v>69</v>
      </c>
      <c r="B1" s="163" t="s">
        <v>17</v>
      </c>
      <c r="C1" s="164" t="s">
        <v>70</v>
      </c>
      <c r="D1" s="165" t="s">
        <v>71</v>
      </c>
      <c r="E1" s="166" t="s">
        <v>72</v>
      </c>
    </row>
    <row r="2" customFormat="false" ht="12.75" hidden="false" customHeight="false" outlineLevel="0" collapsed="false">
      <c r="A2" s="167" t="n">
        <v>45289</v>
      </c>
      <c r="B2" s="163" t="n">
        <v>538.789707</v>
      </c>
      <c r="C2" s="164" t="s">
        <v>73</v>
      </c>
      <c r="D2" s="138" t="n">
        <v>0</v>
      </c>
      <c r="E2" s="166" t="s">
        <v>74</v>
      </c>
    </row>
    <row r="3" customFormat="false" ht="12.75" hidden="false" customHeight="false" outlineLevel="0" collapsed="false">
      <c r="A3" s="167" t="n">
        <v>45294</v>
      </c>
      <c r="B3" s="163" t="n">
        <v>539.406291</v>
      </c>
      <c r="C3" s="164" t="s">
        <v>75</v>
      </c>
      <c r="D3" s="138" t="n">
        <v>0.0011</v>
      </c>
      <c r="E3" s="168" t="n">
        <f aca="false">D2+D3</f>
        <v>0.0011</v>
      </c>
    </row>
    <row r="4" customFormat="false" ht="12.75" hidden="false" customHeight="false" outlineLevel="0" collapsed="false">
      <c r="A4" s="167" t="n">
        <v>45295</v>
      </c>
      <c r="B4" s="169" t="n">
        <v>540.000044</v>
      </c>
      <c r="C4" s="164" t="s">
        <v>76</v>
      </c>
      <c r="D4" s="138" t="n">
        <v>0.0011</v>
      </c>
      <c r="E4" s="168" t="n">
        <f aca="false">D3+D4</f>
        <v>0.0022</v>
      </c>
    </row>
    <row r="5" customFormat="false" ht="12.75" hidden="false" customHeight="false" outlineLevel="0" collapsed="false">
      <c r="A5" s="167" t="n">
        <v>45296</v>
      </c>
      <c r="B5" s="163" t="n">
        <v>540.601108</v>
      </c>
      <c r="C5" s="164" t="s">
        <v>77</v>
      </c>
      <c r="D5" s="138" t="n">
        <v>0.0011</v>
      </c>
      <c r="E5" s="168" t="n">
        <f aca="false">E4+D5</f>
        <v>0.0033</v>
      </c>
    </row>
    <row r="6" customFormat="false" ht="12.75" hidden="false" customHeight="false" outlineLevel="0" collapsed="false">
      <c r="A6" s="167" t="n">
        <v>45299</v>
      </c>
      <c r="B6" s="163" t="n">
        <v>542.434502</v>
      </c>
      <c r="C6" s="170" t="n">
        <v>1833394</v>
      </c>
      <c r="D6" s="138" t="n">
        <v>0.0033</v>
      </c>
      <c r="E6" s="168" t="n">
        <f aca="false">E5+D6</f>
        <v>0.0066</v>
      </c>
    </row>
    <row r="7" customFormat="false" ht="12.75" hidden="false" customHeight="false" outlineLevel="0" collapsed="false">
      <c r="A7" s="167" t="n">
        <v>45300</v>
      </c>
      <c r="B7" s="163" t="n">
        <v>543.043107</v>
      </c>
      <c r="C7" s="164" t="s">
        <v>78</v>
      </c>
      <c r="D7" s="138" t="n">
        <v>0.0011</v>
      </c>
      <c r="E7" s="168" t="n">
        <f aca="false">E6+D7</f>
        <v>0.0077</v>
      </c>
    </row>
    <row r="8" customFormat="false" ht="12.75" hidden="false" customHeight="false" outlineLevel="0" collapsed="false">
      <c r="A8" s="167" t="n">
        <v>45301</v>
      </c>
      <c r="B8" s="163" t="n">
        <v>543.647392</v>
      </c>
      <c r="C8" s="164" t="s">
        <v>79</v>
      </c>
      <c r="D8" s="138" t="n">
        <v>0.0011</v>
      </c>
      <c r="E8" s="168" t="n">
        <f aca="false">E7+D8</f>
        <v>0.0088</v>
      </c>
    </row>
    <row r="9" customFormat="false" ht="12.75" hidden="false" customHeight="false" outlineLevel="0" collapsed="false">
      <c r="A9" s="167" t="n">
        <v>45302</v>
      </c>
      <c r="B9" s="163" t="n">
        <v>544.251892</v>
      </c>
      <c r="C9" s="164" t="s">
        <v>80</v>
      </c>
      <c r="D9" s="138" t="n">
        <v>0.0011</v>
      </c>
      <c r="E9" s="168" t="n">
        <f aca="false">E8+D9</f>
        <v>0.0099</v>
      </c>
      <c r="K9" s="171"/>
    </row>
    <row r="10" customFormat="false" ht="12.75" hidden="false" customHeight="false" outlineLevel="0" collapsed="false">
      <c r="A10" s="167" t="n">
        <v>45303</v>
      </c>
      <c r="B10" s="163" t="n">
        <v>544.852737</v>
      </c>
      <c r="C10" s="164" t="s">
        <v>81</v>
      </c>
      <c r="D10" s="138" t="n">
        <v>0.0011</v>
      </c>
      <c r="E10" s="168" t="n">
        <f aca="false">E9+D10</f>
        <v>0.011</v>
      </c>
      <c r="K10" s="171"/>
    </row>
    <row r="11" customFormat="false" ht="12.75" hidden="false" customHeight="false" outlineLevel="0" collapsed="false">
      <c r="A11" s="167" t="n">
        <v>45306</v>
      </c>
      <c r="B11" s="163" t="n">
        <v>546.656398</v>
      </c>
      <c r="C11" s="170" t="n">
        <v>1803661</v>
      </c>
      <c r="D11" s="138" t="n">
        <v>0.0033</v>
      </c>
      <c r="E11" s="168" t="n">
        <f aca="false">E10+D11</f>
        <v>0.0143</v>
      </c>
      <c r="K11" s="171"/>
    </row>
    <row r="12" customFormat="false" ht="12.75" hidden="false" customHeight="false" outlineLevel="0" collapsed="false">
      <c r="A12" s="167" t="n">
        <v>45307</v>
      </c>
      <c r="B12" s="163" t="n">
        <v>547.255898</v>
      </c>
      <c r="C12" s="164" t="s">
        <v>82</v>
      </c>
      <c r="D12" s="138" t="n">
        <v>0.001</v>
      </c>
      <c r="E12" s="168" t="n">
        <f aca="false">E11+D12</f>
        <v>0.0153</v>
      </c>
      <c r="K12" s="171"/>
    </row>
    <row r="13" customFormat="false" ht="12.75" hidden="false" customHeight="false" outlineLevel="0" collapsed="false">
      <c r="A13" s="167" t="n">
        <v>45308</v>
      </c>
      <c r="B13" s="163" t="n">
        <v>547.853368</v>
      </c>
      <c r="C13" s="164" t="s">
        <v>83</v>
      </c>
      <c r="D13" s="138" t="n">
        <v>0.001</v>
      </c>
      <c r="E13" s="168" t="n">
        <f aca="false">E12+D13</f>
        <v>0.0163</v>
      </c>
    </row>
    <row r="14" customFormat="false" ht="12.75" hidden="false" customHeight="false" outlineLevel="0" collapsed="false">
      <c r="A14" s="167" t="n">
        <v>45309</v>
      </c>
      <c r="B14" s="163" t="n">
        <v>548.458835</v>
      </c>
      <c r="C14" s="164" t="s">
        <v>84</v>
      </c>
      <c r="D14" s="138" t="n">
        <v>0.0011</v>
      </c>
      <c r="E14" s="168" t="n">
        <f aca="false">E13+D14</f>
        <v>0.0174</v>
      </c>
    </row>
    <row r="15" customFormat="false" ht="12.75" hidden="false" customHeight="false" outlineLevel="0" collapsed="false">
      <c r="A15" s="167" t="n">
        <v>45310</v>
      </c>
      <c r="B15" s="163" t="n">
        <v>549.067719</v>
      </c>
      <c r="C15" s="164" t="s">
        <v>85</v>
      </c>
      <c r="D15" s="138" t="n">
        <v>0.0011</v>
      </c>
      <c r="E15" s="168" t="n">
        <f aca="false">E14+D15</f>
        <v>0.0185</v>
      </c>
    </row>
    <row r="16" customFormat="false" ht="12.75" hidden="false" customHeight="false" outlineLevel="0" collapsed="false">
      <c r="A16" s="167" t="n">
        <v>45313</v>
      </c>
      <c r="B16" s="163" t="n">
        <v>550.933949</v>
      </c>
      <c r="C16" s="170" t="n">
        <v>1866230</v>
      </c>
      <c r="D16" s="138" t="n">
        <v>0.0033</v>
      </c>
      <c r="E16" s="168" t="n">
        <f aca="false">E15+D16</f>
        <v>0.0218</v>
      </c>
    </row>
    <row r="17" customFormat="false" ht="12.75" hidden="false" customHeight="false" outlineLevel="0" collapsed="false">
      <c r="A17" s="167" t="n">
        <v>45314</v>
      </c>
      <c r="B17" s="163" t="n">
        <v>551.563651</v>
      </c>
      <c r="C17" s="164" t="s">
        <v>86</v>
      </c>
      <c r="D17" s="138" t="n">
        <v>0.0011</v>
      </c>
      <c r="E17" s="168" t="n">
        <f aca="false">E16+D17</f>
        <v>0.0229</v>
      </c>
    </row>
    <row r="18" customFormat="false" ht="12.75" hidden="false" customHeight="false" outlineLevel="0" collapsed="false">
      <c r="A18" s="167" t="n">
        <v>45315</v>
      </c>
      <c r="B18" s="163" t="n">
        <v>552.189153</v>
      </c>
      <c r="C18" s="164" t="s">
        <v>87</v>
      </c>
      <c r="D18" s="138" t="n">
        <v>0.0011</v>
      </c>
      <c r="E18" s="168" t="n">
        <f aca="false">E17+D18</f>
        <v>0.024</v>
      </c>
    </row>
    <row r="19" customFormat="false" ht="12.75" hidden="false" customHeight="false" outlineLevel="0" collapsed="false">
      <c r="A19" s="167" t="n">
        <v>45316</v>
      </c>
      <c r="B19" s="163" t="n">
        <v>552.814934</v>
      </c>
      <c r="C19" s="164" t="s">
        <v>88</v>
      </c>
      <c r="D19" s="138" t="n">
        <v>0.0011</v>
      </c>
      <c r="E19" s="168" t="n">
        <f aca="false">E18+D19</f>
        <v>0.0251</v>
      </c>
    </row>
    <row r="20" customFormat="false" ht="12.75" hidden="false" customHeight="false" outlineLevel="0" collapsed="false">
      <c r="A20" s="167" t="n">
        <v>45317</v>
      </c>
      <c r="B20" s="163" t="n">
        <v>553.429751</v>
      </c>
      <c r="C20" s="164" t="s">
        <v>89</v>
      </c>
      <c r="D20" s="138" t="n">
        <v>0.0011</v>
      </c>
      <c r="E20" s="168" t="n">
        <f aca="false">E19+D20</f>
        <v>0.0262</v>
      </c>
    </row>
    <row r="21" customFormat="false" ht="12.75" hidden="false" customHeight="false" outlineLevel="0" collapsed="false">
      <c r="A21" s="167" t="n">
        <v>45320</v>
      </c>
      <c r="B21" s="163" t="n">
        <v>555.315321</v>
      </c>
      <c r="C21" s="170" t="n">
        <v>1885570</v>
      </c>
      <c r="D21" s="138" t="n">
        <v>0.0034</v>
      </c>
      <c r="E21" s="168" t="n">
        <f aca="false">E20+D21</f>
        <v>0.0296</v>
      </c>
    </row>
    <row r="22" customFormat="false" ht="12.75" hidden="false" customHeight="false" outlineLevel="0" collapsed="false">
      <c r="A22" s="167" t="n">
        <v>45321</v>
      </c>
      <c r="B22" s="163" t="n">
        <v>555.950107</v>
      </c>
      <c r="C22" s="164" t="s">
        <v>90</v>
      </c>
      <c r="D22" s="138" t="n">
        <v>0.0011</v>
      </c>
      <c r="E22" s="168" t="n">
        <f aca="false">E21+D22</f>
        <v>0.0307</v>
      </c>
    </row>
    <row r="23" customFormat="false" ht="12.75" hidden="false" customHeight="false" outlineLevel="0" collapsed="false">
      <c r="A23" s="167" t="n">
        <v>45322</v>
      </c>
      <c r="B23" s="163" t="n">
        <v>556.581677</v>
      </c>
      <c r="C23" s="164" t="s">
        <v>91</v>
      </c>
      <c r="D23" s="138" t="n">
        <v>0.0011</v>
      </c>
      <c r="E23" s="168" t="n">
        <f aca="false">E22+D23</f>
        <v>0.0318</v>
      </c>
    </row>
    <row r="24" customFormat="false" ht="12.75" hidden="false" customHeight="false" outlineLevel="0" collapsed="false">
      <c r="A24" s="167" t="n">
        <v>45323</v>
      </c>
      <c r="B24" s="163" t="n">
        <v>557.210833</v>
      </c>
      <c r="C24" s="164" t="s">
        <v>92</v>
      </c>
      <c r="D24" s="138" t="n">
        <v>0.0011</v>
      </c>
      <c r="E24" s="168" t="n">
        <f aca="false">E23+D24</f>
        <v>0.0329</v>
      </c>
    </row>
    <row r="25" customFormat="false" ht="12.75" hidden="false" customHeight="false" outlineLevel="0" collapsed="false">
      <c r="A25" s="167" t="n">
        <v>45324</v>
      </c>
      <c r="B25" s="163" t="n">
        <v>557.852543</v>
      </c>
      <c r="C25" s="164" t="s">
        <v>93</v>
      </c>
      <c r="D25" s="138" t="n">
        <v>0.0011</v>
      </c>
      <c r="E25" s="168" t="n">
        <f aca="false">E24+D25</f>
        <v>0.034</v>
      </c>
    </row>
    <row r="26" customFormat="false" ht="12.75" hidden="false" customHeight="false" outlineLevel="0" collapsed="false">
      <c r="A26" s="167" t="n">
        <v>45327</v>
      </c>
      <c r="B26" s="163" t="n">
        <v>559.833857</v>
      </c>
      <c r="C26" s="170" t="n">
        <v>1981314</v>
      </c>
      <c r="D26" s="138" t="n">
        <v>0.0035</v>
      </c>
      <c r="E26" s="168" t="n">
        <f aca="false">E25+D26</f>
        <v>0.0375</v>
      </c>
    </row>
    <row r="27" customFormat="false" ht="12.75" hidden="false" customHeight="false" outlineLevel="0" collapsed="false">
      <c r="A27" s="167" t="n">
        <v>45328</v>
      </c>
      <c r="B27" s="163" t="n">
        <v>560.499053</v>
      </c>
      <c r="C27" s="164" t="s">
        <v>94</v>
      </c>
      <c r="D27" s="138" t="n">
        <v>0.0011</v>
      </c>
      <c r="E27" s="168" t="n">
        <f aca="false">E26+D27</f>
        <v>0.0386</v>
      </c>
    </row>
    <row r="28" customFormat="false" ht="12.75" hidden="false" customHeight="false" outlineLevel="0" collapsed="false">
      <c r="A28" s="167" t="n">
        <v>45329</v>
      </c>
      <c r="B28" s="163" t="n">
        <v>561.157212</v>
      </c>
      <c r="C28" s="164" t="s">
        <v>95</v>
      </c>
      <c r="D28" s="138" t="n">
        <v>0.0011</v>
      </c>
      <c r="E28" s="168" t="n">
        <f aca="false">E27+D28</f>
        <v>0.0397</v>
      </c>
    </row>
    <row r="29" customFormat="false" ht="12.75" hidden="false" customHeight="false" outlineLevel="0" collapsed="false">
      <c r="A29" s="167" t="n">
        <v>45330</v>
      </c>
      <c r="B29" s="163" t="n">
        <v>561.81588</v>
      </c>
      <c r="C29" s="164" t="s">
        <v>96</v>
      </c>
      <c r="D29" s="138" t="n">
        <v>0.0011</v>
      </c>
      <c r="E29" s="168" t="n">
        <f aca="false">E28+D29</f>
        <v>0.0408</v>
      </c>
    </row>
    <row r="30" customFormat="false" ht="12.75" hidden="false" customHeight="false" outlineLevel="0" collapsed="false">
      <c r="A30" s="167" t="n">
        <v>45331</v>
      </c>
      <c r="B30" s="163" t="n">
        <v>562.474314</v>
      </c>
      <c r="C30" s="164" t="s">
        <v>97</v>
      </c>
      <c r="D30" s="138" t="n">
        <v>0.0011</v>
      </c>
      <c r="E30" s="168" t="n">
        <f aca="false">E29+D30</f>
        <v>0.0419</v>
      </c>
    </row>
    <row r="31" customFormat="false" ht="12.75" hidden="false" customHeight="false" outlineLevel="0" collapsed="false">
      <c r="A31" s="167" t="n">
        <v>45334</v>
      </c>
      <c r="B31" s="163" t="n">
        <v>564.450098</v>
      </c>
      <c r="C31" s="170" t="n">
        <v>1975784</v>
      </c>
      <c r="D31" s="138" t="n">
        <v>0.0035</v>
      </c>
      <c r="E31" s="168" t="n">
        <f aca="false">E30+D31</f>
        <v>0.0454</v>
      </c>
    </row>
    <row r="32" customFormat="false" ht="12.75" hidden="false" customHeight="false" outlineLevel="0" collapsed="false">
      <c r="A32" s="167" t="n">
        <v>45335</v>
      </c>
      <c r="B32" s="163" t="n">
        <v>565.112829</v>
      </c>
      <c r="C32" s="164" t="s">
        <v>98</v>
      </c>
      <c r="D32" s="138" t="n">
        <v>0.0011</v>
      </c>
      <c r="E32" s="168" t="n">
        <f aca="false">E31+D32</f>
        <v>0.0465</v>
      </c>
    </row>
    <row r="33" customFormat="false" ht="12.75" hidden="false" customHeight="false" outlineLevel="0" collapsed="false">
      <c r="A33" s="167" t="n">
        <v>45336</v>
      </c>
      <c r="B33" s="163" t="n">
        <v>565.758631</v>
      </c>
      <c r="C33" s="164" t="s">
        <v>99</v>
      </c>
      <c r="D33" s="138" t="n">
        <v>0.0011</v>
      </c>
      <c r="E33" s="168" t="n">
        <f aca="false">E32+D33</f>
        <v>0.0476</v>
      </c>
    </row>
    <row r="34" customFormat="false" ht="12.75" hidden="false" customHeight="false" outlineLevel="0" collapsed="false">
      <c r="A34" s="167" t="n">
        <v>45337</v>
      </c>
      <c r="B34" s="163" t="n">
        <v>566.416246</v>
      </c>
      <c r="C34" s="164" t="s">
        <v>100</v>
      </c>
      <c r="D34" s="138" t="n">
        <v>0.0011</v>
      </c>
      <c r="E34" s="168" t="n">
        <f aca="false">E33+D34</f>
        <v>0.0487</v>
      </c>
    </row>
    <row r="35" customFormat="false" ht="12.75" hidden="false" customHeight="false" outlineLevel="0" collapsed="false">
      <c r="A35" s="167" t="n">
        <v>45338</v>
      </c>
      <c r="B35" s="163" t="n">
        <v>567.082351</v>
      </c>
      <c r="C35" s="164" t="s">
        <v>101</v>
      </c>
      <c r="D35" s="138" t="n">
        <v>0.0011</v>
      </c>
      <c r="E35" s="168" t="n">
        <f aca="false">E34+D35</f>
        <v>0.0498</v>
      </c>
    </row>
    <row r="36" customFormat="false" ht="12.75" hidden="false" customHeight="false" outlineLevel="0" collapsed="false">
      <c r="A36" s="167" t="n">
        <v>45341</v>
      </c>
      <c r="B36" s="163" t="n">
        <v>569.092584</v>
      </c>
      <c r="C36" s="170" t="n">
        <v>2010233</v>
      </c>
      <c r="D36" s="138" t="n">
        <v>0.0035</v>
      </c>
      <c r="E36" s="168" t="n">
        <f aca="false">E35+D36</f>
        <v>0.0533</v>
      </c>
    </row>
    <row r="37" customFormat="false" ht="12.75" hidden="false" customHeight="false" outlineLevel="0" collapsed="false">
      <c r="A37" s="167" t="n">
        <v>45342</v>
      </c>
      <c r="B37" s="163" t="n">
        <v>569.76265</v>
      </c>
      <c r="C37" s="164" t="s">
        <v>102</v>
      </c>
      <c r="D37" s="138" t="n">
        <v>0.0011</v>
      </c>
      <c r="E37" s="168" t="n">
        <f aca="false">E36+D37</f>
        <v>0.0544</v>
      </c>
    </row>
    <row r="38" customFormat="false" ht="12.75" hidden="false" customHeight="false" outlineLevel="0" collapsed="false">
      <c r="A38" s="167" t="n">
        <v>45343</v>
      </c>
      <c r="B38" s="163" t="n">
        <v>570.430011</v>
      </c>
      <c r="C38" s="164" t="s">
        <v>103</v>
      </c>
      <c r="D38" s="138" t="n">
        <v>0.0011</v>
      </c>
      <c r="E38" s="168" t="n">
        <f aca="false">E37+D38</f>
        <v>0.0555</v>
      </c>
    </row>
    <row r="39" customFormat="false" ht="12.75" hidden="false" customHeight="false" outlineLevel="0" collapsed="false">
      <c r="A39" s="167" t="n">
        <v>45344</v>
      </c>
      <c r="B39" s="163" t="n">
        <v>571.105228</v>
      </c>
      <c r="C39" s="164" t="s">
        <v>104</v>
      </c>
      <c r="D39" s="138" t="n">
        <v>0.0011</v>
      </c>
      <c r="E39" s="168" t="n">
        <f aca="false">E38+D39</f>
        <v>0.0566</v>
      </c>
    </row>
    <row r="40" customFormat="false" ht="12.75" hidden="false" customHeight="false" outlineLevel="0" collapsed="false">
      <c r="A40" s="167" t="n">
        <v>45345</v>
      </c>
      <c r="B40" s="163" t="n">
        <v>571.786786</v>
      </c>
      <c r="C40" s="164" t="s">
        <v>105</v>
      </c>
      <c r="D40" s="138" t="n">
        <v>0.0011</v>
      </c>
      <c r="E40" s="168" t="n">
        <f aca="false">E39+D40</f>
        <v>0.0577</v>
      </c>
    </row>
    <row r="41" customFormat="false" ht="12.75" hidden="false" customHeight="false" outlineLevel="0" collapsed="false">
      <c r="A41" s="167" t="n">
        <v>45348</v>
      </c>
      <c r="B41" s="163" t="n">
        <v>573.835914</v>
      </c>
      <c r="C41" s="170" t="n">
        <v>2049128</v>
      </c>
      <c r="D41" s="138" t="n">
        <v>0.0035</v>
      </c>
      <c r="E41" s="168" t="n">
        <f aca="false">E40+D41</f>
        <v>0.0612</v>
      </c>
    </row>
    <row r="42" customFormat="false" ht="12.75" hidden="false" customHeight="false" outlineLevel="0" collapsed="false">
      <c r="A42" s="167" t="n">
        <v>45349</v>
      </c>
      <c r="B42" s="163" t="n">
        <v>574.525282</v>
      </c>
      <c r="C42" s="164" t="s">
        <v>106</v>
      </c>
      <c r="D42" s="138" t="n">
        <v>0.0012</v>
      </c>
      <c r="E42" s="168" t="n">
        <f aca="false">E41+D42</f>
        <v>0.0624</v>
      </c>
    </row>
    <row r="43" customFormat="false" ht="12.75" hidden="false" customHeight="false" outlineLevel="0" collapsed="false">
      <c r="A43" s="167" t="n">
        <v>45350</v>
      </c>
      <c r="B43" s="163" t="n">
        <v>575.215354</v>
      </c>
      <c r="C43" s="164" t="s">
        <v>107</v>
      </c>
      <c r="D43" s="138" t="n">
        <v>0.0012</v>
      </c>
      <c r="E43" s="168" t="n">
        <f aca="false">E42+D43</f>
        <v>0.0636</v>
      </c>
    </row>
    <row r="44" customFormat="false" ht="12.75" hidden="false" customHeight="false" outlineLevel="0" collapsed="false">
      <c r="A44" s="167" t="n">
        <v>45351</v>
      </c>
    </row>
    <row r="45" customFormat="false" ht="12.75" hidden="false" customHeight="false" outlineLevel="0" collapsed="false">
      <c r="A45" s="167" t="n">
        <v>45352</v>
      </c>
    </row>
    <row r="46" customFormat="false" ht="12.75" hidden="false" customHeight="false" outlineLevel="0" collapsed="false">
      <c r="A46" s="167"/>
    </row>
    <row r="47" customFormat="false" ht="12.75" hidden="false" customHeight="false" outlineLevel="0" collapsed="false">
      <c r="A47" s="167"/>
    </row>
    <row r="48" customFormat="false" ht="12.75" hidden="false" customHeight="false" outlineLevel="0" collapsed="false">
      <c r="A48" s="167"/>
    </row>
    <row r="49" customFormat="false" ht="12.75" hidden="false" customHeight="false" outlineLevel="0" collapsed="false">
      <c r="A49" s="167"/>
    </row>
    <row r="50" customFormat="false" ht="12.75" hidden="false" customHeight="false" outlineLevel="0" collapsed="false">
      <c r="A50" s="167"/>
    </row>
    <row r="51" customFormat="false" ht="12.75" hidden="false" customHeight="false" outlineLevel="0" collapsed="false">
      <c r="A51" s="167"/>
    </row>
    <row r="52" customFormat="false" ht="12.75" hidden="false" customHeight="false" outlineLevel="0" collapsed="false">
      <c r="A52" s="167"/>
    </row>
    <row r="53" customFormat="false" ht="12.75" hidden="false" customHeight="false" outlineLevel="0" collapsed="false">
      <c r="A53" s="167"/>
    </row>
    <row r="54" customFormat="false" ht="12.75" hidden="false" customHeight="false" outlineLevel="0" collapsed="false">
      <c r="A54" s="167"/>
    </row>
    <row r="55" customFormat="false" ht="12.75" hidden="false" customHeight="false" outlineLevel="0" collapsed="false">
      <c r="A55" s="167"/>
    </row>
    <row r="56" customFormat="false" ht="12.75" hidden="false" customHeight="false" outlineLevel="0" collapsed="false">
      <c r="A56" s="167"/>
    </row>
    <row r="57" customFormat="false" ht="12.75" hidden="false" customHeight="false" outlineLevel="0" collapsed="false">
      <c r="A57" s="167"/>
    </row>
    <row r="58" customFormat="false" ht="12.75" hidden="false" customHeight="false" outlineLevel="0" collapsed="false">
      <c r="A58" s="167"/>
    </row>
    <row r="59" customFormat="false" ht="12.75" hidden="false" customHeight="false" outlineLevel="0" collapsed="false">
      <c r="A59" s="167"/>
    </row>
    <row r="60" customFormat="false" ht="12.75" hidden="false" customHeight="false" outlineLevel="0" collapsed="false">
      <c r="A60" s="167"/>
    </row>
    <row r="61" customFormat="false" ht="12.75" hidden="false" customHeight="false" outlineLevel="0" collapsed="false">
      <c r="A61" s="167"/>
    </row>
    <row r="62" customFormat="false" ht="12.75" hidden="false" customHeight="false" outlineLevel="0" collapsed="false">
      <c r="A62" s="167"/>
    </row>
    <row r="63" customFormat="false" ht="12.75" hidden="false" customHeight="false" outlineLevel="0" collapsed="false">
      <c r="A63" s="167"/>
    </row>
    <row r="64" customFormat="false" ht="12.75" hidden="false" customHeight="false" outlineLevel="0" collapsed="false">
      <c r="A64" s="167"/>
    </row>
    <row r="65" customFormat="false" ht="12.75" hidden="false" customHeight="false" outlineLevel="0" collapsed="false">
      <c r="A65" s="167"/>
    </row>
    <row r="66" customFormat="false" ht="12.75" hidden="false" customHeight="false" outlineLevel="0" collapsed="false">
      <c r="A66" s="167"/>
    </row>
    <row r="67" customFormat="false" ht="12.75" hidden="false" customHeight="false" outlineLevel="0" collapsed="false">
      <c r="A67" s="167"/>
    </row>
    <row r="68" customFormat="false" ht="12.75" hidden="false" customHeight="false" outlineLevel="0" collapsed="false">
      <c r="A68" s="167"/>
    </row>
    <row r="69" customFormat="false" ht="12.75" hidden="false" customHeight="false" outlineLevel="0" collapsed="false">
      <c r="A69" s="167"/>
    </row>
    <row r="70" customFormat="false" ht="12.75" hidden="false" customHeight="false" outlineLevel="0" collapsed="false">
      <c r="A70" s="167"/>
    </row>
    <row r="71" customFormat="false" ht="12.75" hidden="false" customHeight="false" outlineLevel="0" collapsed="false">
      <c r="A71" s="167"/>
    </row>
    <row r="72" customFormat="false" ht="12.75" hidden="false" customHeight="false" outlineLevel="0" collapsed="false">
      <c r="A72" s="167"/>
    </row>
    <row r="73" customFormat="false" ht="12.75" hidden="false" customHeight="false" outlineLevel="0" collapsed="false">
      <c r="A73" s="167"/>
    </row>
    <row r="74" customFormat="false" ht="12.75" hidden="false" customHeight="false" outlineLevel="0" collapsed="false">
      <c r="A74" s="167"/>
    </row>
    <row r="75" customFormat="false" ht="12.75" hidden="false" customHeight="false" outlineLevel="0" collapsed="false">
      <c r="A75" s="167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3:N65"/>
  <sheetViews>
    <sheetView showFormulas="false" showGridLines="true" showRowColHeaders="true" showZeros="true" rightToLeft="false" tabSelected="false" showOutlineSymbols="true" defaultGridColor="true" view="normal" topLeftCell="A8" colorId="64" zoomScale="160" zoomScaleNormal="160" zoomScalePageLayoutView="100" workbookViewId="0">
      <selection pane="topLeft" activeCell="D60" activeCellId="0" sqref="D60"/>
    </sheetView>
  </sheetViews>
  <sheetFormatPr defaultColWidth="44.125" defaultRowHeight="15" zeroHeight="false" outlineLevelRow="0" outlineLevelCol="0"/>
  <cols>
    <col collapsed="false" customWidth="true" hidden="false" outlineLevel="0" max="1" min="1" style="172" width="15.71"/>
    <col collapsed="false" customWidth="true" hidden="false" outlineLevel="0" max="2" min="2" style="172" width="12"/>
    <col collapsed="false" customWidth="true" hidden="false" outlineLevel="0" max="3" min="3" style="173" width="17.29"/>
    <col collapsed="false" customWidth="true" hidden="false" outlineLevel="0" max="4" min="4" style="174" width="15.71"/>
    <col collapsed="false" customWidth="true" hidden="false" outlineLevel="0" max="5" min="5" style="174" width="12.13"/>
    <col collapsed="false" customWidth="true" hidden="false" outlineLevel="0" max="7" min="6" style="175" width="14.14"/>
    <col collapsed="false" customWidth="true" hidden="false" outlineLevel="0" max="8" min="8" style="172" width="15.71"/>
    <col collapsed="false" customWidth="true" hidden="false" outlineLevel="0" max="9" min="9" style="175" width="15.71"/>
    <col collapsed="false" customWidth="true" hidden="false" outlineLevel="0" max="10" min="10" style="175" width="14.58"/>
    <col collapsed="false" customWidth="true" hidden="false" outlineLevel="0" max="11" min="11" style="172" width="61.57"/>
    <col collapsed="false" customWidth="true" hidden="false" outlineLevel="0" max="12" min="12" style="172" width="8.57"/>
    <col collapsed="false" customWidth="true" hidden="false" outlineLevel="0" max="13" min="13" style="172" width="14"/>
    <col collapsed="false" customWidth="true" hidden="false" outlineLevel="0" max="14" min="14" style="172" width="7"/>
    <col collapsed="false" customWidth="false" hidden="false" outlineLevel="0" max="1024" min="15" style="172" width="44.14"/>
  </cols>
  <sheetData>
    <row r="3" customFormat="false" ht="15" hidden="false" customHeight="false" outlineLevel="0" collapsed="false">
      <c r="A3" s="172" t="s">
        <v>108</v>
      </c>
      <c r="B3" s="172" t="s">
        <v>109</v>
      </c>
      <c r="C3" s="173" t="s">
        <v>110</v>
      </c>
      <c r="D3" s="174" t="s">
        <v>111</v>
      </c>
      <c r="F3" s="175" t="s">
        <v>62</v>
      </c>
      <c r="H3" s="172" t="s">
        <v>112</v>
      </c>
      <c r="J3" s="175" t="s">
        <v>113</v>
      </c>
      <c r="K3" s="172" t="s">
        <v>114</v>
      </c>
      <c r="L3" s="172" t="s">
        <v>115</v>
      </c>
      <c r="M3" s="172" t="s">
        <v>116</v>
      </c>
      <c r="N3" s="172" t="s">
        <v>117</v>
      </c>
    </row>
    <row r="4" customFormat="false" ht="15" hidden="false" customHeight="false" outlineLevel="0" collapsed="false">
      <c r="A4" s="172" t="s">
        <v>118</v>
      </c>
      <c r="B4" s="172" t="s">
        <v>119</v>
      </c>
      <c r="C4" s="173" t="s">
        <v>120</v>
      </c>
      <c r="D4" s="174" t="s">
        <v>121</v>
      </c>
      <c r="F4" s="175" t="s">
        <v>122</v>
      </c>
      <c r="G4" s="174" t="s">
        <v>123</v>
      </c>
      <c r="H4" s="172" t="s">
        <v>124</v>
      </c>
      <c r="J4" s="175" t="s">
        <v>125</v>
      </c>
      <c r="L4" s="172" t="s">
        <v>126</v>
      </c>
      <c r="M4" s="172" t="s">
        <v>127</v>
      </c>
      <c r="N4" s="172" t="s">
        <v>128</v>
      </c>
    </row>
    <row r="5" customFormat="false" ht="15" hidden="false" customHeight="false" outlineLevel="0" collapsed="false">
      <c r="A5" s="172" t="s">
        <v>129</v>
      </c>
      <c r="B5" s="172" t="s">
        <v>130</v>
      </c>
      <c r="C5" s="173" t="s">
        <v>131</v>
      </c>
      <c r="D5" s="174" t="s">
        <v>129</v>
      </c>
      <c r="H5" s="172" t="s">
        <v>132</v>
      </c>
      <c r="J5" s="175" t="s">
        <v>133</v>
      </c>
      <c r="K5" s="172" t="s">
        <v>134</v>
      </c>
      <c r="L5" s="172" t="s">
        <v>135</v>
      </c>
      <c r="M5" s="172" t="s">
        <v>129</v>
      </c>
      <c r="N5" s="172" t="s">
        <v>136</v>
      </c>
    </row>
    <row r="6" customFormat="false" ht="15" hidden="false" customHeight="false" outlineLevel="0" collapsed="false">
      <c r="A6" s="176" t="n">
        <v>45217</v>
      </c>
      <c r="B6" s="172" t="s">
        <v>137</v>
      </c>
      <c r="C6" s="173" t="s">
        <v>138</v>
      </c>
      <c r="D6" s="174" t="s">
        <v>139</v>
      </c>
      <c r="H6" s="172" t="n">
        <v>3000.68</v>
      </c>
      <c r="I6" s="177" t="n">
        <f aca="false">H6</f>
        <v>3000.68</v>
      </c>
      <c r="J6" s="175" t="n">
        <v>3000.68</v>
      </c>
      <c r="K6" s="172" t="s">
        <v>140</v>
      </c>
      <c r="L6" s="172" t="n">
        <v>5800</v>
      </c>
      <c r="M6" s="172" t="n">
        <v>95113516</v>
      </c>
      <c r="N6" s="172" t="s">
        <v>141</v>
      </c>
    </row>
    <row r="7" customFormat="false" ht="15" hidden="false" customHeight="false" outlineLevel="0" collapsed="false">
      <c r="A7" s="176" t="n">
        <v>45217</v>
      </c>
      <c r="B7" s="178" t="s">
        <v>142</v>
      </c>
      <c r="C7" s="179" t="s">
        <v>138</v>
      </c>
      <c r="D7" s="180" t="s">
        <v>139</v>
      </c>
      <c r="E7" s="180"/>
      <c r="H7" s="178" t="n">
        <v>-2080</v>
      </c>
      <c r="I7" s="177" t="n">
        <f aca="false">I6+H7</f>
        <v>920.68</v>
      </c>
      <c r="J7" s="175" t="n">
        <v>920.68</v>
      </c>
      <c r="K7" s="178" t="s">
        <v>143</v>
      </c>
      <c r="L7" s="172" t="n">
        <v>5800</v>
      </c>
      <c r="M7" s="172" t="n">
        <v>36114333</v>
      </c>
      <c r="N7" s="172" t="s">
        <v>144</v>
      </c>
    </row>
    <row r="8" customFormat="false" ht="15" hidden="false" customHeight="false" outlineLevel="0" collapsed="false">
      <c r="A8" s="176" t="n">
        <v>45222</v>
      </c>
      <c r="B8" s="172" t="s">
        <v>142</v>
      </c>
      <c r="C8" s="173" t="s">
        <v>138</v>
      </c>
      <c r="D8" s="174" t="s">
        <v>139</v>
      </c>
      <c r="F8" s="177"/>
      <c r="G8" s="177"/>
      <c r="H8" s="181" t="n">
        <v>910</v>
      </c>
      <c r="I8" s="177" t="n">
        <f aca="false">I7+H8</f>
        <v>1830.68</v>
      </c>
      <c r="J8" s="177" t="n">
        <v>1830.68</v>
      </c>
      <c r="K8" s="181" t="s">
        <v>145</v>
      </c>
      <c r="L8" s="172" t="n">
        <v>165</v>
      </c>
      <c r="M8" s="172" t="n">
        <v>88888888</v>
      </c>
      <c r="N8" s="172" t="s">
        <v>146</v>
      </c>
    </row>
    <row r="9" customFormat="false" ht="15" hidden="false" customHeight="false" outlineLevel="0" collapsed="false">
      <c r="A9" s="176" t="n">
        <v>45222</v>
      </c>
      <c r="B9" s="182" t="s">
        <v>142</v>
      </c>
      <c r="C9" s="183" t="n">
        <v>130</v>
      </c>
      <c r="D9" s="184" t="n">
        <v>9</v>
      </c>
      <c r="E9" s="184"/>
      <c r="F9" s="185" t="n">
        <f aca="false">D9*C9</f>
        <v>1170</v>
      </c>
      <c r="G9" s="185"/>
      <c r="H9" s="182" t="n">
        <v>0</v>
      </c>
      <c r="I9" s="185"/>
      <c r="J9" s="175" t="n">
        <v>1830.68</v>
      </c>
      <c r="K9" s="172" t="s">
        <v>147</v>
      </c>
      <c r="L9" s="172" t="n">
        <v>165</v>
      </c>
      <c r="M9" s="172" t="n">
        <v>88888888</v>
      </c>
      <c r="N9" s="172" t="s">
        <v>146</v>
      </c>
    </row>
    <row r="10" customFormat="false" ht="15" hidden="false" customHeight="false" outlineLevel="0" collapsed="false">
      <c r="A10" s="176" t="n">
        <v>45226</v>
      </c>
      <c r="B10" s="172" t="s">
        <v>142</v>
      </c>
      <c r="C10" s="173" t="n">
        <v>157.3</v>
      </c>
      <c r="D10" s="174" t="n">
        <v>1</v>
      </c>
      <c r="H10" s="172" t="n">
        <v>-157.63</v>
      </c>
      <c r="I10" s="186" t="n">
        <v>0</v>
      </c>
      <c r="J10" s="186" t="n">
        <v>1830.68</v>
      </c>
      <c r="K10" s="187" t="s">
        <v>148</v>
      </c>
      <c r="L10" s="172" t="n">
        <v>165</v>
      </c>
      <c r="M10" s="172" t="n">
        <v>95215533</v>
      </c>
      <c r="N10" s="172" t="s">
        <v>149</v>
      </c>
    </row>
    <row r="11" customFormat="false" ht="15" hidden="false" customHeight="false" outlineLevel="0" collapsed="false">
      <c r="A11" s="176" t="n">
        <v>45226</v>
      </c>
      <c r="B11" s="172" t="s">
        <v>142</v>
      </c>
      <c r="C11" s="173" t="n">
        <v>157.3</v>
      </c>
      <c r="D11" s="174" t="n">
        <v>2</v>
      </c>
      <c r="H11" s="172" t="n">
        <v>-315.26</v>
      </c>
      <c r="I11" s="186" t="n">
        <v>0</v>
      </c>
      <c r="J11" s="186" t="n">
        <v>1830.68</v>
      </c>
      <c r="K11" s="187" t="s">
        <v>150</v>
      </c>
      <c r="L11" s="172" t="n">
        <v>165</v>
      </c>
      <c r="M11" s="172" t="n">
        <v>95215846</v>
      </c>
      <c r="N11" s="172" t="s">
        <v>149</v>
      </c>
    </row>
    <row r="12" customFormat="false" ht="15" hidden="false" customHeight="false" outlineLevel="0" collapsed="false">
      <c r="A12" s="176" t="n">
        <v>45229</v>
      </c>
      <c r="B12" s="172" t="s">
        <v>142</v>
      </c>
      <c r="C12" s="173" t="n">
        <v>173</v>
      </c>
      <c r="D12" s="174" t="n">
        <v>5</v>
      </c>
      <c r="H12" s="172" t="n">
        <v>-866.82</v>
      </c>
      <c r="I12" s="186" t="n">
        <v>0</v>
      </c>
      <c r="J12" s="186" t="n">
        <v>1830.68</v>
      </c>
      <c r="K12" s="187" t="s">
        <v>151</v>
      </c>
      <c r="L12" s="172" t="n">
        <v>165</v>
      </c>
      <c r="M12" s="172" t="n">
        <v>95103707</v>
      </c>
      <c r="N12" s="172" t="s">
        <v>149</v>
      </c>
    </row>
    <row r="13" customFormat="false" ht="15" hidden="false" customHeight="false" outlineLevel="0" collapsed="false">
      <c r="A13" s="176" t="n">
        <v>45229</v>
      </c>
      <c r="B13" s="172" t="s">
        <v>142</v>
      </c>
      <c r="C13" s="173" t="n">
        <v>173</v>
      </c>
      <c r="D13" s="174" t="n">
        <v>5</v>
      </c>
      <c r="H13" s="172" t="n">
        <v>157.63</v>
      </c>
      <c r="I13" s="186" t="n">
        <v>0</v>
      </c>
      <c r="J13" s="186" t="n">
        <v>1830.68</v>
      </c>
      <c r="K13" s="187" t="s">
        <v>152</v>
      </c>
      <c r="L13" s="172" t="n">
        <v>165</v>
      </c>
      <c r="M13" s="172" t="n">
        <v>18200988</v>
      </c>
      <c r="N13" s="172" t="s">
        <v>153</v>
      </c>
    </row>
    <row r="14" customFormat="false" ht="15" hidden="false" customHeight="false" outlineLevel="0" collapsed="false">
      <c r="A14" s="176" t="n">
        <v>45229</v>
      </c>
      <c r="B14" s="172" t="s">
        <v>142</v>
      </c>
      <c r="C14" s="173" t="n">
        <v>157.3</v>
      </c>
      <c r="D14" s="174" t="n">
        <v>2</v>
      </c>
      <c r="H14" s="172" t="n">
        <v>315.26</v>
      </c>
      <c r="I14" s="186" t="n">
        <v>0</v>
      </c>
      <c r="J14" s="186" t="n">
        <v>1830.68</v>
      </c>
      <c r="K14" s="187" t="s">
        <v>154</v>
      </c>
      <c r="L14" s="172" t="n">
        <v>165</v>
      </c>
      <c r="M14" s="172" t="n">
        <v>18201019</v>
      </c>
      <c r="N14" s="172" t="s">
        <v>153</v>
      </c>
    </row>
    <row r="15" customFormat="false" ht="15" hidden="false" customHeight="false" outlineLevel="0" collapsed="false">
      <c r="A15" s="176" t="n">
        <v>45229</v>
      </c>
      <c r="B15" s="172" t="s">
        <v>142</v>
      </c>
      <c r="C15" s="173" t="n">
        <v>157.3</v>
      </c>
      <c r="D15" s="174" t="n">
        <v>1</v>
      </c>
      <c r="H15" s="172" t="n">
        <v>866.82</v>
      </c>
      <c r="I15" s="186" t="n">
        <v>0</v>
      </c>
      <c r="J15" s="186" t="n">
        <v>1830.68</v>
      </c>
      <c r="K15" s="187" t="s">
        <v>155</v>
      </c>
      <c r="L15" s="172" t="n">
        <v>165</v>
      </c>
      <c r="M15" s="172" t="n">
        <v>18201200</v>
      </c>
      <c r="N15" s="172" t="s">
        <v>153</v>
      </c>
    </row>
    <row r="16" customFormat="false" ht="15" hidden="false" customHeight="false" outlineLevel="0" collapsed="false">
      <c r="A16" s="176" t="n">
        <v>45267</v>
      </c>
      <c r="B16" s="178" t="s">
        <v>156</v>
      </c>
      <c r="C16" s="179" t="s">
        <v>138</v>
      </c>
      <c r="D16" s="180" t="s">
        <v>139</v>
      </c>
      <c r="E16" s="180"/>
      <c r="H16" s="178" t="n">
        <v>-566</v>
      </c>
      <c r="I16" s="177" t="n">
        <f aca="false">I8+H16</f>
        <v>1264.68</v>
      </c>
      <c r="J16" s="175" t="n">
        <v>1264.68</v>
      </c>
      <c r="K16" s="188" t="s">
        <v>143</v>
      </c>
      <c r="L16" s="172" t="n">
        <v>5800</v>
      </c>
      <c r="M16" s="172" t="n">
        <v>36093318</v>
      </c>
      <c r="N16" s="172" t="s">
        <v>144</v>
      </c>
    </row>
    <row r="17" customFormat="false" ht="15" hidden="false" customHeight="false" outlineLevel="0" collapsed="false">
      <c r="A17" s="176" t="n">
        <v>45267</v>
      </c>
      <c r="B17" s="178" t="s">
        <v>157</v>
      </c>
      <c r="C17" s="179" t="s">
        <v>138</v>
      </c>
      <c r="D17" s="180" t="s">
        <v>139</v>
      </c>
      <c r="E17" s="180"/>
      <c r="H17" s="178" t="n">
        <v>-983.6</v>
      </c>
      <c r="I17" s="177" t="n">
        <f aca="false">I16+H17</f>
        <v>281.08</v>
      </c>
      <c r="J17" s="175" t="n">
        <v>281.08</v>
      </c>
      <c r="K17" s="188" t="s">
        <v>143</v>
      </c>
      <c r="L17" s="172" t="n">
        <v>5800</v>
      </c>
      <c r="M17" s="172" t="n">
        <v>36093353</v>
      </c>
      <c r="N17" s="172" t="s">
        <v>144</v>
      </c>
    </row>
    <row r="18" customFormat="false" ht="15" hidden="false" customHeight="false" outlineLevel="0" collapsed="false">
      <c r="A18" s="176" t="n">
        <v>45267</v>
      </c>
      <c r="B18" s="172" t="s">
        <v>137</v>
      </c>
      <c r="C18" s="173" t="s">
        <v>138</v>
      </c>
      <c r="D18" s="174" t="s">
        <v>139</v>
      </c>
      <c r="H18" s="172" t="n">
        <v>5181.13</v>
      </c>
      <c r="I18" s="177" t="n">
        <f aca="false">I17+H18</f>
        <v>5462.21</v>
      </c>
      <c r="J18" s="175" t="n">
        <v>5462.21</v>
      </c>
      <c r="K18" s="172" t="s">
        <v>140</v>
      </c>
      <c r="L18" s="172" t="n">
        <v>5800</v>
      </c>
      <c r="M18" s="172" t="n">
        <v>36094012</v>
      </c>
      <c r="N18" s="172" t="s">
        <v>141</v>
      </c>
    </row>
    <row r="19" customFormat="false" ht="15" hidden="false" customHeight="false" outlineLevel="0" collapsed="false">
      <c r="A19" s="176" t="n">
        <v>45267</v>
      </c>
      <c r="B19" s="172" t="n">
        <v>808</v>
      </c>
      <c r="C19" s="173" t="n">
        <v>18.207358</v>
      </c>
      <c r="D19" s="174" t="n">
        <v>300</v>
      </c>
      <c r="F19" s="189" t="n">
        <f aca="false">D19*C19</f>
        <v>5462.2074</v>
      </c>
      <c r="G19" s="189"/>
      <c r="H19" s="172" t="n">
        <v>-5462.21</v>
      </c>
      <c r="I19" s="177" t="n">
        <f aca="false">I18+H19</f>
        <v>0</v>
      </c>
      <c r="J19" s="175" t="n">
        <v>0</v>
      </c>
      <c r="K19" s="172" t="s">
        <v>158</v>
      </c>
      <c r="L19" s="172" t="n">
        <v>5800</v>
      </c>
      <c r="M19" s="172" t="n">
        <v>36094012</v>
      </c>
      <c r="N19" s="172" t="n">
        <v>72</v>
      </c>
    </row>
    <row r="20" customFormat="false" ht="15" hidden="false" customHeight="false" outlineLevel="0" collapsed="false">
      <c r="A20" s="176" t="n">
        <v>45267</v>
      </c>
      <c r="B20" s="172" t="s">
        <v>137</v>
      </c>
      <c r="C20" s="173" t="s">
        <v>138</v>
      </c>
      <c r="D20" s="174" t="s">
        <v>139</v>
      </c>
      <c r="H20" s="172" t="n">
        <v>5238.9</v>
      </c>
      <c r="I20" s="177" t="n">
        <f aca="false">I19+H20</f>
        <v>5238.9</v>
      </c>
      <c r="J20" s="175" t="n">
        <v>5238.9</v>
      </c>
      <c r="K20" s="172" t="s">
        <v>140</v>
      </c>
      <c r="L20" s="172" t="n">
        <v>5800</v>
      </c>
      <c r="M20" s="172" t="n">
        <v>36094051</v>
      </c>
      <c r="N20" s="172" t="s">
        <v>141</v>
      </c>
    </row>
    <row r="21" customFormat="false" ht="15" hidden="false" customHeight="false" outlineLevel="0" collapsed="false">
      <c r="A21" s="176" t="n">
        <v>45267</v>
      </c>
      <c r="B21" s="172" t="n">
        <v>801</v>
      </c>
      <c r="C21" s="173" t="n">
        <v>523.889871</v>
      </c>
      <c r="D21" s="174" t="n">
        <v>10</v>
      </c>
      <c r="F21" s="189" t="n">
        <f aca="false">D21*C21</f>
        <v>5238.89871</v>
      </c>
      <c r="G21" s="189"/>
      <c r="H21" s="172" t="n">
        <v>-5238.9</v>
      </c>
      <c r="I21" s="177" t="n">
        <f aca="false">I20+H21</f>
        <v>0</v>
      </c>
      <c r="J21" s="175" t="n">
        <v>0</v>
      </c>
      <c r="K21" s="172" t="s">
        <v>159</v>
      </c>
      <c r="L21" s="172" t="n">
        <v>5800</v>
      </c>
      <c r="M21" s="172" t="n">
        <v>36094051</v>
      </c>
      <c r="N21" s="172" t="n">
        <v>72</v>
      </c>
    </row>
    <row r="22" customFormat="false" ht="15" hidden="false" customHeight="false" outlineLevel="0" collapsed="false">
      <c r="A22" s="176" t="n">
        <v>45267</v>
      </c>
      <c r="B22" s="172" t="s">
        <v>137</v>
      </c>
      <c r="C22" s="173" t="s">
        <v>138</v>
      </c>
      <c r="D22" s="174" t="s">
        <v>139</v>
      </c>
      <c r="H22" s="172" t="n">
        <v>1576.31</v>
      </c>
      <c r="I22" s="177" t="n">
        <f aca="false">I21+H22</f>
        <v>1576.31</v>
      </c>
      <c r="J22" s="175" t="n">
        <v>1576.31</v>
      </c>
      <c r="K22" s="172" t="s">
        <v>140</v>
      </c>
      <c r="L22" s="172" t="n">
        <v>5800</v>
      </c>
      <c r="M22" s="172" t="n">
        <v>10001</v>
      </c>
      <c r="N22" s="172" t="s">
        <v>141</v>
      </c>
    </row>
    <row r="23" customFormat="false" ht="15" hidden="false" customHeight="false" outlineLevel="0" collapsed="false">
      <c r="A23" s="176" t="n">
        <v>45267</v>
      </c>
      <c r="B23" s="172" t="s">
        <v>142</v>
      </c>
      <c r="C23" s="173" t="n">
        <v>157.3</v>
      </c>
      <c r="D23" s="174" t="n">
        <v>10</v>
      </c>
      <c r="H23" s="172" t="n">
        <v>-1576.31</v>
      </c>
      <c r="I23" s="186"/>
      <c r="J23" s="186" t="n">
        <v>1576.31</v>
      </c>
      <c r="K23" s="187" t="s">
        <v>160</v>
      </c>
      <c r="L23" s="172" t="n">
        <v>165</v>
      </c>
      <c r="M23" s="172" t="n">
        <v>36094616</v>
      </c>
      <c r="N23" s="172" t="s">
        <v>149</v>
      </c>
    </row>
    <row r="24" customFormat="false" ht="15" hidden="false" customHeight="false" outlineLevel="0" collapsed="false">
      <c r="A24" s="176" t="n">
        <v>45267</v>
      </c>
      <c r="B24" s="172" t="s">
        <v>142</v>
      </c>
      <c r="C24" s="173" t="n">
        <v>-157.53</v>
      </c>
      <c r="D24" s="174" t="n">
        <v>10</v>
      </c>
      <c r="H24" s="172" t="n">
        <v>-1575.3</v>
      </c>
      <c r="I24" s="186"/>
      <c r="J24" s="186" t="n">
        <v>1576.31</v>
      </c>
      <c r="K24" s="187" t="s">
        <v>161</v>
      </c>
      <c r="L24" s="172" t="n">
        <v>165</v>
      </c>
      <c r="M24" s="172" t="n">
        <v>36094724</v>
      </c>
      <c r="N24" s="172" t="s">
        <v>162</v>
      </c>
    </row>
    <row r="25" customFormat="false" ht="15" hidden="false" customHeight="false" outlineLevel="0" collapsed="false">
      <c r="A25" s="176" t="n">
        <v>45271</v>
      </c>
      <c r="B25" s="190" t="s">
        <v>142</v>
      </c>
      <c r="C25" s="191" t="n">
        <v>-143.7</v>
      </c>
      <c r="D25" s="192" t="n">
        <v>10</v>
      </c>
      <c r="E25" s="192"/>
      <c r="F25" s="190" t="n">
        <v>-1440.01</v>
      </c>
      <c r="G25" s="189" t="n">
        <v>3.01</v>
      </c>
      <c r="H25" s="190" t="n">
        <v>-1440.01</v>
      </c>
      <c r="I25" s="177" t="n">
        <f aca="false">I22+H25</f>
        <v>136.3</v>
      </c>
      <c r="J25" s="175" t="n">
        <v>136.3</v>
      </c>
      <c r="K25" s="172" t="s">
        <v>163</v>
      </c>
      <c r="L25" s="172" t="n">
        <v>165</v>
      </c>
      <c r="M25" s="172" t="n">
        <v>0</v>
      </c>
      <c r="N25" s="172" t="s">
        <v>164</v>
      </c>
    </row>
    <row r="26" customFormat="false" ht="15" hidden="false" customHeight="false" outlineLevel="0" collapsed="false">
      <c r="A26" s="176" t="n">
        <v>45271</v>
      </c>
      <c r="B26" s="172" t="s">
        <v>157</v>
      </c>
      <c r="C26" s="173" t="s">
        <v>138</v>
      </c>
      <c r="F26" s="177"/>
      <c r="G26" s="177"/>
      <c r="H26" s="181" t="n">
        <v>491.8</v>
      </c>
      <c r="I26" s="177" t="n">
        <f aca="false">I25+H26</f>
        <v>628.1</v>
      </c>
      <c r="J26" s="177" t="n">
        <v>628.1</v>
      </c>
      <c r="K26" s="181" t="s">
        <v>165</v>
      </c>
      <c r="L26" s="172" t="n">
        <v>165</v>
      </c>
      <c r="M26" s="172" t="n">
        <v>88888888</v>
      </c>
      <c r="N26" s="172" t="s">
        <v>146</v>
      </c>
    </row>
    <row r="27" customFormat="false" ht="15" hidden="false" customHeight="false" outlineLevel="0" collapsed="false">
      <c r="A27" s="176" t="n">
        <v>45271</v>
      </c>
      <c r="B27" s="182" t="s">
        <v>157</v>
      </c>
      <c r="C27" s="183" t="n">
        <v>49.18</v>
      </c>
      <c r="D27" s="184" t="n">
        <v>10</v>
      </c>
      <c r="E27" s="184"/>
      <c r="F27" s="185" t="n">
        <f aca="false">D27*C27</f>
        <v>491.8</v>
      </c>
      <c r="G27" s="185"/>
      <c r="H27" s="182" t="n">
        <v>0</v>
      </c>
      <c r="I27" s="185"/>
      <c r="J27" s="186" t="n">
        <v>628.1</v>
      </c>
      <c r="K27" s="187" t="s">
        <v>166</v>
      </c>
      <c r="L27" s="172" t="n">
        <v>165</v>
      </c>
      <c r="M27" s="172" t="n">
        <v>88888888</v>
      </c>
      <c r="N27" s="172" t="s">
        <v>146</v>
      </c>
    </row>
    <row r="28" customFormat="false" ht="15" hidden="false" customHeight="false" outlineLevel="0" collapsed="false">
      <c r="A28" s="176" t="n">
        <v>45271</v>
      </c>
      <c r="B28" s="172" t="s">
        <v>156</v>
      </c>
      <c r="C28" s="173" t="s">
        <v>138</v>
      </c>
      <c r="D28" s="174" t="s">
        <v>139</v>
      </c>
      <c r="F28" s="177"/>
      <c r="G28" s="177"/>
      <c r="H28" s="181" t="n">
        <v>198.1</v>
      </c>
      <c r="I28" s="177" t="n">
        <f aca="false">I26+H28</f>
        <v>826.2</v>
      </c>
      <c r="J28" s="177" t="n">
        <v>826.2</v>
      </c>
      <c r="K28" s="181" t="s">
        <v>165</v>
      </c>
      <c r="L28" s="172" t="n">
        <v>165</v>
      </c>
      <c r="M28" s="172" t="n">
        <v>88888888</v>
      </c>
      <c r="N28" s="172" t="s">
        <v>146</v>
      </c>
    </row>
    <row r="29" customFormat="false" ht="15" hidden="false" customHeight="false" outlineLevel="0" collapsed="false">
      <c r="A29" s="176" t="n">
        <v>45271</v>
      </c>
      <c r="B29" s="182" t="s">
        <v>156</v>
      </c>
      <c r="C29" s="183" t="n">
        <v>28.3</v>
      </c>
      <c r="D29" s="184" t="n">
        <v>13</v>
      </c>
      <c r="E29" s="184"/>
      <c r="F29" s="185" t="n">
        <f aca="false">D29*C29</f>
        <v>367.9</v>
      </c>
      <c r="G29" s="185"/>
      <c r="H29" s="182" t="n">
        <v>0</v>
      </c>
      <c r="I29" s="185"/>
      <c r="J29" s="186" t="n">
        <v>826.2</v>
      </c>
      <c r="K29" s="187" t="s">
        <v>167</v>
      </c>
      <c r="L29" s="172" t="n">
        <v>165</v>
      </c>
      <c r="M29" s="172" t="n">
        <v>88888888</v>
      </c>
      <c r="N29" s="172" t="s">
        <v>146</v>
      </c>
    </row>
    <row r="30" customFormat="false" ht="15" hidden="false" customHeight="false" outlineLevel="0" collapsed="false">
      <c r="A30" s="176" t="n">
        <v>45273</v>
      </c>
      <c r="B30" s="172" t="s">
        <v>126</v>
      </c>
      <c r="C30" s="173" t="s">
        <v>168</v>
      </c>
      <c r="D30" s="174" t="s">
        <v>169</v>
      </c>
      <c r="H30" s="172" t="n">
        <v>826.2</v>
      </c>
      <c r="I30" s="177" t="n">
        <f aca="false">I28+H30</f>
        <v>1652.4</v>
      </c>
      <c r="J30" s="175" t="n">
        <v>1652.4</v>
      </c>
      <c r="K30" s="172" t="s">
        <v>140</v>
      </c>
      <c r="L30" s="172" t="n">
        <v>5800</v>
      </c>
      <c r="M30" s="172" t="n">
        <v>36151331</v>
      </c>
      <c r="N30" s="172" t="s">
        <v>170</v>
      </c>
    </row>
    <row r="31" customFormat="false" ht="15" hidden="false" customHeight="false" outlineLevel="0" collapsed="false">
      <c r="A31" s="176" t="n">
        <v>45273</v>
      </c>
      <c r="B31" s="178" t="s">
        <v>171</v>
      </c>
      <c r="C31" s="179" t="s">
        <v>168</v>
      </c>
      <c r="D31" s="180" t="s">
        <v>169</v>
      </c>
      <c r="E31" s="180"/>
      <c r="H31" s="178" t="n">
        <v>-1652.4</v>
      </c>
      <c r="I31" s="177" t="n">
        <f aca="false">I30+H31</f>
        <v>0</v>
      </c>
      <c r="J31" s="175" t="n">
        <v>0</v>
      </c>
      <c r="K31" s="178" t="s">
        <v>143</v>
      </c>
      <c r="L31" s="172" t="n">
        <v>5800</v>
      </c>
      <c r="M31" s="172" t="n">
        <v>36151331</v>
      </c>
      <c r="N31" s="172" t="s">
        <v>172</v>
      </c>
    </row>
    <row r="32" customFormat="false" ht="15" hidden="false" customHeight="false" outlineLevel="0" collapsed="false">
      <c r="A32" s="176" t="n">
        <v>45273</v>
      </c>
      <c r="B32" s="172" t="s">
        <v>126</v>
      </c>
      <c r="C32" s="173" t="s">
        <v>168</v>
      </c>
      <c r="D32" s="174" t="s">
        <v>169</v>
      </c>
      <c r="H32" s="172" t="n">
        <v>21088.49</v>
      </c>
      <c r="I32" s="177" t="n">
        <f aca="false">I31+H32</f>
        <v>21088.49</v>
      </c>
      <c r="J32" s="175" t="n">
        <v>21088.49</v>
      </c>
      <c r="K32" s="172" t="s">
        <v>140</v>
      </c>
      <c r="L32" s="172" t="n">
        <v>5800</v>
      </c>
      <c r="M32" s="172" t="n">
        <v>36151857</v>
      </c>
      <c r="N32" s="172" t="s">
        <v>170</v>
      </c>
    </row>
    <row r="33" customFormat="false" ht="15" hidden="false" customHeight="false" outlineLevel="0" collapsed="false">
      <c r="A33" s="176" t="n">
        <v>45273</v>
      </c>
      <c r="B33" s="172" t="n">
        <v>801</v>
      </c>
      <c r="C33" s="173" t="n">
        <v>527.21224</v>
      </c>
      <c r="D33" s="174" t="n">
        <v>40</v>
      </c>
      <c r="F33" s="189" t="n">
        <f aca="false">D33*C33</f>
        <v>21088.4896</v>
      </c>
      <c r="G33" s="189"/>
      <c r="H33" s="172" t="n">
        <v>-21088.49</v>
      </c>
      <c r="I33" s="177" t="n">
        <f aca="false">I32+H33</f>
        <v>0</v>
      </c>
      <c r="J33" s="175" t="n">
        <v>0</v>
      </c>
      <c r="K33" s="172" t="s">
        <v>173</v>
      </c>
      <c r="L33" s="172" t="n">
        <v>5800</v>
      </c>
      <c r="M33" s="172" t="n">
        <v>36151857</v>
      </c>
      <c r="N33" s="172" t="n">
        <v>72</v>
      </c>
    </row>
    <row r="34" customFormat="false" ht="15" hidden="false" customHeight="false" outlineLevel="0" collapsed="false">
      <c r="A34" s="176" t="n">
        <v>45278</v>
      </c>
      <c r="B34" s="172" t="s">
        <v>171</v>
      </c>
      <c r="C34" s="173" t="s">
        <v>168</v>
      </c>
      <c r="D34" s="174" t="s">
        <v>169</v>
      </c>
      <c r="F34" s="177"/>
      <c r="G34" s="177"/>
      <c r="H34" s="181" t="n">
        <v>220.32</v>
      </c>
      <c r="I34" s="177" t="n">
        <f aca="false">I33+H34</f>
        <v>220.32</v>
      </c>
      <c r="J34" s="177" t="n">
        <v>220.32</v>
      </c>
      <c r="K34" s="181" t="s">
        <v>165</v>
      </c>
      <c r="L34" s="172" t="n">
        <v>165</v>
      </c>
      <c r="M34" s="172" t="n">
        <v>88888888</v>
      </c>
      <c r="N34" s="172" t="s">
        <v>174</v>
      </c>
    </row>
    <row r="35" customFormat="false" ht="15" hidden="false" customHeight="false" outlineLevel="0" collapsed="false">
      <c r="A35" s="176" t="n">
        <v>45278</v>
      </c>
      <c r="B35" s="182" t="s">
        <v>171</v>
      </c>
      <c r="C35" s="183" t="n">
        <v>55.08</v>
      </c>
      <c r="D35" s="184" t="n">
        <v>26</v>
      </c>
      <c r="E35" s="184"/>
      <c r="F35" s="185" t="n">
        <f aca="false">D35*C35</f>
        <v>1432.08</v>
      </c>
      <c r="G35" s="185"/>
      <c r="H35" s="182" t="n">
        <v>0</v>
      </c>
      <c r="I35" s="185"/>
      <c r="J35" s="175" t="n">
        <v>220.32</v>
      </c>
      <c r="K35" s="172" t="s">
        <v>175</v>
      </c>
      <c r="L35" s="172" t="n">
        <v>165</v>
      </c>
      <c r="M35" s="172" t="n">
        <v>88888888</v>
      </c>
      <c r="N35" s="172" t="s">
        <v>174</v>
      </c>
    </row>
    <row r="36" customFormat="false" ht="15" hidden="false" customHeight="false" outlineLevel="0" collapsed="false">
      <c r="A36" s="176" t="n">
        <v>45288</v>
      </c>
      <c r="B36" s="193" t="n">
        <v>808</v>
      </c>
      <c r="C36" s="194" t="n">
        <v>18.625761</v>
      </c>
      <c r="D36" s="195" t="n">
        <v>-300</v>
      </c>
      <c r="E36" s="195"/>
      <c r="F36" s="196"/>
      <c r="G36" s="196"/>
      <c r="H36" s="193" t="n">
        <v>5587.73</v>
      </c>
      <c r="I36" s="177" t="n">
        <f aca="false">I34+H36</f>
        <v>5808.05</v>
      </c>
      <c r="J36" s="175" t="n">
        <v>5808.05</v>
      </c>
      <c r="K36" s="172" t="s">
        <v>176</v>
      </c>
      <c r="L36" s="172" t="n">
        <v>5800</v>
      </c>
      <c r="M36" s="172" t="n">
        <v>95105725</v>
      </c>
      <c r="N36" s="172" t="n">
        <v>73</v>
      </c>
    </row>
    <row r="37" customFormat="false" ht="15" hidden="false" customHeight="false" outlineLevel="0" collapsed="false">
      <c r="A37" s="176" t="n">
        <v>45288</v>
      </c>
      <c r="B37" s="172" t="s">
        <v>126</v>
      </c>
      <c r="C37" s="173" t="s">
        <v>168</v>
      </c>
      <c r="D37" s="174" t="s">
        <v>169</v>
      </c>
      <c r="H37" s="172" t="n">
        <v>-5587.73</v>
      </c>
      <c r="I37" s="177" t="n">
        <f aca="false">I36+H37</f>
        <v>220.32</v>
      </c>
      <c r="J37" s="175" t="n">
        <v>220.32</v>
      </c>
      <c r="K37" s="172" t="s">
        <v>177</v>
      </c>
      <c r="L37" s="172" t="n">
        <v>5800</v>
      </c>
      <c r="M37" s="172" t="n">
        <v>95105725</v>
      </c>
      <c r="N37" s="172" t="s">
        <v>178</v>
      </c>
    </row>
    <row r="38" customFormat="false" ht="15" hidden="false" customHeight="false" outlineLevel="0" collapsed="false">
      <c r="A38" s="176" t="n">
        <v>45288</v>
      </c>
      <c r="B38" s="172" t="s">
        <v>126</v>
      </c>
      <c r="C38" s="173" t="s">
        <v>168</v>
      </c>
      <c r="D38" s="174" t="s">
        <v>169</v>
      </c>
      <c r="H38" s="172" t="n">
        <v>2086.51</v>
      </c>
      <c r="I38" s="177" t="n">
        <f aca="false">I37+H38</f>
        <v>2306.83</v>
      </c>
      <c r="J38" s="175" t="n">
        <v>2306.83</v>
      </c>
      <c r="K38" s="172" t="s">
        <v>140</v>
      </c>
      <c r="L38" s="172" t="n">
        <v>5800</v>
      </c>
      <c r="M38" s="172" t="n">
        <v>10001</v>
      </c>
      <c r="N38" s="172" t="s">
        <v>170</v>
      </c>
    </row>
    <row r="39" customFormat="false" ht="15" hidden="false" customHeight="false" outlineLevel="0" collapsed="false">
      <c r="A39" s="176" t="n">
        <v>45288</v>
      </c>
      <c r="B39" s="172" t="s">
        <v>67</v>
      </c>
      <c r="C39" s="173" t="n">
        <v>115.1</v>
      </c>
      <c r="D39" s="174" t="n">
        <v>20</v>
      </c>
      <c r="H39" s="172" t="n">
        <v>-2306.83</v>
      </c>
      <c r="I39" s="186"/>
      <c r="J39" s="186" t="n">
        <v>2306.83</v>
      </c>
      <c r="K39" s="187" t="s">
        <v>179</v>
      </c>
      <c r="L39" s="172" t="n">
        <v>165</v>
      </c>
      <c r="M39" s="172" t="n">
        <v>95110347</v>
      </c>
      <c r="N39" s="172" t="s">
        <v>180</v>
      </c>
    </row>
    <row r="40" customFormat="false" ht="15" hidden="false" customHeight="false" outlineLevel="0" collapsed="false">
      <c r="A40" s="176" t="n">
        <v>45288</v>
      </c>
      <c r="B40" s="172" t="s">
        <v>126</v>
      </c>
      <c r="C40" s="173" t="s">
        <v>168</v>
      </c>
      <c r="D40" s="174" t="s">
        <v>169</v>
      </c>
      <c r="H40" s="172" t="n">
        <v>3960.3</v>
      </c>
      <c r="I40" s="177" t="n">
        <f aca="false">I38+H40</f>
        <v>6267.13</v>
      </c>
      <c r="J40" s="175" t="n">
        <v>6267.13</v>
      </c>
      <c r="K40" s="172" t="s">
        <v>140</v>
      </c>
      <c r="L40" s="172" t="n">
        <v>5800</v>
      </c>
      <c r="M40" s="172" t="n">
        <v>10001</v>
      </c>
      <c r="N40" s="172" t="s">
        <v>170</v>
      </c>
    </row>
    <row r="41" customFormat="false" ht="15" hidden="false" customHeight="false" outlineLevel="0" collapsed="false">
      <c r="A41" s="176" t="n">
        <v>45288</v>
      </c>
      <c r="B41" s="172" t="s">
        <v>171</v>
      </c>
      <c r="C41" s="173" t="n">
        <v>39.52</v>
      </c>
      <c r="D41" s="174" t="n">
        <v>100</v>
      </c>
      <c r="H41" s="172" t="n">
        <v>-3960.3</v>
      </c>
      <c r="I41" s="186"/>
      <c r="J41" s="186" t="n">
        <v>6267.13</v>
      </c>
      <c r="K41" s="187" t="s">
        <v>181</v>
      </c>
      <c r="L41" s="172" t="n">
        <v>165</v>
      </c>
      <c r="M41" s="172" t="n">
        <v>95111027</v>
      </c>
      <c r="N41" s="172" t="s">
        <v>180</v>
      </c>
    </row>
    <row r="42" customFormat="false" ht="15" hidden="false" customHeight="false" outlineLevel="0" collapsed="false">
      <c r="A42" s="187"/>
      <c r="B42" s="187"/>
      <c r="C42" s="197"/>
      <c r="D42" s="198"/>
      <c r="E42" s="198"/>
      <c r="F42" s="186"/>
      <c r="G42" s="186"/>
      <c r="H42" s="187"/>
      <c r="I42" s="186"/>
      <c r="J42" s="186"/>
      <c r="K42" s="187"/>
      <c r="L42" s="187"/>
      <c r="M42" s="187"/>
      <c r="N42" s="187"/>
    </row>
    <row r="43" customFormat="false" ht="15" hidden="false" customHeight="false" outlineLevel="0" collapsed="false">
      <c r="A43" s="176" t="n">
        <v>45293</v>
      </c>
      <c r="B43" s="190" t="s">
        <v>182</v>
      </c>
      <c r="C43" s="191" t="n">
        <v>-115.1</v>
      </c>
      <c r="D43" s="192" t="n">
        <v>20</v>
      </c>
      <c r="E43" s="192"/>
      <c r="F43" s="189" t="n">
        <f aca="false">H43/D43</f>
        <v>-115.3415</v>
      </c>
      <c r="G43" s="189" t="n">
        <v>4.83</v>
      </c>
      <c r="H43" s="190" t="n">
        <v>-2306.83</v>
      </c>
      <c r="I43" s="177" t="n">
        <f aca="false">I40+H43</f>
        <v>3960.3</v>
      </c>
      <c r="J43" s="175" t="n">
        <v>3960.3</v>
      </c>
      <c r="K43" s="172" t="s">
        <v>183</v>
      </c>
      <c r="L43" s="172" t="n">
        <v>165</v>
      </c>
      <c r="M43" s="172" t="n">
        <v>0</v>
      </c>
      <c r="N43" s="172" t="s">
        <v>184</v>
      </c>
    </row>
    <row r="44" customFormat="false" ht="15" hidden="false" customHeight="false" outlineLevel="0" collapsed="false">
      <c r="A44" s="176" t="n">
        <v>45293</v>
      </c>
      <c r="B44" s="190" t="s">
        <v>185</v>
      </c>
      <c r="C44" s="191" t="n">
        <v>-39.5</v>
      </c>
      <c r="D44" s="192" t="n">
        <v>100</v>
      </c>
      <c r="E44" s="192"/>
      <c r="F44" s="189" t="n">
        <f aca="false">H44/D44</f>
        <v>-39.583</v>
      </c>
      <c r="G44" s="189" t="n">
        <v>8.3</v>
      </c>
      <c r="H44" s="190" t="n">
        <v>-3958.3</v>
      </c>
      <c r="I44" s="177" t="n">
        <f aca="false">I43+H44</f>
        <v>2</v>
      </c>
      <c r="J44" s="175" t="n">
        <v>2</v>
      </c>
      <c r="K44" s="172" t="s">
        <v>186</v>
      </c>
      <c r="L44" s="172" t="n">
        <v>165</v>
      </c>
      <c r="M44" s="172" t="n">
        <v>0</v>
      </c>
      <c r="N44" s="172" t="s">
        <v>184</v>
      </c>
    </row>
    <row r="45" customFormat="false" ht="15" hidden="false" customHeight="false" outlineLevel="0" collapsed="false">
      <c r="A45" s="176" t="n">
        <v>45293</v>
      </c>
      <c r="B45" s="193" t="n">
        <v>801</v>
      </c>
      <c r="C45" s="194" t="n">
        <v>538.789707</v>
      </c>
      <c r="D45" s="195" t="n">
        <v>-28</v>
      </c>
      <c r="E45" s="195"/>
      <c r="F45" s="196"/>
      <c r="G45" s="196"/>
      <c r="H45" s="193" t="n">
        <v>15086.11</v>
      </c>
      <c r="I45" s="177" t="n">
        <f aca="false">I44+H45</f>
        <v>15088.11</v>
      </c>
      <c r="J45" s="175" t="n">
        <v>15088.11</v>
      </c>
      <c r="K45" s="172" t="s">
        <v>187</v>
      </c>
      <c r="L45" s="172" t="n">
        <v>5800</v>
      </c>
      <c r="M45" s="172" t="n">
        <v>95112740</v>
      </c>
      <c r="N45" s="172" t="n">
        <v>73</v>
      </c>
    </row>
    <row r="46" customFormat="false" ht="15" hidden="false" customHeight="false" outlineLevel="0" collapsed="false">
      <c r="A46" s="176" t="n">
        <v>45293</v>
      </c>
      <c r="B46" s="172" t="s">
        <v>188</v>
      </c>
      <c r="C46" s="173" t="s">
        <v>138</v>
      </c>
      <c r="D46" s="174" t="s">
        <v>189</v>
      </c>
      <c r="H46" s="172" t="n">
        <v>-15086.11</v>
      </c>
      <c r="I46" s="177" t="n">
        <f aca="false">I45+H46</f>
        <v>2</v>
      </c>
      <c r="J46" s="175" t="n">
        <v>2</v>
      </c>
      <c r="K46" s="172" t="s">
        <v>177</v>
      </c>
      <c r="L46" s="172" t="n">
        <v>5800</v>
      </c>
      <c r="M46" s="172" t="n">
        <v>95112740</v>
      </c>
      <c r="N46" s="172" t="s">
        <v>178</v>
      </c>
    </row>
    <row r="47" customFormat="false" ht="15" hidden="false" customHeight="false" outlineLevel="0" collapsed="false">
      <c r="A47" s="176" t="n">
        <v>45294</v>
      </c>
      <c r="B47" s="172" t="s">
        <v>188</v>
      </c>
      <c r="C47" s="173" t="s">
        <v>138</v>
      </c>
      <c r="D47" s="174" t="s">
        <v>189</v>
      </c>
      <c r="G47" s="175" t="n">
        <v>-1.9</v>
      </c>
      <c r="H47" s="172" t="n">
        <v>0</v>
      </c>
      <c r="I47" s="177" t="n">
        <f aca="false">I46+G47</f>
        <v>0.1</v>
      </c>
      <c r="J47" s="175" t="n">
        <v>0.1</v>
      </c>
      <c r="K47" s="172" t="s">
        <v>190</v>
      </c>
      <c r="L47" s="172" t="n">
        <v>165</v>
      </c>
      <c r="M47" s="172" t="n">
        <v>22229971</v>
      </c>
      <c r="N47" s="172" t="s">
        <v>191</v>
      </c>
    </row>
    <row r="48" customFormat="false" ht="15" hidden="false" customHeight="false" outlineLevel="0" collapsed="false">
      <c r="A48" s="176" t="n">
        <v>45294</v>
      </c>
      <c r="B48" s="172" t="s">
        <v>188</v>
      </c>
      <c r="C48" s="173" t="s">
        <v>138</v>
      </c>
      <c r="D48" s="174" t="s">
        <v>189</v>
      </c>
      <c r="G48" s="175" t="n">
        <v>-0.1</v>
      </c>
      <c r="H48" s="172" t="n">
        <v>-0.1</v>
      </c>
      <c r="I48" s="177" t="n">
        <f aca="false">I47+G48</f>
        <v>0</v>
      </c>
      <c r="J48" s="175" t="n">
        <v>0</v>
      </c>
      <c r="K48" s="172" t="s">
        <v>192</v>
      </c>
      <c r="L48" s="172" t="n">
        <v>165</v>
      </c>
      <c r="M48" s="172" t="n">
        <v>22229977</v>
      </c>
      <c r="N48" s="172" t="s">
        <v>193</v>
      </c>
    </row>
    <row r="49" customFormat="false" ht="15" hidden="false" customHeight="false" outlineLevel="0" collapsed="false">
      <c r="A49" s="176" t="n">
        <v>45295</v>
      </c>
      <c r="B49" s="193" t="n">
        <v>801</v>
      </c>
      <c r="C49" s="194" t="n">
        <v>540.000044</v>
      </c>
      <c r="D49" s="195" t="n">
        <v>-22</v>
      </c>
      <c r="E49" s="195"/>
      <c r="F49" s="196"/>
      <c r="G49" s="196"/>
      <c r="H49" s="193" t="n">
        <v>11880</v>
      </c>
      <c r="I49" s="177" t="n">
        <f aca="false">I48+H49</f>
        <v>11880</v>
      </c>
      <c r="J49" s="175" t="n">
        <v>11880</v>
      </c>
      <c r="K49" s="172" t="s">
        <v>176</v>
      </c>
      <c r="L49" s="172" t="n">
        <v>5800</v>
      </c>
      <c r="M49" s="172" t="n">
        <v>95101505</v>
      </c>
      <c r="N49" s="172" t="n">
        <v>73</v>
      </c>
    </row>
    <row r="50" customFormat="false" ht="15" hidden="false" customHeight="false" outlineLevel="0" collapsed="false">
      <c r="A50" s="176" t="n">
        <v>45295</v>
      </c>
      <c r="B50" s="172" t="s">
        <v>188</v>
      </c>
      <c r="C50" s="173" t="s">
        <v>138</v>
      </c>
      <c r="D50" s="174" t="s">
        <v>189</v>
      </c>
      <c r="H50" s="172" t="n">
        <v>-11855.75</v>
      </c>
      <c r="I50" s="177" t="n">
        <f aca="false">I49+H50</f>
        <v>24.25</v>
      </c>
      <c r="J50" s="175" t="n">
        <v>24.25</v>
      </c>
      <c r="K50" s="172" t="s">
        <v>177</v>
      </c>
      <c r="L50" s="172" t="n">
        <v>5800</v>
      </c>
      <c r="M50" s="172" t="n">
        <v>95101505</v>
      </c>
      <c r="N50" s="172" t="s">
        <v>178</v>
      </c>
    </row>
    <row r="51" customFormat="false" ht="15" hidden="false" customHeight="false" outlineLevel="0" collapsed="false">
      <c r="A51" s="176" t="n">
        <v>45295</v>
      </c>
      <c r="B51" s="172" t="s">
        <v>188</v>
      </c>
      <c r="C51" s="173" t="s">
        <v>138</v>
      </c>
      <c r="D51" s="174" t="s">
        <v>189</v>
      </c>
      <c r="G51" s="175" t="n">
        <v>-23.1</v>
      </c>
      <c r="H51" s="172" t="n">
        <v>-23.1</v>
      </c>
      <c r="I51" s="177" t="n">
        <f aca="false">I50+H51</f>
        <v>1.15</v>
      </c>
      <c r="J51" s="175" t="n">
        <v>1.15</v>
      </c>
      <c r="K51" s="172" t="s">
        <v>190</v>
      </c>
      <c r="L51" s="172" t="n">
        <v>5800</v>
      </c>
      <c r="M51" s="172" t="n">
        <v>95109971</v>
      </c>
      <c r="N51" s="172" t="s">
        <v>191</v>
      </c>
    </row>
    <row r="52" customFormat="false" ht="15" hidden="false" customHeight="false" outlineLevel="0" collapsed="false">
      <c r="A52" s="176" t="n">
        <v>45295</v>
      </c>
      <c r="B52" s="172" t="s">
        <v>188</v>
      </c>
      <c r="C52" s="173" t="s">
        <v>138</v>
      </c>
      <c r="D52" s="174" t="s">
        <v>189</v>
      </c>
      <c r="G52" s="175" t="n">
        <v>-1.15</v>
      </c>
      <c r="H52" s="172" t="n">
        <v>-1.15</v>
      </c>
      <c r="I52" s="177" t="n">
        <f aca="false">I51+H52</f>
        <v>0</v>
      </c>
      <c r="J52" s="175" t="n">
        <v>0</v>
      </c>
      <c r="K52" s="172" t="s">
        <v>192</v>
      </c>
      <c r="L52" s="172" t="n">
        <v>5800</v>
      </c>
      <c r="M52" s="172" t="n">
        <v>95109977</v>
      </c>
      <c r="N52" s="172" t="s">
        <v>193</v>
      </c>
    </row>
    <row r="53" customFormat="false" ht="15" hidden="false" customHeight="false" outlineLevel="0" collapsed="false">
      <c r="A53" s="176" t="n">
        <v>45296</v>
      </c>
      <c r="B53" s="172" t="s">
        <v>188</v>
      </c>
      <c r="C53" s="173" t="s">
        <v>138</v>
      </c>
      <c r="D53" s="174" t="s">
        <v>189</v>
      </c>
      <c r="H53" s="172" t="n">
        <v>59466.12</v>
      </c>
      <c r="I53" s="177" t="n">
        <f aca="false">I52+H53</f>
        <v>59466.12</v>
      </c>
      <c r="J53" s="175" t="n">
        <v>59466.12</v>
      </c>
      <c r="K53" s="172" t="s">
        <v>140</v>
      </c>
      <c r="L53" s="172" t="n">
        <v>5800</v>
      </c>
      <c r="M53" s="172" t="n">
        <v>36161744</v>
      </c>
      <c r="N53" s="172" t="s">
        <v>170</v>
      </c>
    </row>
    <row r="54" customFormat="false" ht="15" hidden="false" customHeight="false" outlineLevel="0" collapsed="false">
      <c r="A54" s="176" t="n">
        <v>45296</v>
      </c>
      <c r="B54" s="190" t="n">
        <v>801</v>
      </c>
      <c r="C54" s="191" t="n">
        <v>540.601108</v>
      </c>
      <c r="D54" s="192" t="n">
        <v>110</v>
      </c>
      <c r="E54" s="192"/>
      <c r="F54" s="189" t="n">
        <f aca="false">D54*C54</f>
        <v>59466.12188</v>
      </c>
      <c r="G54" s="189"/>
      <c r="H54" s="190" t="n">
        <v>-59466.12</v>
      </c>
      <c r="I54" s="177" t="n">
        <f aca="false">I53+H54</f>
        <v>0</v>
      </c>
      <c r="J54" s="175" t="n">
        <v>0</v>
      </c>
      <c r="K54" s="172" t="s">
        <v>194</v>
      </c>
      <c r="L54" s="172" t="n">
        <v>5800</v>
      </c>
      <c r="M54" s="172" t="n">
        <v>36161744</v>
      </c>
      <c r="N54" s="172" t="n">
        <v>72</v>
      </c>
    </row>
    <row r="55" customFormat="false" ht="15" hidden="false" customHeight="false" outlineLevel="0" collapsed="false">
      <c r="A55" s="176" t="n">
        <v>45296</v>
      </c>
      <c r="B55" s="172" t="s">
        <v>188</v>
      </c>
      <c r="C55" s="173" t="s">
        <v>138</v>
      </c>
      <c r="D55" s="174" t="s">
        <v>189</v>
      </c>
      <c r="H55" s="172" t="n">
        <v>27030.06</v>
      </c>
      <c r="I55" s="177" t="n">
        <f aca="false">I54+H55</f>
        <v>27030.06</v>
      </c>
      <c r="J55" s="175" t="n">
        <v>27030.06</v>
      </c>
      <c r="K55" s="172" t="s">
        <v>140</v>
      </c>
      <c r="L55" s="172" t="n">
        <v>5800</v>
      </c>
      <c r="M55" s="172" t="n">
        <v>95173631</v>
      </c>
      <c r="N55" s="172" t="s">
        <v>170</v>
      </c>
    </row>
    <row r="56" customFormat="false" ht="15" hidden="false" customHeight="false" outlineLevel="0" collapsed="false">
      <c r="A56" s="176" t="n">
        <v>45296</v>
      </c>
      <c r="B56" s="172" t="n">
        <v>801</v>
      </c>
      <c r="C56" s="173" t="s">
        <v>195</v>
      </c>
      <c r="D56" s="174" t="n">
        <v>50000</v>
      </c>
      <c r="H56" s="172" t="n">
        <v>-27030.06</v>
      </c>
      <c r="I56" s="186"/>
      <c r="J56" s="186" t="n">
        <v>27030.06</v>
      </c>
      <c r="K56" s="187" t="s">
        <v>196</v>
      </c>
      <c r="L56" s="172" t="n">
        <v>5800</v>
      </c>
      <c r="M56" s="172" t="n">
        <v>95173631</v>
      </c>
      <c r="N56" s="172" t="s">
        <v>197</v>
      </c>
    </row>
    <row r="57" customFormat="false" ht="15" hidden="false" customHeight="false" outlineLevel="0" collapsed="false">
      <c r="A57" s="176" t="n">
        <v>45299</v>
      </c>
      <c r="B57" s="172" t="s">
        <v>188</v>
      </c>
      <c r="C57" s="173" t="s">
        <v>138</v>
      </c>
      <c r="D57" s="174" t="s">
        <v>189</v>
      </c>
      <c r="H57" s="172" t="n">
        <v>91.67</v>
      </c>
      <c r="I57" s="177" t="n">
        <f aca="false">I55+H57</f>
        <v>27121.73</v>
      </c>
      <c r="J57" s="175" t="n">
        <v>27121.73</v>
      </c>
      <c r="K57" s="172" t="s">
        <v>140</v>
      </c>
      <c r="L57" s="172" t="n">
        <v>5800</v>
      </c>
      <c r="M57" s="172" t="n">
        <v>58009517</v>
      </c>
      <c r="N57" s="172" t="s">
        <v>170</v>
      </c>
    </row>
    <row r="58" customFormat="false" ht="15" hidden="false" customHeight="false" outlineLevel="0" collapsed="false">
      <c r="A58" s="176" t="n">
        <v>45299</v>
      </c>
      <c r="B58" s="190" t="n">
        <v>801</v>
      </c>
      <c r="C58" s="191" t="n">
        <v>542.434502</v>
      </c>
      <c r="D58" s="192" t="n">
        <v>50</v>
      </c>
      <c r="E58" s="192"/>
      <c r="F58" s="189" t="n">
        <f aca="false">D58*C58</f>
        <v>27121.7251</v>
      </c>
      <c r="G58" s="189"/>
      <c r="H58" s="190" t="n">
        <v>-27121.73</v>
      </c>
      <c r="I58" s="186"/>
      <c r="J58" s="186" t="n">
        <v>0</v>
      </c>
      <c r="K58" s="187" t="s">
        <v>198</v>
      </c>
      <c r="L58" s="172" t="n">
        <v>5800</v>
      </c>
      <c r="M58" s="172" t="n">
        <v>95173631</v>
      </c>
      <c r="N58" s="172" t="s">
        <v>199</v>
      </c>
    </row>
    <row r="59" customFormat="false" ht="15" hidden="false" customHeight="false" outlineLevel="0" collapsed="false">
      <c r="A59" s="176" t="n">
        <v>45313</v>
      </c>
      <c r="B59" s="172" t="s">
        <v>185</v>
      </c>
      <c r="C59" s="173" t="n">
        <v>51.4</v>
      </c>
      <c r="D59" s="174" t="n">
        <v>-126</v>
      </c>
      <c r="H59" s="172" t="n">
        <v>6462.8</v>
      </c>
      <c r="I59" s="186"/>
      <c r="J59" s="186" t="n">
        <v>0</v>
      </c>
      <c r="K59" s="187" t="s">
        <v>200</v>
      </c>
      <c r="L59" s="172" t="n">
        <v>165</v>
      </c>
      <c r="M59" s="172" t="n">
        <v>95164217</v>
      </c>
      <c r="N59" s="172" t="s">
        <v>201</v>
      </c>
    </row>
    <row r="60" customFormat="false" ht="15" hidden="false" customHeight="false" outlineLevel="0" collapsed="false">
      <c r="A60" s="176" t="n">
        <v>45313</v>
      </c>
      <c r="B60" s="172" t="s">
        <v>202</v>
      </c>
      <c r="C60" s="173" t="n">
        <v>41.6</v>
      </c>
      <c r="D60" s="174" t="n">
        <v>-13</v>
      </c>
      <c r="H60" s="172" t="n">
        <v>539.67</v>
      </c>
      <c r="I60" s="186"/>
      <c r="J60" s="186" t="n">
        <v>0</v>
      </c>
      <c r="K60" s="187" t="s">
        <v>203</v>
      </c>
      <c r="L60" s="172" t="n">
        <v>165</v>
      </c>
      <c r="M60" s="172" t="n">
        <v>95164250</v>
      </c>
      <c r="N60" s="172" t="s">
        <v>201</v>
      </c>
    </row>
    <row r="61" customFormat="false" ht="15" hidden="false" customHeight="false" outlineLevel="0" collapsed="false">
      <c r="A61" s="176" t="n">
        <v>45315</v>
      </c>
      <c r="B61" s="181" t="s">
        <v>185</v>
      </c>
      <c r="C61" s="199" t="n">
        <v>-51.4</v>
      </c>
      <c r="D61" s="200" t="n">
        <v>-126</v>
      </c>
      <c r="E61" s="200"/>
      <c r="F61" s="177" t="n">
        <f aca="false">D61*C61</f>
        <v>6476.4</v>
      </c>
      <c r="G61" s="177"/>
      <c r="H61" s="181" t="n">
        <v>6462.8</v>
      </c>
      <c r="I61" s="177" t="n">
        <f aca="false">I60+H61</f>
        <v>6462.8</v>
      </c>
      <c r="J61" s="175" t="n">
        <v>6462.8</v>
      </c>
      <c r="K61" s="172" t="s">
        <v>204</v>
      </c>
      <c r="L61" s="172" t="n">
        <v>165</v>
      </c>
      <c r="M61" s="172" t="n">
        <v>0</v>
      </c>
      <c r="N61" s="172" t="s">
        <v>205</v>
      </c>
    </row>
    <row r="62" customFormat="false" ht="15" hidden="false" customHeight="false" outlineLevel="0" collapsed="false">
      <c r="A62" s="176" t="n">
        <v>45315</v>
      </c>
      <c r="B62" s="181" t="s">
        <v>202</v>
      </c>
      <c r="C62" s="199" t="n">
        <v>-41.6</v>
      </c>
      <c r="D62" s="200" t="n">
        <v>-13</v>
      </c>
      <c r="E62" s="200"/>
      <c r="F62" s="177" t="n">
        <f aca="false">D62*C62</f>
        <v>540.8</v>
      </c>
      <c r="G62" s="177"/>
      <c r="H62" s="181" t="n">
        <v>539.67</v>
      </c>
      <c r="I62" s="177" t="n">
        <f aca="false">I61+H62</f>
        <v>7002.47</v>
      </c>
      <c r="J62" s="175" t="n">
        <v>7002.47</v>
      </c>
      <c r="K62" s="172" t="s">
        <v>206</v>
      </c>
      <c r="L62" s="172" t="n">
        <v>165</v>
      </c>
      <c r="M62" s="172" t="n">
        <v>0</v>
      </c>
      <c r="N62" s="172" t="s">
        <v>205</v>
      </c>
    </row>
    <row r="63" customFormat="false" ht="15" hidden="false" customHeight="false" outlineLevel="0" collapsed="false">
      <c r="D63" s="172"/>
      <c r="E63" s="172"/>
    </row>
    <row r="64" customFormat="false" ht="15" hidden="false" customHeight="false" outlineLevel="0" collapsed="false">
      <c r="D64" s="172"/>
      <c r="E64" s="172"/>
    </row>
    <row r="65" customFormat="false" ht="15" hidden="false" customHeight="false" outlineLevel="0" collapsed="false">
      <c r="D65" s="172"/>
      <c r="E65" s="172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C5:C30"/>
  <sheetViews>
    <sheetView showFormulas="false" showGridLines="true" showRowColHeaders="true" showZeros="true" rightToLeft="false" tabSelected="false" showOutlineSymbols="true" defaultGridColor="true" view="normal" topLeftCell="A4" colorId="64" zoomScale="160" zoomScaleNormal="160" zoomScalePageLayoutView="100" workbookViewId="0">
      <selection pane="topLeft" activeCell="A4" activeCellId="0" sqref="A4"/>
    </sheetView>
  </sheetViews>
  <sheetFormatPr defaultColWidth="8.57421875" defaultRowHeight="12.75" zeroHeight="false" outlineLevelRow="0" outlineLevelCol="0"/>
  <cols>
    <col collapsed="false" customWidth="true" hidden="false" outlineLevel="0" max="2" min="1" style="0" width="9.13"/>
    <col collapsed="false" customWidth="true" hidden="false" outlineLevel="0" max="3" min="3" style="0" width="37.14"/>
    <col collapsed="false" customWidth="true" hidden="false" outlineLevel="0" max="4" min="4" style="0" width="9.13"/>
  </cols>
  <sheetData>
    <row r="5" customFormat="false" ht="12.75" hidden="false" customHeight="false" outlineLevel="0" collapsed="false">
      <c r="C5" s="0" t="n">
        <v>2240</v>
      </c>
    </row>
    <row r="6" customFormat="false" ht="12.75" hidden="false" customHeight="false" outlineLevel="0" collapsed="false">
      <c r="C6" s="0" t="s">
        <v>207</v>
      </c>
    </row>
    <row r="7" customFormat="false" ht="12.75" hidden="false" customHeight="false" outlineLevel="0" collapsed="false">
      <c r="C7" s="0" t="s">
        <v>208</v>
      </c>
    </row>
    <row r="8" customFormat="false" ht="12.75" hidden="false" customHeight="false" outlineLevel="0" collapsed="false">
      <c r="C8" s="0" t="s">
        <v>209</v>
      </c>
    </row>
    <row r="9" customFormat="false" ht="12.75" hidden="false" customHeight="false" outlineLevel="0" collapsed="false">
      <c r="C9" s="0" t="s">
        <v>210</v>
      </c>
    </row>
    <row r="10" customFormat="false" ht="12.75" hidden="false" customHeight="false" outlineLevel="0" collapsed="false">
      <c r="C10" s="0" t="s">
        <v>211</v>
      </c>
    </row>
    <row r="11" customFormat="false" ht="12.75" hidden="false" customHeight="false" outlineLevel="0" collapsed="false">
      <c r="C11" s="0" t="s">
        <v>212</v>
      </c>
    </row>
    <row r="12" customFormat="false" ht="12.75" hidden="false" customHeight="false" outlineLevel="0" collapsed="false">
      <c r="C12" s="0" t="s">
        <v>213</v>
      </c>
    </row>
    <row r="13" customFormat="false" ht="12.75" hidden="false" customHeight="false" outlineLevel="0" collapsed="false">
      <c r="C13" s="0" t="s">
        <v>214</v>
      </c>
    </row>
    <row r="14" customFormat="false" ht="12.75" hidden="false" customHeight="false" outlineLevel="0" collapsed="false">
      <c r="C14" s="0" t="s">
        <v>215</v>
      </c>
    </row>
    <row r="15" customFormat="false" ht="12.75" hidden="false" customHeight="false" outlineLevel="0" collapsed="false">
      <c r="C15" s="0" t="s">
        <v>216</v>
      </c>
    </row>
    <row r="16" customFormat="false" ht="12.75" hidden="false" customHeight="false" outlineLevel="0" collapsed="false">
      <c r="C16" s="0" t="s">
        <v>217</v>
      </c>
    </row>
    <row r="17" customFormat="false" ht="12.75" hidden="false" customHeight="false" outlineLevel="0" collapsed="false">
      <c r="C17" s="0" t="s">
        <v>218</v>
      </c>
    </row>
    <row r="18" customFormat="false" ht="12.75" hidden="false" customHeight="false" outlineLevel="0" collapsed="false">
      <c r="C18" s="0" t="s">
        <v>219</v>
      </c>
    </row>
    <row r="19" customFormat="false" ht="12.75" hidden="false" customHeight="false" outlineLevel="0" collapsed="false">
      <c r="C19" s="0" t="s">
        <v>220</v>
      </c>
    </row>
    <row r="20" customFormat="false" ht="12.75" hidden="false" customHeight="false" outlineLevel="0" collapsed="false">
      <c r="C20" s="0" t="s">
        <v>221</v>
      </c>
    </row>
    <row r="21" customFormat="false" ht="12.75" hidden="false" customHeight="false" outlineLevel="0" collapsed="false">
      <c r="C21" s="0" t="s">
        <v>222</v>
      </c>
    </row>
    <row r="22" customFormat="false" ht="12.75" hidden="false" customHeight="false" outlineLevel="0" collapsed="false">
      <c r="C22" s="0" t="s">
        <v>223</v>
      </c>
    </row>
    <row r="23" customFormat="false" ht="12.75" hidden="false" customHeight="false" outlineLevel="0" collapsed="false">
      <c r="C23" s="0" t="s">
        <v>224</v>
      </c>
    </row>
    <row r="24" customFormat="false" ht="12.75" hidden="false" customHeight="false" outlineLevel="0" collapsed="false">
      <c r="C24" s="0" t="s">
        <v>225</v>
      </c>
    </row>
    <row r="25" customFormat="false" ht="12.75" hidden="false" customHeight="false" outlineLevel="0" collapsed="false">
      <c r="C25" s="0" t="s">
        <v>226</v>
      </c>
    </row>
    <row r="26" customFormat="false" ht="12.75" hidden="false" customHeight="false" outlineLevel="0" collapsed="false">
      <c r="C26" s="0" t="s">
        <v>227</v>
      </c>
    </row>
    <row r="28" customFormat="false" ht="12.75" hidden="false" customHeight="false" outlineLevel="0" collapsed="false">
      <c r="C28" s="0" t="s">
        <v>228</v>
      </c>
    </row>
    <row r="29" customFormat="false" ht="12.75" hidden="false" customHeight="false" outlineLevel="0" collapsed="false">
      <c r="C29" s="0" t="s">
        <v>229</v>
      </c>
    </row>
    <row r="30" customFormat="false" ht="12.75" hidden="false" customHeight="false" outlineLevel="0" collapsed="false">
      <c r="C30" s="0" t="s">
        <v>230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1101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2022-03-04T11:30:59Z</dcterms:created>
  <dc:creator>m</dc:creator>
  <dc:description/>
  <dc:language>tr-TR</dc:language>
  <cp:lastModifiedBy/>
  <cp:lastPrinted>2024-02-28T10:33:00Z</cp:lastPrinted>
  <dcterms:modified xsi:type="dcterms:W3CDTF">2024-03-29T20:57:35Z</dcterms:modified>
  <cp:revision>265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