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aGitMe\tdy\"/>
    </mc:Choice>
  </mc:AlternateContent>
  <xr:revisionPtr revIDLastSave="0" documentId="13_ncr:1_{62462665-40B0-47D9-8039-8446B6ED47D1}" xr6:coauthVersionLast="47" xr6:coauthVersionMax="47" xr10:uidLastSave="{00000000-0000-0000-0000-000000000000}"/>
  <bookViews>
    <workbookView xWindow="-120" yWindow="-120" windowWidth="29040" windowHeight="15720" tabRatio="500" activeTab="1" xr2:uid="{00000000-000D-0000-FFFF-FFFF00000000}"/>
  </bookViews>
  <sheets>
    <sheet name="Sayfa2" sheetId="1" r:id="rId1"/>
    <sheet name="Sayfa4" sheetId="2" r:id="rId2"/>
    <sheet name="Yasemin" sheetId="3" r:id="rId3"/>
    <sheet name="801" sheetId="4" r:id="rId4"/>
    <sheet name="Sayfa3" sheetId="5" r:id="rId5"/>
    <sheet name="Sayfa1" sheetId="6" r:id="rId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5" i="2" l="1"/>
  <c r="H14" i="1" s="1"/>
  <c r="J14" i="1" s="1"/>
  <c r="K14" i="1" s="1"/>
  <c r="T11" i="2"/>
  <c r="R11" i="2"/>
  <c r="M11" i="2"/>
  <c r="G14" i="1"/>
  <c r="F14" i="1"/>
  <c r="L14" i="1" s="1"/>
  <c r="E14" i="1"/>
  <c r="T12" i="2"/>
  <c r="R12" i="2"/>
  <c r="Y17" i="2"/>
  <c r="Y18" i="2"/>
  <c r="T13" i="2"/>
  <c r="R13" i="2"/>
  <c r="M13" i="2"/>
  <c r="D13" i="2"/>
  <c r="B13" i="2"/>
  <c r="G16" i="1"/>
  <c r="F16" i="1"/>
  <c r="L16" i="1" s="1"/>
  <c r="E16" i="1"/>
  <c r="N49" i="2"/>
  <c r="Y5" i="2"/>
  <c r="Y19" i="2" s="1"/>
  <c r="T14" i="2"/>
  <c r="R14" i="2"/>
  <c r="M14" i="2"/>
  <c r="R10" i="2"/>
  <c r="R15" i="2"/>
  <c r="R16" i="2"/>
  <c r="T15" i="2"/>
  <c r="M15" i="2"/>
  <c r="E7" i="3"/>
  <c r="J9" i="3"/>
  <c r="F62" i="5"/>
  <c r="I61" i="5"/>
  <c r="I62" i="5" s="1"/>
  <c r="F61" i="5"/>
  <c r="F58" i="5"/>
  <c r="F54" i="5"/>
  <c r="F44" i="5"/>
  <c r="F43" i="5"/>
  <c r="F35" i="5"/>
  <c r="F33" i="5"/>
  <c r="F29" i="5"/>
  <c r="F27" i="5"/>
  <c r="F21" i="5"/>
  <c r="F19" i="5"/>
  <c r="F9" i="5"/>
  <c r="I6" i="5"/>
  <c r="I7" i="5" s="1"/>
  <c r="I8" i="5" s="1"/>
  <c r="I16" i="5" s="1"/>
  <c r="I17" i="5" s="1"/>
  <c r="I18" i="5" s="1"/>
  <c r="I19" i="5" s="1"/>
  <c r="I20" i="5" s="1"/>
  <c r="I21" i="5" s="1"/>
  <c r="I22" i="5" s="1"/>
  <c r="I25" i="5" s="1"/>
  <c r="I26" i="5" s="1"/>
  <c r="I28" i="5" s="1"/>
  <c r="I30" i="5" s="1"/>
  <c r="I31" i="5" s="1"/>
  <c r="I32" i="5" s="1"/>
  <c r="I33" i="5" s="1"/>
  <c r="I34" i="5" s="1"/>
  <c r="I36" i="5" s="1"/>
  <c r="I37" i="5" s="1"/>
  <c r="I38" i="5" s="1"/>
  <c r="I40" i="5" s="1"/>
  <c r="I43" i="5" s="1"/>
  <c r="I44" i="5" s="1"/>
  <c r="I45" i="5" s="1"/>
  <c r="I46" i="5" s="1"/>
  <c r="I47" i="5" s="1"/>
  <c r="I48" i="5" s="1"/>
  <c r="I49" i="5" s="1"/>
  <c r="I50" i="5" s="1"/>
  <c r="I51" i="5" s="1"/>
  <c r="I52" i="5" s="1"/>
  <c r="I53" i="5" s="1"/>
  <c r="I54" i="5" s="1"/>
  <c r="I55" i="5" s="1"/>
  <c r="I57" i="5" s="1"/>
  <c r="E4" i="4"/>
  <c r="E5" i="4" s="1"/>
  <c r="E6" i="4" s="1"/>
  <c r="E7" i="4" s="1"/>
  <c r="E8" i="4" s="1"/>
  <c r="E9" i="4" s="1"/>
  <c r="E10" i="4" s="1"/>
  <c r="E11" i="4" s="1"/>
  <c r="E12" i="4" s="1"/>
  <c r="E13" i="4" s="1"/>
  <c r="E14" i="4" s="1"/>
  <c r="E15" i="4" s="1"/>
  <c r="E16" i="4" s="1"/>
  <c r="E17" i="4" s="1"/>
  <c r="E18" i="4" s="1"/>
  <c r="E19" i="4" s="1"/>
  <c r="E20" i="4" s="1"/>
  <c r="E21" i="4" s="1"/>
  <c r="E22" i="4" s="1"/>
  <c r="E23" i="4" s="1"/>
  <c r="E24" i="4" s="1"/>
  <c r="E25" i="4" s="1"/>
  <c r="E26" i="4" s="1"/>
  <c r="E27" i="4" s="1"/>
  <c r="E28" i="4" s="1"/>
  <c r="E29" i="4" s="1"/>
  <c r="E30" i="4" s="1"/>
  <c r="E31" i="4" s="1"/>
  <c r="E32" i="4" s="1"/>
  <c r="E33" i="4" s="1"/>
  <c r="E34" i="4" s="1"/>
  <c r="E35" i="4" s="1"/>
  <c r="E36" i="4" s="1"/>
  <c r="E37" i="4" s="1"/>
  <c r="E38" i="4" s="1"/>
  <c r="E39" i="4" s="1"/>
  <c r="E40" i="4" s="1"/>
  <c r="E41" i="4" s="1"/>
  <c r="E42" i="4" s="1"/>
  <c r="E43" i="4" s="1"/>
  <c r="E3" i="4"/>
  <c r="L27" i="3"/>
  <c r="J27" i="3"/>
  <c r="K27" i="3" s="1"/>
  <c r="I27" i="3"/>
  <c r="I9" i="3" s="1"/>
  <c r="E27" i="3"/>
  <c r="E9" i="3" s="1"/>
  <c r="F18" i="3"/>
  <c r="L18" i="3" s="1"/>
  <c r="E18" i="3"/>
  <c r="J17" i="3"/>
  <c r="K17" i="3" s="1"/>
  <c r="M17" i="3" s="1"/>
  <c r="I17" i="3"/>
  <c r="F17" i="3"/>
  <c r="L17" i="3" s="1"/>
  <c r="E17" i="3"/>
  <c r="L16" i="3"/>
  <c r="J16" i="3"/>
  <c r="K16" i="3" s="1"/>
  <c r="I16" i="3"/>
  <c r="F16" i="3"/>
  <c r="E16" i="3"/>
  <c r="E8" i="3"/>
  <c r="B7" i="3"/>
  <c r="AG52" i="2"/>
  <c r="AE53" i="2"/>
  <c r="AA57" i="2"/>
  <c r="AG50" i="2"/>
  <c r="AE51" i="2"/>
  <c r="AI45" i="2"/>
  <c r="AG46" i="2"/>
  <c r="AE47" i="2"/>
  <c r="R49" i="2"/>
  <c r="R48" i="2"/>
  <c r="J48" i="2"/>
  <c r="N48" i="2" s="1"/>
  <c r="R47" i="2"/>
  <c r="Z46" i="2"/>
  <c r="Z45" i="2" s="1"/>
  <c r="R46" i="2"/>
  <c r="L46" i="2"/>
  <c r="L45" i="2" s="1"/>
  <c r="L28" i="2" s="1"/>
  <c r="AD45" i="2"/>
  <c r="AD43" i="2" s="1"/>
  <c r="AB45" i="2"/>
  <c r="AB41" i="2" s="1"/>
  <c r="R45" i="2"/>
  <c r="D45" i="2"/>
  <c r="D38" i="2" s="1"/>
  <c r="B45" i="2"/>
  <c r="B28" i="2" s="1"/>
  <c r="AF44" i="2"/>
  <c r="R44" i="2"/>
  <c r="AF43" i="2"/>
  <c r="R43" i="2"/>
  <c r="AF42" i="2"/>
  <c r="R42" i="2"/>
  <c r="AF41" i="2"/>
  <c r="R41" i="2"/>
  <c r="AF40" i="2"/>
  <c r="R40" i="2"/>
  <c r="AF39" i="2"/>
  <c r="R39" i="2"/>
  <c r="AF38" i="2"/>
  <c r="T38" i="2"/>
  <c r="R38" i="2"/>
  <c r="T37" i="2"/>
  <c r="R37" i="2"/>
  <c r="T36" i="2"/>
  <c r="R36" i="2"/>
  <c r="T35" i="2"/>
  <c r="R35" i="2"/>
  <c r="T34" i="2"/>
  <c r="R34" i="2"/>
  <c r="T33" i="2"/>
  <c r="R33" i="2"/>
  <c r="T32" i="2"/>
  <c r="R32" i="2"/>
  <c r="M32" i="2"/>
  <c r="T31" i="2"/>
  <c r="R31" i="2"/>
  <c r="M31" i="2"/>
  <c r="T30" i="2"/>
  <c r="R30" i="2"/>
  <c r="M30" i="2"/>
  <c r="T29" i="2"/>
  <c r="R29" i="2"/>
  <c r="M29" i="2"/>
  <c r="T28" i="2"/>
  <c r="R28" i="2"/>
  <c r="M28" i="2"/>
  <c r="T27" i="2"/>
  <c r="R27" i="2"/>
  <c r="M27" i="2"/>
  <c r="D27" i="2"/>
  <c r="B27" i="2"/>
  <c r="T26" i="2"/>
  <c r="R26" i="2"/>
  <c r="M26" i="2"/>
  <c r="T25" i="2"/>
  <c r="R25" i="2"/>
  <c r="M25" i="2"/>
  <c r="T24" i="2"/>
  <c r="R24" i="2"/>
  <c r="M24" i="2"/>
  <c r="T23" i="2"/>
  <c r="R23" i="2"/>
  <c r="M23" i="2"/>
  <c r="T22" i="2"/>
  <c r="R22" i="2"/>
  <c r="M22" i="2"/>
  <c r="T21" i="2"/>
  <c r="R21" i="2"/>
  <c r="M21" i="2"/>
  <c r="T20" i="2"/>
  <c r="R20" i="2"/>
  <c r="M20" i="2"/>
  <c r="T19" i="2"/>
  <c r="R19" i="2"/>
  <c r="M19" i="2"/>
  <c r="T18" i="2"/>
  <c r="R18" i="2"/>
  <c r="M18" i="2"/>
  <c r="T17" i="2"/>
  <c r="R17" i="2"/>
  <c r="M17" i="2"/>
  <c r="T16" i="2"/>
  <c r="M16" i="2"/>
  <c r="T10" i="2"/>
  <c r="M10" i="2"/>
  <c r="H18" i="3" s="1"/>
  <c r="I18" i="3" s="1"/>
  <c r="AI5" i="2"/>
  <c r="AI48" i="2" s="1"/>
  <c r="AG5" i="2"/>
  <c r="AE5" i="2"/>
  <c r="AC5" i="2"/>
  <c r="AA5" i="2"/>
  <c r="M5" i="2"/>
  <c r="K5" i="2"/>
  <c r="H17" i="1" s="1"/>
  <c r="G5" i="2"/>
  <c r="E5" i="2"/>
  <c r="H26" i="1" s="1"/>
  <c r="C5" i="2"/>
  <c r="H27" i="1" s="1"/>
  <c r="A5" i="2"/>
  <c r="L76" i="1"/>
  <c r="J76" i="1"/>
  <c r="K76" i="1" s="1"/>
  <c r="I76" i="1"/>
  <c r="E76" i="1"/>
  <c r="L75" i="1"/>
  <c r="H75" i="1"/>
  <c r="J75" i="1" s="1"/>
  <c r="K75" i="1" s="1"/>
  <c r="M75" i="1" s="1"/>
  <c r="N75" i="1" s="1"/>
  <c r="E75" i="1"/>
  <c r="L74" i="1"/>
  <c r="J74" i="1"/>
  <c r="K74" i="1" s="1"/>
  <c r="I74" i="1"/>
  <c r="E74" i="1"/>
  <c r="L73" i="1"/>
  <c r="J73" i="1"/>
  <c r="K73" i="1" s="1"/>
  <c r="I73" i="1"/>
  <c r="E73" i="1"/>
  <c r="L72" i="1"/>
  <c r="J72" i="1"/>
  <c r="K72" i="1" s="1"/>
  <c r="I72" i="1"/>
  <c r="E72" i="1"/>
  <c r="L71" i="1"/>
  <c r="J71" i="1"/>
  <c r="K71" i="1" s="1"/>
  <c r="I71" i="1"/>
  <c r="E71" i="1"/>
  <c r="L70" i="1"/>
  <c r="J70" i="1"/>
  <c r="K70" i="1" s="1"/>
  <c r="I70" i="1"/>
  <c r="E70" i="1"/>
  <c r="L69" i="1"/>
  <c r="J69" i="1"/>
  <c r="K69" i="1" s="1"/>
  <c r="I69" i="1"/>
  <c r="E69" i="1"/>
  <c r="L68" i="1"/>
  <c r="J68" i="1"/>
  <c r="K68" i="1" s="1"/>
  <c r="I68" i="1"/>
  <c r="E68" i="1"/>
  <c r="L67" i="1"/>
  <c r="J67" i="1"/>
  <c r="K67" i="1" s="1"/>
  <c r="I67" i="1"/>
  <c r="E67" i="1"/>
  <c r="L66" i="1"/>
  <c r="J66" i="1"/>
  <c r="K66" i="1" s="1"/>
  <c r="I66" i="1"/>
  <c r="E66" i="1"/>
  <c r="L65" i="1"/>
  <c r="J65" i="1"/>
  <c r="K65" i="1" s="1"/>
  <c r="I65" i="1"/>
  <c r="E65" i="1"/>
  <c r="L64" i="1"/>
  <c r="J64" i="1"/>
  <c r="K64" i="1" s="1"/>
  <c r="I64" i="1"/>
  <c r="E64" i="1"/>
  <c r="L63" i="1"/>
  <c r="J63" i="1"/>
  <c r="K63" i="1" s="1"/>
  <c r="I63" i="1"/>
  <c r="E63" i="1"/>
  <c r="L62" i="1"/>
  <c r="J62" i="1"/>
  <c r="K62" i="1" s="1"/>
  <c r="I62" i="1"/>
  <c r="E62" i="1"/>
  <c r="L61" i="1"/>
  <c r="J61" i="1"/>
  <c r="K61" i="1" s="1"/>
  <c r="I61" i="1"/>
  <c r="E61" i="1"/>
  <c r="L60" i="1"/>
  <c r="J60" i="1"/>
  <c r="K60" i="1" s="1"/>
  <c r="I60" i="1"/>
  <c r="E60" i="1"/>
  <c r="L59" i="1"/>
  <c r="J59" i="1"/>
  <c r="K59" i="1" s="1"/>
  <c r="I59" i="1"/>
  <c r="E59" i="1"/>
  <c r="L58" i="1"/>
  <c r="J58" i="1"/>
  <c r="K58" i="1" s="1"/>
  <c r="I58" i="1"/>
  <c r="E58" i="1"/>
  <c r="L57" i="1"/>
  <c r="J57" i="1"/>
  <c r="K57" i="1" s="1"/>
  <c r="I57" i="1"/>
  <c r="E57" i="1"/>
  <c r="L54" i="1"/>
  <c r="J54" i="1"/>
  <c r="K54" i="1" s="1"/>
  <c r="I54" i="1"/>
  <c r="E54" i="1"/>
  <c r="J53" i="1"/>
  <c r="K53" i="1" s="1"/>
  <c r="M53" i="1" s="1"/>
  <c r="I53" i="1"/>
  <c r="E53" i="1"/>
  <c r="L52" i="1"/>
  <c r="J52" i="1"/>
  <c r="K52" i="1" s="1"/>
  <c r="I52" i="1"/>
  <c r="E52" i="1"/>
  <c r="L51" i="1"/>
  <c r="J51" i="1"/>
  <c r="K51" i="1" s="1"/>
  <c r="I51" i="1"/>
  <c r="E51" i="1"/>
  <c r="K50" i="1"/>
  <c r="I50" i="1"/>
  <c r="E50" i="1"/>
  <c r="L49" i="1"/>
  <c r="J49" i="1"/>
  <c r="K49" i="1" s="1"/>
  <c r="I49" i="1"/>
  <c r="E49" i="1"/>
  <c r="L48" i="1"/>
  <c r="J48" i="1"/>
  <c r="K48" i="1" s="1"/>
  <c r="I48" i="1"/>
  <c r="E48" i="1"/>
  <c r="L47" i="1"/>
  <c r="J47" i="1"/>
  <c r="K47" i="1" s="1"/>
  <c r="I47" i="1"/>
  <c r="E47" i="1"/>
  <c r="L46" i="1"/>
  <c r="J46" i="1"/>
  <c r="K46" i="1" s="1"/>
  <c r="I46" i="1"/>
  <c r="E46" i="1"/>
  <c r="L44" i="1"/>
  <c r="J44" i="1"/>
  <c r="K44" i="1" s="1"/>
  <c r="I44" i="1"/>
  <c r="E44" i="1"/>
  <c r="L42" i="1"/>
  <c r="J42" i="1"/>
  <c r="K42" i="1" s="1"/>
  <c r="I42" i="1"/>
  <c r="E42" i="1"/>
  <c r="L40" i="1"/>
  <c r="J40" i="1"/>
  <c r="K40" i="1" s="1"/>
  <c r="I40" i="1"/>
  <c r="E40" i="1"/>
  <c r="L38" i="1"/>
  <c r="J38" i="1"/>
  <c r="K38" i="1" s="1"/>
  <c r="I38" i="1"/>
  <c r="E38" i="1"/>
  <c r="L36" i="1"/>
  <c r="J36" i="1"/>
  <c r="K36" i="1" s="1"/>
  <c r="I36" i="1"/>
  <c r="E36" i="1"/>
  <c r="L34" i="1"/>
  <c r="J34" i="1"/>
  <c r="K34" i="1" s="1"/>
  <c r="I34" i="1"/>
  <c r="E34" i="1"/>
  <c r="L33" i="1"/>
  <c r="J33" i="1"/>
  <c r="K33" i="1" s="1"/>
  <c r="I33" i="1"/>
  <c r="E33" i="1"/>
  <c r="G27" i="1"/>
  <c r="F27" i="1"/>
  <c r="L27" i="1" s="1"/>
  <c r="E27" i="1"/>
  <c r="G26" i="1"/>
  <c r="F26" i="1"/>
  <c r="L26" i="1" s="1"/>
  <c r="E26" i="1"/>
  <c r="G25" i="1"/>
  <c r="F25" i="1"/>
  <c r="L25" i="1" s="1"/>
  <c r="E25" i="1"/>
  <c r="G24" i="1"/>
  <c r="F24" i="1"/>
  <c r="L24" i="1" s="1"/>
  <c r="E24" i="1"/>
  <c r="G23" i="1"/>
  <c r="F23" i="1"/>
  <c r="L23" i="1" s="1"/>
  <c r="E23" i="1"/>
  <c r="F22" i="1"/>
  <c r="L22" i="1" s="1"/>
  <c r="E22" i="1"/>
  <c r="F21" i="1"/>
  <c r="L21" i="1" s="1"/>
  <c r="E21" i="1"/>
  <c r="H20" i="1"/>
  <c r="I20" i="1" s="1"/>
  <c r="P20" i="1" s="1"/>
  <c r="F20" i="1"/>
  <c r="L20" i="1" s="1"/>
  <c r="E20" i="1"/>
  <c r="G18" i="1"/>
  <c r="F18" i="1"/>
  <c r="L18" i="1" s="1"/>
  <c r="E18" i="1"/>
  <c r="G17" i="1"/>
  <c r="F17" i="1"/>
  <c r="L17" i="1" s="1"/>
  <c r="E17" i="1"/>
  <c r="C3" i="1"/>
  <c r="D11" i="2" l="1"/>
  <c r="L11" i="2"/>
  <c r="B11" i="2"/>
  <c r="L13" i="2"/>
  <c r="D12" i="2"/>
  <c r="B12" i="2"/>
  <c r="L12" i="2"/>
  <c r="M62" i="1"/>
  <c r="N62" i="1" s="1"/>
  <c r="I75" i="1"/>
  <c r="I6" i="1" s="1"/>
  <c r="M68" i="1"/>
  <c r="N68" i="1" s="1"/>
  <c r="M64" i="1"/>
  <c r="N64" i="1" s="1"/>
  <c r="M51" i="1"/>
  <c r="N51" i="1" s="1"/>
  <c r="M49" i="1"/>
  <c r="N49" i="1" s="1"/>
  <c r="M58" i="1"/>
  <c r="N58" i="1" s="1"/>
  <c r="M54" i="1"/>
  <c r="N54" i="1" s="1"/>
  <c r="M69" i="1"/>
  <c r="N69" i="1" s="1"/>
  <c r="M76" i="1"/>
  <c r="N76" i="1" s="1"/>
  <c r="M59" i="1"/>
  <c r="N59" i="1" s="1"/>
  <c r="M44" i="1"/>
  <c r="N44" i="1" s="1"/>
  <c r="M60" i="1"/>
  <c r="N60" i="1" s="1"/>
  <c r="M34" i="1"/>
  <c r="N34" i="1" s="1"/>
  <c r="N46" i="1"/>
  <c r="M14" i="1"/>
  <c r="N14" i="1" s="1"/>
  <c r="I14" i="1"/>
  <c r="M70" i="1"/>
  <c r="N70" i="1"/>
  <c r="M33" i="1"/>
  <c r="N33" i="1" s="1"/>
  <c r="O34" i="1"/>
  <c r="M52" i="1"/>
  <c r="N52" i="1" s="1"/>
  <c r="E5" i="1"/>
  <c r="M73" i="1"/>
  <c r="N73" i="1" s="1"/>
  <c r="M63" i="1"/>
  <c r="N63" i="1" s="1"/>
  <c r="M74" i="1"/>
  <c r="N74" i="1" s="1"/>
  <c r="M65" i="1"/>
  <c r="N65" i="1" s="1"/>
  <c r="M61" i="1"/>
  <c r="N61" i="1" s="1"/>
  <c r="M66" i="1"/>
  <c r="N66" i="1" s="1"/>
  <c r="M71" i="1"/>
  <c r="N71" i="1" s="1"/>
  <c r="M67" i="1"/>
  <c r="N67" i="1" s="1"/>
  <c r="M72" i="1"/>
  <c r="N72" i="1" s="1"/>
  <c r="H16" i="1"/>
  <c r="J16" i="1" s="1"/>
  <c r="K16" i="1" s="1"/>
  <c r="M16" i="1" s="1"/>
  <c r="N16" i="1" s="1"/>
  <c r="AB44" i="2"/>
  <c r="B36" i="2"/>
  <c r="D36" i="2"/>
  <c r="B21" i="2"/>
  <c r="D21" i="2"/>
  <c r="B14" i="2"/>
  <c r="AB43" i="2"/>
  <c r="L14" i="2"/>
  <c r="D14" i="2"/>
  <c r="D20" i="2"/>
  <c r="B35" i="2"/>
  <c r="B44" i="2"/>
  <c r="L27" i="2"/>
  <c r="D35" i="2"/>
  <c r="D44" i="2"/>
  <c r="D10" i="2" s="1"/>
  <c r="L16" i="2"/>
  <c r="D16" i="2"/>
  <c r="D15" i="2"/>
  <c r="L15" i="2"/>
  <c r="AB42" i="2"/>
  <c r="B15" i="2"/>
  <c r="D43" i="2"/>
  <c r="B24" i="2"/>
  <c r="B19" i="2"/>
  <c r="D19" i="2"/>
  <c r="B31" i="2"/>
  <c r="D30" i="2"/>
  <c r="D31" i="2"/>
  <c r="B30" i="2"/>
  <c r="B26" i="2"/>
  <c r="D26" i="2"/>
  <c r="D17" i="2"/>
  <c r="D32" i="2"/>
  <c r="B22" i="2"/>
  <c r="D28" i="2"/>
  <c r="B18" i="2"/>
  <c r="B23" i="2"/>
  <c r="D22" i="2"/>
  <c r="D18" i="2"/>
  <c r="B34" i="2"/>
  <c r="D33" i="2"/>
  <c r="D34" i="2"/>
  <c r="B42" i="2"/>
  <c r="B33" i="2"/>
  <c r="B41" i="2"/>
  <c r="D29" i="2"/>
  <c r="D42" i="2"/>
  <c r="I8" i="3"/>
  <c r="J20" i="1"/>
  <c r="K20" i="1" s="1"/>
  <c r="M20" i="1" s="1"/>
  <c r="N20" i="1" s="1"/>
  <c r="H21" i="1"/>
  <c r="H22" i="1" s="1"/>
  <c r="H23" i="1" s="1"/>
  <c r="H24" i="1" s="1"/>
  <c r="K9" i="3"/>
  <c r="L9" i="3" s="1"/>
  <c r="N9" i="3" s="1"/>
  <c r="O29" i="3"/>
  <c r="O21" i="3" s="1"/>
  <c r="M27" i="3"/>
  <c r="N27" i="3" s="1"/>
  <c r="M16" i="3"/>
  <c r="N17" i="3"/>
  <c r="M47" i="1"/>
  <c r="N47" i="1"/>
  <c r="J26" i="1"/>
  <c r="K26" i="1" s="1"/>
  <c r="M26" i="1" s="1"/>
  <c r="N26" i="1" s="1"/>
  <c r="I26" i="1"/>
  <c r="M40" i="1"/>
  <c r="N40" i="1" s="1"/>
  <c r="O76" i="1"/>
  <c r="M57" i="1"/>
  <c r="N57" i="1" s="1"/>
  <c r="E6" i="1"/>
  <c r="R52" i="2"/>
  <c r="M38" i="1"/>
  <c r="N38" i="1" s="1"/>
  <c r="O54" i="1"/>
  <c r="N48" i="1"/>
  <c r="M48" i="1"/>
  <c r="AI51" i="2"/>
  <c r="AI49" i="2"/>
  <c r="O36" i="1"/>
  <c r="M36" i="1"/>
  <c r="N36" i="1" s="1"/>
  <c r="R20" i="1"/>
  <c r="J27" i="1"/>
  <c r="K27" i="1" s="1"/>
  <c r="M27" i="1" s="1"/>
  <c r="N27" i="1" s="1"/>
  <c r="I27" i="1"/>
  <c r="J17" i="1"/>
  <c r="K17" i="1" s="1"/>
  <c r="I17" i="1"/>
  <c r="H18" i="1"/>
  <c r="L35" i="2"/>
  <c r="L30" i="2"/>
  <c r="L18" i="2"/>
  <c r="L25" i="2"/>
  <c r="L43" i="2"/>
  <c r="L32" i="2"/>
  <c r="L20" i="2"/>
  <c r="L40" i="2"/>
  <c r="L37" i="2"/>
  <c r="L44" i="2"/>
  <c r="L10" i="2" s="1"/>
  <c r="L29" i="2"/>
  <c r="L17" i="2"/>
  <c r="L22" i="2"/>
  <c r="L39" i="2"/>
  <c r="L34" i="2"/>
  <c r="L24" i="2"/>
  <c r="L33" i="2"/>
  <c r="L21" i="2"/>
  <c r="L42" i="2"/>
  <c r="L31" i="2"/>
  <c r="L19" i="2"/>
  <c r="L36" i="2"/>
  <c r="L26" i="2"/>
  <c r="L38" i="2"/>
  <c r="L41" i="2"/>
  <c r="L23" i="2"/>
  <c r="Z43" i="2"/>
  <c r="Z42" i="2"/>
  <c r="Z44" i="2"/>
  <c r="M42" i="1"/>
  <c r="N42" i="1" s="1"/>
  <c r="J47" i="2"/>
  <c r="N47" i="2" s="1"/>
  <c r="B39" i="2"/>
  <c r="D24" i="2"/>
  <c r="D39" i="2"/>
  <c r="B17" i="2"/>
  <c r="B29" i="2"/>
  <c r="AD44" i="2"/>
  <c r="B37" i="2"/>
  <c r="AD42" i="2"/>
  <c r="J18" i="3"/>
  <c r="K18" i="3" s="1"/>
  <c r="M18" i="3" s="1"/>
  <c r="N18" i="3" s="1"/>
  <c r="D37" i="2"/>
  <c r="B40" i="2"/>
  <c r="K6" i="1"/>
  <c r="B20" i="2"/>
  <c r="B32" i="2"/>
  <c r="D40" i="2"/>
  <c r="B43" i="2"/>
  <c r="B25" i="2"/>
  <c r="D25" i="2"/>
  <c r="M46" i="1"/>
  <c r="D23" i="2"/>
  <c r="B38" i="2"/>
  <c r="D41" i="2"/>
  <c r="B16" i="2"/>
  <c r="L6" i="1" l="1"/>
  <c r="O31" i="1"/>
  <c r="AA55" i="2"/>
  <c r="I16" i="1"/>
  <c r="B10" i="2"/>
  <c r="J23" i="1"/>
  <c r="K23" i="1" s="1"/>
  <c r="M23" i="1" s="1"/>
  <c r="N23" i="1" s="1"/>
  <c r="K8" i="3"/>
  <c r="K5" i="3" s="1"/>
  <c r="B8" i="3" s="1"/>
  <c r="I23" i="1"/>
  <c r="J8" i="3"/>
  <c r="I7" i="3"/>
  <c r="I21" i="1"/>
  <c r="P21" i="1" s="1"/>
  <c r="R21" i="1" s="1"/>
  <c r="J21" i="1"/>
  <c r="K21" i="1" s="1"/>
  <c r="M21" i="1" s="1"/>
  <c r="N21" i="1" s="1"/>
  <c r="I22" i="1"/>
  <c r="P22" i="1" s="1"/>
  <c r="R22" i="1" s="1"/>
  <c r="J22" i="1"/>
  <c r="K22" i="1" s="1"/>
  <c r="M22" i="1" s="1"/>
  <c r="N22" i="1" s="1"/>
  <c r="O18" i="3"/>
  <c r="O14" i="3" s="1"/>
  <c r="M8" i="3"/>
  <c r="N16" i="3"/>
  <c r="N8" i="3" s="1"/>
  <c r="J18" i="1"/>
  <c r="K18" i="1" s="1"/>
  <c r="M18" i="1" s="1"/>
  <c r="N18" i="1" s="1"/>
  <c r="I18" i="1"/>
  <c r="M17" i="1"/>
  <c r="J46" i="2"/>
  <c r="N46" i="2" s="1"/>
  <c r="J24" i="1"/>
  <c r="K24" i="1" s="1"/>
  <c r="M24" i="1" s="1"/>
  <c r="N24" i="1" s="1"/>
  <c r="I24" i="1"/>
  <c r="H25" i="1"/>
  <c r="K7" i="3" l="1"/>
  <c r="L8" i="3"/>
  <c r="O18" i="1"/>
  <c r="R23" i="1"/>
  <c r="P25" i="1"/>
  <c r="I25" i="1"/>
  <c r="I5" i="1" s="1"/>
  <c r="J25" i="1"/>
  <c r="K25" i="1" s="1"/>
  <c r="O27" i="1" s="1"/>
  <c r="J27" i="2"/>
  <c r="N27" i="2" s="1"/>
  <c r="J45" i="2"/>
  <c r="M5" i="1"/>
  <c r="N17" i="1"/>
  <c r="N5" i="1" s="1"/>
  <c r="T27" i="1"/>
  <c r="R25" i="1"/>
  <c r="P26" i="1"/>
  <c r="P27" i="1" s="1"/>
  <c r="R27" i="1" s="1"/>
  <c r="J12" i="2" l="1"/>
  <c r="N12" i="2" s="1"/>
  <c r="J11" i="2"/>
  <c r="N11" i="2" s="1"/>
  <c r="N45" i="2"/>
  <c r="J13" i="2"/>
  <c r="N13" i="2" s="1"/>
  <c r="O11" i="1"/>
  <c r="J15" i="2"/>
  <c r="N15" i="2" s="1"/>
  <c r="J14" i="2"/>
  <c r="N14" i="2" s="1"/>
  <c r="R30" i="1"/>
  <c r="R28" i="1"/>
  <c r="J41" i="2"/>
  <c r="N41" i="2" s="1"/>
  <c r="J23" i="2"/>
  <c r="N23" i="2" s="1"/>
  <c r="J35" i="2"/>
  <c r="N35" i="2" s="1"/>
  <c r="J30" i="2"/>
  <c r="N30" i="2" s="1"/>
  <c r="J18" i="2"/>
  <c r="N18" i="2" s="1"/>
  <c r="J43" i="2"/>
  <c r="N43" i="2" s="1"/>
  <c r="J32" i="2"/>
  <c r="N32" i="2" s="1"/>
  <c r="J20" i="2"/>
  <c r="N20" i="2" s="1"/>
  <c r="J40" i="2"/>
  <c r="N40" i="2" s="1"/>
  <c r="J37" i="2"/>
  <c r="N37" i="2" s="1"/>
  <c r="J34" i="2"/>
  <c r="N34" i="2" s="1"/>
  <c r="J29" i="2"/>
  <c r="N29" i="2" s="1"/>
  <c r="J17" i="2"/>
  <c r="N17" i="2" s="1"/>
  <c r="J22" i="2"/>
  <c r="N22" i="2" s="1"/>
  <c r="J39" i="2"/>
  <c r="N39" i="2" s="1"/>
  <c r="J24" i="2"/>
  <c r="N24" i="2" s="1"/>
  <c r="J42" i="2"/>
  <c r="N42" i="2" s="1"/>
  <c r="J31" i="2"/>
  <c r="N31" i="2" s="1"/>
  <c r="J19" i="2"/>
  <c r="N19" i="2" s="1"/>
  <c r="J36" i="2"/>
  <c r="N36" i="2" s="1"/>
  <c r="J26" i="2"/>
  <c r="N26" i="2" s="1"/>
  <c r="J28" i="2"/>
  <c r="N28" i="2" s="1"/>
  <c r="J16" i="2"/>
  <c r="N16" i="2" s="1"/>
  <c r="J38" i="2"/>
  <c r="J25" i="2"/>
  <c r="N25" i="2" s="1"/>
  <c r="J33" i="2"/>
  <c r="N33" i="2" s="1"/>
  <c r="J21" i="2"/>
  <c r="N21" i="2" s="1"/>
  <c r="J44" i="2"/>
  <c r="N44" i="2" s="1"/>
  <c r="M25" i="1"/>
  <c r="N25" i="1" s="1"/>
  <c r="K5" i="1"/>
  <c r="N38" i="2" l="1"/>
  <c r="S15" i="2" s="1"/>
  <c r="L5" i="1"/>
  <c r="K2" i="1"/>
  <c r="J10" i="2"/>
  <c r="N10" i="2" s="1"/>
  <c r="S30" i="2" l="1"/>
  <c r="S24" i="2"/>
  <c r="U19" i="2"/>
  <c r="U28" i="2"/>
  <c r="U35" i="2"/>
  <c r="S35" i="2"/>
  <c r="S34" i="2"/>
  <c r="U23" i="2"/>
  <c r="S33" i="2"/>
  <c r="U21" i="2"/>
  <c r="U17" i="2"/>
  <c r="S19" i="2"/>
  <c r="S25" i="2"/>
  <c r="S28" i="2"/>
  <c r="U37" i="2"/>
  <c r="S22" i="2"/>
  <c r="U22" i="2"/>
  <c r="U15" i="2"/>
  <c r="U24" i="2"/>
  <c r="S16" i="2"/>
  <c r="U34" i="2"/>
  <c r="S23" i="2"/>
  <c r="S37" i="2"/>
  <c r="U33" i="2"/>
  <c r="S21" i="2"/>
  <c r="U31" i="2"/>
  <c r="S18" i="2"/>
  <c r="S31" i="2"/>
  <c r="U18" i="2"/>
  <c r="U36" i="2"/>
  <c r="U20" i="2"/>
  <c r="S36" i="2"/>
  <c r="S20" i="2"/>
  <c r="S17" i="2"/>
  <c r="U14" i="2"/>
  <c r="S11" i="2"/>
  <c r="U26" i="2"/>
  <c r="S26" i="2"/>
  <c r="U11" i="2"/>
  <c r="S38" i="2"/>
  <c r="U12" i="2"/>
  <c r="S12" i="2"/>
  <c r="U13" i="2"/>
  <c r="U30" i="2"/>
  <c r="U32" i="2"/>
  <c r="S13" i="2"/>
  <c r="S32" i="2"/>
  <c r="S14" i="2"/>
  <c r="U16" i="2"/>
  <c r="S29" i="2"/>
  <c r="U25" i="2"/>
  <c r="U29" i="2"/>
  <c r="U27" i="2"/>
  <c r="S27" i="2"/>
  <c r="U10" i="2"/>
  <c r="S10" i="2"/>
  <c r="D3" i="1"/>
  <c r="O5" i="2" s="1"/>
  <c r="P5" i="2"/>
  <c r="J7" i="3"/>
  <c r="L7" i="3"/>
</calcChain>
</file>

<file path=xl/sharedStrings.xml><?xml version="1.0" encoding="utf-8"?>
<sst xmlns="http://schemas.openxmlformats.org/spreadsheetml/2006/main" count="469" uniqueCount="241">
  <si>
    <t>Toplam Yatırım</t>
  </si>
  <si>
    <t>Satış</t>
  </si>
  <si>
    <t>NET TL</t>
  </si>
  <si>
    <t>Mevcut</t>
  </si>
  <si>
    <t>Satılan</t>
  </si>
  <si>
    <t>ALIŞ</t>
  </si>
  <si>
    <t>SATIŞ</t>
  </si>
  <si>
    <t>FARK</t>
  </si>
  <si>
    <t>GÜN</t>
  </si>
  <si>
    <t xml:space="preserve">AY </t>
  </si>
  <si>
    <t>Açıklama</t>
  </si>
  <si>
    <t>tarih</t>
  </si>
  <si>
    <t>adet</t>
  </si>
  <si>
    <t>birim fiyat</t>
  </si>
  <si>
    <t>Tutar</t>
  </si>
  <si>
    <t>Tarih2</t>
  </si>
  <si>
    <t>Miktar</t>
  </si>
  <si>
    <t>Fiyat</t>
  </si>
  <si>
    <t>Tutar3</t>
  </si>
  <si>
    <t>Miktar3</t>
  </si>
  <si>
    <t>Tutar2</t>
  </si>
  <si>
    <t>Mktr</t>
  </si>
  <si>
    <t>%</t>
  </si>
  <si>
    <t>TTE Fon</t>
  </si>
  <si>
    <t>XAU</t>
  </si>
  <si>
    <t xml:space="preserve">Euro </t>
  </si>
  <si>
    <t>USD</t>
  </si>
  <si>
    <t>NET</t>
  </si>
  <si>
    <t>Euro satış MOGAN</t>
  </si>
  <si>
    <t>Euro satış LMKDC için</t>
  </si>
  <si>
    <t>MOGAN halkaarz</t>
  </si>
  <si>
    <t>OBAMS halkaarz</t>
  </si>
  <si>
    <t>OBAMS komisyon</t>
  </si>
  <si>
    <t>ALVES halkaarz</t>
  </si>
  <si>
    <t>ALVES komisyon</t>
  </si>
  <si>
    <t>LMKDC halkaarz</t>
  </si>
  <si>
    <t>LMKDC komisyon</t>
  </si>
  <si>
    <t>TABGD ALIŞ</t>
  </si>
  <si>
    <t>GUBRF alış</t>
  </si>
  <si>
    <t>komisyon</t>
  </si>
  <si>
    <t>SURGY Halka Arz</t>
  </si>
  <si>
    <t>Mega Metal Halka Arz</t>
  </si>
  <si>
    <t>Avrupakent GYO Halka Arz</t>
  </si>
  <si>
    <t>Avrupakent GYO Alış</t>
  </si>
  <si>
    <t>İŞ Fon 801 alış</t>
  </si>
  <si>
    <t>İŞ Fon 801 obams için</t>
  </si>
  <si>
    <t>İŞ Fon 801 alves için</t>
  </si>
  <si>
    <t>İŞ Fon 801 tte için</t>
  </si>
  <si>
    <t>İŞ Fon 801</t>
  </si>
  <si>
    <t>İŞ Fon 808 alış</t>
  </si>
  <si>
    <t>İŞ Fon 801 satış</t>
  </si>
  <si>
    <t>EUR</t>
  </si>
  <si>
    <t>GAU</t>
  </si>
  <si>
    <t>TTE</t>
  </si>
  <si>
    <t>TPL</t>
  </si>
  <si>
    <t>XU100</t>
  </si>
  <si>
    <t>Toplam Kar</t>
  </si>
  <si>
    <t>Gün Sayısı (01-03-2024)</t>
  </si>
  <si>
    <t>Aylık Ortalama Kar</t>
  </si>
  <si>
    <t>LMKDC</t>
  </si>
  <si>
    <t>ALVES</t>
  </si>
  <si>
    <t>OBAMS</t>
  </si>
  <si>
    <t>MOGAN</t>
  </si>
  <si>
    <t>alış</t>
  </si>
  <si>
    <t>satış</t>
  </si>
  <si>
    <t>TL</t>
  </si>
  <si>
    <t xml:space="preserve"> + </t>
  </si>
  <si>
    <t>YASEMİN</t>
  </si>
  <si>
    <t>Toplam</t>
  </si>
  <si>
    <t>AVPGY Halka Arz</t>
  </si>
  <si>
    <t>TABGD</t>
  </si>
  <si>
    <t>MOGAN komisyon</t>
  </si>
  <si>
    <t>Tarih</t>
  </si>
  <si>
    <t>Değişim</t>
  </si>
  <si>
    <t>Değişim Oranı (%)</t>
  </si>
  <si>
    <t>Küm.Oran (%)</t>
  </si>
  <si>
    <t>0.000000</t>
  </si>
  <si>
    <t>0.00</t>
  </si>
  <si>
    <t>0.616584</t>
  </si>
  <si>
    <t>0.593753</t>
  </si>
  <si>
    <t>0.601064</t>
  </si>
  <si>
    <t>0.608605</t>
  </si>
  <si>
    <t>0.604285</t>
  </si>
  <si>
    <t>0.604500</t>
  </si>
  <si>
    <t>0.600845</t>
  </si>
  <si>
    <t>0.599500</t>
  </si>
  <si>
    <t>0.597470</t>
  </si>
  <si>
    <t>0.605467</t>
  </si>
  <si>
    <t>0.608884</t>
  </si>
  <si>
    <t>0.629702</t>
  </si>
  <si>
    <t>0.625502</t>
  </si>
  <si>
    <t>0.625781</t>
  </si>
  <si>
    <t>0.614817</t>
  </si>
  <si>
    <t>0.634786</t>
  </si>
  <si>
    <t>0.631570</t>
  </si>
  <si>
    <t>0.629156</t>
  </si>
  <si>
    <t>0.641710</t>
  </si>
  <si>
    <t>0.665196</t>
  </si>
  <si>
    <t>0.658159</t>
  </si>
  <si>
    <t>0.658668</t>
  </si>
  <si>
    <t>0.658434</t>
  </si>
  <si>
    <t>0.662731</t>
  </si>
  <si>
    <t>0.645802</t>
  </si>
  <si>
    <t>0.657615</t>
  </si>
  <si>
    <t>0.666105</t>
  </si>
  <si>
    <t>0.670066</t>
  </si>
  <si>
    <t>0.667361</t>
  </si>
  <si>
    <t>0.675217</t>
  </si>
  <si>
    <t>0.681558</t>
  </si>
  <si>
    <t>0.689368</t>
  </si>
  <si>
    <t>0.690072</t>
  </si>
  <si>
    <t xml:space="preserve">İŞLEM   </t>
  </si>
  <si>
    <t xml:space="preserve">KYMT  </t>
  </si>
  <si>
    <t xml:space="preserve">FAİZ ORANI </t>
  </si>
  <si>
    <t xml:space="preserve">KIYMET           </t>
  </si>
  <si>
    <t xml:space="preserve">TL  TUTAR         </t>
  </si>
  <si>
    <t xml:space="preserve">TL-KIYMET /     </t>
  </si>
  <si>
    <t xml:space="preserve"> AÇIKLAMA</t>
  </si>
  <si>
    <t xml:space="preserve"> ŞUBE</t>
  </si>
  <si>
    <t xml:space="preserve">FİŞ NO  </t>
  </si>
  <si>
    <t>İŞL</t>
  </si>
  <si>
    <t xml:space="preserve">TARİHİ  </t>
  </si>
  <si>
    <t xml:space="preserve">ADI   </t>
  </si>
  <si>
    <t xml:space="preserve">BİRİM FİAT </t>
  </si>
  <si>
    <t xml:space="preserve">ADEDİ            </t>
  </si>
  <si>
    <t>MALİYET</t>
  </si>
  <si>
    <t>MASRAF</t>
  </si>
  <si>
    <t xml:space="preserve">                  </t>
  </si>
  <si>
    <t xml:space="preserve"> BAKİYE</t>
  </si>
  <si>
    <t xml:space="preserve">     </t>
  </si>
  <si>
    <t xml:space="preserve">        </t>
  </si>
  <si>
    <t>KOD</t>
  </si>
  <si>
    <t>========</t>
  </si>
  <si>
    <t>======</t>
  </si>
  <si>
    <t>===========</t>
  </si>
  <si>
    <t>==========</t>
  </si>
  <si>
    <t>=========</t>
  </si>
  <si>
    <t>======================</t>
  </si>
  <si>
    <t xml:space="preserve"> ====</t>
  </si>
  <si>
    <t xml:space="preserve"> ==</t>
  </si>
  <si>
    <t xml:space="preserve">      </t>
  </si>
  <si>
    <t xml:space="preserve">          -</t>
  </si>
  <si>
    <t xml:space="preserve">                -</t>
  </si>
  <si>
    <t>CARİ/YATIRIM VİRMANI</t>
  </si>
  <si>
    <t xml:space="preserve"> QC</t>
  </si>
  <si>
    <t xml:space="preserve">TABGD </t>
  </si>
  <si>
    <t>HALKA ARZ TALEP GİRİŞİ</t>
  </si>
  <si>
    <t xml:space="preserve"> HF</t>
  </si>
  <si>
    <t>HALKA ARZ  +0.000 ALIM TALEP SONUCU</t>
  </si>
  <si>
    <t xml:space="preserve"> HX</t>
  </si>
  <si>
    <t>HALKA ARZ SENET 9</t>
  </si>
  <si>
    <t>30000025400 NOLU ALIŞ TALİMATI</t>
  </si>
  <si>
    <t xml:space="preserve"> QX</t>
  </si>
  <si>
    <t>30000025506 NOLU ALIŞ TALİMATI</t>
  </si>
  <si>
    <t>30000281703 NOLU ALIŞ TALİMATI</t>
  </si>
  <si>
    <t>030000281703 NOLU TALİMAT İPTALİ</t>
  </si>
  <si>
    <t xml:space="preserve"> QT</t>
  </si>
  <si>
    <t>030000025506 NOLU TALİMAT İPTALİ</t>
  </si>
  <si>
    <t>030000025400 NOLU TALİMAT İPTALİ</t>
  </si>
  <si>
    <t xml:space="preserve">MEGMT </t>
  </si>
  <si>
    <t xml:space="preserve">SURGY </t>
  </si>
  <si>
    <t>YATIRIM FONU ALIŞI 300</t>
  </si>
  <si>
    <t>YATIRIM FONU ALIŞI 10</t>
  </si>
  <si>
    <t>207000086784 NOLU ALIŞ TALİMATI</t>
  </si>
  <si>
    <t>207000086784 NOLU TLM.EMİR İYİLEŞT</t>
  </si>
  <si>
    <t xml:space="preserve"> QU</t>
  </si>
  <si>
    <t>TAKAS KOM: 2.87 - 19 - ALIŞ BSMV: 0.14</t>
  </si>
  <si>
    <t xml:space="preserve"> QA</t>
  </si>
  <si>
    <t>HALKA ARZ ALIM TALEP SONUCU</t>
  </si>
  <si>
    <t>HALKA ARZ SENET 10 GİRİŞİ,SIRANO:</t>
  </si>
  <si>
    <t>HALKA ARZ SENET 13 GİRİŞİ,SIRANO:</t>
  </si>
  <si>
    <t xml:space="preserve">          - </t>
  </si>
  <si>
    <t xml:space="preserve">           - </t>
  </si>
  <si>
    <t>QC</t>
  </si>
  <si>
    <t>AVPGY</t>
  </si>
  <si>
    <t>HF</t>
  </si>
  <si>
    <t>YATIRIM FONU ALIŞI 50</t>
  </si>
  <si>
    <t>HX</t>
  </si>
  <si>
    <t>HALKA ARZ SENET 26 GİRİŞİ,SIRANO:</t>
  </si>
  <si>
    <t>YATIRIM FONU SATIŞI</t>
  </si>
  <si>
    <t>YATIRIM/CARİ VİRMANI</t>
  </si>
  <si>
    <t>QP</t>
  </si>
  <si>
    <t>228000154978 NOLU ALIŞ TALİMATI</t>
  </si>
  <si>
    <t>QX</t>
  </si>
  <si>
    <t>228000162133 NOLU ALIŞ TALİMATI</t>
  </si>
  <si>
    <t xml:space="preserve">TABGD  </t>
  </si>
  <si>
    <t>TAKAS KOM: 4.60  - 39 - ALIŞ BSMV: 0.23</t>
  </si>
  <si>
    <t>QA</t>
  </si>
  <si>
    <t xml:space="preserve">AVPGY  </t>
  </si>
  <si>
    <t>TAKAS KOM: 7.90 -126 - ALIŞ BSMV: 0.40</t>
  </si>
  <si>
    <t>YATIRIM FONU SATIŞI 22</t>
  </si>
  <si>
    <t xml:space="preserve">       </t>
  </si>
  <si>
    <t xml:space="preserve">           -</t>
  </si>
  <si>
    <t>YAT.HS.SAKLAMA ÜCRETİ</t>
  </si>
  <si>
    <t>QM</t>
  </si>
  <si>
    <t>BSMV TUTARI</t>
  </si>
  <si>
    <t>ST</t>
  </si>
  <si>
    <t>YATIRIM FONU ALIŞI 110</t>
  </si>
  <si>
    <t xml:space="preserve">  +0.0</t>
  </si>
  <si>
    <t>TALİMAT</t>
  </si>
  <si>
    <t>IZ</t>
  </si>
  <si>
    <t>YATIRIM FONU -160 - TALİMAT SONUCU - ALIM</t>
  </si>
  <si>
    <t>MN</t>
  </si>
  <si>
    <t>122000524210 NOLU SATIŞ TALİMATI - 126</t>
  </si>
  <si>
    <t>QY</t>
  </si>
  <si>
    <t xml:space="preserve">MEGMT  </t>
  </si>
  <si>
    <t>122000524730 NOLU SATIŞ TALİMATI -13</t>
  </si>
  <si>
    <t>TAKAS KOM: 12.95 - 0- SATIŞ BSMV: 0.65</t>
  </si>
  <si>
    <t>QZ</t>
  </si>
  <si>
    <t>TAKAS KOM: 1.08 - SATIŞ BSMV: 0.05</t>
  </si>
  <si>
    <t>ev elektrik</t>
  </si>
  <si>
    <t>umut</t>
  </si>
  <si>
    <t>yasemin</t>
  </si>
  <si>
    <t>peri</t>
  </si>
  <si>
    <t>hmb</t>
  </si>
  <si>
    <t>kr a</t>
  </si>
  <si>
    <t>kr b</t>
  </si>
  <si>
    <t>kr c</t>
  </si>
  <si>
    <t>kr d</t>
  </si>
  <si>
    <t>kr e</t>
  </si>
  <si>
    <t>kr f</t>
  </si>
  <si>
    <t>kr g</t>
  </si>
  <si>
    <t>kr h</t>
  </si>
  <si>
    <t>100 KASA</t>
  </si>
  <si>
    <t>101 ALINAN ÇEKLER</t>
  </si>
  <si>
    <t>102 BANKALAR</t>
  </si>
  <si>
    <t>110 Hisse Senetleri</t>
  </si>
  <si>
    <t>645 Menkul Kıymet Satış Karları</t>
  </si>
  <si>
    <t>110.20 MEGMT - 745 MEGA METAL</t>
  </si>
  <si>
    <t>110.21 SURGY- 744 SUR GYO</t>
  </si>
  <si>
    <t>110.02 İŞ 808</t>
  </si>
  <si>
    <t>110.22 AVPGY - 747 AVRUPAKENT GYO</t>
  </si>
  <si>
    <t>110.01 İŞ 801</t>
  </si>
  <si>
    <t>110.23 TABGD</t>
  </si>
  <si>
    <t>RGYAS</t>
  </si>
  <si>
    <t>ad</t>
  </si>
  <si>
    <t>Alş</t>
  </si>
  <si>
    <t>ALTIN.S1</t>
  </si>
  <si>
    <t>komisyon-bsmv</t>
  </si>
  <si>
    <t>GNLK</t>
  </si>
  <si>
    <t>TPLM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</si>
</sst>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164" formatCode="dd/mm/yy;@"/>
    <numFmt numFmtId="165" formatCode="#,##0.000000"/>
    <numFmt numFmtId="166" formatCode="#,##0.00_ ;[Red]\-#,##0.00\ "/>
    <numFmt numFmtId="167" formatCode="0.00_ ;[Red]\-0.00\ "/>
    <numFmt numFmtId="168" formatCode="%0"/>
    <numFmt numFmtId="169" formatCode="0.0"/>
    <numFmt numFmtId="170" formatCode="%0.00"/>
    <numFmt numFmtId="171" formatCode="0_ ;[Red]\-0\ "/>
    <numFmt numFmtId="172" formatCode="_-* #,##0.00_-;\-* #,##0.00_-;_-* \-??_-;_-@_-"/>
    <numFmt numFmtId="173" formatCode="dd/mmm"/>
    <numFmt numFmtId="174" formatCode="%0.0000"/>
    <numFmt numFmtId="175" formatCode="0.000000"/>
    <numFmt numFmtId="176" formatCode="dd/mm/yyyy"/>
    <numFmt numFmtId="177" formatCode="0.000"/>
  </numFmts>
  <fonts count="21">
    <font>
      <sz val="10"/>
      <color rgb="FF000000"/>
      <name val="Liberation Sans1"/>
      <charset val="162"/>
    </font>
    <font>
      <sz val="10"/>
      <color rgb="FFFFFFFF"/>
      <name val="Liberation Sans1"/>
      <charset val="162"/>
    </font>
    <font>
      <b/>
      <sz val="10"/>
      <color rgb="FF000000"/>
      <name val="Liberation Sans1"/>
      <charset val="162"/>
    </font>
    <font>
      <sz val="10"/>
      <color rgb="FFCC0000"/>
      <name val="Liberation Sans1"/>
      <charset val="162"/>
    </font>
    <font>
      <b/>
      <sz val="10"/>
      <color rgb="FFFFFFFF"/>
      <name val="Liberation Sans1"/>
      <charset val="162"/>
    </font>
    <font>
      <i/>
      <sz val="10"/>
      <color rgb="FF808080"/>
      <name val="Liberation Sans1"/>
      <charset val="162"/>
    </font>
    <font>
      <sz val="10"/>
      <color rgb="FF006600"/>
      <name val="Liberation Sans1"/>
      <charset val="162"/>
    </font>
    <font>
      <sz val="18"/>
      <color rgb="FF000000"/>
      <name val="Liberation Sans1"/>
      <charset val="162"/>
    </font>
    <font>
      <b/>
      <sz val="24"/>
      <color rgb="FF000000"/>
      <name val="Liberation Sans1"/>
      <charset val="162"/>
    </font>
    <font>
      <sz val="12"/>
      <color rgb="FF000000"/>
      <name val="Liberation Sans1"/>
      <charset val="162"/>
    </font>
    <font>
      <u/>
      <sz val="10"/>
      <color rgb="FF0000EE"/>
      <name val="Liberation Sans1"/>
      <charset val="162"/>
    </font>
    <font>
      <sz val="10"/>
      <color rgb="FF996600"/>
      <name val="Liberation Sans1"/>
      <charset val="162"/>
    </font>
    <font>
      <sz val="10"/>
      <color rgb="FF333333"/>
      <name val="Liberation Sans1"/>
      <charset val="162"/>
    </font>
    <font>
      <b/>
      <i/>
      <u/>
      <sz val="10"/>
      <color rgb="FF000000"/>
      <name val="Liberation Sans1"/>
      <charset val="162"/>
    </font>
    <font>
      <b/>
      <u/>
      <sz val="10"/>
      <color rgb="FF000000"/>
      <name val="Liberation Sans1"/>
      <charset val="162"/>
    </font>
    <font>
      <sz val="10"/>
      <color rgb="FFFFFF00"/>
      <name val="Liberation Sans1"/>
      <charset val="162"/>
    </font>
    <font>
      <sz val="10"/>
      <color rgb="FFFF0000"/>
      <name val="Liberation Sans1"/>
      <charset val="162"/>
    </font>
    <font>
      <b/>
      <sz val="10"/>
      <color rgb="FFFF0000"/>
      <name val="Liberation Sans1"/>
      <charset val="162"/>
    </font>
    <font>
      <u/>
      <sz val="10"/>
      <color rgb="FF000000"/>
      <name val="Liberation Sans1"/>
      <charset val="162"/>
    </font>
    <font>
      <b/>
      <sz val="12"/>
      <color rgb="FF000000"/>
      <name val="Arial Rounded MT Bold"/>
      <family val="2"/>
      <charset val="1"/>
    </font>
    <font>
      <sz val="10"/>
      <color rgb="FF000000"/>
      <name val="Liberation Sans1"/>
      <charset val="162"/>
    </font>
  </fonts>
  <fills count="22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808080"/>
        <bgColor rgb="FF666699"/>
      </patternFill>
    </fill>
    <fill>
      <patternFill patternType="solid">
        <fgColor rgb="FFDDDDDD"/>
        <bgColor rgb="FFDAE3F3"/>
      </patternFill>
    </fill>
    <fill>
      <patternFill patternType="solid">
        <fgColor rgb="FFFFCCCC"/>
        <bgColor rgb="FFFBE5D6"/>
      </patternFill>
    </fill>
    <fill>
      <patternFill patternType="solid">
        <fgColor rgb="FFCC0000"/>
        <bgColor rgb="FFFF0000"/>
      </patternFill>
    </fill>
    <fill>
      <patternFill patternType="solid">
        <fgColor rgb="FFCCFFCC"/>
        <bgColor rgb="FFE2F0D9"/>
      </patternFill>
    </fill>
    <fill>
      <patternFill patternType="solid">
        <fgColor rgb="FFFFFFCC"/>
        <bgColor rgb="FFFFF2CC"/>
      </patternFill>
    </fill>
    <fill>
      <patternFill patternType="solid">
        <fgColor rgb="FFFBE5D6"/>
        <bgColor rgb="FFFFF2CC"/>
      </patternFill>
    </fill>
    <fill>
      <patternFill patternType="solid">
        <fgColor rgb="FF1F4E79"/>
        <bgColor rgb="FF003366"/>
      </patternFill>
    </fill>
    <fill>
      <patternFill patternType="solid">
        <fgColor rgb="FFEDEDED"/>
        <bgColor rgb="FFDEEBF7"/>
      </patternFill>
    </fill>
    <fill>
      <patternFill patternType="solid">
        <fgColor rgb="FFA9D18E"/>
        <bgColor rgb="FFC5E0B4"/>
      </patternFill>
    </fill>
    <fill>
      <patternFill patternType="solid">
        <fgColor rgb="FFFFF2CC"/>
        <bgColor rgb="FFFFFFCC"/>
      </patternFill>
    </fill>
    <fill>
      <patternFill patternType="solid">
        <fgColor rgb="FFE2F0D9"/>
        <bgColor rgb="FFEDEDED"/>
      </patternFill>
    </fill>
    <fill>
      <patternFill patternType="solid">
        <fgColor rgb="FFDEEBF7"/>
        <bgColor rgb="FFDAE3F3"/>
      </patternFill>
    </fill>
    <fill>
      <patternFill patternType="solid">
        <fgColor rgb="FFDAE3F3"/>
        <bgColor rgb="FFDEEBF7"/>
      </patternFill>
    </fill>
    <fill>
      <patternFill patternType="solid">
        <fgColor rgb="FFFFFF00"/>
        <bgColor rgb="FFFFFF00"/>
      </patternFill>
    </fill>
    <fill>
      <patternFill patternType="solid">
        <fgColor rgb="FFC5E0B4"/>
        <bgColor rgb="FFD0CECE"/>
      </patternFill>
    </fill>
    <fill>
      <patternFill patternType="solid">
        <fgColor rgb="FFD0CECE"/>
        <bgColor rgb="FFDDDDDD"/>
      </patternFill>
    </fill>
    <fill>
      <patternFill patternType="solid">
        <fgColor rgb="FFFFC000"/>
        <bgColor rgb="FFFF9900"/>
      </patternFill>
    </fill>
    <fill>
      <patternFill patternType="solid">
        <fgColor rgb="FFED7D31"/>
        <bgColor rgb="FFFF8080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/>
      <bottom style="thin">
        <color auto="1"/>
      </bottom>
      <diagonal/>
    </border>
  </borders>
  <cellStyleXfs count="21">
    <xf numFmtId="0" fontId="0" fillId="0" borderId="0"/>
    <xf numFmtId="172" fontId="20" fillId="0" borderId="0" applyBorder="0" applyProtection="0"/>
    <xf numFmtId="168" fontId="20" fillId="0" borderId="0" applyBorder="0" applyProtection="0"/>
    <xf numFmtId="0" fontId="1" fillId="2" borderId="0" applyBorder="0" applyProtection="0"/>
    <xf numFmtId="0" fontId="1" fillId="3" borderId="0" applyBorder="0" applyProtection="0"/>
    <xf numFmtId="0" fontId="2" fillId="4" borderId="0" applyBorder="0" applyProtection="0"/>
    <xf numFmtId="0" fontId="2" fillId="0" borderId="0" applyBorder="0" applyProtection="0"/>
    <xf numFmtId="0" fontId="3" fillId="5" borderId="0" applyBorder="0" applyProtection="0"/>
    <xf numFmtId="0" fontId="4" fillId="6" borderId="0" applyBorder="0" applyProtection="0"/>
    <xf numFmtId="0" fontId="5" fillId="0" borderId="0" applyBorder="0" applyProtection="0"/>
    <xf numFmtId="0" fontId="6" fillId="7" borderId="0" applyBorder="0" applyProtection="0"/>
    <xf numFmtId="0" fontId="7" fillId="0" borderId="0" applyBorder="0" applyProtection="0"/>
    <xf numFmtId="0" fontId="8" fillId="0" borderId="0" applyBorder="0" applyProtection="0"/>
    <xf numFmtId="0" fontId="9" fillId="0" borderId="0" applyBorder="0" applyProtection="0"/>
    <xf numFmtId="0" fontId="10" fillId="0" borderId="0" applyBorder="0" applyProtection="0"/>
    <xf numFmtId="0" fontId="11" fillId="8" borderId="0" applyBorder="0" applyProtection="0"/>
    <xf numFmtId="0" fontId="12" fillId="8" borderId="1" applyProtection="0"/>
    <xf numFmtId="0" fontId="13" fillId="0" borderId="0" applyBorder="0" applyProtection="0"/>
    <xf numFmtId="0" fontId="20" fillId="0" borderId="0" applyBorder="0" applyProtection="0"/>
    <xf numFmtId="0" fontId="20" fillId="0" borderId="0" applyBorder="0" applyProtection="0"/>
    <xf numFmtId="0" fontId="3" fillId="0" borderId="0" applyBorder="0" applyProtection="0"/>
  </cellStyleXfs>
  <cellXfs count="205">
    <xf numFmtId="0" fontId="0" fillId="0" borderId="0" xfId="0"/>
    <xf numFmtId="0" fontId="0" fillId="0" borderId="0" xfId="0" applyBorder="1"/>
    <xf numFmtId="164" fontId="0" fillId="0" borderId="0" xfId="0" applyNumberFormat="1" applyBorder="1"/>
    <xf numFmtId="2" fontId="0" fillId="0" borderId="0" xfId="0" applyNumberFormat="1" applyBorder="1"/>
    <xf numFmtId="4" fontId="0" fillId="0" borderId="0" xfId="0" applyNumberFormat="1" applyBorder="1"/>
    <xf numFmtId="165" fontId="0" fillId="0" borderId="0" xfId="0" applyNumberFormat="1" applyBorder="1"/>
    <xf numFmtId="166" fontId="0" fillId="0" borderId="0" xfId="0" applyNumberFormat="1" applyBorder="1"/>
    <xf numFmtId="167" fontId="0" fillId="0" borderId="0" xfId="0" applyNumberFormat="1" applyBorder="1"/>
    <xf numFmtId="4" fontId="14" fillId="0" borderId="0" xfId="0" applyNumberFormat="1" applyFont="1" applyBorder="1" applyAlignment="1">
      <alignment horizontal="right"/>
    </xf>
    <xf numFmtId="164" fontId="14" fillId="0" borderId="0" xfId="0" applyNumberFormat="1" applyFont="1" applyBorder="1" applyAlignment="1">
      <alignment horizontal="right"/>
    </xf>
    <xf numFmtId="2" fontId="14" fillId="0" borderId="0" xfId="0" applyNumberFormat="1" applyFont="1" applyBorder="1" applyAlignment="1">
      <alignment horizontal="right"/>
    </xf>
    <xf numFmtId="165" fontId="14" fillId="0" borderId="0" xfId="0" applyNumberFormat="1" applyFont="1" applyBorder="1" applyAlignment="1">
      <alignment horizontal="right"/>
    </xf>
    <xf numFmtId="166" fontId="14" fillId="0" borderId="0" xfId="0" applyNumberFormat="1" applyFont="1" applyBorder="1" applyAlignment="1">
      <alignment horizontal="right"/>
    </xf>
    <xf numFmtId="164" fontId="0" fillId="9" borderId="0" xfId="0" applyNumberFormat="1" applyFill="1" applyBorder="1"/>
    <xf numFmtId="4" fontId="15" fillId="10" borderId="0" xfId="0" applyNumberFormat="1" applyFont="1" applyFill="1" applyBorder="1"/>
    <xf numFmtId="169" fontId="16" fillId="0" borderId="0" xfId="2" applyNumberFormat="1" applyFont="1" applyBorder="1" applyAlignment="1" applyProtection="1"/>
    <xf numFmtId="164" fontId="0" fillId="11" borderId="0" xfId="0" applyNumberFormat="1" applyFill="1" applyBorder="1"/>
    <xf numFmtId="2" fontId="0" fillId="11" borderId="0" xfId="0" applyNumberFormat="1" applyFill="1" applyBorder="1"/>
    <xf numFmtId="0" fontId="0" fillId="11" borderId="0" xfId="0" applyFill="1" applyBorder="1" applyAlignment="1">
      <alignment horizontal="right"/>
    </xf>
    <xf numFmtId="166" fontId="2" fillId="11" borderId="0" xfId="0" applyNumberFormat="1" applyFont="1" applyFill="1" applyBorder="1"/>
    <xf numFmtId="165" fontId="0" fillId="11" borderId="0" xfId="0" applyNumberFormat="1" applyFill="1" applyBorder="1"/>
    <xf numFmtId="170" fontId="0" fillId="11" borderId="0" xfId="2" applyNumberFormat="1" applyFont="1" applyFill="1" applyBorder="1" applyAlignment="1" applyProtection="1"/>
    <xf numFmtId="167" fontId="0" fillId="11" borderId="0" xfId="0" applyNumberFormat="1" applyFill="1" applyBorder="1"/>
    <xf numFmtId="0" fontId="0" fillId="11" borderId="0" xfId="0" applyFill="1" applyBorder="1"/>
    <xf numFmtId="0" fontId="0" fillId="12" borderId="0" xfId="0" applyFont="1" applyFill="1" applyBorder="1" applyAlignment="1">
      <alignment horizontal="center"/>
    </xf>
    <xf numFmtId="166" fontId="2" fillId="12" borderId="0" xfId="0" applyNumberFormat="1" applyFont="1" applyFill="1" applyBorder="1"/>
    <xf numFmtId="164" fontId="0" fillId="12" borderId="0" xfId="0" applyNumberFormat="1" applyFill="1" applyBorder="1"/>
    <xf numFmtId="2" fontId="0" fillId="12" borderId="0" xfId="0" applyNumberFormat="1" applyFill="1" applyBorder="1"/>
    <xf numFmtId="165" fontId="0" fillId="12" borderId="0" xfId="0" applyNumberFormat="1" applyFill="1" applyBorder="1"/>
    <xf numFmtId="166" fontId="0" fillId="12" borderId="0" xfId="0" applyNumberFormat="1" applyFill="1" applyBorder="1"/>
    <xf numFmtId="170" fontId="0" fillId="12" borderId="0" xfId="2" applyNumberFormat="1" applyFont="1" applyFill="1" applyBorder="1" applyAlignment="1" applyProtection="1"/>
    <xf numFmtId="168" fontId="20" fillId="12" borderId="0" xfId="2" applyFill="1" applyBorder="1" applyProtection="1"/>
    <xf numFmtId="0" fontId="0" fillId="12" borderId="0" xfId="0" applyFill="1" applyBorder="1"/>
    <xf numFmtId="0" fontId="0" fillId="13" borderId="0" xfId="0" applyFont="1" applyFill="1" applyBorder="1" applyAlignment="1">
      <alignment horizontal="center"/>
    </xf>
    <xf numFmtId="166" fontId="0" fillId="13" borderId="0" xfId="0" applyNumberFormat="1" applyFill="1" applyBorder="1"/>
    <xf numFmtId="164" fontId="0" fillId="13" borderId="0" xfId="0" applyNumberFormat="1" applyFill="1" applyBorder="1"/>
    <xf numFmtId="2" fontId="0" fillId="13" borderId="0" xfId="0" applyNumberFormat="1" applyFill="1" applyBorder="1"/>
    <xf numFmtId="165" fontId="0" fillId="13" borderId="0" xfId="0" applyNumberFormat="1" applyFill="1" applyBorder="1"/>
    <xf numFmtId="166" fontId="2" fillId="13" borderId="0" xfId="0" applyNumberFormat="1" applyFont="1" applyFill="1" applyBorder="1"/>
    <xf numFmtId="170" fontId="14" fillId="13" borderId="0" xfId="2" applyNumberFormat="1" applyFont="1" applyFill="1" applyBorder="1" applyAlignment="1" applyProtection="1"/>
    <xf numFmtId="167" fontId="17" fillId="13" borderId="0" xfId="2" applyNumberFormat="1" applyFont="1" applyFill="1" applyBorder="1" applyAlignment="1" applyProtection="1"/>
    <xf numFmtId="0" fontId="0" fillId="13" borderId="0" xfId="0" applyFill="1" applyBorder="1"/>
    <xf numFmtId="0" fontId="0" fillId="0" borderId="0" xfId="0" applyFont="1" applyBorder="1" applyAlignment="1">
      <alignment horizontal="center"/>
    </xf>
    <xf numFmtId="166" fontId="2" fillId="0" borderId="0" xfId="0" applyNumberFormat="1" applyFont="1" applyBorder="1"/>
    <xf numFmtId="170" fontId="0" fillId="0" borderId="0" xfId="2" applyNumberFormat="1" applyFont="1" applyBorder="1" applyAlignment="1" applyProtection="1"/>
    <xf numFmtId="167" fontId="17" fillId="0" borderId="0" xfId="2" applyNumberFormat="1" applyFont="1" applyBorder="1" applyAlignment="1" applyProtection="1"/>
    <xf numFmtId="2" fontId="0" fillId="14" borderId="0" xfId="0" applyNumberFormat="1" applyFont="1" applyFill="1" applyBorder="1"/>
    <xf numFmtId="0" fontId="0" fillId="14" borderId="0" xfId="0" applyFont="1" applyFill="1" applyBorder="1"/>
    <xf numFmtId="164" fontId="0" fillId="0" borderId="0" xfId="0" applyNumberFormat="1" applyFont="1" applyBorder="1"/>
    <xf numFmtId="2" fontId="0" fillId="9" borderId="0" xfId="0" applyNumberFormat="1" applyFont="1" applyFill="1" applyBorder="1"/>
    <xf numFmtId="4" fontId="0" fillId="9" borderId="0" xfId="0" applyNumberFormat="1" applyFont="1" applyFill="1" applyBorder="1"/>
    <xf numFmtId="166" fontId="0" fillId="9" borderId="0" xfId="0" applyNumberFormat="1" applyFont="1" applyFill="1" applyBorder="1"/>
    <xf numFmtId="2" fontId="0" fillId="0" borderId="0" xfId="0" applyNumberFormat="1" applyFont="1" applyBorder="1"/>
    <xf numFmtId="4" fontId="0" fillId="0" borderId="0" xfId="0" applyNumberFormat="1" applyFont="1" applyBorder="1"/>
    <xf numFmtId="167" fontId="0" fillId="15" borderId="0" xfId="0" applyNumberFormat="1" applyFont="1" applyFill="1" applyBorder="1"/>
    <xf numFmtId="0" fontId="0" fillId="0" borderId="0" xfId="0" applyFont="1" applyBorder="1"/>
    <xf numFmtId="4" fontId="0" fillId="14" borderId="0" xfId="0" applyNumberFormat="1" applyFont="1" applyFill="1" applyBorder="1"/>
    <xf numFmtId="165" fontId="0" fillId="9" borderId="0" xfId="0" applyNumberFormat="1" applyFont="1" applyFill="1" applyBorder="1"/>
    <xf numFmtId="4" fontId="0" fillId="12" borderId="0" xfId="0" applyNumberFormat="1" applyFill="1" applyBorder="1"/>
    <xf numFmtId="167" fontId="0" fillId="12" borderId="0" xfId="0" applyNumberFormat="1" applyFill="1" applyBorder="1"/>
    <xf numFmtId="2" fontId="14" fillId="12" borderId="2" xfId="0" applyNumberFormat="1" applyFont="1" applyFill="1" applyBorder="1"/>
    <xf numFmtId="4" fontId="0" fillId="14" borderId="0" xfId="0" applyNumberFormat="1" applyFill="1" applyBorder="1"/>
    <xf numFmtId="164" fontId="0" fillId="15" borderId="0" xfId="0" applyNumberFormat="1" applyFill="1" applyBorder="1"/>
    <xf numFmtId="2" fontId="0" fillId="15" borderId="0" xfId="0" applyNumberFormat="1" applyFill="1" applyBorder="1"/>
    <xf numFmtId="165" fontId="0" fillId="15" borderId="0" xfId="0" applyNumberFormat="1" applyFill="1" applyBorder="1"/>
    <xf numFmtId="4" fontId="2" fillId="14" borderId="0" xfId="0" applyNumberFormat="1" applyFont="1" applyFill="1" applyBorder="1"/>
    <xf numFmtId="171" fontId="0" fillId="0" borderId="0" xfId="0" applyNumberFormat="1" applyBorder="1"/>
    <xf numFmtId="168" fontId="20" fillId="0" borderId="0" xfId="2" applyBorder="1" applyProtection="1"/>
    <xf numFmtId="0" fontId="0" fillId="16" borderId="0" xfId="0" applyFill="1" applyBorder="1"/>
    <xf numFmtId="2" fontId="0" fillId="16" borderId="0" xfId="0" applyNumberFormat="1" applyFill="1" applyBorder="1"/>
    <xf numFmtId="2" fontId="0" fillId="12" borderId="0" xfId="0" applyNumberFormat="1" applyFont="1" applyFill="1" applyBorder="1"/>
    <xf numFmtId="0" fontId="0" fillId="12" borderId="0" xfId="0" applyFont="1" applyFill="1" applyBorder="1"/>
    <xf numFmtId="4" fontId="2" fillId="12" borderId="0" xfId="0" applyNumberFormat="1" applyFont="1" applyFill="1" applyBorder="1"/>
    <xf numFmtId="171" fontId="0" fillId="12" borderId="0" xfId="0" applyNumberFormat="1" applyFill="1" applyBorder="1"/>
    <xf numFmtId="168" fontId="0" fillId="0" borderId="0" xfId="0" applyNumberFormat="1" applyBorder="1"/>
    <xf numFmtId="164" fontId="2" fillId="12" borderId="0" xfId="0" applyNumberFormat="1" applyFont="1" applyFill="1" applyBorder="1"/>
    <xf numFmtId="2" fontId="2" fillId="12" borderId="0" xfId="0" applyNumberFormat="1" applyFont="1" applyFill="1" applyBorder="1"/>
    <xf numFmtId="165" fontId="2" fillId="12" borderId="0" xfId="0" applyNumberFormat="1" applyFont="1" applyFill="1" applyBorder="1"/>
    <xf numFmtId="4" fontId="2" fillId="0" borderId="0" xfId="0" applyNumberFormat="1" applyFont="1" applyBorder="1"/>
    <xf numFmtId="164" fontId="2" fillId="0" borderId="0" xfId="0" applyNumberFormat="1" applyFont="1" applyBorder="1"/>
    <xf numFmtId="2" fontId="2" fillId="0" borderId="0" xfId="0" applyNumberFormat="1" applyFont="1" applyBorder="1"/>
    <xf numFmtId="165" fontId="2" fillId="0" borderId="0" xfId="0" applyNumberFormat="1" applyFont="1" applyBorder="1"/>
    <xf numFmtId="2" fontId="0" fillId="13" borderId="0" xfId="0" applyNumberFormat="1" applyFont="1" applyFill="1" applyBorder="1"/>
    <xf numFmtId="4" fontId="2" fillId="13" borderId="0" xfId="0" applyNumberFormat="1" applyFont="1" applyFill="1" applyBorder="1"/>
    <xf numFmtId="164" fontId="2" fillId="13" borderId="0" xfId="0" applyNumberFormat="1" applyFont="1" applyFill="1" applyBorder="1"/>
    <xf numFmtId="2" fontId="2" fillId="13" borderId="0" xfId="0" applyNumberFormat="1" applyFont="1" applyFill="1" applyBorder="1"/>
    <xf numFmtId="165" fontId="2" fillId="13" borderId="0" xfId="0" applyNumberFormat="1" applyFont="1" applyFill="1" applyBorder="1"/>
    <xf numFmtId="168" fontId="20" fillId="13" borderId="0" xfId="2" applyFill="1" applyBorder="1" applyProtection="1"/>
    <xf numFmtId="168" fontId="14" fillId="13" borderId="2" xfId="2" applyFont="1" applyFill="1" applyBorder="1" applyProtection="1"/>
    <xf numFmtId="2" fontId="14" fillId="13" borderId="2" xfId="0" applyNumberFormat="1" applyFont="1" applyFill="1" applyBorder="1"/>
    <xf numFmtId="2" fontId="2" fillId="9" borderId="0" xfId="0" applyNumberFormat="1" applyFont="1" applyFill="1" applyBorder="1"/>
    <xf numFmtId="165" fontId="2" fillId="9" borderId="0" xfId="0" applyNumberFormat="1" applyFont="1" applyFill="1" applyBorder="1"/>
    <xf numFmtId="165" fontId="0" fillId="9" borderId="0" xfId="0" applyNumberFormat="1" applyFill="1" applyBorder="1"/>
    <xf numFmtId="4" fontId="0" fillId="16" borderId="0" xfId="0" applyNumberFormat="1" applyFill="1" applyBorder="1"/>
    <xf numFmtId="0" fontId="0" fillId="13" borderId="0" xfId="0" applyFont="1" applyFill="1" applyBorder="1"/>
    <xf numFmtId="164" fontId="0" fillId="15" borderId="0" xfId="0" applyNumberFormat="1" applyFont="1" applyFill="1" applyBorder="1"/>
    <xf numFmtId="2" fontId="0" fillId="15" borderId="0" xfId="0" applyNumberFormat="1" applyFont="1" applyFill="1" applyBorder="1"/>
    <xf numFmtId="165" fontId="0" fillId="15" borderId="0" xfId="0" applyNumberFormat="1" applyFont="1" applyFill="1" applyBorder="1"/>
    <xf numFmtId="171" fontId="0" fillId="0" borderId="0" xfId="0" applyNumberFormat="1" applyFont="1" applyBorder="1"/>
    <xf numFmtId="168" fontId="0" fillId="0" borderId="0" xfId="2" applyFont="1" applyBorder="1" applyProtection="1"/>
    <xf numFmtId="0" fontId="0" fillId="16" borderId="0" xfId="0" applyFont="1" applyFill="1" applyBorder="1"/>
    <xf numFmtId="167" fontId="0" fillId="0" borderId="0" xfId="2" applyNumberFormat="1" applyFont="1" applyBorder="1" applyProtection="1"/>
    <xf numFmtId="166" fontId="2" fillId="14" borderId="0" xfId="0" applyNumberFormat="1" applyFont="1" applyFill="1" applyBorder="1"/>
    <xf numFmtId="166" fontId="0" fillId="16" borderId="0" xfId="0" applyNumberFormat="1" applyFill="1" applyBorder="1"/>
    <xf numFmtId="164" fontId="16" fillId="0" borderId="0" xfId="0" applyNumberFormat="1" applyFont="1" applyBorder="1"/>
    <xf numFmtId="0" fontId="16" fillId="0" borderId="0" xfId="0" applyFont="1" applyBorder="1"/>
    <xf numFmtId="166" fontId="0" fillId="14" borderId="0" xfId="0" applyNumberFormat="1" applyFill="1" applyBorder="1"/>
    <xf numFmtId="1" fontId="0" fillId="0" borderId="0" xfId="0" applyNumberFormat="1" applyBorder="1"/>
    <xf numFmtId="0" fontId="18" fillId="13" borderId="0" xfId="0" applyFont="1" applyFill="1" applyBorder="1"/>
    <xf numFmtId="164" fontId="18" fillId="0" borderId="0" xfId="0" applyNumberFormat="1" applyFont="1" applyBorder="1"/>
    <xf numFmtId="2" fontId="18" fillId="0" borderId="0" xfId="0" applyNumberFormat="1" applyFont="1" applyBorder="1"/>
    <xf numFmtId="0" fontId="18" fillId="0" borderId="0" xfId="0" applyFont="1" applyBorder="1"/>
    <xf numFmtId="167" fontId="20" fillId="0" borderId="0" xfId="2" applyNumberFormat="1" applyBorder="1" applyProtection="1"/>
    <xf numFmtId="166" fontId="0" fillId="0" borderId="0" xfId="0" applyNumberFormat="1" applyFont="1" applyBorder="1"/>
    <xf numFmtId="1" fontId="0" fillId="0" borderId="0" xfId="0" applyNumberFormat="1"/>
    <xf numFmtId="166" fontId="0" fillId="0" borderId="0" xfId="0" applyNumberFormat="1"/>
    <xf numFmtId="3" fontId="0" fillId="0" borderId="0" xfId="1" applyNumberFormat="1" applyFont="1" applyBorder="1" applyAlignment="1" applyProtection="1"/>
    <xf numFmtId="170" fontId="20" fillId="0" borderId="0" xfId="2" applyNumberFormat="1" applyBorder="1" applyProtection="1"/>
    <xf numFmtId="173" fontId="0" fillId="0" borderId="0" xfId="0" applyNumberFormat="1"/>
    <xf numFmtId="2" fontId="0" fillId="0" borderId="0" xfId="0" applyNumberFormat="1"/>
    <xf numFmtId="4" fontId="0" fillId="0" borderId="0" xfId="0" applyNumberFormat="1"/>
    <xf numFmtId="0" fontId="0" fillId="17" borderId="0" xfId="0" applyFill="1"/>
    <xf numFmtId="0" fontId="0" fillId="17" borderId="0" xfId="0" applyFont="1" applyFill="1" applyAlignment="1">
      <alignment horizontal="center"/>
    </xf>
    <xf numFmtId="1" fontId="0" fillId="17" borderId="0" xfId="0" applyNumberFormat="1" applyFill="1"/>
    <xf numFmtId="166" fontId="0" fillId="17" borderId="0" xfId="0" applyNumberFormat="1" applyFont="1" applyFill="1" applyAlignment="1">
      <alignment horizontal="center"/>
    </xf>
    <xf numFmtId="0" fontId="0" fillId="0" borderId="0" xfId="0" applyFont="1" applyAlignment="1">
      <alignment horizontal="right" wrapText="1"/>
    </xf>
    <xf numFmtId="3" fontId="0" fillId="0" borderId="0" xfId="1" applyNumberFormat="1" applyFont="1" applyBorder="1" applyAlignment="1" applyProtection="1">
      <alignment horizontal="right" wrapText="1"/>
    </xf>
    <xf numFmtId="174" fontId="20" fillId="0" borderId="0" xfId="2" applyNumberFormat="1" applyBorder="1" applyProtection="1"/>
    <xf numFmtId="166" fontId="0" fillId="17" borderId="0" xfId="0" applyNumberFormat="1" applyFill="1"/>
    <xf numFmtId="0" fontId="0" fillId="13" borderId="0" xfId="0" applyFill="1"/>
    <xf numFmtId="166" fontId="0" fillId="0" borderId="0" xfId="0" applyNumberFormat="1"/>
    <xf numFmtId="166" fontId="2" fillId="0" borderId="0" xfId="0" applyNumberFormat="1" applyFont="1"/>
    <xf numFmtId="0" fontId="0" fillId="9" borderId="0" xfId="0" applyFill="1"/>
    <xf numFmtId="174" fontId="0" fillId="0" borderId="0" xfId="0" applyNumberFormat="1"/>
    <xf numFmtId="0" fontId="0" fillId="14" borderId="0" xfId="0" applyFont="1" applyFill="1"/>
    <xf numFmtId="0" fontId="0" fillId="15" borderId="0" xfId="0" applyFont="1" applyFill="1"/>
    <xf numFmtId="175" fontId="0" fillId="0" borderId="0" xfId="0" applyNumberFormat="1"/>
    <xf numFmtId="0" fontId="0" fillId="0" borderId="0" xfId="0" applyFont="1" applyBorder="1" applyAlignment="1">
      <alignment horizontal="right"/>
    </xf>
    <xf numFmtId="166" fontId="2" fillId="16" borderId="0" xfId="0" applyNumberFormat="1" applyFont="1" applyFill="1" applyBorder="1"/>
    <xf numFmtId="0" fontId="0" fillId="9" borderId="0" xfId="0" applyFont="1" applyFill="1" applyBorder="1" applyAlignment="1">
      <alignment horizontal="right"/>
    </xf>
    <xf numFmtId="170" fontId="14" fillId="9" borderId="0" xfId="2" applyNumberFormat="1" applyFont="1" applyFill="1" applyBorder="1" applyAlignment="1" applyProtection="1"/>
    <xf numFmtId="167" fontId="17" fillId="15" borderId="0" xfId="2" applyNumberFormat="1" applyFont="1" applyFill="1" applyBorder="1" applyAlignment="1" applyProtection="1"/>
    <xf numFmtId="168" fontId="20" fillId="17" borderId="0" xfId="2" applyFill="1" applyBorder="1" applyProtection="1"/>
    <xf numFmtId="0" fontId="0" fillId="14" borderId="0" xfId="0" applyFont="1" applyFill="1" applyBorder="1" applyAlignment="1">
      <alignment horizontal="center"/>
    </xf>
    <xf numFmtId="2" fontId="14" fillId="16" borderId="2" xfId="0" applyNumberFormat="1" applyFont="1" applyFill="1" applyBorder="1"/>
    <xf numFmtId="0" fontId="0" fillId="17" borderId="0" xfId="0" applyFill="1" applyBorder="1"/>
    <xf numFmtId="164" fontId="0" fillId="17" borderId="0" xfId="0" applyNumberFormat="1" applyFill="1" applyBorder="1"/>
    <xf numFmtId="2" fontId="0" fillId="17" borderId="0" xfId="0" applyNumberFormat="1" applyFill="1" applyBorder="1"/>
    <xf numFmtId="4" fontId="2" fillId="17" borderId="0" xfId="0" applyNumberFormat="1" applyFont="1" applyFill="1" applyBorder="1"/>
    <xf numFmtId="164" fontId="2" fillId="17" borderId="0" xfId="0" applyNumberFormat="1" applyFont="1" applyFill="1" applyBorder="1"/>
    <xf numFmtId="2" fontId="2" fillId="17" borderId="0" xfId="0" applyNumberFormat="1" applyFont="1" applyFill="1" applyBorder="1"/>
    <xf numFmtId="165" fontId="2" fillId="17" borderId="0" xfId="0" applyNumberFormat="1" applyFont="1" applyFill="1" applyBorder="1"/>
    <xf numFmtId="0" fontId="0" fillId="9" borderId="0" xfId="0" applyFont="1" applyFill="1" applyBorder="1" applyAlignment="1">
      <alignment horizontal="center"/>
    </xf>
    <xf numFmtId="168" fontId="14" fillId="0" borderId="2" xfId="2" applyFont="1" applyBorder="1" applyProtection="1"/>
    <xf numFmtId="165" fontId="0" fillId="0" borderId="0" xfId="0" applyNumberFormat="1" applyProtection="1">
      <protection locked="0"/>
    </xf>
    <xf numFmtId="4" fontId="0" fillId="0" borderId="0" xfId="0" applyNumberFormat="1" applyAlignment="1">
      <alignment horizontal="right"/>
    </xf>
    <xf numFmtId="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Font="1" applyAlignment="1">
      <alignment vertical="top" wrapText="1"/>
    </xf>
    <xf numFmtId="165" fontId="0" fillId="0" borderId="0" xfId="0" applyNumberFormat="1" applyFont="1" applyAlignment="1" applyProtection="1">
      <alignment vertical="top" wrapText="1"/>
      <protection locked="0"/>
    </xf>
    <xf numFmtId="0" fontId="0" fillId="0" borderId="0" xfId="0" applyFont="1" applyAlignment="1">
      <alignment horizontal="right" vertical="top" wrapText="1"/>
    </xf>
    <xf numFmtId="0" fontId="0" fillId="0" borderId="0" xfId="0" applyFont="1" applyAlignment="1">
      <alignment horizontal="center" vertical="top" wrapText="1"/>
    </xf>
    <xf numFmtId="2" fontId="0" fillId="0" borderId="0" xfId="0" applyNumberFormat="1" applyFont="1" applyAlignment="1">
      <alignment horizontal="center" vertical="top" wrapText="1"/>
    </xf>
    <xf numFmtId="176" fontId="0" fillId="0" borderId="0" xfId="0" applyNumberFormat="1" applyAlignment="1">
      <alignment vertical="top" wrapText="1"/>
    </xf>
    <xf numFmtId="170" fontId="0" fillId="0" borderId="0" xfId="0" applyNumberFormat="1" applyAlignment="1">
      <alignment horizontal="center" vertical="top" wrapText="1"/>
    </xf>
    <xf numFmtId="165" fontId="0" fillId="0" borderId="0" xfId="0" applyNumberFormat="1" applyAlignment="1" applyProtection="1">
      <alignment vertical="top"/>
      <protection locked="0"/>
    </xf>
    <xf numFmtId="3" fontId="0" fillId="0" borderId="0" xfId="0" applyNumberFormat="1" applyAlignment="1">
      <alignment horizontal="right" vertical="top" wrapText="1"/>
    </xf>
    <xf numFmtId="4" fontId="20" fillId="0" borderId="0" xfId="2" applyNumberFormat="1" applyBorder="1" applyProtection="1"/>
    <xf numFmtId="0" fontId="19" fillId="0" borderId="0" xfId="0" applyFont="1"/>
    <xf numFmtId="175" fontId="19" fillId="0" borderId="0" xfId="0" applyNumberFormat="1" applyFont="1"/>
    <xf numFmtId="177" fontId="19" fillId="0" borderId="0" xfId="0" applyNumberFormat="1" applyFont="1"/>
    <xf numFmtId="4" fontId="19" fillId="0" borderId="0" xfId="0" applyNumberFormat="1" applyFont="1"/>
    <xf numFmtId="176" fontId="19" fillId="0" borderId="0" xfId="0" applyNumberFormat="1" applyFont="1"/>
    <xf numFmtId="4" fontId="19" fillId="18" borderId="0" xfId="0" applyNumberFormat="1" applyFont="1" applyFill="1"/>
    <xf numFmtId="0" fontId="19" fillId="19" borderId="0" xfId="0" applyFont="1" applyFill="1"/>
    <xf numFmtId="175" fontId="19" fillId="19" borderId="0" xfId="0" applyNumberFormat="1" applyFont="1" applyFill="1"/>
    <xf numFmtId="177" fontId="19" fillId="19" borderId="0" xfId="0" applyNumberFormat="1" applyFont="1" applyFill="1"/>
    <xf numFmtId="0" fontId="19" fillId="18" borderId="0" xfId="0" applyFont="1" applyFill="1"/>
    <xf numFmtId="0" fontId="19" fillId="20" borderId="0" xfId="0" applyFont="1" applyFill="1"/>
    <xf numFmtId="175" fontId="19" fillId="20" borderId="0" xfId="0" applyNumberFormat="1" applyFont="1" applyFill="1"/>
    <xf numFmtId="177" fontId="19" fillId="20" borderId="0" xfId="0" applyNumberFormat="1" applyFont="1" applyFill="1"/>
    <xf numFmtId="4" fontId="19" fillId="20" borderId="0" xfId="0" applyNumberFormat="1" applyFont="1" applyFill="1"/>
    <xf numFmtId="4" fontId="19" fillId="13" borderId="0" xfId="0" applyNumberFormat="1" applyFont="1" applyFill="1"/>
    <xf numFmtId="0" fontId="19" fillId="13" borderId="0" xfId="0" applyFont="1" applyFill="1"/>
    <xf numFmtId="0" fontId="19" fillId="19" borderId="0" xfId="0" applyFont="1" applyFill="1" applyBorder="1"/>
    <xf numFmtId="4" fontId="19" fillId="21" borderId="0" xfId="0" applyNumberFormat="1" applyFont="1" applyFill="1"/>
    <xf numFmtId="0" fontId="19" fillId="21" borderId="0" xfId="0" applyFont="1" applyFill="1"/>
    <xf numFmtId="175" fontId="19" fillId="21" borderId="0" xfId="0" applyNumberFormat="1" applyFont="1" applyFill="1"/>
    <xf numFmtId="177" fontId="19" fillId="21" borderId="0" xfId="0" applyNumberFormat="1" applyFont="1" applyFill="1"/>
    <xf numFmtId="0" fontId="19" fillId="12" borderId="0" xfId="0" applyFont="1" applyFill="1"/>
    <xf numFmtId="175" fontId="19" fillId="12" borderId="0" xfId="0" applyNumberFormat="1" applyFont="1" applyFill="1"/>
    <xf numFmtId="177" fontId="19" fillId="12" borderId="0" xfId="0" applyNumberFormat="1" applyFont="1" applyFill="1"/>
    <xf numFmtId="4" fontId="19" fillId="12" borderId="0" xfId="0" applyNumberFormat="1" applyFont="1" applyFill="1"/>
    <xf numFmtId="175" fontId="19" fillId="13" borderId="0" xfId="0" applyNumberFormat="1" applyFont="1" applyFill="1"/>
    <xf numFmtId="177" fontId="19" fillId="13" borderId="0" xfId="0" applyNumberFormat="1" applyFont="1" applyFill="1"/>
    <xf numFmtId="175" fontId="19" fillId="18" borderId="0" xfId="0" applyNumberFormat="1" applyFont="1" applyFill="1"/>
    <xf numFmtId="177" fontId="19" fillId="18" borderId="0" xfId="0" applyNumberFormat="1" applyFont="1" applyFill="1"/>
    <xf numFmtId="1" fontId="0" fillId="0" borderId="0" xfId="0" applyNumberFormat="1" applyFont="1" applyAlignment="1">
      <alignment horizontal="right" wrapText="1"/>
    </xf>
    <xf numFmtId="1" fontId="20" fillId="0" borderId="0" xfId="2" applyNumberFormat="1" applyBorder="1" applyProtection="1"/>
    <xf numFmtId="2" fontId="0" fillId="0" borderId="0" xfId="0" applyNumberFormat="1" applyFont="1" applyAlignment="1">
      <alignment horizontal="right" wrapText="1"/>
    </xf>
    <xf numFmtId="2" fontId="20" fillId="0" borderId="0" xfId="2" applyNumberFormat="1" applyBorder="1" applyProtection="1"/>
    <xf numFmtId="2" fontId="0" fillId="14" borderId="0" xfId="0" applyNumberFormat="1" applyFont="1" applyFill="1"/>
    <xf numFmtId="2" fontId="0" fillId="9" borderId="0" xfId="0" applyNumberFormat="1" applyFill="1"/>
    <xf numFmtId="0" fontId="0" fillId="0" borderId="0" xfId="0" applyFill="1"/>
    <xf numFmtId="2" fontId="0" fillId="0" borderId="0" xfId="0" applyNumberFormat="1" applyFill="1"/>
  </cellXfs>
  <cellStyles count="21">
    <cellStyle name="Accent 1 5" xfId="3" xr:uid="{00000000-0005-0000-0000-000006000000}"/>
    <cellStyle name="Accent 2 6" xfId="4" xr:uid="{00000000-0005-0000-0000-000007000000}"/>
    <cellStyle name="Accent 3 7" xfId="5" xr:uid="{00000000-0005-0000-0000-000008000000}"/>
    <cellStyle name="Accent 4" xfId="6" xr:uid="{00000000-0005-0000-0000-000009000000}"/>
    <cellStyle name="Bad 8" xfId="7" xr:uid="{00000000-0005-0000-0000-00000A000000}"/>
    <cellStyle name="Error 9" xfId="8" xr:uid="{00000000-0005-0000-0000-00000B000000}"/>
    <cellStyle name="Footnote 10" xfId="9" xr:uid="{00000000-0005-0000-0000-00000C000000}"/>
    <cellStyle name="Good 11" xfId="10" xr:uid="{00000000-0005-0000-0000-00000D000000}"/>
    <cellStyle name="Heading 1 13" xfId="11" xr:uid="{00000000-0005-0000-0000-00000E000000}"/>
    <cellStyle name="Heading 12" xfId="12" xr:uid="{00000000-0005-0000-0000-00000F000000}"/>
    <cellStyle name="Heading 2 14" xfId="13" xr:uid="{00000000-0005-0000-0000-000010000000}"/>
    <cellStyle name="Hyperlink 15" xfId="14" xr:uid="{00000000-0005-0000-0000-000011000000}"/>
    <cellStyle name="Neutral 16" xfId="15" xr:uid="{00000000-0005-0000-0000-000012000000}"/>
    <cellStyle name="Normal" xfId="0" builtinId="0"/>
    <cellStyle name="Note 17" xfId="16" xr:uid="{00000000-0005-0000-0000-000013000000}"/>
    <cellStyle name="Result 18" xfId="17" xr:uid="{00000000-0005-0000-0000-000014000000}"/>
    <cellStyle name="Status 19" xfId="18" xr:uid="{00000000-0005-0000-0000-000015000000}"/>
    <cellStyle name="Text 20" xfId="19" xr:uid="{00000000-0005-0000-0000-000016000000}"/>
    <cellStyle name="Virgül" xfId="1" builtinId="3"/>
    <cellStyle name="Warning 21" xfId="20" xr:uid="{00000000-0005-0000-0000-000017000000}"/>
    <cellStyle name="Yüzde" xfId="2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EE"/>
      <rgbColor rgb="FFFFFF00"/>
      <rgbColor rgb="FFFF00FF"/>
      <rgbColor rgb="FF00FFFF"/>
      <rgbColor rgb="FFCC0000"/>
      <rgbColor rgb="FF006600"/>
      <rgbColor rgb="FF000080"/>
      <rgbColor rgb="FF996600"/>
      <rgbColor rgb="FF800080"/>
      <rgbColor rgb="FF008080"/>
      <rgbColor rgb="FFD0CECE"/>
      <rgbColor rgb="FF808080"/>
      <rgbColor rgb="FFEDEDED"/>
      <rgbColor rgb="FF993366"/>
      <rgbColor rgb="FFFFFFCC"/>
      <rgbColor rgb="FFDEEBF7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F0D9"/>
      <rgbColor rgb="FFCCFFCC"/>
      <rgbColor rgb="FFFFF2CC"/>
      <rgbColor rgb="FFC5E0B4"/>
      <rgbColor rgb="FFFBE5D6"/>
      <rgbColor rgb="FFDAE3F3"/>
      <rgbColor rgb="FFFFCCCC"/>
      <rgbColor rgb="FF3366FF"/>
      <rgbColor rgb="FF33CCCC"/>
      <rgbColor rgb="FF99CC00"/>
      <rgbColor rgb="FFFFC000"/>
      <rgbColor rgb="FFFF9900"/>
      <rgbColor rgb="FFED7D31"/>
      <rgbColor rgb="FF666699"/>
      <rgbColor rgb="FFA9D18E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398520</xdr:colOff>
      <xdr:row>10</xdr:row>
      <xdr:rowOff>83520</xdr:rowOff>
    </xdr:from>
    <xdr:to>
      <xdr:col>21</xdr:col>
      <xdr:colOff>581760</xdr:colOff>
      <xdr:row>20</xdr:row>
      <xdr:rowOff>54360</xdr:rowOff>
    </xdr:to>
    <xdr:pic>
      <xdr:nvPicPr>
        <xdr:cNvPr id="2" name="Resi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2767760" y="1702800"/>
          <a:ext cx="2766240" cy="1590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15</xdr:col>
      <xdr:colOff>602280</xdr:colOff>
      <xdr:row>11</xdr:row>
      <xdr:rowOff>74160</xdr:rowOff>
    </xdr:from>
    <xdr:to>
      <xdr:col>20</xdr:col>
      <xdr:colOff>575280</xdr:colOff>
      <xdr:row>20</xdr:row>
      <xdr:rowOff>73800</xdr:rowOff>
    </xdr:to>
    <xdr:pic>
      <xdr:nvPicPr>
        <xdr:cNvPr id="3" name="Resim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11649240" y="1855440"/>
          <a:ext cx="3247920" cy="14569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15</xdr:col>
      <xdr:colOff>72360</xdr:colOff>
      <xdr:row>10</xdr:row>
      <xdr:rowOff>119160</xdr:rowOff>
    </xdr:from>
    <xdr:to>
      <xdr:col>19</xdr:col>
      <xdr:colOff>561600</xdr:colOff>
      <xdr:row>20</xdr:row>
      <xdr:rowOff>99720</xdr:rowOff>
    </xdr:to>
    <xdr:pic>
      <xdr:nvPicPr>
        <xdr:cNvPr id="4" name="Resim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/>
      </xdr:nvPicPr>
      <xdr:blipFill>
        <a:blip xmlns:r="http://schemas.openxmlformats.org/officeDocument/2006/relationships" r:embed="rId3"/>
        <a:stretch/>
      </xdr:blipFill>
      <xdr:spPr>
        <a:xfrm>
          <a:off x="11119320" y="1738440"/>
          <a:ext cx="3133440" cy="1599840"/>
        </a:xfrm>
        <a:prstGeom prst="rect">
          <a:avLst/>
        </a:prstGeom>
        <a:ln w="0">
          <a:noFill/>
        </a:ln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o2" displayName="Tablo2" ref="A9:M79" totalsRowShown="0">
  <autoFilter ref="A9:M79" xr:uid="{00000000-0009-0000-0100-000001000000}"/>
  <tableColumns count="13">
    <tableColumn id="1" xr3:uid="{00000000-0010-0000-0000-000001000000}" name="Açıklama"/>
    <tableColumn id="2" xr3:uid="{00000000-0010-0000-0000-000002000000}" name="tarih"/>
    <tableColumn id="3" xr3:uid="{00000000-0010-0000-0000-000003000000}" name="adet"/>
    <tableColumn id="4" xr3:uid="{00000000-0010-0000-0000-000004000000}" name="birim fiyat"/>
    <tableColumn id="5" xr3:uid="{00000000-0010-0000-0000-000005000000}" name="Tutar"/>
    <tableColumn id="6" xr3:uid="{00000000-0010-0000-0000-000006000000}" name="Tarih2"/>
    <tableColumn id="7" xr3:uid="{00000000-0010-0000-0000-000007000000}" name="Miktar"/>
    <tableColumn id="8" xr3:uid="{00000000-0010-0000-0000-000008000000}" name="Fiyat"/>
    <tableColumn id="9" xr3:uid="{00000000-0010-0000-0000-000009000000}" name="Tutar3"/>
    <tableColumn id="10" xr3:uid="{00000000-0010-0000-0000-00000A000000}" name="Miktar3"/>
    <tableColumn id="11" xr3:uid="{00000000-0010-0000-0000-00000B000000}" name="Tutar2"/>
    <tableColumn id="12" xr3:uid="{00000000-0010-0000-0000-00000C000000}" name="Mktr"/>
    <tableColumn id="13" xr3:uid="{00000000-0010-0000-0000-00000D000000}" name="%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o23" displayName="Tablo23" ref="A12:M33" totalsRowShown="0">
  <autoFilter ref="A12:M33" xr:uid="{00000000-0009-0000-0100-000002000000}"/>
  <tableColumns count="13">
    <tableColumn id="1" xr3:uid="{00000000-0010-0000-0100-000001000000}" name="Açıklama"/>
    <tableColumn id="2" xr3:uid="{00000000-0010-0000-0100-000002000000}" name="tarih"/>
    <tableColumn id="3" xr3:uid="{00000000-0010-0000-0100-000003000000}" name="adet"/>
    <tableColumn id="4" xr3:uid="{00000000-0010-0000-0100-000004000000}" name="birim fiyat"/>
    <tableColumn id="5" xr3:uid="{00000000-0010-0000-0100-000005000000}" name="Tutar"/>
    <tableColumn id="6" xr3:uid="{00000000-0010-0000-0100-000006000000}" name="Tarih2"/>
    <tableColumn id="7" xr3:uid="{00000000-0010-0000-0100-000007000000}" name="Miktar"/>
    <tableColumn id="8" xr3:uid="{00000000-0010-0000-0100-000008000000}" name="Fiyat"/>
    <tableColumn id="9" xr3:uid="{00000000-0010-0000-0100-000009000000}" name="Tutar3"/>
    <tableColumn id="10" xr3:uid="{00000000-0010-0000-0100-00000A000000}" name="Miktar3"/>
    <tableColumn id="11" xr3:uid="{00000000-0010-0000-0100-00000B000000}" name="Tutar2"/>
    <tableColumn id="12" xr3:uid="{00000000-0010-0000-0100-00000C000000}" name="Mktr"/>
    <tableColumn id="13" xr3:uid="{00000000-0010-0000-0100-00000D000000}" name="%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J87"/>
  <sheetViews>
    <sheetView zoomScale="160" zoomScaleNormal="160" workbookViewId="0">
      <selection activeCell="A15" sqref="A15"/>
    </sheetView>
  </sheetViews>
  <sheetFormatPr defaultColWidth="8.5703125" defaultRowHeight="12.75"/>
  <cols>
    <col min="1" max="1" width="17.42578125" style="1" customWidth="1"/>
    <col min="2" max="2" width="8.28515625" style="2" customWidth="1"/>
    <col min="3" max="3" width="8.85546875" style="3" customWidth="1"/>
    <col min="4" max="4" width="11.5703125" style="1" customWidth="1"/>
    <col min="5" max="5" width="15" style="4" customWidth="1"/>
    <col min="6" max="6" width="8.28515625" style="2" customWidth="1"/>
    <col min="7" max="7" width="8.85546875" style="3" customWidth="1"/>
    <col min="8" max="8" width="12.5703125" style="5" customWidth="1"/>
    <col min="9" max="9" width="12.7109375" style="6" customWidth="1"/>
    <col min="10" max="10" width="8" style="3" customWidth="1"/>
    <col min="11" max="11" width="10.85546875" style="1" customWidth="1"/>
    <col min="12" max="12" width="7.28515625" style="1" customWidth="1"/>
    <col min="13" max="13" width="5.7109375" style="7" customWidth="1"/>
    <col min="14" max="14" width="6.140625" style="7" customWidth="1"/>
    <col min="15" max="15" width="10" style="1" customWidth="1"/>
    <col min="16" max="16" width="19.85546875" style="1" bestFit="1" customWidth="1"/>
    <col min="17" max="1024" width="8.5703125" style="1"/>
  </cols>
  <sheetData>
    <row r="1" spans="1:16">
      <c r="E1" s="8" t="s">
        <v>0</v>
      </c>
      <c r="F1" s="9"/>
      <c r="G1" s="10"/>
      <c r="H1" s="11"/>
      <c r="I1" s="12" t="s">
        <v>1</v>
      </c>
      <c r="K1" s="10" t="s">
        <v>2</v>
      </c>
    </row>
    <row r="2" spans="1:16">
      <c r="B2" s="13">
        <v>45408</v>
      </c>
      <c r="K2" s="14">
        <f>SUM(K5:K6)</f>
        <v>269021.682187</v>
      </c>
    </row>
    <row r="3" spans="1:16">
      <c r="B3" s="2">
        <v>43803</v>
      </c>
      <c r="C3" s="3">
        <f>B2-B3</f>
        <v>1605</v>
      </c>
      <c r="D3" s="3">
        <f>K2/C3</f>
        <v>167.6147552566978</v>
      </c>
      <c r="L3" s="15"/>
    </row>
    <row r="4" spans="1:16">
      <c r="B4" s="16"/>
      <c r="C4" s="17"/>
      <c r="D4" s="18"/>
      <c r="E4" s="19"/>
      <c r="F4" s="16"/>
      <c r="G4" s="17"/>
      <c r="H4" s="20"/>
      <c r="I4" s="19"/>
      <c r="J4" s="17"/>
      <c r="K4" s="19"/>
      <c r="L4" s="21"/>
      <c r="M4" s="22"/>
      <c r="N4" s="22"/>
      <c r="O4" s="23"/>
    </row>
    <row r="5" spans="1:16">
      <c r="D5" s="24" t="s">
        <v>3</v>
      </c>
      <c r="E5" s="25">
        <f>SUBTOTAL(109,E10:E28)</f>
        <v>343252.61907999997</v>
      </c>
      <c r="F5" s="26"/>
      <c r="G5" s="27"/>
      <c r="H5" s="28"/>
      <c r="I5" s="29">
        <f>SUM(I11:I27)</f>
        <v>605826.90388</v>
      </c>
      <c r="J5" s="27"/>
      <c r="K5" s="25">
        <f>SUBTOTAL(109,K10:K28)</f>
        <v>250521.50479999997</v>
      </c>
      <c r="L5" s="30">
        <f>K5/E5</f>
        <v>0.72984586533223894</v>
      </c>
      <c r="M5" s="31">
        <f>SUBTOTAL(101,M10:M18)</f>
        <v>-4.1340983447314281E-2</v>
      </c>
      <c r="N5" s="31" t="e">
        <f>SUBTOTAL(101,N10:N18)</f>
        <v>#DIV/0!</v>
      </c>
      <c r="O5" s="32"/>
    </row>
    <row r="6" spans="1:16">
      <c r="B6" s="3"/>
      <c r="D6" s="33" t="s">
        <v>4</v>
      </c>
      <c r="E6" s="34">
        <f>SUBTOTAL(109,E31:E78)</f>
        <v>472117.65808399994</v>
      </c>
      <c r="F6" s="35"/>
      <c r="G6" s="36"/>
      <c r="H6" s="37"/>
      <c r="I6" s="34">
        <f>SUBTOTAL(109,I31:I78)</f>
        <v>483665.72449500003</v>
      </c>
      <c r="J6" s="36"/>
      <c r="K6" s="38">
        <f>SUBTOTAL(109,K31:K77)</f>
        <v>18500.177387000018</v>
      </c>
      <c r="L6" s="39">
        <f>K6/E6</f>
        <v>3.918552307930926E-2</v>
      </c>
      <c r="M6" s="40"/>
      <c r="N6" s="40"/>
      <c r="O6" s="41"/>
    </row>
    <row r="7" spans="1:16">
      <c r="D7" s="42"/>
      <c r="E7" s="43"/>
      <c r="I7" s="43"/>
      <c r="K7" s="43"/>
      <c r="L7" s="44"/>
      <c r="M7" s="45"/>
      <c r="N7" s="45"/>
    </row>
    <row r="8" spans="1:16">
      <c r="B8" s="2" t="s">
        <v>5</v>
      </c>
      <c r="C8" s="46" t="s">
        <v>5</v>
      </c>
      <c r="D8" s="47" t="s">
        <v>5</v>
      </c>
      <c r="E8" s="47" t="s">
        <v>5</v>
      </c>
      <c r="F8" s="48" t="s">
        <v>6</v>
      </c>
      <c r="G8" s="49" t="s">
        <v>6</v>
      </c>
      <c r="H8" s="50" t="s">
        <v>6</v>
      </c>
      <c r="I8" s="51" t="s">
        <v>6</v>
      </c>
      <c r="J8" s="52" t="s">
        <v>7</v>
      </c>
      <c r="K8" s="53" t="s">
        <v>7</v>
      </c>
      <c r="L8" s="53" t="s">
        <v>8</v>
      </c>
      <c r="M8" s="54" t="s">
        <v>8</v>
      </c>
      <c r="N8" s="54" t="s">
        <v>9</v>
      </c>
    </row>
    <row r="9" spans="1:16">
      <c r="A9" s="55" t="s">
        <v>10</v>
      </c>
      <c r="B9" s="48" t="s">
        <v>11</v>
      </c>
      <c r="C9" s="46" t="s">
        <v>12</v>
      </c>
      <c r="D9" s="47" t="s">
        <v>13</v>
      </c>
      <c r="E9" s="56" t="s">
        <v>14</v>
      </c>
      <c r="F9" s="48" t="s">
        <v>15</v>
      </c>
      <c r="G9" s="49" t="s">
        <v>16</v>
      </c>
      <c r="H9" s="57" t="s">
        <v>17</v>
      </c>
      <c r="I9" s="51" t="s">
        <v>18</v>
      </c>
      <c r="J9" s="52" t="s">
        <v>19</v>
      </c>
      <c r="K9" s="55" t="s">
        <v>20</v>
      </c>
      <c r="L9" s="55" t="s">
        <v>21</v>
      </c>
      <c r="M9" s="54" t="s">
        <v>22</v>
      </c>
      <c r="N9" s="54" t="s">
        <v>22</v>
      </c>
    </row>
    <row r="10" spans="1:16">
      <c r="C10" s="52"/>
      <c r="E10" s="53"/>
      <c r="F10" s="48"/>
      <c r="G10" s="52"/>
      <c r="J10" s="52"/>
      <c r="M10" s="54"/>
      <c r="N10" s="54"/>
    </row>
    <row r="11" spans="1:16">
      <c r="A11" s="24" t="s">
        <v>3</v>
      </c>
      <c r="B11" s="26"/>
      <c r="C11" s="27"/>
      <c r="D11" s="32"/>
      <c r="E11" s="58"/>
      <c r="F11" s="26"/>
      <c r="G11" s="27"/>
      <c r="H11" s="28"/>
      <c r="I11" s="29"/>
      <c r="J11" s="27"/>
      <c r="K11" s="32"/>
      <c r="L11" s="32"/>
      <c r="M11" s="59"/>
      <c r="N11" s="59"/>
      <c r="O11" s="60">
        <f>SUM(O12:O28)</f>
        <v>250521.5048</v>
      </c>
    </row>
    <row r="14" spans="1:16">
      <c r="A14" s="1" t="s">
        <v>237</v>
      </c>
      <c r="B14" s="2">
        <v>45408</v>
      </c>
      <c r="C14" s="3">
        <v>2500</v>
      </c>
      <c r="D14" s="1">
        <v>25.12</v>
      </c>
      <c r="E14" s="61">
        <f>Sayfa2!$D14*Sayfa2!$C14</f>
        <v>62800</v>
      </c>
      <c r="F14" s="62">
        <f>$B$2</f>
        <v>45408</v>
      </c>
      <c r="G14" s="63">
        <f>Tablo2[[#This Row],[adet]]</f>
        <v>2500</v>
      </c>
      <c r="H14" s="64">
        <f>Sayfa4!I5</f>
        <v>25.11</v>
      </c>
      <c r="I14" s="51">
        <f>Sayfa2!$H14*Sayfa2!$G14</f>
        <v>62775</v>
      </c>
      <c r="J14" s="46">
        <f>H14-D14</f>
        <v>-1.0000000000001563E-2</v>
      </c>
      <c r="K14" s="65">
        <f>Sayfa2!$J14*Sayfa2!$C14</f>
        <v>-25.000000000003908</v>
      </c>
      <c r="L14" s="66">
        <f>F14-B14</f>
        <v>0</v>
      </c>
      <c r="M14" s="67">
        <f>K14/E14</f>
        <v>-3.9808917197458455E-4</v>
      </c>
      <c r="N14" s="67" t="e">
        <f>M14/L14*30</f>
        <v>#DIV/0!</v>
      </c>
      <c r="O14" s="68"/>
      <c r="P14" s="107">
        <v>240426000157372</v>
      </c>
    </row>
    <row r="15" spans="1:16">
      <c r="A15" s="1" t="s">
        <v>237</v>
      </c>
      <c r="E15" s="61"/>
      <c r="F15" s="62"/>
      <c r="G15" s="63"/>
      <c r="H15" s="64"/>
      <c r="I15" s="51"/>
      <c r="J15" s="46" t="s">
        <v>238</v>
      </c>
      <c r="K15" s="65">
        <v>-131.88</v>
      </c>
      <c r="L15" s="66"/>
      <c r="M15" s="67"/>
      <c r="N15" s="67"/>
      <c r="O15" s="68"/>
      <c r="P15" s="107">
        <v>240426000157372</v>
      </c>
    </row>
    <row r="16" spans="1:16">
      <c r="A16" s="1" t="s">
        <v>234</v>
      </c>
      <c r="B16" s="2">
        <v>45404</v>
      </c>
      <c r="C16" s="46">
        <v>10</v>
      </c>
      <c r="D16" s="47">
        <v>135</v>
      </c>
      <c r="E16" s="61">
        <f>Sayfa2!$D16*Sayfa2!$C16</f>
        <v>1350</v>
      </c>
      <c r="F16" s="62">
        <f>$B$2</f>
        <v>45408</v>
      </c>
      <c r="G16" s="63">
        <f>Tablo2[[#This Row],[adet]]</f>
        <v>10</v>
      </c>
      <c r="H16" s="64">
        <f>Sayfa4!Y5</f>
        <v>148.5</v>
      </c>
      <c r="I16" s="51">
        <f>Sayfa2!$H16*Sayfa2!$G16</f>
        <v>1485</v>
      </c>
      <c r="J16" s="46">
        <f>H16-D16</f>
        <v>13.5</v>
      </c>
      <c r="K16" s="65">
        <f>Sayfa2!$J16*Sayfa2!$C16</f>
        <v>135</v>
      </c>
      <c r="L16" s="66">
        <f>F16-B16</f>
        <v>4</v>
      </c>
      <c r="M16" s="67">
        <f>K16/E16</f>
        <v>0.1</v>
      </c>
      <c r="N16" s="67">
        <f>M16/L16*30</f>
        <v>0.75</v>
      </c>
      <c r="O16" s="68"/>
    </row>
    <row r="17" spans="1:20">
      <c r="A17" s="1" t="s">
        <v>23</v>
      </c>
      <c r="B17" s="2">
        <v>45348</v>
      </c>
      <c r="C17" s="46">
        <v>75000</v>
      </c>
      <c r="D17" s="47">
        <v>1.064435</v>
      </c>
      <c r="E17" s="61">
        <f>Sayfa2!$D17*Sayfa2!$C17</f>
        <v>79832.625</v>
      </c>
      <c r="F17" s="62">
        <f>$B$2</f>
        <v>45408</v>
      </c>
      <c r="G17" s="63">
        <f>Tablo2[[#This Row],[adet]]</f>
        <v>75000</v>
      </c>
      <c r="H17" s="64">
        <f>Sayfa4!K5</f>
        <v>0.89607000000000003</v>
      </c>
      <c r="I17" s="51">
        <f>Sayfa2!$H17*Sayfa2!$G17</f>
        <v>67205.25</v>
      </c>
      <c r="J17" s="46">
        <f>H17-D17</f>
        <v>-0.16836499999999999</v>
      </c>
      <c r="K17" s="65">
        <f>Sayfa2!$J17*Sayfa2!$C17</f>
        <v>-12627.374999999998</v>
      </c>
      <c r="L17" s="66">
        <f>F17-B17</f>
        <v>60</v>
      </c>
      <c r="M17" s="67">
        <f>K17/E17</f>
        <v>-0.15817311531469744</v>
      </c>
      <c r="N17" s="67">
        <f>M17/L17*30</f>
        <v>-7.9086557657348719E-2</v>
      </c>
      <c r="O17" s="68"/>
    </row>
    <row r="18" spans="1:20">
      <c r="A18" s="1" t="s">
        <v>23</v>
      </c>
      <c r="B18" s="2">
        <v>45344</v>
      </c>
      <c r="C18" s="46">
        <v>50000</v>
      </c>
      <c r="D18" s="47">
        <v>1.0032049999999999</v>
      </c>
      <c r="E18" s="61">
        <f>Sayfa2!$D18*Sayfa2!$C18</f>
        <v>50160.249999999993</v>
      </c>
      <c r="F18" s="62">
        <f>$B$2</f>
        <v>45408</v>
      </c>
      <c r="G18" s="63">
        <f>Tablo2[[#This Row],[adet]]</f>
        <v>50000</v>
      </c>
      <c r="H18" s="64">
        <f>H17</f>
        <v>0.89607000000000003</v>
      </c>
      <c r="I18" s="51">
        <f>Sayfa2!$H18*Sayfa2!$G18</f>
        <v>44803.5</v>
      </c>
      <c r="J18" s="46">
        <f>H18-D18</f>
        <v>-0.10713499999999987</v>
      </c>
      <c r="K18" s="65">
        <f>Sayfa2!$J18*Sayfa2!$C18</f>
        <v>-5356.7499999999936</v>
      </c>
      <c r="L18" s="66">
        <f>F18-B18</f>
        <v>64</v>
      </c>
      <c r="M18" s="67">
        <f>K18/E18</f>
        <v>-0.1067927293025851</v>
      </c>
      <c r="N18" s="67">
        <f>M18/L18*30</f>
        <v>-5.0059091860586769E-2</v>
      </c>
      <c r="O18" s="69">
        <f>SUM(K13:K18)</f>
        <v>-18006.004999999997</v>
      </c>
    </row>
    <row r="19" spans="1:20">
      <c r="A19" s="32"/>
      <c r="B19" s="26"/>
      <c r="C19" s="70"/>
      <c r="D19" s="71"/>
      <c r="E19" s="58"/>
      <c r="F19" s="26"/>
      <c r="G19" s="27"/>
      <c r="H19" s="28"/>
      <c r="I19" s="29"/>
      <c r="J19" s="70"/>
      <c r="K19" s="72"/>
      <c r="L19" s="73"/>
      <c r="M19" s="31"/>
      <c r="N19" s="31"/>
      <c r="O19" s="32"/>
    </row>
    <row r="20" spans="1:20">
      <c r="A20" s="1" t="s">
        <v>24</v>
      </c>
      <c r="B20" s="2">
        <v>45219</v>
      </c>
      <c r="C20" s="46">
        <v>45</v>
      </c>
      <c r="D20" s="47">
        <v>1826.53</v>
      </c>
      <c r="E20" s="61">
        <f>Sayfa2!$D20*Sayfa2!$C20</f>
        <v>82193.850000000006</v>
      </c>
      <c r="F20" s="62">
        <f t="shared" ref="F20:F27" si="0">$B$2</f>
        <v>45408</v>
      </c>
      <c r="G20" s="63">
        <v>50</v>
      </c>
      <c r="H20" s="64">
        <f>Sayfa4!G10</f>
        <v>2384.1799999999998</v>
      </c>
      <c r="I20" s="51">
        <f>Sayfa2!$H20*Sayfa2!$G20</f>
        <v>119208.99999999999</v>
      </c>
      <c r="J20" s="46">
        <f t="shared" ref="J20:J27" si="1">H20-D20</f>
        <v>557.64999999999986</v>
      </c>
      <c r="K20" s="65">
        <f>Sayfa2!$J20*Sayfa2!$C20</f>
        <v>25094.249999999993</v>
      </c>
      <c r="L20" s="66">
        <f t="shared" ref="L20:L27" si="2">F20-B20</f>
        <v>189</v>
      </c>
      <c r="M20" s="67">
        <f t="shared" ref="M20:M27" si="3">K20/E20</f>
        <v>0.30530568892928112</v>
      </c>
      <c r="N20" s="67">
        <f t="shared" ref="N20:N27" si="4">M20/L20*30</f>
        <v>4.846122046496526E-2</v>
      </c>
      <c r="O20" s="68"/>
      <c r="P20" s="6">
        <f>Tablo2[[#This Row],[Tutar3]]</f>
        <v>119208.99999999999</v>
      </c>
      <c r="Q20" s="1">
        <v>2000</v>
      </c>
      <c r="R20" s="1">
        <f>P20/Q20</f>
        <v>59.604499999999994</v>
      </c>
    </row>
    <row r="21" spans="1:20">
      <c r="A21" s="1" t="s">
        <v>24</v>
      </c>
      <c r="B21" s="2">
        <v>44244</v>
      </c>
      <c r="C21" s="46">
        <v>11</v>
      </c>
      <c r="D21" s="47">
        <v>402.1</v>
      </c>
      <c r="E21" s="61">
        <f>Sayfa2!$D21*Sayfa2!$C21</f>
        <v>4423.1000000000004</v>
      </c>
      <c r="F21" s="62">
        <f t="shared" si="0"/>
        <v>45408</v>
      </c>
      <c r="G21" s="63">
        <v>11</v>
      </c>
      <c r="H21" s="64">
        <f>H20</f>
        <v>2384.1799999999998</v>
      </c>
      <c r="I21" s="51">
        <f>Sayfa2!$H21*Sayfa2!$G21</f>
        <v>26225.98</v>
      </c>
      <c r="J21" s="46">
        <f t="shared" si="1"/>
        <v>1982.08</v>
      </c>
      <c r="K21" s="65">
        <f>Sayfa2!$J21*Sayfa2!$C21</f>
        <v>21802.879999999997</v>
      </c>
      <c r="L21" s="66">
        <f t="shared" si="2"/>
        <v>1164</v>
      </c>
      <c r="M21" s="67">
        <f t="shared" si="3"/>
        <v>4.9293210644118366</v>
      </c>
      <c r="N21" s="67">
        <f t="shared" si="4"/>
        <v>0.12704435733020197</v>
      </c>
      <c r="O21" s="68"/>
      <c r="P21" s="6">
        <f>Tablo2[[#This Row],[Tutar3]]</f>
        <v>26225.98</v>
      </c>
      <c r="Q21" s="1">
        <v>2000</v>
      </c>
      <c r="R21" s="1">
        <f>P21/Q21</f>
        <v>13.11299</v>
      </c>
    </row>
    <row r="22" spans="1:20">
      <c r="A22" s="1" t="s">
        <v>24</v>
      </c>
      <c r="B22" s="2">
        <v>44084</v>
      </c>
      <c r="C22" s="46">
        <v>50</v>
      </c>
      <c r="D22" s="47">
        <v>468.86</v>
      </c>
      <c r="E22" s="61">
        <f>Sayfa2!$D22*Sayfa2!$C22</f>
        <v>23443</v>
      </c>
      <c r="F22" s="62">
        <f t="shared" si="0"/>
        <v>45408</v>
      </c>
      <c r="G22" s="63">
        <v>50</v>
      </c>
      <c r="H22" s="64">
        <f>H21</f>
        <v>2384.1799999999998</v>
      </c>
      <c r="I22" s="51">
        <f>Sayfa2!$H22*Sayfa2!$G22</f>
        <v>119208.99999999999</v>
      </c>
      <c r="J22" s="46">
        <f t="shared" si="1"/>
        <v>1915.3199999999997</v>
      </c>
      <c r="K22" s="65">
        <f>Sayfa2!$J22*Sayfa2!$C22</f>
        <v>95765.999999999985</v>
      </c>
      <c r="L22" s="66">
        <f t="shared" si="2"/>
        <v>1324</v>
      </c>
      <c r="M22" s="67">
        <f t="shared" si="3"/>
        <v>4.0850573732030879</v>
      </c>
      <c r="N22" s="67">
        <f t="shared" si="4"/>
        <v>9.2561722957773901E-2</v>
      </c>
      <c r="O22" s="68"/>
      <c r="P22" s="6">
        <f>Tablo2[[#This Row],[Tutar3]]</f>
        <v>119208.99999999999</v>
      </c>
      <c r="Q22" s="1">
        <v>2000</v>
      </c>
      <c r="R22" s="1">
        <f>P22/Q22</f>
        <v>59.604499999999994</v>
      </c>
    </row>
    <row r="23" spans="1:20">
      <c r="A23" s="1" t="s">
        <v>24</v>
      </c>
      <c r="B23" s="2">
        <v>44020</v>
      </c>
      <c r="C23" s="46">
        <v>25</v>
      </c>
      <c r="D23" s="47">
        <v>399.87</v>
      </c>
      <c r="E23" s="61">
        <f>Sayfa2!$D23*Sayfa2!$C23</f>
        <v>9996.75</v>
      </c>
      <c r="F23" s="62">
        <f t="shared" si="0"/>
        <v>45408</v>
      </c>
      <c r="G23" s="63">
        <f>Tablo2[[#This Row],[adet]]</f>
        <v>25</v>
      </c>
      <c r="H23" s="64">
        <f>H22</f>
        <v>2384.1799999999998</v>
      </c>
      <c r="I23" s="51">
        <f>Sayfa2!$H23*Sayfa2!$G23</f>
        <v>59604.499999999993</v>
      </c>
      <c r="J23" s="46">
        <f t="shared" si="1"/>
        <v>1984.31</v>
      </c>
      <c r="K23" s="65">
        <f>Sayfa2!$J23*Sayfa2!$C23</f>
        <v>49607.75</v>
      </c>
      <c r="L23" s="66">
        <f t="shared" si="2"/>
        <v>1388</v>
      </c>
      <c r="M23" s="67">
        <f t="shared" si="3"/>
        <v>4.9623877760272093</v>
      </c>
      <c r="N23" s="67">
        <f t="shared" si="4"/>
        <v>0.10725621994295122</v>
      </c>
      <c r="O23" s="68"/>
      <c r="R23" s="1">
        <f>SUM(R20:R22)</f>
        <v>132.32199</v>
      </c>
    </row>
    <row r="24" spans="1:20">
      <c r="A24" s="1" t="s">
        <v>24</v>
      </c>
      <c r="B24" s="2">
        <v>43803</v>
      </c>
      <c r="C24" s="46">
        <v>24</v>
      </c>
      <c r="D24" s="47">
        <v>273.81</v>
      </c>
      <c r="E24" s="61">
        <f>Sayfa2!$D24*Sayfa2!$C24</f>
        <v>6571.4400000000005</v>
      </c>
      <c r="F24" s="62">
        <f t="shared" si="0"/>
        <v>45408</v>
      </c>
      <c r="G24" s="63">
        <f>Tablo2[[#This Row],[adet]]</f>
        <v>24</v>
      </c>
      <c r="H24" s="64">
        <f>H23</f>
        <v>2384.1799999999998</v>
      </c>
      <c r="I24" s="51">
        <f>Sayfa2!$H24*Sayfa2!$G24</f>
        <v>57220.319999999992</v>
      </c>
      <c r="J24" s="46">
        <f t="shared" si="1"/>
        <v>2110.37</v>
      </c>
      <c r="K24" s="65">
        <f>Sayfa2!$J24*Sayfa2!$C24</f>
        <v>50648.88</v>
      </c>
      <c r="L24" s="66">
        <f t="shared" si="2"/>
        <v>1605</v>
      </c>
      <c r="M24" s="67">
        <f t="shared" si="3"/>
        <v>7.7074248566524224</v>
      </c>
      <c r="N24" s="67">
        <f t="shared" si="4"/>
        <v>0.14406401601219482</v>
      </c>
      <c r="O24" s="68"/>
    </row>
    <row r="25" spans="1:20">
      <c r="A25" s="1" t="s">
        <v>24</v>
      </c>
      <c r="B25" s="2">
        <v>43803</v>
      </c>
      <c r="C25" s="46">
        <v>1</v>
      </c>
      <c r="D25" s="47">
        <v>237.59</v>
      </c>
      <c r="E25" s="61">
        <f>Sayfa2!$D25*Sayfa2!$C25</f>
        <v>237.59</v>
      </c>
      <c r="F25" s="62">
        <f t="shared" si="0"/>
        <v>45408</v>
      </c>
      <c r="G25" s="63">
        <f>Tablo2[[#This Row],[adet]]</f>
        <v>1</v>
      </c>
      <c r="H25" s="64">
        <f>H24</f>
        <v>2384.1799999999998</v>
      </c>
      <c r="I25" s="51">
        <f>Sayfa2!$H25*Sayfa2!$G25</f>
        <v>2384.1799999999998</v>
      </c>
      <c r="J25" s="46">
        <f t="shared" si="1"/>
        <v>2146.5899999999997</v>
      </c>
      <c r="K25" s="65">
        <f>Sayfa2!$J25*Sayfa2!$C25</f>
        <v>2146.5899999999997</v>
      </c>
      <c r="L25" s="66">
        <f t="shared" si="2"/>
        <v>1605</v>
      </c>
      <c r="M25" s="67">
        <f t="shared" si="3"/>
        <v>9.0348499515972875</v>
      </c>
      <c r="N25" s="67">
        <f t="shared" si="4"/>
        <v>0.16887570002985583</v>
      </c>
      <c r="O25" s="68"/>
      <c r="P25" s="6">
        <f>SUM(P20:P24)</f>
        <v>264643.98</v>
      </c>
      <c r="R25" s="1">
        <f>P25/2220.32</f>
        <v>119.19181919723282</v>
      </c>
    </row>
    <row r="26" spans="1:20">
      <c r="A26" s="1" t="s">
        <v>25</v>
      </c>
      <c r="B26" s="2">
        <v>44784</v>
      </c>
      <c r="C26" s="46">
        <v>298.8</v>
      </c>
      <c r="D26" s="47">
        <v>18.721599999999999</v>
      </c>
      <c r="E26" s="61">
        <f>Sayfa2!$D26*Sayfa2!$C26</f>
        <v>5594.0140799999999</v>
      </c>
      <c r="F26" s="62">
        <f t="shared" si="0"/>
        <v>45408</v>
      </c>
      <c r="G26" s="63">
        <f>Tablo2[[#This Row],[adet]]</f>
        <v>298.8</v>
      </c>
      <c r="H26" s="64">
        <f>Sayfa4!E5</f>
        <v>34.280099999999997</v>
      </c>
      <c r="I26" s="51">
        <f>Sayfa2!$H26*Sayfa2!$G26</f>
        <v>10242.89388</v>
      </c>
      <c r="J26" s="46">
        <f t="shared" si="1"/>
        <v>15.558499999999999</v>
      </c>
      <c r="K26" s="65">
        <f>Sayfa2!$J26*Sayfa2!$C26</f>
        <v>4648.8797999999997</v>
      </c>
      <c r="L26" s="66">
        <f t="shared" si="2"/>
        <v>624</v>
      </c>
      <c r="M26" s="67">
        <f t="shared" si="3"/>
        <v>0.83104542346807964</v>
      </c>
      <c r="N26" s="67">
        <f t="shared" si="4"/>
        <v>3.9954106897503831E-2</v>
      </c>
      <c r="O26" s="68"/>
      <c r="P26" s="1">
        <f>P25*Q26</f>
        <v>26464.398000000001</v>
      </c>
      <c r="Q26" s="74">
        <v>0.1</v>
      </c>
      <c r="T26" s="1">
        <v>2300</v>
      </c>
    </row>
    <row r="27" spans="1:20">
      <c r="A27" s="1" t="s">
        <v>26</v>
      </c>
      <c r="B27" s="2">
        <v>44774</v>
      </c>
      <c r="C27" s="46">
        <v>1110</v>
      </c>
      <c r="D27" s="47">
        <v>15</v>
      </c>
      <c r="E27" s="61">
        <f>Sayfa2!$D27*Sayfa2!$C27</f>
        <v>16650</v>
      </c>
      <c r="F27" s="62">
        <f t="shared" si="0"/>
        <v>45408</v>
      </c>
      <c r="G27" s="63">
        <f>Tablo2[[#This Row],[adet]]</f>
        <v>1110</v>
      </c>
      <c r="H27" s="64">
        <f>Sayfa4!C5</f>
        <v>31.948</v>
      </c>
      <c r="I27" s="51">
        <f>Sayfa2!$H27*Sayfa2!$G27</f>
        <v>35462.28</v>
      </c>
      <c r="J27" s="46">
        <f t="shared" si="1"/>
        <v>16.948</v>
      </c>
      <c r="K27" s="65">
        <f>Sayfa2!$J27*Sayfa2!$C27</f>
        <v>18812.28</v>
      </c>
      <c r="L27" s="66">
        <f t="shared" si="2"/>
        <v>634</v>
      </c>
      <c r="M27" s="67">
        <f t="shared" si="3"/>
        <v>1.1298666666666666</v>
      </c>
      <c r="N27" s="67">
        <f t="shared" si="4"/>
        <v>5.3463722397476335E-2</v>
      </c>
      <c r="O27" s="69">
        <f>SUM(K20:K27)</f>
        <v>268527.5098</v>
      </c>
      <c r="P27" s="6">
        <f>SUM(P25:P26)</f>
        <v>291108.37799999997</v>
      </c>
      <c r="R27" s="1">
        <f>P27/2000</f>
        <v>145.55418899999998</v>
      </c>
      <c r="T27" s="1">
        <f>P25/T26</f>
        <v>115.06259999999999</v>
      </c>
    </row>
    <row r="28" spans="1:20">
      <c r="A28" s="32"/>
      <c r="B28" s="26"/>
      <c r="C28" s="70"/>
      <c r="D28" s="71"/>
      <c r="E28" s="72"/>
      <c r="F28" s="75"/>
      <c r="G28" s="76"/>
      <c r="H28" s="77"/>
      <c r="I28" s="29"/>
      <c r="J28" s="70"/>
      <c r="K28" s="32"/>
      <c r="L28" s="32"/>
      <c r="M28" s="31"/>
      <c r="N28" s="31"/>
      <c r="O28" s="32"/>
      <c r="R28" s="67">
        <f>1-(R27/R25)</f>
        <v>-0.22117600000000004</v>
      </c>
    </row>
    <row r="29" spans="1:20">
      <c r="E29" s="78"/>
      <c r="F29" s="79"/>
      <c r="G29" s="80"/>
      <c r="H29" s="81"/>
      <c r="M29" s="67"/>
    </row>
    <row r="30" spans="1:20">
      <c r="C30" s="52"/>
      <c r="E30" s="78"/>
      <c r="F30" s="79"/>
      <c r="G30" s="80"/>
      <c r="H30" s="81"/>
      <c r="M30" s="67"/>
      <c r="N30" s="67"/>
      <c r="R30" s="1">
        <f>R27*2220.32</f>
        <v>323176.87692047999</v>
      </c>
    </row>
    <row r="31" spans="1:20">
      <c r="A31" s="33" t="s">
        <v>4</v>
      </c>
      <c r="B31" s="35"/>
      <c r="C31" s="82"/>
      <c r="D31" s="41"/>
      <c r="E31" s="83"/>
      <c r="F31" s="84"/>
      <c r="G31" s="85"/>
      <c r="H31" s="86"/>
      <c r="I31" s="34"/>
      <c r="J31" s="36"/>
      <c r="K31" s="34"/>
      <c r="L31" s="41"/>
      <c r="M31" s="87"/>
      <c r="N31" s="88" t="s">
        <v>27</v>
      </c>
      <c r="O31" s="89">
        <f>SUM(O33:O77)</f>
        <v>18500.177387000014</v>
      </c>
    </row>
    <row r="32" spans="1:20">
      <c r="A32" s="41"/>
      <c r="C32" s="52"/>
      <c r="E32" s="78"/>
      <c r="F32" s="79"/>
      <c r="G32" s="80"/>
      <c r="H32" s="81"/>
      <c r="K32" s="6"/>
      <c r="M32" s="67"/>
      <c r="N32" s="67"/>
      <c r="O32" s="68"/>
    </row>
    <row r="33" spans="1:15">
      <c r="A33" s="41" t="s">
        <v>28</v>
      </c>
      <c r="B33" s="2">
        <v>44784</v>
      </c>
      <c r="C33" s="46">
        <v>23.19</v>
      </c>
      <c r="D33" s="47">
        <v>18.721599999999999</v>
      </c>
      <c r="E33" s="61">
        <f>Sayfa2!$D33*Sayfa2!$C33</f>
        <v>434.15390400000001</v>
      </c>
      <c r="F33" s="2">
        <v>45350</v>
      </c>
      <c r="G33" s="90">
        <v>23.19</v>
      </c>
      <c r="H33" s="91">
        <v>33.222900000000003</v>
      </c>
      <c r="I33" s="51">
        <f>Sayfa2!$H33*Sayfa2!$G33</f>
        <v>770.43905100000006</v>
      </c>
      <c r="J33" s="46">
        <f>H33-D33</f>
        <v>14.501300000000004</v>
      </c>
      <c r="K33" s="65">
        <f>Sayfa2!$J33*Sayfa2!$C33</f>
        <v>336.28514700000011</v>
      </c>
      <c r="L33" s="66">
        <f>F33-B33</f>
        <v>566</v>
      </c>
      <c r="M33" s="67">
        <f>K33/E33</f>
        <v>0.77457589094949175</v>
      </c>
      <c r="N33" s="67">
        <f>M33/L33*30</f>
        <v>4.1055259237605571E-2</v>
      </c>
      <c r="O33" s="68"/>
    </row>
    <row r="34" spans="1:15">
      <c r="A34" s="41" t="s">
        <v>29</v>
      </c>
      <c r="B34" s="2">
        <v>44784</v>
      </c>
      <c r="C34" s="46">
        <v>18.010000000000002</v>
      </c>
      <c r="D34" s="47">
        <v>18.721599999999999</v>
      </c>
      <c r="E34" s="61">
        <f>Sayfa2!$D34*Sayfa2!$C34</f>
        <v>337.176016</v>
      </c>
      <c r="F34" s="2">
        <v>45341</v>
      </c>
      <c r="G34" s="49">
        <v>18.010000000000002</v>
      </c>
      <c r="H34" s="92">
        <v>32.381999999999998</v>
      </c>
      <c r="I34" s="51">
        <f>Sayfa2!$H34*Sayfa2!$G34</f>
        <v>583.19982000000005</v>
      </c>
      <c r="J34" s="46">
        <f>H34-D34</f>
        <v>13.660399999999999</v>
      </c>
      <c r="K34" s="65">
        <f>Sayfa2!$J34*Sayfa2!$C34</f>
        <v>246.02380400000001</v>
      </c>
      <c r="L34" s="66">
        <f>F34-B34</f>
        <v>557</v>
      </c>
      <c r="M34" s="67">
        <f>K34/E34</f>
        <v>0.72965985813178369</v>
      </c>
      <c r="N34" s="67">
        <f>M34/L34*30</f>
        <v>3.9299453759342032E-2</v>
      </c>
      <c r="O34" s="69">
        <f>SUM(K33:K34)</f>
        <v>582.30895100000009</v>
      </c>
    </row>
    <row r="35" spans="1:15">
      <c r="A35" s="41"/>
      <c r="O35" s="68"/>
    </row>
    <row r="36" spans="1:15">
      <c r="A36" s="1" t="s">
        <v>24</v>
      </c>
      <c r="B36" s="2">
        <v>45219</v>
      </c>
      <c r="C36" s="46">
        <v>5</v>
      </c>
      <c r="D36" s="47">
        <v>1826.53</v>
      </c>
      <c r="E36" s="61">
        <f>Sayfa2!$D36*Sayfa2!$C36</f>
        <v>9132.65</v>
      </c>
      <c r="F36" s="62">
        <v>45384</v>
      </c>
      <c r="G36" s="63">
        <v>5</v>
      </c>
      <c r="H36" s="64">
        <v>2282.83</v>
      </c>
      <c r="I36" s="51">
        <f>Sayfa2!$H36*Sayfa2!$G36</f>
        <v>11414.15</v>
      </c>
      <c r="J36" s="46">
        <f>H36-D36</f>
        <v>456.29999999999995</v>
      </c>
      <c r="K36" s="65">
        <f>Sayfa2!$J36*Sayfa2!$C36</f>
        <v>2281.5</v>
      </c>
      <c r="L36" s="66">
        <f>F36-B36</f>
        <v>165</v>
      </c>
      <c r="M36" s="67">
        <f>K36/E36</f>
        <v>0.24981796083283606</v>
      </c>
      <c r="N36" s="67">
        <f>M36/L36*30</f>
        <v>4.5421447424152009E-2</v>
      </c>
      <c r="O36" s="93">
        <f>Tablo2[[#This Row],[Tutar2]]</f>
        <v>2281.5</v>
      </c>
    </row>
    <row r="37" spans="1:15">
      <c r="A37" s="41"/>
      <c r="O37" s="68"/>
    </row>
    <row r="38" spans="1:15">
      <c r="A38" s="41" t="s">
        <v>30</v>
      </c>
      <c r="B38" s="2">
        <v>45350</v>
      </c>
      <c r="C38" s="46">
        <v>68</v>
      </c>
      <c r="D38" s="47">
        <v>11.33</v>
      </c>
      <c r="E38" s="56">
        <f>Sayfa2!$D38*Sayfa2!$C38</f>
        <v>770.44</v>
      </c>
      <c r="F38" s="62">
        <v>45370</v>
      </c>
      <c r="G38" s="63">
        <v>68</v>
      </c>
      <c r="H38" s="64">
        <v>19.690000000000001</v>
      </c>
      <c r="I38" s="51">
        <f>Sayfa2!$H38*Sayfa2!$G38</f>
        <v>1338.92</v>
      </c>
      <c r="J38" s="46">
        <f>H38-D38</f>
        <v>8.3600000000000012</v>
      </c>
      <c r="K38" s="65">
        <f>Sayfa2!$J38*Sayfa2!$C38</f>
        <v>568.48000000000013</v>
      </c>
      <c r="L38" s="66">
        <f>F38-B38</f>
        <v>20</v>
      </c>
      <c r="M38" s="67">
        <f>K38/E38</f>
        <v>0.73786407766990303</v>
      </c>
      <c r="N38" s="67">
        <f>M38/L38*30</f>
        <v>1.1067961165048545</v>
      </c>
      <c r="O38" s="68"/>
    </row>
    <row r="39" spans="1:15">
      <c r="A39" s="41" t="s">
        <v>30</v>
      </c>
      <c r="C39" s="46"/>
      <c r="D39" s="47"/>
      <c r="E39" s="56"/>
      <c r="F39" s="62"/>
      <c r="G39" s="63"/>
      <c r="H39" s="64"/>
      <c r="I39" s="51"/>
      <c r="J39" s="46"/>
      <c r="K39" s="65">
        <v>-2.81</v>
      </c>
      <c r="L39" s="66"/>
      <c r="M39" s="67"/>
      <c r="N39" s="67"/>
      <c r="O39" s="68"/>
    </row>
    <row r="40" spans="1:15">
      <c r="A40" s="94" t="s">
        <v>31</v>
      </c>
      <c r="B40" s="48">
        <v>45344</v>
      </c>
      <c r="C40" s="46">
        <v>15</v>
      </c>
      <c r="D40" s="47">
        <v>39.24</v>
      </c>
      <c r="E40" s="56">
        <f>Sayfa2!$D40*Sayfa2!$C40</f>
        <v>588.6</v>
      </c>
      <c r="F40" s="95">
        <v>45362</v>
      </c>
      <c r="G40" s="96">
        <v>15</v>
      </c>
      <c r="H40" s="97">
        <v>55.6</v>
      </c>
      <c r="I40" s="51">
        <f>Sayfa2!$H40*Sayfa2!$G40</f>
        <v>834</v>
      </c>
      <c r="J40" s="46">
        <f>H40-D40</f>
        <v>16.36</v>
      </c>
      <c r="K40" s="56">
        <f>Sayfa2!$J40*Sayfa2!$C40</f>
        <v>245.39999999999998</v>
      </c>
      <c r="L40" s="98">
        <f>F40-B40</f>
        <v>18</v>
      </c>
      <c r="M40" s="99">
        <f>K40/E40</f>
        <v>0.41692150866462785</v>
      </c>
      <c r="N40" s="99">
        <f>M40/L40*30</f>
        <v>0.69486918110771312</v>
      </c>
      <c r="O40" s="100"/>
    </row>
    <row r="41" spans="1:15">
      <c r="A41" s="94" t="s">
        <v>32</v>
      </c>
      <c r="B41" s="48"/>
      <c r="C41" s="46"/>
      <c r="D41" s="47"/>
      <c r="E41" s="56"/>
      <c r="F41" s="95"/>
      <c r="G41" s="96"/>
      <c r="H41" s="97"/>
      <c r="I41" s="51"/>
      <c r="J41" s="46"/>
      <c r="K41" s="56">
        <v>-1.75</v>
      </c>
      <c r="L41" s="98"/>
      <c r="M41" s="101"/>
      <c r="N41" s="99"/>
      <c r="O41" s="100"/>
    </row>
    <row r="42" spans="1:15">
      <c r="A42" s="94" t="s">
        <v>33</v>
      </c>
      <c r="B42" s="48">
        <v>45344</v>
      </c>
      <c r="C42" s="46">
        <v>12</v>
      </c>
      <c r="D42" s="47">
        <v>19.45</v>
      </c>
      <c r="E42" s="56">
        <f>Sayfa2!$D42*Sayfa2!$C42</f>
        <v>233.39999999999998</v>
      </c>
      <c r="F42" s="95">
        <v>45364</v>
      </c>
      <c r="G42" s="96">
        <v>12</v>
      </c>
      <c r="H42" s="97">
        <v>45.72</v>
      </c>
      <c r="I42" s="51">
        <f>Sayfa2!$H42*Sayfa2!$G42</f>
        <v>548.64</v>
      </c>
      <c r="J42" s="46">
        <f>H42-D42</f>
        <v>26.27</v>
      </c>
      <c r="K42" s="56">
        <f>Sayfa2!$J42*Sayfa2!$C42</f>
        <v>315.24</v>
      </c>
      <c r="L42" s="98">
        <f>F42-B42</f>
        <v>20</v>
      </c>
      <c r="M42" s="99">
        <f>K42/E42</f>
        <v>1.3506426735218511</v>
      </c>
      <c r="N42" s="99">
        <f>M42/L42*30</f>
        <v>2.0259640102827765</v>
      </c>
      <c r="O42" s="68"/>
    </row>
    <row r="43" spans="1:15">
      <c r="A43" s="94" t="s">
        <v>34</v>
      </c>
      <c r="B43" s="48"/>
      <c r="C43" s="46"/>
      <c r="D43" s="47"/>
      <c r="E43" s="56"/>
      <c r="F43" s="95"/>
      <c r="G43" s="96"/>
      <c r="H43" s="97"/>
      <c r="I43" s="51"/>
      <c r="J43" s="46"/>
      <c r="K43" s="56">
        <v>-1.1599999999999999</v>
      </c>
      <c r="L43" s="98"/>
      <c r="M43" s="101"/>
      <c r="N43" s="99"/>
      <c r="O43" s="68"/>
    </row>
    <row r="44" spans="1:15">
      <c r="A44" s="41" t="s">
        <v>35</v>
      </c>
      <c r="B44" s="2">
        <v>45341</v>
      </c>
      <c r="C44" s="46">
        <v>36</v>
      </c>
      <c r="D44" s="47">
        <v>16.2</v>
      </c>
      <c r="E44" s="61">
        <f>Sayfa2!$D44*Sayfa2!$C44</f>
        <v>583.19999999999993</v>
      </c>
      <c r="F44" s="2">
        <v>45356</v>
      </c>
      <c r="G44" s="49">
        <v>36</v>
      </c>
      <c r="H44" s="92">
        <v>38</v>
      </c>
      <c r="I44" s="51">
        <f>Sayfa2!$H44*Sayfa2!$G44</f>
        <v>1368</v>
      </c>
      <c r="J44" s="46">
        <f>H44-D44</f>
        <v>21.8</v>
      </c>
      <c r="K44" s="102">
        <f>Sayfa2!$J44*Sayfa2!$C44</f>
        <v>784.80000000000007</v>
      </c>
      <c r="L44" s="66">
        <f>F44-B44</f>
        <v>15</v>
      </c>
      <c r="M44" s="67">
        <f>K44/E44</f>
        <v>1.3456790123456792</v>
      </c>
      <c r="N44" s="67">
        <f>M44/L44*30</f>
        <v>2.6913580246913584</v>
      </c>
      <c r="O44" s="103"/>
    </row>
    <row r="45" spans="1:15">
      <c r="A45" s="41" t="s">
        <v>36</v>
      </c>
      <c r="C45" s="46"/>
      <c r="D45" s="47"/>
      <c r="E45" s="61"/>
      <c r="G45" s="49"/>
      <c r="H45" s="92"/>
      <c r="I45" s="51"/>
      <c r="J45" s="46"/>
      <c r="K45" s="102">
        <v>-2.88</v>
      </c>
      <c r="L45" s="66"/>
      <c r="M45" s="67"/>
      <c r="N45" s="67"/>
      <c r="O45" s="103"/>
    </row>
    <row r="46" spans="1:15">
      <c r="A46" s="41" t="s">
        <v>37</v>
      </c>
      <c r="B46" s="2">
        <v>45222</v>
      </c>
      <c r="C46" s="3">
        <v>9</v>
      </c>
      <c r="D46" s="1">
        <v>130</v>
      </c>
      <c r="E46" s="61">
        <f>Sayfa2!$D46*Sayfa2!$C46</f>
        <v>1170</v>
      </c>
      <c r="F46" s="104">
        <v>45334</v>
      </c>
      <c r="G46" s="46">
        <v>9</v>
      </c>
      <c r="H46" s="105">
        <v>145.5</v>
      </c>
      <c r="I46" s="51">
        <f>Sayfa2!$H46*Sayfa2!$G46</f>
        <v>1309.5</v>
      </c>
      <c r="J46" s="106">
        <f>H46-D46</f>
        <v>15.5</v>
      </c>
      <c r="K46" s="65">
        <f>Sayfa2!$J46*Sayfa2!$G46</f>
        <v>139.5</v>
      </c>
      <c r="L46" s="66">
        <f>F46-B46</f>
        <v>112</v>
      </c>
      <c r="M46" s="67">
        <f>K46/E46</f>
        <v>0.11923076923076924</v>
      </c>
      <c r="N46" s="67">
        <f>K46/E46</f>
        <v>0.11923076923076924</v>
      </c>
      <c r="O46" s="103"/>
    </row>
    <row r="47" spans="1:15">
      <c r="A47" s="41" t="s">
        <v>37</v>
      </c>
      <c r="B47" s="2">
        <v>45271</v>
      </c>
      <c r="C47" s="3">
        <v>10</v>
      </c>
      <c r="D47" s="1">
        <v>144.001</v>
      </c>
      <c r="E47" s="61">
        <f>Sayfa2!$D47*Sayfa2!$C47</f>
        <v>1440.01</v>
      </c>
      <c r="F47" s="104">
        <v>45334</v>
      </c>
      <c r="G47" s="46">
        <v>10</v>
      </c>
      <c r="H47" s="105">
        <v>145.5</v>
      </c>
      <c r="I47" s="51">
        <f>Sayfa2!$H47*Sayfa2!$G47</f>
        <v>1455</v>
      </c>
      <c r="J47" s="106">
        <f>H47-D47</f>
        <v>1.4989999999999952</v>
      </c>
      <c r="K47" s="65">
        <f>Sayfa2!$J47*Sayfa2!$G47</f>
        <v>14.989999999999952</v>
      </c>
      <c r="L47" s="66">
        <f>F47-B47</f>
        <v>63</v>
      </c>
      <c r="M47" s="67">
        <f>K47/E47</f>
        <v>1.0409649932986544E-2</v>
      </c>
      <c r="N47" s="67">
        <f>K47/E47</f>
        <v>1.0409649932986544E-2</v>
      </c>
      <c r="O47" s="103"/>
    </row>
    <row r="48" spans="1:15">
      <c r="A48" s="41" t="s">
        <v>37</v>
      </c>
      <c r="B48" s="2">
        <v>45288</v>
      </c>
      <c r="C48" s="3">
        <v>20</v>
      </c>
      <c r="D48" s="1">
        <v>115.34</v>
      </c>
      <c r="E48" s="61">
        <f>Sayfa2!$D48*Sayfa2!$C48</f>
        <v>2306.8000000000002</v>
      </c>
      <c r="F48" s="104">
        <v>45334</v>
      </c>
      <c r="G48" s="46">
        <v>20</v>
      </c>
      <c r="H48" s="105">
        <v>145.5</v>
      </c>
      <c r="I48" s="51">
        <f>Sayfa2!$H48*Sayfa2!$G48</f>
        <v>2910</v>
      </c>
      <c r="J48" s="106">
        <f>H48-D48</f>
        <v>30.159999999999997</v>
      </c>
      <c r="K48" s="65">
        <f>Sayfa2!$J48*Sayfa2!$G48</f>
        <v>603.19999999999993</v>
      </c>
      <c r="L48" s="66">
        <f>F48-B48</f>
        <v>46</v>
      </c>
      <c r="M48" s="67">
        <f>K48/E48</f>
        <v>0.26148777527310557</v>
      </c>
      <c r="N48" s="67">
        <f>K48/E48</f>
        <v>0.26148777527310557</v>
      </c>
      <c r="O48" s="103"/>
    </row>
    <row r="49" spans="1:16">
      <c r="A49" s="41" t="s">
        <v>38</v>
      </c>
      <c r="B49" s="2">
        <v>45335</v>
      </c>
      <c r="C49" s="3">
        <v>313</v>
      </c>
      <c r="D49" s="3">
        <v>190.8</v>
      </c>
      <c r="E49" s="61">
        <f>Sayfa2!$D49*Sayfa2!$C49</f>
        <v>59720.4</v>
      </c>
      <c r="F49" s="2">
        <v>45337</v>
      </c>
      <c r="G49" s="46">
        <v>313</v>
      </c>
      <c r="H49" s="1">
        <v>203.3</v>
      </c>
      <c r="I49" s="51">
        <f>Sayfa2!$H49*Sayfa2!$G49</f>
        <v>63632.9</v>
      </c>
      <c r="J49" s="46">
        <f>H49-D49</f>
        <v>12.5</v>
      </c>
      <c r="K49" s="65">
        <f>Sayfa2!$J49*Sayfa2!$G49</f>
        <v>3912.5</v>
      </c>
      <c r="L49" s="66">
        <f>F49-B49</f>
        <v>2</v>
      </c>
      <c r="M49" s="67">
        <f>K49/E49</f>
        <v>6.5513626834381555E-2</v>
      </c>
      <c r="N49" s="67">
        <f>M49/L49*30</f>
        <v>0.98270440251572333</v>
      </c>
      <c r="O49" s="103"/>
    </row>
    <row r="50" spans="1:16">
      <c r="A50" s="41" t="s">
        <v>39</v>
      </c>
      <c r="E50" s="61">
        <f>Sayfa2!$D50*Sayfa2!$C50</f>
        <v>0</v>
      </c>
      <c r="F50" s="48"/>
      <c r="I50" s="51">
        <f>Sayfa2!$H50*Sayfa2!$G50</f>
        <v>0</v>
      </c>
      <c r="J50" s="3">
        <v>-133.63</v>
      </c>
      <c r="K50" s="65">
        <f>Sayfa2!$J50*Sayfa2!$G50</f>
        <v>0</v>
      </c>
      <c r="M50" s="67"/>
      <c r="N50" s="67"/>
      <c r="O50" s="103"/>
    </row>
    <row r="51" spans="1:16">
      <c r="A51" s="41" t="s">
        <v>40</v>
      </c>
      <c r="B51" s="48">
        <v>45267</v>
      </c>
      <c r="C51" s="52">
        <v>10</v>
      </c>
      <c r="D51" s="1">
        <v>49.18</v>
      </c>
      <c r="E51" s="61">
        <f>Sayfa2!$D51*Sayfa2!$C51</f>
        <v>491.8</v>
      </c>
      <c r="F51" s="48">
        <v>45327</v>
      </c>
      <c r="G51" s="52">
        <v>10</v>
      </c>
      <c r="H51" s="55">
        <v>52</v>
      </c>
      <c r="I51" s="51">
        <f>Sayfa2!$H51*Sayfa2!$G51</f>
        <v>520</v>
      </c>
      <c r="J51" s="6">
        <f>H51-D51</f>
        <v>2.8200000000000003</v>
      </c>
      <c r="K51" s="65">
        <f>Sayfa2!$J51*Sayfa2!$G51</f>
        <v>28.200000000000003</v>
      </c>
      <c r="L51" s="66">
        <f>F51-B51</f>
        <v>60</v>
      </c>
      <c r="M51" s="67">
        <f>K51/E51</f>
        <v>5.7340382269215132E-2</v>
      </c>
      <c r="N51" s="67">
        <f>M51/L51*30</f>
        <v>2.8670191134607566E-2</v>
      </c>
      <c r="O51" s="103"/>
      <c r="P51" s="3"/>
    </row>
    <row r="52" spans="1:16">
      <c r="A52" s="41" t="s">
        <v>41</v>
      </c>
      <c r="B52" s="2">
        <v>45267</v>
      </c>
      <c r="C52" s="3">
        <v>13</v>
      </c>
      <c r="D52" s="1">
        <v>28.3</v>
      </c>
      <c r="E52" s="61">
        <f>Sayfa2!$D52*Sayfa2!$C52</f>
        <v>367.90000000000003</v>
      </c>
      <c r="F52" s="2">
        <v>45313</v>
      </c>
      <c r="G52" s="46">
        <v>13</v>
      </c>
      <c r="H52" s="1">
        <v>41.6</v>
      </c>
      <c r="I52" s="51">
        <f>Sayfa2!$H52*Sayfa2!$G52</f>
        <v>540.80000000000007</v>
      </c>
      <c r="J52" s="6">
        <f>H52-D52</f>
        <v>13.3</v>
      </c>
      <c r="K52" s="65">
        <f>Sayfa2!$J52*Sayfa2!$G52</f>
        <v>172.9</v>
      </c>
      <c r="L52" s="107">
        <f>F52-B52</f>
        <v>46</v>
      </c>
      <c r="M52" s="67">
        <f>K52/E52</f>
        <v>0.46996466431095402</v>
      </c>
      <c r="N52" s="67">
        <f>M52/L52*30</f>
        <v>0.30649869411583958</v>
      </c>
      <c r="O52" s="103"/>
      <c r="P52" s="3"/>
    </row>
    <row r="53" spans="1:16">
      <c r="A53" s="108" t="s">
        <v>42</v>
      </c>
      <c r="B53" s="109">
        <v>45273</v>
      </c>
      <c r="C53" s="110">
        <v>26</v>
      </c>
      <c r="D53" s="111">
        <v>55.08</v>
      </c>
      <c r="E53" s="61">
        <f>Sayfa2!$D53*Sayfa2!$C53</f>
        <v>1432.08</v>
      </c>
      <c r="F53" s="2">
        <v>45313</v>
      </c>
      <c r="G53" s="46">
        <v>26</v>
      </c>
      <c r="H53" s="1">
        <v>51.4</v>
      </c>
      <c r="I53" s="51">
        <f>Sayfa2!$H53*Sayfa2!$G53</f>
        <v>1336.3999999999999</v>
      </c>
      <c r="J53" s="106">
        <f>H53-D53</f>
        <v>-3.6799999999999997</v>
      </c>
      <c r="K53" s="65">
        <f>Sayfa2!$J53*Sayfa2!$G53</f>
        <v>-95.679999999999993</v>
      </c>
      <c r="L53" s="55"/>
      <c r="M53" s="67">
        <f>K53/E53</f>
        <v>-6.6811909949164847E-2</v>
      </c>
      <c r="N53" s="67"/>
      <c r="O53" s="103"/>
      <c r="P53" s="3"/>
    </row>
    <row r="54" spans="1:16">
      <c r="A54" s="41" t="s">
        <v>43</v>
      </c>
      <c r="B54" s="2">
        <v>45288</v>
      </c>
      <c r="C54" s="3">
        <v>100</v>
      </c>
      <c r="D54" s="1">
        <v>39.5</v>
      </c>
      <c r="E54" s="61">
        <f>Sayfa2!$D54*Sayfa2!$C54</f>
        <v>3950</v>
      </c>
      <c r="F54" s="2">
        <v>45313</v>
      </c>
      <c r="G54" s="46">
        <v>100</v>
      </c>
      <c r="H54" s="1">
        <v>51.4</v>
      </c>
      <c r="I54" s="51">
        <f>Sayfa2!$H54*Sayfa2!$G54</f>
        <v>5140</v>
      </c>
      <c r="J54" s="106">
        <f>H54-D54</f>
        <v>11.899999999999999</v>
      </c>
      <c r="K54" s="65">
        <f>Sayfa2!$J54*Sayfa2!$G54</f>
        <v>1189.9999999999998</v>
      </c>
      <c r="L54" s="107">
        <f>F54-B54</f>
        <v>25</v>
      </c>
      <c r="M54" s="67">
        <f>K54/E54</f>
        <v>0.30126582278481007</v>
      </c>
      <c r="N54" s="67">
        <f>M54/L54*30</f>
        <v>0.36151898734177207</v>
      </c>
      <c r="O54" s="69">
        <f>SUM(K38:K54)</f>
        <v>7870.9299999999994</v>
      </c>
    </row>
    <row r="55" spans="1:16">
      <c r="A55" s="41"/>
      <c r="E55" s="61"/>
      <c r="G55" s="46"/>
      <c r="H55" s="1"/>
      <c r="I55" s="51"/>
      <c r="J55" s="106"/>
      <c r="K55" s="65"/>
      <c r="L55" s="107"/>
      <c r="M55" s="112"/>
      <c r="N55" s="67"/>
      <c r="O55" s="103"/>
    </row>
    <row r="56" spans="1:16">
      <c r="A56" s="41"/>
      <c r="E56" s="61"/>
      <c r="G56" s="46"/>
      <c r="H56" s="1"/>
      <c r="I56" s="51"/>
      <c r="J56" s="106"/>
      <c r="K56" s="65"/>
      <c r="L56" s="107"/>
      <c r="M56" s="112"/>
      <c r="N56" s="67"/>
      <c r="O56" s="103"/>
    </row>
    <row r="57" spans="1:16">
      <c r="A57" s="41" t="s">
        <v>44</v>
      </c>
      <c r="B57" s="2">
        <v>45344</v>
      </c>
      <c r="C57" s="46">
        <v>12</v>
      </c>
      <c r="D57" s="47">
        <v>571.10522800000001</v>
      </c>
      <c r="E57" s="61">
        <f>Sayfa2!$D57*Sayfa2!$C57</f>
        <v>6853.2627360000006</v>
      </c>
      <c r="F57" s="2">
        <v>45357</v>
      </c>
      <c r="G57" s="49">
        <v>12</v>
      </c>
      <c r="H57" s="92">
        <v>580.05924800000003</v>
      </c>
      <c r="I57" s="51">
        <f>Sayfa2!$H57*Sayfa2!$G57</f>
        <v>6960.7109760000003</v>
      </c>
      <c r="J57" s="46">
        <f t="shared" ref="J57:J75" si="5">H57-D57</f>
        <v>8.9540200000000141</v>
      </c>
      <c r="K57" s="65">
        <f>Sayfa2!$J57*Sayfa2!$C57</f>
        <v>107.44824000000017</v>
      </c>
      <c r="L57" s="66">
        <f t="shared" ref="L57:L75" si="6">F57-B57</f>
        <v>13</v>
      </c>
      <c r="M57" s="67">
        <f t="shared" ref="M57:M76" si="7">K57/E57</f>
        <v>1.5678406642076849E-2</v>
      </c>
      <c r="N57" s="67">
        <f t="shared" ref="N57:N69" si="8">M57/L57*30</f>
        <v>3.618093840479273E-2</v>
      </c>
      <c r="O57" s="103"/>
    </row>
    <row r="58" spans="1:16">
      <c r="A58" s="41" t="s">
        <v>44</v>
      </c>
      <c r="B58" s="2">
        <v>45344</v>
      </c>
      <c r="C58" s="46">
        <v>22</v>
      </c>
      <c r="D58" s="47">
        <v>571.10522800000001</v>
      </c>
      <c r="E58" s="61">
        <f>Sayfa2!$D58*Sayfa2!$C58</f>
        <v>12564.315016</v>
      </c>
      <c r="F58" s="2">
        <v>45357</v>
      </c>
      <c r="G58" s="49">
        <v>10</v>
      </c>
      <c r="H58" s="92">
        <v>580.05924800000003</v>
      </c>
      <c r="I58" s="51">
        <f>Sayfa2!$H58*Sayfa2!$G58</f>
        <v>5800.5924800000003</v>
      </c>
      <c r="J58" s="46">
        <f t="shared" si="5"/>
        <v>8.9540200000000141</v>
      </c>
      <c r="K58" s="65">
        <f>Sayfa2!$J58*Sayfa2!$C58</f>
        <v>196.98844000000031</v>
      </c>
      <c r="L58" s="66">
        <f t="shared" si="6"/>
        <v>13</v>
      </c>
      <c r="M58" s="67">
        <f t="shared" si="7"/>
        <v>1.5678406642076849E-2</v>
      </c>
      <c r="N58" s="67">
        <f t="shared" si="8"/>
        <v>3.618093840479273E-2</v>
      </c>
      <c r="O58" s="103"/>
    </row>
    <row r="59" spans="1:16">
      <c r="A59" s="41" t="s">
        <v>44</v>
      </c>
      <c r="B59" s="2">
        <v>45344</v>
      </c>
      <c r="C59" s="46">
        <v>11</v>
      </c>
      <c r="D59" s="47">
        <v>571.10522800000001</v>
      </c>
      <c r="E59" s="61">
        <f>Sayfa2!$D59*Sayfa2!$C59</f>
        <v>6282.1575080000002</v>
      </c>
      <c r="F59" s="2">
        <v>45356</v>
      </c>
      <c r="G59" s="49">
        <v>11</v>
      </c>
      <c r="H59" s="92">
        <v>580.05924800000003</v>
      </c>
      <c r="I59" s="51">
        <f>Sayfa2!$H59*Sayfa2!$G59</f>
        <v>6380.6517280000007</v>
      </c>
      <c r="J59" s="46">
        <f t="shared" si="5"/>
        <v>8.9540200000000141</v>
      </c>
      <c r="K59" s="65">
        <f>Sayfa2!$J59*Sayfa2!$C59</f>
        <v>98.494220000000155</v>
      </c>
      <c r="L59" s="66">
        <f t="shared" si="6"/>
        <v>12</v>
      </c>
      <c r="M59" s="67">
        <f t="shared" si="7"/>
        <v>1.5678406642076849E-2</v>
      </c>
      <c r="N59" s="67">
        <f t="shared" si="8"/>
        <v>3.9196016605192119E-2</v>
      </c>
      <c r="O59" s="103"/>
    </row>
    <row r="60" spans="1:16">
      <c r="A60" s="41" t="s">
        <v>44</v>
      </c>
      <c r="B60" s="2">
        <v>45355</v>
      </c>
      <c r="C60" s="46">
        <v>60</v>
      </c>
      <c r="D60" s="47">
        <v>578.66060300000004</v>
      </c>
      <c r="E60" s="61">
        <f>Sayfa2!$D60*Sayfa2!$C60</f>
        <v>34719.636180000001</v>
      </c>
      <c r="F60" s="2">
        <v>45356</v>
      </c>
      <c r="G60" s="49">
        <v>60</v>
      </c>
      <c r="H60" s="92">
        <v>580.05924800000003</v>
      </c>
      <c r="I60" s="51">
        <f>Sayfa2!$H60*Sayfa2!$G60</f>
        <v>34803.554880000003</v>
      </c>
      <c r="J60" s="46">
        <f t="shared" si="5"/>
        <v>1.3986449999999877</v>
      </c>
      <c r="K60" s="65">
        <f>Sayfa2!$J60*Sayfa2!$C60</f>
        <v>83.918699999999262</v>
      </c>
      <c r="L60" s="66">
        <f t="shared" si="6"/>
        <v>1</v>
      </c>
      <c r="M60" s="67">
        <f t="shared" si="7"/>
        <v>2.4170385762377323E-3</v>
      </c>
      <c r="N60" s="67">
        <f t="shared" si="8"/>
        <v>7.2511157287131964E-2</v>
      </c>
      <c r="O60" s="103"/>
    </row>
    <row r="61" spans="1:16">
      <c r="A61" s="41" t="s">
        <v>44</v>
      </c>
      <c r="B61" s="2">
        <v>45350</v>
      </c>
      <c r="C61" s="46">
        <v>24</v>
      </c>
      <c r="D61" s="47">
        <v>575.21535400000005</v>
      </c>
      <c r="E61" s="61">
        <f>Sayfa2!$D61*Sayfa2!$C61</f>
        <v>13805.168496000002</v>
      </c>
      <c r="F61" s="2">
        <v>45356</v>
      </c>
      <c r="G61" s="49">
        <v>24</v>
      </c>
      <c r="H61" s="92">
        <v>580.05924800000003</v>
      </c>
      <c r="I61" s="51">
        <f>Sayfa2!$H61*Sayfa2!$G61</f>
        <v>13921.421952000001</v>
      </c>
      <c r="J61" s="46">
        <f t="shared" si="5"/>
        <v>4.8438939999999775</v>
      </c>
      <c r="K61" s="65">
        <f>Sayfa2!$J61*Sayfa2!$C61</f>
        <v>116.25345599999946</v>
      </c>
      <c r="L61" s="66">
        <f t="shared" si="6"/>
        <v>6</v>
      </c>
      <c r="M61" s="67">
        <f t="shared" si="7"/>
        <v>8.4210095685310522E-3</v>
      </c>
      <c r="N61" s="67">
        <f t="shared" si="8"/>
        <v>4.2105047842655258E-2</v>
      </c>
      <c r="O61" s="103"/>
    </row>
    <row r="62" spans="1:16">
      <c r="A62" s="41" t="s">
        <v>45</v>
      </c>
      <c r="B62" s="2">
        <v>45344</v>
      </c>
      <c r="C62" s="46">
        <v>2</v>
      </c>
      <c r="D62" s="47">
        <v>571.10522800000001</v>
      </c>
      <c r="E62" s="61">
        <f>Sayfa2!$D62*Sayfa2!$C62</f>
        <v>1142.210456</v>
      </c>
      <c r="F62" s="2">
        <v>45347</v>
      </c>
      <c r="G62" s="49">
        <v>2</v>
      </c>
      <c r="H62" s="92">
        <v>573.835914</v>
      </c>
      <c r="I62" s="51">
        <f>Sayfa2!$H62*Sayfa2!$G62</f>
        <v>1147.671828</v>
      </c>
      <c r="J62" s="46">
        <f t="shared" si="5"/>
        <v>2.7306859999999915</v>
      </c>
      <c r="K62" s="102">
        <f>Sayfa2!$J62*Sayfa2!$G62</f>
        <v>5.461371999999983</v>
      </c>
      <c r="L62" s="66">
        <f t="shared" si="6"/>
        <v>3</v>
      </c>
      <c r="M62" s="67">
        <f t="shared" si="7"/>
        <v>4.7814060634023678E-3</v>
      </c>
      <c r="N62" s="67">
        <f t="shared" si="8"/>
        <v>4.7814060634023672E-2</v>
      </c>
      <c r="O62" s="103"/>
    </row>
    <row r="63" spans="1:16">
      <c r="A63" s="41" t="s">
        <v>46</v>
      </c>
      <c r="B63" s="2">
        <v>45344</v>
      </c>
      <c r="C63" s="46">
        <v>1</v>
      </c>
      <c r="D63" s="47">
        <v>571.10522800000001</v>
      </c>
      <c r="E63" s="61">
        <f>Sayfa2!$D63*Sayfa2!$C63</f>
        <v>571.10522800000001</v>
      </c>
      <c r="F63" s="2">
        <v>45350</v>
      </c>
      <c r="G63" s="49">
        <v>1</v>
      </c>
      <c r="H63" s="92">
        <v>573.835914</v>
      </c>
      <c r="I63" s="51">
        <f>Sayfa2!$H63*Sayfa2!$G63</f>
        <v>573.835914</v>
      </c>
      <c r="J63" s="46">
        <f t="shared" si="5"/>
        <v>2.7306859999999915</v>
      </c>
      <c r="K63" s="102">
        <f>Sayfa2!$J63*Sayfa2!$G63</f>
        <v>2.7306859999999915</v>
      </c>
      <c r="L63" s="66">
        <f t="shared" si="6"/>
        <v>6</v>
      </c>
      <c r="M63" s="67">
        <f t="shared" si="7"/>
        <v>4.7814060634023678E-3</v>
      </c>
      <c r="N63" s="67">
        <f t="shared" si="8"/>
        <v>2.3907030317011836E-2</v>
      </c>
      <c r="O63" s="103"/>
    </row>
    <row r="64" spans="1:16">
      <c r="A64" s="41" t="s">
        <v>47</v>
      </c>
      <c r="B64" s="2">
        <v>45344</v>
      </c>
      <c r="C64" s="46">
        <v>44</v>
      </c>
      <c r="D64" s="47">
        <v>571.10522800000001</v>
      </c>
      <c r="E64" s="61">
        <f>Sayfa2!$D64*Sayfa2!$C64</f>
        <v>25128.630032000001</v>
      </c>
      <c r="F64" s="2">
        <v>45350</v>
      </c>
      <c r="G64" s="49">
        <v>44</v>
      </c>
      <c r="H64" s="92">
        <v>573.835914</v>
      </c>
      <c r="I64" s="51">
        <f>Sayfa2!$H64*Sayfa2!$G64</f>
        <v>25248.780215999999</v>
      </c>
      <c r="J64" s="46">
        <f t="shared" si="5"/>
        <v>2.7306859999999915</v>
      </c>
      <c r="K64" s="102">
        <f>Sayfa2!$J64*Sayfa2!$G64</f>
        <v>120.15018399999963</v>
      </c>
      <c r="L64" s="66">
        <f t="shared" si="6"/>
        <v>6</v>
      </c>
      <c r="M64" s="67">
        <f t="shared" si="7"/>
        <v>4.7814060634023669E-3</v>
      </c>
      <c r="N64" s="67">
        <f t="shared" si="8"/>
        <v>2.3907030317011836E-2</v>
      </c>
      <c r="O64" s="103"/>
    </row>
    <row r="65" spans="1:15">
      <c r="A65" s="41" t="s">
        <v>47</v>
      </c>
      <c r="B65" s="2">
        <v>45341</v>
      </c>
      <c r="C65" s="46">
        <v>106</v>
      </c>
      <c r="D65" s="47">
        <v>569.09258399999999</v>
      </c>
      <c r="E65" s="61">
        <f>Sayfa2!$D65*Sayfa2!$C65</f>
        <v>60323.813903999995</v>
      </c>
      <c r="F65" s="2">
        <v>45350</v>
      </c>
      <c r="G65" s="49">
        <v>106</v>
      </c>
      <c r="H65" s="92">
        <v>573.835914</v>
      </c>
      <c r="I65" s="51">
        <f>Sayfa2!$H65*Sayfa2!$G65</f>
        <v>60826.606884000001</v>
      </c>
      <c r="J65" s="46">
        <f t="shared" si="5"/>
        <v>4.7433300000000145</v>
      </c>
      <c r="K65" s="102">
        <f>Sayfa2!$J65*Sayfa2!$G65</f>
        <v>502.79298000000153</v>
      </c>
      <c r="L65" s="66">
        <f t="shared" si="6"/>
        <v>9</v>
      </c>
      <c r="M65" s="67">
        <f t="shared" si="7"/>
        <v>8.3349003894241831E-3</v>
      </c>
      <c r="N65" s="67">
        <f t="shared" si="8"/>
        <v>2.778300129808061E-2</v>
      </c>
      <c r="O65" s="103"/>
    </row>
    <row r="66" spans="1:15">
      <c r="A66" s="41" t="s">
        <v>48</v>
      </c>
      <c r="B66" s="2">
        <v>45338</v>
      </c>
      <c r="C66" s="3">
        <v>64</v>
      </c>
      <c r="D66" s="1">
        <v>567.08235100000002</v>
      </c>
      <c r="E66" s="61">
        <f>Sayfa2!$D66*Sayfa2!$C66</f>
        <v>36293.270464000001</v>
      </c>
      <c r="F66" s="2">
        <v>45344</v>
      </c>
      <c r="G66" s="46">
        <v>64</v>
      </c>
      <c r="H66" s="1">
        <v>571.10522800000001</v>
      </c>
      <c r="I66" s="51">
        <f>Sayfa2!$H66*Sayfa2!$G66</f>
        <v>36550.734592000001</v>
      </c>
      <c r="J66" s="46">
        <f t="shared" si="5"/>
        <v>4.022876999999994</v>
      </c>
      <c r="K66" s="102">
        <f>Sayfa2!$J66*Sayfa2!$G66</f>
        <v>257.46412799999962</v>
      </c>
      <c r="L66" s="66">
        <f t="shared" si="6"/>
        <v>6</v>
      </c>
      <c r="M66" s="67">
        <f t="shared" si="7"/>
        <v>7.0939908337933691E-3</v>
      </c>
      <c r="N66" s="67">
        <f t="shared" si="8"/>
        <v>3.5469954168966845E-2</v>
      </c>
      <c r="O66" s="103"/>
    </row>
    <row r="67" spans="1:15">
      <c r="A67" s="41" t="s">
        <v>44</v>
      </c>
      <c r="B67" s="2">
        <v>45299</v>
      </c>
      <c r="C67" s="3">
        <v>50</v>
      </c>
      <c r="D67" s="1">
        <v>542.43450199999995</v>
      </c>
      <c r="E67" s="61">
        <f>Sayfa2!$D67*Sayfa2!$C67</f>
        <v>27121.725099999996</v>
      </c>
      <c r="F67" s="2">
        <v>45344</v>
      </c>
      <c r="G67" s="46">
        <v>50</v>
      </c>
      <c r="H67" s="1">
        <v>571.10522800000001</v>
      </c>
      <c r="I67" s="51">
        <f>Sayfa2!$H67*Sayfa2!$G67</f>
        <v>28555.261399999999</v>
      </c>
      <c r="J67" s="46">
        <f t="shared" si="5"/>
        <v>28.670726000000059</v>
      </c>
      <c r="K67" s="102">
        <f>Sayfa2!$J67*Sayfa2!$G67</f>
        <v>1433.5363000000029</v>
      </c>
      <c r="L67" s="66">
        <f t="shared" si="6"/>
        <v>45</v>
      </c>
      <c r="M67" s="67">
        <f t="shared" si="7"/>
        <v>5.2855645970690972E-2</v>
      </c>
      <c r="N67" s="67">
        <f t="shared" si="8"/>
        <v>3.5237097313793986E-2</v>
      </c>
      <c r="O67" s="103"/>
    </row>
    <row r="68" spans="1:15">
      <c r="A68" s="41" t="s">
        <v>44</v>
      </c>
      <c r="B68" s="2">
        <v>45321</v>
      </c>
      <c r="C68" s="3">
        <v>50</v>
      </c>
      <c r="D68" s="1">
        <v>555.950107</v>
      </c>
      <c r="E68" s="61">
        <f>Sayfa2!$D68*Sayfa2!$C68</f>
        <v>27797.505349999999</v>
      </c>
      <c r="F68" s="2">
        <v>45344</v>
      </c>
      <c r="G68" s="46">
        <v>50</v>
      </c>
      <c r="H68" s="1">
        <v>571.10522800000001</v>
      </c>
      <c r="I68" s="51">
        <f>Sayfa2!$H68*Sayfa2!$G68</f>
        <v>28555.261399999999</v>
      </c>
      <c r="J68" s="46">
        <f t="shared" si="5"/>
        <v>15.155121000000008</v>
      </c>
      <c r="K68" s="102">
        <f>Sayfa2!$J68*Sayfa2!$G68</f>
        <v>757.75605000000041</v>
      </c>
      <c r="L68" s="66">
        <f t="shared" si="6"/>
        <v>23</v>
      </c>
      <c r="M68" s="67">
        <f t="shared" si="7"/>
        <v>2.7259858050535473E-2</v>
      </c>
      <c r="N68" s="67">
        <f t="shared" si="8"/>
        <v>3.5556336587654967E-2</v>
      </c>
      <c r="O68" s="103"/>
    </row>
    <row r="69" spans="1:15">
      <c r="A69" s="41" t="s">
        <v>44</v>
      </c>
      <c r="B69" s="2">
        <v>45322</v>
      </c>
      <c r="C69" s="3">
        <v>16</v>
      </c>
      <c r="D69" s="1">
        <v>555.950107</v>
      </c>
      <c r="E69" s="61">
        <f>Sayfa2!$D69*Sayfa2!$C69</f>
        <v>8895.201712</v>
      </c>
      <c r="F69" s="2">
        <v>45344</v>
      </c>
      <c r="G69" s="46">
        <v>16</v>
      </c>
      <c r="H69" s="1">
        <v>571.10522800000001</v>
      </c>
      <c r="I69" s="51">
        <f>Sayfa2!$H69*Sayfa2!$G69</f>
        <v>9137.6836480000002</v>
      </c>
      <c r="J69" s="46">
        <f t="shared" si="5"/>
        <v>15.155121000000008</v>
      </c>
      <c r="K69" s="102">
        <f>Sayfa2!$J69*Sayfa2!$G69</f>
        <v>242.48193600000013</v>
      </c>
      <c r="L69" s="66">
        <f t="shared" si="6"/>
        <v>22</v>
      </c>
      <c r="M69" s="67">
        <f t="shared" si="7"/>
        <v>2.7259858050535473E-2</v>
      </c>
      <c r="N69" s="67">
        <f t="shared" si="8"/>
        <v>3.7172533705275651E-2</v>
      </c>
      <c r="O69" s="103"/>
    </row>
    <row r="70" spans="1:15">
      <c r="A70" s="41" t="s">
        <v>44</v>
      </c>
      <c r="B70" s="2">
        <v>45296</v>
      </c>
      <c r="C70" s="3">
        <v>110</v>
      </c>
      <c r="D70" s="1">
        <v>540.60110799999995</v>
      </c>
      <c r="E70" s="61">
        <f>Sayfa2!$D70*Sayfa2!$C70</f>
        <v>59466.121879999992</v>
      </c>
      <c r="F70" s="2">
        <v>45335</v>
      </c>
      <c r="G70" s="46">
        <v>110</v>
      </c>
      <c r="H70" s="1">
        <v>565.11282900000003</v>
      </c>
      <c r="I70" s="51">
        <f>Sayfa2!$H70*Sayfa2!$G70</f>
        <v>62162.411190000006</v>
      </c>
      <c r="J70" s="106">
        <f t="shared" si="5"/>
        <v>24.51172100000008</v>
      </c>
      <c r="K70" s="65">
        <f>Sayfa2!$J70*Sayfa2!$G70</f>
        <v>2696.2893100000088</v>
      </c>
      <c r="L70" s="66">
        <f t="shared" si="6"/>
        <v>39</v>
      </c>
      <c r="M70" s="67">
        <f t="shared" si="7"/>
        <v>4.5341603332415076E-2</v>
      </c>
      <c r="N70" s="67">
        <f>K70/E70</f>
        <v>4.5341603332415076E-2</v>
      </c>
      <c r="O70" s="103"/>
    </row>
    <row r="71" spans="1:15">
      <c r="A71" s="41" t="s">
        <v>44</v>
      </c>
      <c r="B71" s="2">
        <v>45322</v>
      </c>
      <c r="C71" s="3">
        <v>10</v>
      </c>
      <c r="D71" s="1">
        <v>555.950107</v>
      </c>
      <c r="E71" s="61">
        <f>Sayfa2!$D71*Sayfa2!$C71</f>
        <v>5559.5010700000003</v>
      </c>
      <c r="F71" s="2">
        <v>45334</v>
      </c>
      <c r="G71" s="46">
        <v>10</v>
      </c>
      <c r="H71" s="1">
        <v>564.45009800000003</v>
      </c>
      <c r="I71" s="51">
        <f>Sayfa2!$H71*Sayfa2!$G71</f>
        <v>5644.5009800000007</v>
      </c>
      <c r="J71" s="106">
        <f t="shared" si="5"/>
        <v>8.4999910000000227</v>
      </c>
      <c r="K71" s="65">
        <f>Sayfa2!$J71*Sayfa2!$G71</f>
        <v>84.999910000000227</v>
      </c>
      <c r="L71" s="66">
        <f t="shared" si="6"/>
        <v>12</v>
      </c>
      <c r="M71" s="67">
        <f t="shared" si="7"/>
        <v>1.5289125576155384E-2</v>
      </c>
      <c r="N71" s="67">
        <f t="shared" ref="N71:N76" si="9">M71/L71*30</f>
        <v>3.8222813940388463E-2</v>
      </c>
      <c r="O71" s="103"/>
    </row>
    <row r="72" spans="1:15">
      <c r="A72" s="41" t="s">
        <v>44</v>
      </c>
      <c r="B72" s="48">
        <v>45322</v>
      </c>
      <c r="C72" s="52">
        <v>46</v>
      </c>
      <c r="D72" s="1">
        <v>555.950107</v>
      </c>
      <c r="E72" s="61">
        <f>Sayfa2!$D72*Sayfa2!$C72</f>
        <v>25573.704922000001</v>
      </c>
      <c r="F72" s="48">
        <v>45327</v>
      </c>
      <c r="G72" s="52">
        <v>46</v>
      </c>
      <c r="H72" s="1">
        <v>559.83385699999997</v>
      </c>
      <c r="I72" s="51">
        <f>Sayfa2!$H72*Sayfa2!$G72</f>
        <v>25752.357421999997</v>
      </c>
      <c r="J72" s="6">
        <f t="shared" si="5"/>
        <v>3.8837499999999636</v>
      </c>
      <c r="K72" s="65">
        <f>Sayfa2!$J72*Sayfa2!$G72</f>
        <v>178.65249999999833</v>
      </c>
      <c r="L72" s="66">
        <f t="shared" si="6"/>
        <v>5</v>
      </c>
      <c r="M72" s="67">
        <f t="shared" si="7"/>
        <v>6.9857887445284065E-3</v>
      </c>
      <c r="N72" s="67">
        <f t="shared" si="9"/>
        <v>4.1914732467170444E-2</v>
      </c>
      <c r="O72" s="103"/>
    </row>
    <row r="73" spans="1:15">
      <c r="A73" s="41" t="s">
        <v>49</v>
      </c>
      <c r="B73" s="2">
        <v>45267</v>
      </c>
      <c r="C73" s="3">
        <v>300</v>
      </c>
      <c r="D73" s="1">
        <v>18.207357999999999</v>
      </c>
      <c r="E73" s="61">
        <f>Sayfa2!$D73*Sayfa2!$C73</f>
        <v>5462.2073999999993</v>
      </c>
      <c r="F73" s="2">
        <v>45288</v>
      </c>
      <c r="G73" s="46">
        <v>300</v>
      </c>
      <c r="H73" s="1">
        <v>18.625761000000001</v>
      </c>
      <c r="I73" s="51">
        <f>Sayfa2!$H73*Sayfa2!$G73</f>
        <v>5587.7282999999998</v>
      </c>
      <c r="J73" s="106">
        <f t="shared" si="5"/>
        <v>0.41840300000000141</v>
      </c>
      <c r="K73" s="65">
        <f>Sayfa2!$J73*Sayfa2!$G73</f>
        <v>125.52090000000042</v>
      </c>
      <c r="L73" s="1">
        <f t="shared" si="6"/>
        <v>21</v>
      </c>
      <c r="M73" s="67">
        <f t="shared" si="7"/>
        <v>2.2979885384798907E-2</v>
      </c>
      <c r="N73" s="67">
        <f t="shared" si="9"/>
        <v>3.2828407692569866E-2</v>
      </c>
      <c r="O73" s="103"/>
    </row>
    <row r="74" spans="1:15">
      <c r="A74" s="41" t="s">
        <v>44</v>
      </c>
      <c r="B74" s="2">
        <v>45267</v>
      </c>
      <c r="C74" s="3">
        <v>10</v>
      </c>
      <c r="D74" s="1">
        <v>523.88987099999997</v>
      </c>
      <c r="E74" s="61">
        <f>Sayfa2!$D74*Sayfa2!$C74</f>
        <v>5238.8987099999995</v>
      </c>
      <c r="F74" s="2">
        <v>45293</v>
      </c>
      <c r="G74" s="46">
        <v>10</v>
      </c>
      <c r="H74" s="1">
        <v>538.78970700000002</v>
      </c>
      <c r="I74" s="51">
        <f>Sayfa2!$H74*Sayfa2!$G74</f>
        <v>5387.89707</v>
      </c>
      <c r="J74" s="106">
        <f t="shared" si="5"/>
        <v>14.89983600000005</v>
      </c>
      <c r="K74" s="65">
        <f>Sayfa2!$J74*Sayfa2!$G74</f>
        <v>148.9983600000005</v>
      </c>
      <c r="L74" s="1">
        <f t="shared" si="6"/>
        <v>26</v>
      </c>
      <c r="M74" s="67">
        <f t="shared" si="7"/>
        <v>2.8440778920881354E-2</v>
      </c>
      <c r="N74" s="67">
        <f t="shared" si="9"/>
        <v>3.2816283370247716E-2</v>
      </c>
      <c r="O74" s="103"/>
    </row>
    <row r="75" spans="1:15">
      <c r="A75" s="41" t="s">
        <v>44</v>
      </c>
      <c r="B75" s="2">
        <v>45273</v>
      </c>
      <c r="C75" s="3">
        <v>28</v>
      </c>
      <c r="D75" s="1">
        <v>527.21223999999995</v>
      </c>
      <c r="E75" s="61">
        <f>Sayfa2!$D75*Sayfa2!$C75</f>
        <v>14761.942719999999</v>
      </c>
      <c r="F75" s="2">
        <v>45293</v>
      </c>
      <c r="G75" s="46">
        <v>28</v>
      </c>
      <c r="H75" s="1">
        <f>H74</f>
        <v>538.78970700000002</v>
      </c>
      <c r="I75" s="51">
        <f>Sayfa2!$H75*Sayfa2!$G75</f>
        <v>15086.111796000001</v>
      </c>
      <c r="J75" s="106">
        <f t="shared" si="5"/>
        <v>11.57746700000007</v>
      </c>
      <c r="K75" s="65">
        <f>Sayfa2!$J75*Sayfa2!$G75</f>
        <v>324.16907600000195</v>
      </c>
      <c r="L75" s="1">
        <f t="shared" si="6"/>
        <v>20</v>
      </c>
      <c r="M75" s="67">
        <f t="shared" si="7"/>
        <v>2.1959784165860925E-2</v>
      </c>
      <c r="N75" s="67">
        <f t="shared" si="9"/>
        <v>3.2939676248791384E-2</v>
      </c>
      <c r="O75" s="103"/>
    </row>
    <row r="76" spans="1:15">
      <c r="A76" s="41" t="s">
        <v>50</v>
      </c>
      <c r="B76" s="2">
        <v>45273</v>
      </c>
      <c r="C76" s="3">
        <v>22</v>
      </c>
      <c r="D76" s="1">
        <v>527.21223999999995</v>
      </c>
      <c r="E76" s="61">
        <f>Sayfa2!$D76*Sayfa2!$C76</f>
        <v>11598.669279999998</v>
      </c>
      <c r="F76" s="2">
        <v>45295</v>
      </c>
      <c r="G76" s="46">
        <v>22</v>
      </c>
      <c r="H76" s="1">
        <v>540.000044</v>
      </c>
      <c r="I76" s="51">
        <f>Sayfa2!$H76*Sayfa2!$G76</f>
        <v>11880.000968</v>
      </c>
      <c r="J76" s="106">
        <f>H76-D75</f>
        <v>12.787804000000051</v>
      </c>
      <c r="K76" s="65">
        <f>Sayfa2!$J76*Sayfa2!$G76</f>
        <v>281.33168800000112</v>
      </c>
      <c r="L76" s="1">
        <f>F76-B75</f>
        <v>22</v>
      </c>
      <c r="M76" s="67">
        <f t="shared" si="7"/>
        <v>2.4255514249821006E-2</v>
      </c>
      <c r="N76" s="67">
        <f t="shared" si="9"/>
        <v>3.3075701249755916E-2</v>
      </c>
      <c r="O76" s="69">
        <f>SUM(K57:K76)</f>
        <v>7765.4384360000149</v>
      </c>
    </row>
    <row r="77" spans="1:15">
      <c r="E77" s="53"/>
      <c r="F77" s="48"/>
      <c r="G77" s="52"/>
      <c r="I77" s="113"/>
      <c r="K77" s="55"/>
      <c r="L77" s="55"/>
    </row>
    <row r="78" spans="1:15">
      <c r="E78" s="53"/>
      <c r="F78" s="48"/>
      <c r="G78" s="52"/>
      <c r="I78" s="113"/>
      <c r="K78" s="55"/>
      <c r="L78" s="55"/>
    </row>
    <row r="79" spans="1:15">
      <c r="E79" s="53"/>
      <c r="F79" s="48"/>
      <c r="G79" s="52"/>
      <c r="I79" s="113"/>
      <c r="K79" s="55"/>
      <c r="L79" s="55"/>
    </row>
    <row r="80" spans="1:15">
      <c r="E80" s="53"/>
      <c r="F80" s="48"/>
      <c r="G80" s="52"/>
      <c r="I80" s="113"/>
      <c r="K80" s="55"/>
      <c r="L80" s="55"/>
    </row>
    <row r="81" spans="5:12">
      <c r="E81" s="53"/>
      <c r="F81" s="48"/>
      <c r="G81" s="52"/>
      <c r="I81" s="113"/>
      <c r="K81" s="55"/>
      <c r="L81" s="55"/>
    </row>
    <row r="82" spans="5:12">
      <c r="E82" s="53"/>
      <c r="F82" s="48"/>
      <c r="G82" s="52"/>
      <c r="I82" s="113"/>
      <c r="K82" s="55"/>
      <c r="L82" s="55"/>
    </row>
    <row r="83" spans="5:12">
      <c r="E83" s="53"/>
      <c r="F83" s="48"/>
      <c r="G83" s="52"/>
      <c r="I83" s="113"/>
      <c r="K83" s="55"/>
      <c r="L83" s="55"/>
    </row>
    <row r="84" spans="5:12">
      <c r="E84" s="53"/>
      <c r="F84" s="48"/>
      <c r="G84" s="52"/>
    </row>
    <row r="85" spans="5:12">
      <c r="E85" s="53"/>
      <c r="F85" s="48"/>
      <c r="G85" s="52"/>
    </row>
    <row r="86" spans="5:12">
      <c r="E86" s="53"/>
      <c r="F86" s="48"/>
      <c r="G86" s="52"/>
    </row>
    <row r="87" spans="5:12">
      <c r="E87" s="53"/>
      <c r="F87" s="48"/>
      <c r="G87" s="52"/>
    </row>
  </sheetData>
  <pageMargins left="0.25" right="0.25" top="0.75" bottom="0.75" header="0.511811023622047" footer="0.511811023622047"/>
  <pageSetup paperSize="9" orientation="landscape" horizontalDpi="300" verticalDpi="300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000-000000000000}">
          <x14:formula1>
            <xm:f>Sayfa1!$C:$C</xm:f>
          </x14:formula1>
          <x14:formula2>
            <xm:f>0</xm:f>
          </x14:formula2>
          <xm:sqref>N46 N51 L53 N76 I77:L77 I78:I83 K78:L83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4:AI57"/>
  <sheetViews>
    <sheetView tabSelected="1" zoomScale="130" zoomScaleNormal="130" workbookViewId="0">
      <pane xSplit="1" topLeftCell="B1" activePane="topRight" state="frozen"/>
      <selection pane="topRight" activeCell="M8" sqref="M8"/>
    </sheetView>
  </sheetViews>
  <sheetFormatPr defaultColWidth="8.7109375" defaultRowHeight="12.75"/>
  <cols>
    <col min="1" max="1" width="6.85546875" customWidth="1"/>
    <col min="2" max="2" width="5.140625" customWidth="1"/>
    <col min="3" max="3" width="8.42578125" customWidth="1"/>
    <col min="4" max="4" width="7.42578125" customWidth="1"/>
    <col min="5" max="5" width="8.42578125" customWidth="1"/>
    <col min="6" max="6" width="4.140625" style="114" customWidth="1"/>
    <col min="7" max="7" width="8.42578125" customWidth="1"/>
    <col min="8" max="8" width="5" bestFit="1" customWidth="1"/>
    <col min="9" max="9" width="9.42578125" customWidth="1"/>
    <col min="11" max="11" width="9.42578125" customWidth="1"/>
    <col min="12" max="12" width="6" bestFit="1" customWidth="1"/>
    <col min="13" max="13" width="9.42578125" customWidth="1"/>
    <col min="14" max="14" width="12.28515625" style="115" bestFit="1" customWidth="1"/>
    <col min="16" max="16" width="10.5703125" customWidth="1"/>
    <col min="17" max="17" width="9" customWidth="1"/>
    <col min="18" max="18" width="14.5703125" customWidth="1"/>
    <col min="19" max="19" width="9.28515625" customWidth="1"/>
    <col min="20" max="20" width="11.7109375" style="116" customWidth="1"/>
    <col min="22" max="22" width="2.7109375" customWidth="1"/>
    <col min="23" max="23" width="3.85546875" customWidth="1"/>
    <col min="24" max="24" width="3.28515625" style="114" customWidth="1"/>
    <col min="25" max="25" width="8.7109375" style="119"/>
    <col min="26" max="26" width="3" customWidth="1"/>
    <col min="27" max="27" width="8.5703125" customWidth="1"/>
    <col min="28" max="28" width="3" customWidth="1"/>
    <col min="29" max="29" width="11.5703125" customWidth="1"/>
    <col min="30" max="30" width="3" customWidth="1"/>
    <col min="31" max="31" width="10.7109375" customWidth="1"/>
    <col min="32" max="32" width="3" customWidth="1"/>
    <col min="34" max="34" width="3" customWidth="1"/>
    <col min="35" max="35" width="9.5703125" customWidth="1"/>
    <col min="37" max="37" width="2.7109375" customWidth="1"/>
    <col min="38" max="38" width="7.5703125" customWidth="1"/>
    <col min="39" max="39" width="4.42578125" customWidth="1"/>
    <col min="41" max="41" width="4.42578125" customWidth="1"/>
  </cols>
  <sheetData>
    <row r="4" spans="1:35">
      <c r="N4" s="117"/>
    </row>
    <row r="5" spans="1:35">
      <c r="A5" s="118">
        <f>A10</f>
        <v>45408</v>
      </c>
      <c r="C5">
        <f>C10</f>
        <v>31.948</v>
      </c>
      <c r="E5">
        <f>E10</f>
        <v>34.280099999999997</v>
      </c>
      <c r="G5">
        <f>G10</f>
        <v>2384.1799999999998</v>
      </c>
      <c r="I5">
        <f>I10</f>
        <v>25.11</v>
      </c>
      <c r="K5">
        <f>K10</f>
        <v>0.89607000000000003</v>
      </c>
      <c r="M5">
        <f>K10</f>
        <v>0.89607000000000003</v>
      </c>
      <c r="O5" s="119">
        <f>Sayfa2!D3</f>
        <v>167.6147552566978</v>
      </c>
      <c r="P5" s="120">
        <f>Sayfa2!K2</f>
        <v>269021.682187</v>
      </c>
      <c r="Y5" s="119">
        <f>Y10</f>
        <v>148.5</v>
      </c>
      <c r="AA5">
        <f>AA10</f>
        <v>0</v>
      </c>
      <c r="AC5">
        <f>AC10</f>
        <v>0</v>
      </c>
      <c r="AE5">
        <f>AE10</f>
        <v>0</v>
      </c>
      <c r="AG5">
        <f>AG10</f>
        <v>0</v>
      </c>
      <c r="AI5">
        <f>AI32</f>
        <v>19.690000000000001</v>
      </c>
    </row>
    <row r="6" spans="1:35" ht="38.25">
      <c r="A6" s="121"/>
      <c r="B6" s="122"/>
      <c r="C6" s="122" t="s">
        <v>26</v>
      </c>
      <c r="D6" s="122"/>
      <c r="E6" s="122" t="s">
        <v>51</v>
      </c>
      <c r="F6" s="123"/>
      <c r="G6" s="122" t="s">
        <v>52</v>
      </c>
      <c r="H6" s="122"/>
      <c r="I6" s="122" t="s">
        <v>237</v>
      </c>
      <c r="J6" s="122"/>
      <c r="K6" s="122" t="s">
        <v>53</v>
      </c>
      <c r="L6" s="122"/>
      <c r="M6" s="122" t="s">
        <v>53</v>
      </c>
      <c r="N6" s="124" t="s">
        <v>54</v>
      </c>
      <c r="O6" s="122" t="s">
        <v>239</v>
      </c>
      <c r="P6" s="122" t="s">
        <v>240</v>
      </c>
      <c r="Q6" s="122" t="s">
        <v>55</v>
      </c>
      <c r="R6" s="122"/>
      <c r="S6" s="125" t="s">
        <v>56</v>
      </c>
      <c r="T6" s="126" t="s">
        <v>57</v>
      </c>
      <c r="U6" s="125" t="s">
        <v>58</v>
      </c>
      <c r="V6" s="125"/>
      <c r="W6" s="125"/>
      <c r="X6" s="197"/>
      <c r="Y6" s="199" t="s">
        <v>234</v>
      </c>
      <c r="Z6" s="122"/>
      <c r="AA6" s="122" t="s">
        <v>59</v>
      </c>
      <c r="AB6" s="122"/>
      <c r="AC6" s="122">
        <v>801</v>
      </c>
      <c r="AD6" s="122"/>
      <c r="AE6" s="122" t="s">
        <v>60</v>
      </c>
      <c r="AF6" s="122"/>
      <c r="AG6" s="122" t="s">
        <v>61</v>
      </c>
      <c r="AH6" s="122"/>
      <c r="AI6" s="122" t="s">
        <v>62</v>
      </c>
    </row>
    <row r="9" spans="1:35">
      <c r="N9" s="130"/>
    </row>
    <row r="10" spans="1:35">
      <c r="A10" s="118">
        <v>45408</v>
      </c>
      <c r="B10">
        <f>B44</f>
        <v>1110</v>
      </c>
      <c r="C10">
        <v>31.948</v>
      </c>
      <c r="D10">
        <f>D44</f>
        <v>321.99</v>
      </c>
      <c r="E10">
        <v>34.280099999999997</v>
      </c>
      <c r="F10" s="114">
        <v>156</v>
      </c>
      <c r="G10">
        <v>2384.1799999999998</v>
      </c>
      <c r="H10" s="203">
        <v>2500</v>
      </c>
      <c r="I10" s="203">
        <v>25.11</v>
      </c>
      <c r="J10">
        <f>J44</f>
        <v>50000</v>
      </c>
      <c r="K10">
        <v>0.89607000000000003</v>
      </c>
      <c r="L10">
        <f>L44</f>
        <v>75000</v>
      </c>
      <c r="M10" s="121">
        <f t="shared" ref="M10:M32" si="0">K10</f>
        <v>0.89607000000000003</v>
      </c>
      <c r="N10" s="115">
        <f>(F10*G10)+(B10*C10)+(D10*E10)+(J10*K10)+(L10*M10)+(H10*I10)</f>
        <v>593215.95939900004</v>
      </c>
      <c r="O10">
        <v>167.61</v>
      </c>
      <c r="P10">
        <v>269021.68</v>
      </c>
      <c r="Q10" s="119">
        <v>9720</v>
      </c>
      <c r="R10" s="127">
        <f>(1-(Q15/Q10))</f>
        <v>4.1358024691359185E-3</v>
      </c>
      <c r="S10" s="117">
        <f>(N10/$N$38)-1</f>
        <v>0.11833670099578519</v>
      </c>
      <c r="T10" s="116">
        <f>(A10-$A$38)</f>
        <v>46</v>
      </c>
      <c r="U10" s="117">
        <f>((N10/$N$38)-1)/T10*30</f>
        <v>7.7176109345077307E-2</v>
      </c>
      <c r="V10" s="117"/>
      <c r="W10" s="117"/>
      <c r="X10" s="203">
        <v>10</v>
      </c>
      <c r="Y10" s="204">
        <v>148.5</v>
      </c>
    </row>
    <row r="11" spans="1:35">
      <c r="A11" s="118">
        <v>45407</v>
      </c>
      <c r="B11">
        <f>B45</f>
        <v>1110</v>
      </c>
      <c r="C11">
        <v>32.0291</v>
      </c>
      <c r="D11">
        <f>D45</f>
        <v>321.99</v>
      </c>
      <c r="E11">
        <v>34.322299999999998</v>
      </c>
      <c r="F11" s="114">
        <v>156</v>
      </c>
      <c r="G11">
        <v>2368.4699999999998</v>
      </c>
      <c r="H11" s="203"/>
      <c r="I11" s="203"/>
      <c r="J11">
        <f>J45</f>
        <v>50000</v>
      </c>
      <c r="K11">
        <v>0.90609700000000004</v>
      </c>
      <c r="L11">
        <f>L45</f>
        <v>75000</v>
      </c>
      <c r="M11" s="121">
        <f t="shared" ref="M11" si="1">K11</f>
        <v>0.90609700000000004</v>
      </c>
      <c r="N11" s="130">
        <f>(F11*G11)+(B11*C11)+(D11*E11)+(J11*K11)+(L11*M11)</f>
        <v>529347.18337699992</v>
      </c>
      <c r="O11">
        <v>167.13</v>
      </c>
      <c r="P11">
        <v>268083.81</v>
      </c>
      <c r="Q11" s="119">
        <v>9720</v>
      </c>
      <c r="R11" s="127">
        <f>(1-(Q16/Q11))</f>
        <v>-9.6872427983538678E-3</v>
      </c>
      <c r="S11" s="117">
        <f>(N11/$N$38)-1</f>
        <v>-2.0693587896702947E-3</v>
      </c>
      <c r="T11" s="116">
        <f>(A11-$A$38)</f>
        <v>45</v>
      </c>
      <c r="U11" s="117">
        <f>((N11/$N$38)-1)/T11*30</f>
        <v>-1.379572526446863E-3</v>
      </c>
      <c r="V11" s="117"/>
      <c r="W11" s="117"/>
      <c r="X11" s="203">
        <v>10</v>
      </c>
      <c r="Y11" s="204">
        <v>135</v>
      </c>
    </row>
    <row r="12" spans="1:35">
      <c r="A12" s="118">
        <v>45406</v>
      </c>
      <c r="B12">
        <f>B45</f>
        <v>1110</v>
      </c>
      <c r="C12">
        <v>31.928699999999999</v>
      </c>
      <c r="D12">
        <f>D45</f>
        <v>321.99</v>
      </c>
      <c r="E12">
        <v>33.972000000000001</v>
      </c>
      <c r="F12" s="114">
        <v>156</v>
      </c>
      <c r="G12">
        <v>2380.13</v>
      </c>
      <c r="H12" s="203"/>
      <c r="I12" s="203"/>
      <c r="J12">
        <f>J45</f>
        <v>50000</v>
      </c>
      <c r="K12">
        <v>0.88805999999999996</v>
      </c>
      <c r="L12">
        <f>L45</f>
        <v>75000</v>
      </c>
      <c r="M12" s="121">
        <v>0.91166000000000003</v>
      </c>
      <c r="N12" s="130">
        <f>(F12*G12)+(B12*C12)+(D12*E12)+(J12*K12)+(L12*M12)</f>
        <v>530457.28128</v>
      </c>
      <c r="O12">
        <v>166.96</v>
      </c>
      <c r="P12">
        <v>267307.03000000003</v>
      </c>
      <c r="Q12" s="119">
        <v>9722.09</v>
      </c>
      <c r="R12" s="127">
        <f>(1-(Q16/Q12))</f>
        <v>-9.4701859373857999E-3</v>
      </c>
      <c r="S12" s="117">
        <f>(N12/$N$38)-1</f>
        <v>2.340895697150458E-5</v>
      </c>
      <c r="T12" s="116">
        <f>(A12-$A$38)</f>
        <v>44</v>
      </c>
      <c r="U12" s="117">
        <f>((N12/$N$38)-1)/T12*30</f>
        <v>1.5960652480571305E-5</v>
      </c>
      <c r="V12" s="117"/>
      <c r="W12" s="117"/>
      <c r="X12" s="203">
        <v>10</v>
      </c>
      <c r="Y12" s="204">
        <v>135</v>
      </c>
    </row>
    <row r="13" spans="1:35">
      <c r="A13" s="118">
        <v>45404</v>
      </c>
      <c r="B13">
        <f>B45</f>
        <v>1110</v>
      </c>
      <c r="C13">
        <v>31.928699999999999</v>
      </c>
      <c r="D13">
        <f>D45</f>
        <v>321.99</v>
      </c>
      <c r="E13">
        <v>33.972000000000001</v>
      </c>
      <c r="F13" s="114">
        <v>156</v>
      </c>
      <c r="G13">
        <v>2380.13</v>
      </c>
      <c r="H13" s="203"/>
      <c r="I13" s="203"/>
      <c r="J13">
        <f>J45</f>
        <v>50000</v>
      </c>
      <c r="K13">
        <v>0.88805999999999996</v>
      </c>
      <c r="L13">
        <f>L45</f>
        <v>75000</v>
      </c>
      <c r="M13" s="121">
        <f t="shared" ref="M13" si="2">K13</f>
        <v>0.88805999999999996</v>
      </c>
      <c r="N13" s="130">
        <f>(F13*G13)+(B13*C13)+(D13*E13)+(J13*K13)+(L13*M13)</f>
        <v>528687.28128</v>
      </c>
      <c r="O13">
        <v>166.96</v>
      </c>
      <c r="P13">
        <v>267307.03000000003</v>
      </c>
      <c r="Q13" s="119">
        <v>9645.02</v>
      </c>
      <c r="R13" s="127">
        <f>(1-(Q16/Q13))</f>
        <v>-1.7536511069961458E-2</v>
      </c>
      <c r="S13" s="117">
        <f>(N13/$N$38)-1</f>
        <v>-3.3134128688740994E-3</v>
      </c>
      <c r="T13" s="116">
        <f>(A13-$A$38)</f>
        <v>42</v>
      </c>
      <c r="U13" s="117">
        <f>((N13/$N$38)-1)/T13*30</f>
        <v>-2.3667234777672141E-3</v>
      </c>
      <c r="V13" s="117"/>
      <c r="W13" s="117"/>
      <c r="X13">
        <v>10</v>
      </c>
      <c r="Y13" s="202">
        <v>135</v>
      </c>
    </row>
    <row r="14" spans="1:35">
      <c r="A14" s="118">
        <v>45401</v>
      </c>
      <c r="B14">
        <f>B45</f>
        <v>1110</v>
      </c>
      <c r="C14">
        <v>31.803999999999998</v>
      </c>
      <c r="D14">
        <f>D45</f>
        <v>321.99</v>
      </c>
      <c r="E14">
        <v>33.928400000000003</v>
      </c>
      <c r="F14" s="114">
        <v>156</v>
      </c>
      <c r="G14">
        <v>2427.62</v>
      </c>
      <c r="H14" s="203"/>
      <c r="I14" s="203"/>
      <c r="J14">
        <f>J45</f>
        <v>50000</v>
      </c>
      <c r="K14">
        <v>0.87351800000000002</v>
      </c>
      <c r="L14">
        <f>L45</f>
        <v>75000</v>
      </c>
      <c r="M14" s="121">
        <f t="shared" ref="M14" si="3">K14</f>
        <v>0.87351800000000002</v>
      </c>
      <c r="N14" s="130">
        <f>(F14*G14)+(B14*C14)+(D14*E14)+(J14*K14)+(L14*M14)</f>
        <v>534125.51551599998</v>
      </c>
      <c r="O14">
        <v>170.57</v>
      </c>
      <c r="P14">
        <v>272736.27</v>
      </c>
      <c r="Q14" s="119">
        <v>9693.4599999999991</v>
      </c>
      <c r="R14" s="127">
        <f>(1-(Q16/Q14))</f>
        <v>-1.24516942350823E-2</v>
      </c>
      <c r="S14" s="117">
        <f t="shared" ref="S14" si="4">(N14/$N$38)-1</f>
        <v>6.9388010818296486E-3</v>
      </c>
      <c r="T14" s="116">
        <f>(A14-$A$38)</f>
        <v>39</v>
      </c>
      <c r="U14" s="117">
        <f>((N14/$N$38)-1)/T14*30</f>
        <v>5.3375392937151144E-3</v>
      </c>
      <c r="V14" s="117"/>
      <c r="W14" s="117"/>
      <c r="X14" t="s">
        <v>235</v>
      </c>
      <c r="Y14" s="132" t="s">
        <v>64</v>
      </c>
    </row>
    <row r="15" spans="1:35">
      <c r="A15" s="118">
        <v>45397</v>
      </c>
      <c r="B15">
        <f>B45</f>
        <v>1110</v>
      </c>
      <c r="C15">
        <v>31.863399999999999</v>
      </c>
      <c r="D15">
        <f>D45</f>
        <v>321.99</v>
      </c>
      <c r="E15">
        <v>33.963099999999997</v>
      </c>
      <c r="F15" s="114">
        <v>156</v>
      </c>
      <c r="G15">
        <v>2387.5100000000002</v>
      </c>
      <c r="H15" s="203"/>
      <c r="I15" s="203"/>
      <c r="J15">
        <f>J45</f>
        <v>50000</v>
      </c>
      <c r="K15">
        <v>0.89791399999999999</v>
      </c>
      <c r="L15">
        <f>L45</f>
        <v>75000</v>
      </c>
      <c r="M15" s="121">
        <f t="shared" ref="M15" si="5">K15</f>
        <v>0.89791399999999999</v>
      </c>
      <c r="N15" s="130">
        <f>(F15*G15)+(B15*C15)+(D15*E15)+(J15*K15)+(L15*M15)</f>
        <v>530994.96256900008</v>
      </c>
      <c r="O15">
        <v>169.14</v>
      </c>
      <c r="P15">
        <v>269604.92</v>
      </c>
      <c r="Q15" s="119">
        <v>9679.7999999999993</v>
      </c>
      <c r="R15" s="127">
        <f>(1-(Q16/Q15))</f>
        <v>-1.3880452075456073E-2</v>
      </c>
      <c r="S15" s="117">
        <f t="shared" ref="S15:S38" si="6">(N15/$N$38)-1</f>
        <v>1.0370511380362046E-3</v>
      </c>
      <c r="T15" s="116">
        <f>(A15-$A$38)</f>
        <v>35</v>
      </c>
      <c r="U15" s="117">
        <f>((N15/$N$38)-1)/T15*30</f>
        <v>8.8890097545960402E-4</v>
      </c>
      <c r="V15" s="117"/>
      <c r="W15" s="117"/>
      <c r="X15"/>
      <c r="Y15" s="134" t="s">
        <v>63</v>
      </c>
    </row>
    <row r="16" spans="1:35">
      <c r="A16" s="118">
        <v>45391</v>
      </c>
      <c r="B16">
        <f>B45</f>
        <v>1110</v>
      </c>
      <c r="C16">
        <v>31.412299999999998</v>
      </c>
      <c r="D16">
        <f>D45</f>
        <v>321.99</v>
      </c>
      <c r="E16">
        <v>34.091799999999999</v>
      </c>
      <c r="F16" s="114">
        <v>156</v>
      </c>
      <c r="G16">
        <v>2352.21</v>
      </c>
      <c r="H16" s="203"/>
      <c r="I16" s="203"/>
      <c r="J16">
        <f>J45</f>
        <v>50000</v>
      </c>
      <c r="K16">
        <v>0.89529800000000004</v>
      </c>
      <c r="L16">
        <f>L45</f>
        <v>75000</v>
      </c>
      <c r="M16" s="121">
        <f t="shared" si="0"/>
        <v>0.89529800000000004</v>
      </c>
      <c r="N16" s="115">
        <f>(F16*G16)+(B16*C16)+(D16*E16)+(J16*K16)+(L16*M16)</f>
        <v>524701.88168200001</v>
      </c>
      <c r="O16">
        <v>165.81</v>
      </c>
      <c r="P16">
        <v>263308.84999999998</v>
      </c>
      <c r="Q16" s="119">
        <v>9814.16</v>
      </c>
      <c r="R16" s="127">
        <f>(1-(Q17/Q16))</f>
        <v>5.8558246452063978E-3</v>
      </c>
      <c r="S16" s="117">
        <f t="shared" si="6"/>
        <v>-1.0826728328378388E-2</v>
      </c>
      <c r="T16" s="116">
        <f>(A16-$A$38)</f>
        <v>29</v>
      </c>
      <c r="U16" s="117">
        <f>((N16/$N$38)-1)/T16*30</f>
        <v>-1.1200063787977641E-2</v>
      </c>
      <c r="V16" s="117"/>
      <c r="W16" s="117"/>
      <c r="X16" t="s">
        <v>65</v>
      </c>
      <c r="Y16" s="201">
        <v>135</v>
      </c>
    </row>
    <row r="17" spans="1:35">
      <c r="A17" s="118">
        <v>45390</v>
      </c>
      <c r="B17">
        <f>B45</f>
        <v>1110</v>
      </c>
      <c r="C17">
        <v>31.5198</v>
      </c>
      <c r="D17">
        <f>D45</f>
        <v>321.99</v>
      </c>
      <c r="E17">
        <v>34.154899999999998</v>
      </c>
      <c r="F17" s="114">
        <v>156</v>
      </c>
      <c r="G17">
        <v>2344.37</v>
      </c>
      <c r="H17" s="203"/>
      <c r="I17" s="203"/>
      <c r="J17">
        <f>J45</f>
        <v>50000</v>
      </c>
      <c r="K17">
        <v>0.818581</v>
      </c>
      <c r="L17">
        <f>L45</f>
        <v>75000</v>
      </c>
      <c r="M17" s="121">
        <f t="shared" si="0"/>
        <v>0.818581</v>
      </c>
      <c r="N17" s="115">
        <f>(F17*G17)+(B17*C17)+(D17*E17)+(J17*K17)+(L17*M17)</f>
        <v>514028.85925099999</v>
      </c>
      <c r="O17">
        <v>159.19</v>
      </c>
      <c r="P17">
        <v>252634.37</v>
      </c>
      <c r="Q17" s="119">
        <v>9756.69</v>
      </c>
      <c r="R17" s="127">
        <f t="shared" ref="R17:R49" si="7">(1-(Q18/Q17))</f>
        <v>1.4129791968382821E-2</v>
      </c>
      <c r="S17" s="117">
        <f t="shared" si="6"/>
        <v>-3.0947617704367603E-2</v>
      </c>
      <c r="T17" s="116">
        <f>(A17-$A$38)</f>
        <v>28</v>
      </c>
      <c r="U17" s="117">
        <f>((N17/$N$38)-1)/T17*30</f>
        <v>-3.3158161826108146E-2</v>
      </c>
      <c r="V17" s="117"/>
      <c r="W17" s="117"/>
      <c r="X17"/>
      <c r="Y17" s="117">
        <f>Sayfa2!K4</f>
        <v>0</v>
      </c>
    </row>
    <row r="18" spans="1:35">
      <c r="A18" s="118">
        <v>45387</v>
      </c>
      <c r="B18">
        <f>B45</f>
        <v>1110</v>
      </c>
      <c r="C18">
        <v>31.407</v>
      </c>
      <c r="D18">
        <f>D45</f>
        <v>321.99</v>
      </c>
      <c r="E18">
        <v>34.038899999999998</v>
      </c>
      <c r="F18" s="114">
        <v>156</v>
      </c>
      <c r="G18">
        <v>2289.27</v>
      </c>
      <c r="H18" s="203"/>
      <c r="I18" s="203"/>
      <c r="J18">
        <f>J45</f>
        <v>50000</v>
      </c>
      <c r="K18">
        <v>0.82424600000000003</v>
      </c>
      <c r="L18">
        <f>L45</f>
        <v>75000</v>
      </c>
      <c r="M18" s="121">
        <f t="shared" si="0"/>
        <v>0.82424600000000003</v>
      </c>
      <c r="N18" s="115">
        <f>(F18*G18)+(B18*C18)+(D18*E18)+(J18*K18)+(L18*M18)</f>
        <v>505978.825411</v>
      </c>
      <c r="O18">
        <v>154.41</v>
      </c>
      <c r="P18">
        <v>244587.02</v>
      </c>
      <c r="Q18" s="119">
        <v>9618.83</v>
      </c>
      <c r="R18" s="127">
        <f t="shared" si="7"/>
        <v>5.0921993631241946E-2</v>
      </c>
      <c r="S18" s="117">
        <f t="shared" si="6"/>
        <v>-4.6123622572225242E-2</v>
      </c>
      <c r="T18" s="116">
        <f>(A18-$A$38)</f>
        <v>25</v>
      </c>
      <c r="U18" s="117">
        <f>((N18/$N$38)-1)/T18*30</f>
        <v>-5.5348347086670288E-2</v>
      </c>
      <c r="V18" s="117"/>
      <c r="W18" s="117"/>
      <c r="X18" t="s">
        <v>236</v>
      </c>
      <c r="Y18">
        <f>Y16*X13</f>
        <v>1350</v>
      </c>
    </row>
    <row r="19" spans="1:35">
      <c r="A19" s="118">
        <v>45386</v>
      </c>
      <c r="B19">
        <f>B45</f>
        <v>1110</v>
      </c>
      <c r="C19">
        <v>31.399799999999999</v>
      </c>
      <c r="D19">
        <f>D45</f>
        <v>321.99</v>
      </c>
      <c r="E19">
        <v>34.053100000000001</v>
      </c>
      <c r="F19" s="114">
        <v>156</v>
      </c>
      <c r="G19">
        <v>2292.5700000000002</v>
      </c>
      <c r="H19" s="203"/>
      <c r="I19" s="203"/>
      <c r="J19">
        <f>J45</f>
        <v>50000</v>
      </c>
      <c r="K19">
        <v>0.82913899999999996</v>
      </c>
      <c r="L19">
        <f>L45</f>
        <v>75000</v>
      </c>
      <c r="M19" s="121">
        <f t="shared" si="0"/>
        <v>0.82913899999999996</v>
      </c>
      <c r="N19" s="115">
        <f>(F19*G19)+(B19*C19)+(D19*E19)+(J19*K19)+(L19*M19)</f>
        <v>507101.83066900005</v>
      </c>
      <c r="O19">
        <v>155.22</v>
      </c>
      <c r="P19">
        <v>245709.7</v>
      </c>
      <c r="Q19" s="119">
        <v>9129.02</v>
      </c>
      <c r="R19" s="127">
        <f t="shared" si="7"/>
        <v>2.0070062284889389E-2</v>
      </c>
      <c r="S19" s="117">
        <f t="shared" si="6"/>
        <v>-4.4006521749946126E-2</v>
      </c>
      <c r="T19" s="116">
        <f>(A19-$A$38)</f>
        <v>24</v>
      </c>
      <c r="U19" s="117">
        <f>((N19/$N$38)-1)/T19*30</f>
        <v>-5.5008152187432657E-2</v>
      </c>
      <c r="V19" s="117"/>
      <c r="W19" s="117"/>
      <c r="X19" s="135" t="s">
        <v>66</v>
      </c>
      <c r="Y19" s="135">
        <f>(X10*Y5)-(X10*Y16)</f>
        <v>135</v>
      </c>
    </row>
    <row r="20" spans="1:35">
      <c r="A20" s="118">
        <v>45385</v>
      </c>
      <c r="B20">
        <f>B45</f>
        <v>1110</v>
      </c>
      <c r="C20">
        <v>31.399799999999999</v>
      </c>
      <c r="D20">
        <f>D45</f>
        <v>321.99</v>
      </c>
      <c r="E20">
        <v>34.053100000000001</v>
      </c>
      <c r="F20" s="114">
        <v>156</v>
      </c>
      <c r="G20">
        <v>2292.5700000000002</v>
      </c>
      <c r="H20" s="203"/>
      <c r="I20" s="203"/>
      <c r="J20">
        <f>J45</f>
        <v>50000</v>
      </c>
      <c r="K20">
        <v>0.82913899999999996</v>
      </c>
      <c r="L20">
        <f>L45</f>
        <v>75000</v>
      </c>
      <c r="M20" s="121">
        <f t="shared" si="0"/>
        <v>0.82913899999999996</v>
      </c>
      <c r="N20" s="115">
        <f>(F20*G20)+(B20*C20)+(D20*E20)+(J20*K20)+(L20*M20)</f>
        <v>507101.83066900005</v>
      </c>
      <c r="O20">
        <v>155.22</v>
      </c>
      <c r="P20">
        <v>245709.7</v>
      </c>
      <c r="Q20" s="119">
        <v>8945.7999999999993</v>
      </c>
      <c r="R20" s="127">
        <f t="shared" si="7"/>
        <v>-1.0627333497283731E-2</v>
      </c>
      <c r="S20" s="117">
        <f t="shared" si="6"/>
        <v>-4.4006521749946126E-2</v>
      </c>
      <c r="T20" s="116">
        <f>(A20-$A$38)</f>
        <v>23</v>
      </c>
      <c r="U20" s="117">
        <f>((N20/$N$38)-1)/T20*30</f>
        <v>-5.7399810978190594E-2</v>
      </c>
      <c r="V20" s="117"/>
      <c r="W20" s="117"/>
      <c r="X20" s="198"/>
      <c r="Y20" s="200"/>
    </row>
    <row r="21" spans="1:35">
      <c r="A21" s="118">
        <v>45384</v>
      </c>
      <c r="B21">
        <f>B45</f>
        <v>1110</v>
      </c>
      <c r="C21">
        <v>31.536899999999999</v>
      </c>
      <c r="D21">
        <f>D45</f>
        <v>321.99</v>
      </c>
      <c r="E21">
        <v>33.958799999999997</v>
      </c>
      <c r="F21" s="114">
        <v>156</v>
      </c>
      <c r="G21">
        <v>2287.73</v>
      </c>
      <c r="H21" s="203"/>
      <c r="I21" s="203"/>
      <c r="J21">
        <f>J45</f>
        <v>50000</v>
      </c>
      <c r="K21">
        <v>0.85561100000000001</v>
      </c>
      <c r="L21">
        <f>L45</f>
        <v>75000</v>
      </c>
      <c r="M21" s="121">
        <f t="shared" si="0"/>
        <v>0.85561100000000001</v>
      </c>
      <c r="N21" s="115">
        <f>(F21*G21)+(B21*C21)+(D21*E21)+(J21*K21)+(L21*M21)</f>
        <v>509777.60801200004</v>
      </c>
      <c r="O21">
        <v>157.11000000000001</v>
      </c>
      <c r="P21">
        <v>248387.66</v>
      </c>
      <c r="Q21" s="119">
        <v>9040.8700000000008</v>
      </c>
      <c r="R21" s="127">
        <f t="shared" si="7"/>
        <v>-1.2904731513670775E-2</v>
      </c>
      <c r="S21" s="117">
        <f t="shared" si="6"/>
        <v>-3.8962119354903346E-2</v>
      </c>
      <c r="T21" s="116">
        <f>(A21-$A$38)</f>
        <v>22</v>
      </c>
      <c r="U21" s="117">
        <f>((N21/$N$38)-1)/T21*30</f>
        <v>-5.3130162756686382E-2</v>
      </c>
      <c r="V21" s="117"/>
      <c r="W21" s="117"/>
      <c r="X21" s="198"/>
      <c r="Y21" s="200"/>
    </row>
    <row r="22" spans="1:35">
      <c r="A22" s="118">
        <v>45383</v>
      </c>
      <c r="B22">
        <f>B45</f>
        <v>1110</v>
      </c>
      <c r="C22">
        <v>31.879300000000001</v>
      </c>
      <c r="D22">
        <f>D45</f>
        <v>321.99</v>
      </c>
      <c r="E22">
        <v>34.391399999999997</v>
      </c>
      <c r="F22" s="114">
        <v>161</v>
      </c>
      <c r="G22">
        <v>2308.4299999999998</v>
      </c>
      <c r="H22" s="203"/>
      <c r="I22" s="203"/>
      <c r="J22">
        <f>J45</f>
        <v>50000</v>
      </c>
      <c r="K22">
        <v>0.88097599999999998</v>
      </c>
      <c r="L22">
        <f>L45</f>
        <v>75000</v>
      </c>
      <c r="M22" s="121">
        <f t="shared" si="0"/>
        <v>0.88097599999999998</v>
      </c>
      <c r="N22" s="115">
        <f>(F22*G22)+(B22*C22)+(D22*E22)+(J22*K22)+(L22*M22)</f>
        <v>528238.93988599989</v>
      </c>
      <c r="O22">
        <v>161.66</v>
      </c>
      <c r="P22">
        <v>255424.81</v>
      </c>
      <c r="Q22" s="119">
        <v>9157.5400000000009</v>
      </c>
      <c r="R22" s="127">
        <f t="shared" si="7"/>
        <v>1.6532824317448958E-3</v>
      </c>
      <c r="S22" s="117">
        <f t="shared" si="6"/>
        <v>-4.1586305801336598E-3</v>
      </c>
      <c r="T22" s="116">
        <f>(A22-$A$38)</f>
        <v>21</v>
      </c>
      <c r="U22" s="117">
        <f>((N22/$N$38)-1)/T22*30</f>
        <v>-5.9409008287623711E-3</v>
      </c>
      <c r="V22" s="117"/>
      <c r="W22" s="117"/>
      <c r="X22" s="198"/>
      <c r="Y22" s="200"/>
    </row>
    <row r="23" spans="1:35">
      <c r="A23" s="118">
        <v>45381</v>
      </c>
      <c r="B23">
        <f>B45</f>
        <v>1110</v>
      </c>
      <c r="C23">
        <v>31.879300000000001</v>
      </c>
      <c r="D23">
        <f>D45</f>
        <v>321.99</v>
      </c>
      <c r="E23">
        <v>34.391399999999997</v>
      </c>
      <c r="F23" s="114">
        <v>161</v>
      </c>
      <c r="G23">
        <v>2308.4299999999998</v>
      </c>
      <c r="H23" s="203"/>
      <c r="I23" s="203"/>
      <c r="J23">
        <f>J45</f>
        <v>50000</v>
      </c>
      <c r="K23">
        <v>0.88097599999999998</v>
      </c>
      <c r="L23">
        <f>L45</f>
        <v>75000</v>
      </c>
      <c r="M23" s="121">
        <f t="shared" si="0"/>
        <v>0.88097599999999998</v>
      </c>
      <c r="N23" s="115">
        <f>(F23*G23)+(B23*C23)+(D23*E23)+(J23*K23)+(L23*M23)</f>
        <v>528238.93988599989</v>
      </c>
      <c r="O23">
        <v>161.66</v>
      </c>
      <c r="P23">
        <v>255424.81</v>
      </c>
      <c r="Q23" s="119">
        <v>9142.4</v>
      </c>
      <c r="R23" s="127">
        <f t="shared" si="7"/>
        <v>0</v>
      </c>
      <c r="S23" s="117">
        <f t="shared" si="6"/>
        <v>-4.1586305801336598E-3</v>
      </c>
      <c r="T23" s="116">
        <f>(A23-$A$38)</f>
        <v>19</v>
      </c>
      <c r="U23" s="117">
        <f>((N23/$N$38)-1)/T23*30</f>
        <v>-6.5662588107373576E-3</v>
      </c>
      <c r="V23" s="117"/>
      <c r="W23" s="117"/>
      <c r="X23" s="198"/>
      <c r="Y23" s="200"/>
    </row>
    <row r="24" spans="1:35">
      <c r="A24" s="118">
        <v>45380</v>
      </c>
      <c r="B24">
        <f>B45</f>
        <v>1110</v>
      </c>
      <c r="C24">
        <v>31.8308</v>
      </c>
      <c r="D24">
        <f>D45</f>
        <v>321.99</v>
      </c>
      <c r="E24">
        <v>34.369900000000001</v>
      </c>
      <c r="F24" s="114">
        <v>161</v>
      </c>
      <c r="G24">
        <v>2273.3200000000002</v>
      </c>
      <c r="H24" s="203"/>
      <c r="I24" s="203"/>
      <c r="J24">
        <f>J45</f>
        <v>50000</v>
      </c>
      <c r="K24">
        <v>0.85243100000000005</v>
      </c>
      <c r="L24">
        <f>L45</f>
        <v>75000</v>
      </c>
      <c r="M24" s="121">
        <f t="shared" si="0"/>
        <v>0.85243100000000005</v>
      </c>
      <c r="N24" s="115">
        <f>(F24*G24)+(B24*C24)+(D24*E24)+(J24*K24)+(L24*M24)</f>
        <v>518957.34710100002</v>
      </c>
      <c r="O24">
        <v>156.08000000000001</v>
      </c>
      <c r="P24">
        <v>246143.72</v>
      </c>
      <c r="Q24" s="119">
        <v>9142.4</v>
      </c>
      <c r="R24" s="127">
        <f t="shared" si="7"/>
        <v>6.8286226811340445E-3</v>
      </c>
      <c r="S24" s="117">
        <f t="shared" si="6"/>
        <v>-2.165638277425741E-2</v>
      </c>
      <c r="T24" s="116">
        <f>(A24-$A$38)</f>
        <v>18</v>
      </c>
      <c r="U24" s="117">
        <f>((N24/$N$38)-1)/T24*30</f>
        <v>-3.6093971290429017E-2</v>
      </c>
      <c r="V24" s="117"/>
      <c r="W24" s="117"/>
      <c r="X24" s="198"/>
      <c r="Y24" s="200"/>
    </row>
    <row r="25" spans="1:35">
      <c r="A25" s="118">
        <v>45379</v>
      </c>
      <c r="B25">
        <f>B45</f>
        <v>1110</v>
      </c>
      <c r="C25">
        <v>31.870699999999999</v>
      </c>
      <c r="D25">
        <f>D45</f>
        <v>321.99</v>
      </c>
      <c r="E25">
        <v>34.480800000000002</v>
      </c>
      <c r="F25" s="114">
        <v>161</v>
      </c>
      <c r="G25">
        <v>2240.09</v>
      </c>
      <c r="H25" s="203"/>
      <c r="I25" s="203"/>
      <c r="J25">
        <f>J45</f>
        <v>50000</v>
      </c>
      <c r="K25">
        <v>0.86473199999999995</v>
      </c>
      <c r="L25">
        <f>L45</f>
        <v>75000</v>
      </c>
      <c r="M25" s="121">
        <f t="shared" si="0"/>
        <v>0.86473199999999995</v>
      </c>
      <c r="N25" s="115">
        <f>(F25*G25)+(B25*C25)+(D25*E25)+(J25*K25)+(L25*M25)</f>
        <v>515224.93979199999</v>
      </c>
      <c r="O25">
        <v>153.81</v>
      </c>
      <c r="P25">
        <v>242408.74</v>
      </c>
      <c r="Q25" s="119">
        <v>9079.9699999999993</v>
      </c>
      <c r="R25" s="127">
        <f t="shared" si="7"/>
        <v>3.0093711763364839E-2</v>
      </c>
      <c r="S25" s="117">
        <f t="shared" si="6"/>
        <v>-2.8692754622628658E-2</v>
      </c>
      <c r="T25" s="116">
        <f>(A25-$A$38)</f>
        <v>17</v>
      </c>
      <c r="U25" s="117">
        <f>((N25/$N$38)-1)/T25*30</f>
        <v>-5.0634272863462337E-2</v>
      </c>
      <c r="V25" s="117"/>
      <c r="W25" s="117"/>
      <c r="X25" s="198"/>
      <c r="Y25" s="200"/>
    </row>
    <row r="26" spans="1:35">
      <c r="A26" s="118">
        <v>45378</v>
      </c>
      <c r="B26">
        <f>B45</f>
        <v>1110</v>
      </c>
      <c r="C26">
        <v>31.821999999999999</v>
      </c>
      <c r="D26">
        <f>D45</f>
        <v>321.99</v>
      </c>
      <c r="E26">
        <v>34.5045</v>
      </c>
      <c r="F26" s="114">
        <v>161</v>
      </c>
      <c r="G26">
        <v>2227.25</v>
      </c>
      <c r="H26" s="203"/>
      <c r="I26" s="203"/>
      <c r="J26">
        <f>J45</f>
        <v>50000</v>
      </c>
      <c r="K26">
        <v>0.85899999999999999</v>
      </c>
      <c r="L26">
        <f>L45</f>
        <v>75000</v>
      </c>
      <c r="M26" s="121">
        <f t="shared" si="0"/>
        <v>0.85899999999999999</v>
      </c>
      <c r="N26" s="115">
        <f>(F26*G26)+(B26*C26)+(D26*E26)+(J26*K26)+(L26*M26)</f>
        <v>512394.77395499998</v>
      </c>
      <c r="O26">
        <v>154.24</v>
      </c>
      <c r="P26">
        <v>242616.68</v>
      </c>
      <c r="Q26" s="119">
        <v>8806.7199999999993</v>
      </c>
      <c r="R26" s="127">
        <f t="shared" si="7"/>
        <v>-7.4942770974972817E-5</v>
      </c>
      <c r="S26" s="117">
        <f t="shared" si="6"/>
        <v>-3.4028211761422011E-2</v>
      </c>
      <c r="T26" s="116">
        <f>(A26-$A$38)</f>
        <v>16</v>
      </c>
      <c r="U26" s="117">
        <f>((N26/$N$38)-1)/T26*30</f>
        <v>-6.3802897052666271E-2</v>
      </c>
      <c r="V26" s="117"/>
      <c r="W26" s="117"/>
      <c r="X26" s="198"/>
      <c r="Y26" s="200"/>
    </row>
    <row r="27" spans="1:35">
      <c r="A27" s="118">
        <v>45377</v>
      </c>
      <c r="B27">
        <f>B46</f>
        <v>1110</v>
      </c>
      <c r="C27">
        <v>31.530999999999999</v>
      </c>
      <c r="D27">
        <f>D46</f>
        <v>321.99</v>
      </c>
      <c r="E27">
        <v>34.125900000000001</v>
      </c>
      <c r="F27" s="114">
        <v>161</v>
      </c>
      <c r="G27">
        <v>2227.25</v>
      </c>
      <c r="H27" s="203"/>
      <c r="I27" s="203"/>
      <c r="J27">
        <f>J46</f>
        <v>50000</v>
      </c>
      <c r="K27">
        <v>0.890316</v>
      </c>
      <c r="L27">
        <f>L46</f>
        <v>75000</v>
      </c>
      <c r="M27" s="121">
        <f t="shared" si="0"/>
        <v>0.890316</v>
      </c>
      <c r="N27" s="115">
        <f>(F27*G27)+(B27*C27)+(D27*E27)+(J27*K27)+(L27*M27)</f>
        <v>515864.35854099999</v>
      </c>
      <c r="O27">
        <v>154.24</v>
      </c>
      <c r="P27">
        <v>242616.68</v>
      </c>
      <c r="Q27" s="119">
        <v>8807.3799999999992</v>
      </c>
      <c r="R27" s="127">
        <f t="shared" si="7"/>
        <v>-2.5206133946758191E-2</v>
      </c>
      <c r="S27" s="117">
        <f t="shared" si="6"/>
        <v>-2.7487315957364089E-2</v>
      </c>
      <c r="T27" s="116">
        <f>(A27-$A$38)</f>
        <v>15</v>
      </c>
      <c r="U27" s="117">
        <f>((N27/$N$38)-1)/T27*30</f>
        <v>-5.4974631914728178E-2</v>
      </c>
      <c r="V27" s="117"/>
      <c r="W27" s="117"/>
      <c r="X27" s="198"/>
      <c r="Y27" s="200"/>
    </row>
    <row r="28" spans="1:35">
      <c r="A28" s="118">
        <v>45376</v>
      </c>
      <c r="B28">
        <f>B45</f>
        <v>1110</v>
      </c>
      <c r="C28">
        <v>31.786200000000001</v>
      </c>
      <c r="D28">
        <f>D45</f>
        <v>321.99</v>
      </c>
      <c r="E28">
        <v>34.386299999999999</v>
      </c>
      <c r="F28" s="114">
        <v>161</v>
      </c>
      <c r="G28">
        <v>2214.31</v>
      </c>
      <c r="H28" s="203"/>
      <c r="I28" s="203"/>
      <c r="J28">
        <f>J45</f>
        <v>50000</v>
      </c>
      <c r="K28">
        <v>0.91889100000000001</v>
      </c>
      <c r="L28">
        <f>L45</f>
        <v>75000</v>
      </c>
      <c r="M28" s="121">
        <f t="shared" si="0"/>
        <v>0.91889100000000001</v>
      </c>
      <c r="N28" s="115">
        <f>(F28*G28)+(B28*C28)+(D28*E28)+(J28*K28)+(L28*M28)</f>
        <v>517720.01173699996</v>
      </c>
      <c r="O28">
        <v>155.99</v>
      </c>
      <c r="P28">
        <v>244906</v>
      </c>
      <c r="Q28" s="119">
        <v>9029.3799999999992</v>
      </c>
      <c r="R28" s="127">
        <f t="shared" si="7"/>
        <v>-9.0947551216142841E-3</v>
      </c>
      <c r="S28" s="117">
        <f t="shared" si="6"/>
        <v>-2.3989019863797534E-2</v>
      </c>
      <c r="T28" s="116">
        <f>(A28-$A$38)</f>
        <v>14</v>
      </c>
      <c r="U28" s="117">
        <f>((N28/$N$38)-1)/T28*30</f>
        <v>-5.1405042565280425E-2</v>
      </c>
      <c r="V28" s="117"/>
      <c r="W28" s="117"/>
      <c r="X28" s="198"/>
      <c r="Y28" s="200"/>
    </row>
    <row r="29" spans="1:35">
      <c r="A29" s="118">
        <v>45373</v>
      </c>
      <c r="B29">
        <f>B45</f>
        <v>1110</v>
      </c>
      <c r="C29">
        <v>31.710699999999999</v>
      </c>
      <c r="D29">
        <f>D45</f>
        <v>321.99</v>
      </c>
      <c r="E29">
        <v>34.336300000000001</v>
      </c>
      <c r="F29" s="114">
        <v>161</v>
      </c>
      <c r="G29">
        <v>2212.11</v>
      </c>
      <c r="H29" s="203"/>
      <c r="I29" s="203"/>
      <c r="J29">
        <f>J45</f>
        <v>50000</v>
      </c>
      <c r="K29">
        <v>0.93062100000000003</v>
      </c>
      <c r="L29">
        <f>L45</f>
        <v>75000</v>
      </c>
      <c r="M29" s="121">
        <f t="shared" si="0"/>
        <v>0.93062100000000003</v>
      </c>
      <c r="N29" s="115">
        <f>(F29*G29)+(B29*C29)+(D29*E29)+(J29*K29)+(L29*M29)</f>
        <v>518732.15723700001</v>
      </c>
      <c r="O29">
        <v>156.63999999999999</v>
      </c>
      <c r="P29">
        <v>245919.31</v>
      </c>
      <c r="Q29">
        <v>9111.5</v>
      </c>
      <c r="R29" s="127">
        <f t="shared" si="7"/>
        <v>-3.2047412610438641E-3</v>
      </c>
      <c r="S29" s="117">
        <f t="shared" si="6"/>
        <v>-2.2080912973779676E-2</v>
      </c>
      <c r="T29" s="116">
        <f>(A29-$A$38)</f>
        <v>11</v>
      </c>
      <c r="U29" s="117">
        <f>((N29/$N$38)-1)/T29*30</f>
        <v>-6.0220671746671839E-2</v>
      </c>
      <c r="V29" s="117"/>
      <c r="W29" s="117"/>
      <c r="X29" s="198"/>
      <c r="Y29" s="200"/>
    </row>
    <row r="30" spans="1:35">
      <c r="A30" s="118">
        <v>45372</v>
      </c>
      <c r="B30">
        <f>B45</f>
        <v>1110</v>
      </c>
      <c r="C30">
        <v>32.063899999999997</v>
      </c>
      <c r="D30">
        <f>D45</f>
        <v>321.99</v>
      </c>
      <c r="E30">
        <v>35.065100000000001</v>
      </c>
      <c r="F30" s="114">
        <v>161</v>
      </c>
      <c r="G30">
        <v>2267.61</v>
      </c>
      <c r="H30" s="203"/>
      <c r="I30" s="203"/>
      <c r="J30">
        <f>J45</f>
        <v>50000</v>
      </c>
      <c r="K30">
        <v>0.94166499999999997</v>
      </c>
      <c r="L30">
        <f>L45</f>
        <v>75000</v>
      </c>
      <c r="M30" s="121">
        <f t="shared" si="0"/>
        <v>0.94166499999999997</v>
      </c>
      <c r="N30" s="115">
        <f>(F30*G30)+(B30*C30)+(D30*E30)+(J30*K30)+(L30*M30)</f>
        <v>529674.87554899999</v>
      </c>
      <c r="O30">
        <v>163.91</v>
      </c>
      <c r="P30">
        <v>256845.12</v>
      </c>
      <c r="Q30" s="119">
        <v>9140.7000000000007</v>
      </c>
      <c r="R30" s="127">
        <f t="shared" si="7"/>
        <v>2.0302602645311585E-2</v>
      </c>
      <c r="S30" s="117">
        <f t="shared" si="6"/>
        <v>-1.4515902067954167E-3</v>
      </c>
      <c r="T30" s="116">
        <f>(A30-$A$38)</f>
        <v>10</v>
      </c>
      <c r="U30" s="117">
        <f>((N30/$N$38)-1)/T30*30</f>
        <v>-4.3547706203862502E-3</v>
      </c>
      <c r="V30" s="117"/>
      <c r="W30" s="117"/>
      <c r="X30" s="198"/>
      <c r="Y30" s="200"/>
    </row>
    <row r="31" spans="1:35">
      <c r="A31" s="118">
        <v>45371</v>
      </c>
      <c r="B31">
        <f>B45</f>
        <v>1110</v>
      </c>
      <c r="C31">
        <v>32.028799999999997</v>
      </c>
      <c r="D31">
        <f>D45</f>
        <v>321.99</v>
      </c>
      <c r="E31">
        <v>34.808799999999998</v>
      </c>
      <c r="F31" s="114">
        <v>161</v>
      </c>
      <c r="G31">
        <v>2220.92</v>
      </c>
      <c r="H31" s="203"/>
      <c r="I31" s="203"/>
      <c r="J31">
        <f>J45</f>
        <v>50000</v>
      </c>
      <c r="K31">
        <v>0.93470600000000004</v>
      </c>
      <c r="L31">
        <f>L45</f>
        <v>75000</v>
      </c>
      <c r="M31" s="121">
        <f t="shared" si="0"/>
        <v>0.93470600000000004</v>
      </c>
      <c r="N31" s="115">
        <f>(F31*G31)+(B31*C31)+(D31*E31)+(J31*K31)+(L31*M31)</f>
        <v>521166.42351200001</v>
      </c>
      <c r="O31">
        <v>158.47999999999999</v>
      </c>
      <c r="P31">
        <v>248342.62</v>
      </c>
      <c r="Q31" s="119">
        <v>8955.1200000000008</v>
      </c>
      <c r="R31" s="127">
        <f t="shared" si="7"/>
        <v>2.8184993612594411E-3</v>
      </c>
      <c r="S31" s="117">
        <f t="shared" si="6"/>
        <v>-1.7491809676412506E-2</v>
      </c>
      <c r="T31" s="116">
        <f>(A31-$A$38)</f>
        <v>9</v>
      </c>
      <c r="U31" s="117">
        <f>((N31/$N$38)-1)/T31*30</f>
        <v>-5.8306032254708352E-2</v>
      </c>
      <c r="V31" s="117"/>
      <c r="W31" s="117"/>
      <c r="X31" s="198"/>
      <c r="Y31" s="200"/>
    </row>
    <row r="32" spans="1:35">
      <c r="A32" s="118">
        <v>45370</v>
      </c>
      <c r="B32">
        <f>B45</f>
        <v>1110</v>
      </c>
      <c r="C32">
        <v>32.087800000000001</v>
      </c>
      <c r="D32">
        <f>D45</f>
        <v>321.99</v>
      </c>
      <c r="E32">
        <v>34.799100000000003</v>
      </c>
      <c r="F32" s="114">
        <v>161</v>
      </c>
      <c r="G32">
        <v>2219.02</v>
      </c>
      <c r="H32" s="203"/>
      <c r="I32" s="203"/>
      <c r="J32">
        <f>J45</f>
        <v>50000</v>
      </c>
      <c r="K32">
        <v>0.90033600000000003</v>
      </c>
      <c r="L32">
        <f>L45</f>
        <v>75000</v>
      </c>
      <c r="M32" s="121">
        <f t="shared" si="0"/>
        <v>0.90033600000000003</v>
      </c>
      <c r="N32" s="115">
        <f>(F32*G32)+(B32*C32)+(D32*E32)+(J32*K32)+(L32*M32)</f>
        <v>516626.64020899998</v>
      </c>
      <c r="O32">
        <v>155.59</v>
      </c>
      <c r="P32">
        <v>243803.06</v>
      </c>
      <c r="Q32" s="119">
        <v>8929.8799999999992</v>
      </c>
      <c r="R32" s="127">
        <f t="shared" si="7"/>
        <v>2.3714764364134666E-2</v>
      </c>
      <c r="S32" s="117">
        <f t="shared" si="6"/>
        <v>-2.6050254879836254E-2</v>
      </c>
      <c r="T32" s="116">
        <f>(A32-$A$38)</f>
        <v>8</v>
      </c>
      <c r="U32" s="117">
        <f>((N32/$N$38)-1)/T32*30</f>
        <v>-9.7688455799385954E-2</v>
      </c>
      <c r="V32" s="117"/>
      <c r="W32" s="117"/>
      <c r="X32" s="198"/>
      <c r="Y32" s="200"/>
      <c r="AH32">
        <v>68</v>
      </c>
      <c r="AI32">
        <v>19.690000000000001</v>
      </c>
    </row>
    <row r="33" spans="1:35">
      <c r="A33" s="118">
        <v>45369</v>
      </c>
      <c r="B33">
        <f>B45</f>
        <v>1110</v>
      </c>
      <c r="C33">
        <v>31.9499</v>
      </c>
      <c r="D33">
        <f>D45</f>
        <v>321.99</v>
      </c>
      <c r="E33">
        <v>34.8125</v>
      </c>
      <c r="F33" s="114">
        <v>161</v>
      </c>
      <c r="G33">
        <v>2212.35</v>
      </c>
      <c r="J33">
        <f>J45</f>
        <v>50000</v>
      </c>
      <c r="K33">
        <v>0.93887900000000002</v>
      </c>
      <c r="L33">
        <f>L45</f>
        <v>75000</v>
      </c>
      <c r="M33">
        <v>0.93887900000000002</v>
      </c>
      <c r="N33" s="115">
        <f>(F33*G33)+(B33*C33)+(D33*E33)+(J33*K33)+(L33*M33)</f>
        <v>520221.89087499998</v>
      </c>
      <c r="O33">
        <v>155.44</v>
      </c>
      <c r="P33">
        <v>247623.17</v>
      </c>
      <c r="Q33" s="119">
        <v>8718.11</v>
      </c>
      <c r="R33" s="127">
        <f t="shared" si="7"/>
        <v>-1.2685088855267868E-2</v>
      </c>
      <c r="S33" s="117">
        <f t="shared" si="6"/>
        <v>-1.9272452116166794E-2</v>
      </c>
      <c r="T33" s="116">
        <f>(A33-$A$38)</f>
        <v>7</v>
      </c>
      <c r="U33" s="117">
        <f>((N33/$N$38)-1)/T33*30</f>
        <v>-8.2596223355000553E-2</v>
      </c>
      <c r="V33" s="117"/>
      <c r="W33" s="117"/>
      <c r="X33" s="198"/>
      <c r="Y33" s="200"/>
      <c r="AH33">
        <v>68</v>
      </c>
      <c r="AI33">
        <v>22.96</v>
      </c>
    </row>
    <row r="34" spans="1:35">
      <c r="A34" s="118">
        <v>45366</v>
      </c>
      <c r="B34">
        <f>B45</f>
        <v>1110</v>
      </c>
      <c r="C34">
        <v>31.796299999999999</v>
      </c>
      <c r="D34">
        <f>D45</f>
        <v>321.99</v>
      </c>
      <c r="E34">
        <v>34.619700000000002</v>
      </c>
      <c r="F34" s="114">
        <v>161</v>
      </c>
      <c r="G34">
        <v>2213.54</v>
      </c>
      <c r="J34">
        <f>J45</f>
        <v>50000</v>
      </c>
      <c r="K34">
        <v>0.94838599999999995</v>
      </c>
      <c r="L34">
        <f>L45</f>
        <v>75000</v>
      </c>
      <c r="M34">
        <v>0.94838599999999995</v>
      </c>
      <c r="N34" s="115">
        <f>(F34*G34)+(B34*C34)+(D34*E34)+(J34*K34)+(L34*M34)</f>
        <v>521369.280203</v>
      </c>
      <c r="O34">
        <v>156.13</v>
      </c>
      <c r="P34">
        <v>248712.47</v>
      </c>
      <c r="Q34" s="119">
        <v>8828.7000000000007</v>
      </c>
      <c r="R34" s="127">
        <f t="shared" si="7"/>
        <v>-6.2092946866469934E-3</v>
      </c>
      <c r="S34" s="117">
        <f t="shared" si="6"/>
        <v>-1.7109382199549383E-2</v>
      </c>
      <c r="T34" s="116">
        <f>(A34-$A$38)</f>
        <v>4</v>
      </c>
      <c r="U34" s="117">
        <f>((N34/$N$38)-1)/T34*30</f>
        <v>-0.12832036649662037</v>
      </c>
      <c r="V34" s="117"/>
      <c r="W34" s="117"/>
      <c r="X34" s="198"/>
      <c r="Y34" s="200"/>
      <c r="AH34">
        <v>68</v>
      </c>
      <c r="AI34">
        <v>22.04</v>
      </c>
    </row>
    <row r="35" spans="1:35">
      <c r="A35" s="118">
        <v>45365</v>
      </c>
      <c r="B35">
        <f>B45</f>
        <v>1110</v>
      </c>
      <c r="C35">
        <v>31.775700000000001</v>
      </c>
      <c r="D35">
        <f>D45</f>
        <v>321.99</v>
      </c>
      <c r="E35">
        <v>34.762500000000003</v>
      </c>
      <c r="F35" s="114">
        <v>161</v>
      </c>
      <c r="G35">
        <v>2222.88</v>
      </c>
      <c r="J35">
        <f>J45</f>
        <v>50000</v>
      </c>
      <c r="K35">
        <v>0.95100700000000005</v>
      </c>
      <c r="L35">
        <f>L45</f>
        <v>75000</v>
      </c>
      <c r="M35">
        <v>0.95100700000000005</v>
      </c>
      <c r="N35" s="115">
        <f>(F35*G35)+(B35*C35)+(D35*E35)+(J35*K35)+(L35*M35)</f>
        <v>523223.75937500002</v>
      </c>
      <c r="O35">
        <v>157.21</v>
      </c>
      <c r="P35">
        <v>250427.64</v>
      </c>
      <c r="Q35" s="119">
        <v>8883.52</v>
      </c>
      <c r="R35" s="127">
        <f t="shared" si="7"/>
        <v>-3.0066910413888426E-3</v>
      </c>
      <c r="S35" s="117">
        <f t="shared" si="6"/>
        <v>-1.3613299387851274E-2</v>
      </c>
      <c r="T35" s="116">
        <f>(A35-$A$38)</f>
        <v>3</v>
      </c>
      <c r="U35" s="117">
        <f>((N35/$N$38)-1)/T35*30</f>
        <v>-0.13613299387851274</v>
      </c>
      <c r="V35" s="117"/>
      <c r="W35" s="117"/>
      <c r="X35" s="198"/>
      <c r="Y35" s="200"/>
      <c r="AH35">
        <v>68</v>
      </c>
      <c r="AI35">
        <v>20.399999999999999</v>
      </c>
    </row>
    <row r="36" spans="1:35">
      <c r="A36" s="118">
        <v>45364</v>
      </c>
      <c r="B36">
        <f>B45</f>
        <v>1110</v>
      </c>
      <c r="C36">
        <v>32</v>
      </c>
      <c r="D36">
        <f>D45</f>
        <v>321.99</v>
      </c>
      <c r="E36">
        <v>35</v>
      </c>
      <c r="F36" s="114">
        <v>161</v>
      </c>
      <c r="G36">
        <v>2220.3200000000002</v>
      </c>
      <c r="J36">
        <f>J45</f>
        <v>50000</v>
      </c>
      <c r="K36">
        <v>0.957233</v>
      </c>
      <c r="L36">
        <f>L45</f>
        <v>75000</v>
      </c>
      <c r="M36">
        <v>0.957233</v>
      </c>
      <c r="N36" s="115">
        <f>(F36*G36)+(B36*C36)+(D36*E36)+(J36*K36)+(L36*M36)</f>
        <v>523915.29500000004</v>
      </c>
      <c r="O36">
        <v>160.79</v>
      </c>
      <c r="P36">
        <v>250989.9</v>
      </c>
      <c r="Q36" s="119">
        <v>8910.23</v>
      </c>
      <c r="R36" s="127">
        <f t="shared" si="7"/>
        <v>-1.7822211098927898E-2</v>
      </c>
      <c r="S36" s="117">
        <f t="shared" si="6"/>
        <v>-1.2309609463077242E-2</v>
      </c>
      <c r="T36" s="116">
        <f>(A36-$A$38)</f>
        <v>2</v>
      </c>
      <c r="U36" s="117">
        <f>((N36/$N$38)-1)/T36*30</f>
        <v>-0.18464414194615864</v>
      </c>
      <c r="V36" s="117"/>
      <c r="W36" s="117"/>
      <c r="X36" s="198"/>
      <c r="Y36" s="200"/>
      <c r="AH36">
        <v>68</v>
      </c>
      <c r="AI36">
        <v>18.22</v>
      </c>
    </row>
    <row r="37" spans="1:35">
      <c r="A37" s="118">
        <v>45363</v>
      </c>
      <c r="B37">
        <f>B45</f>
        <v>1110</v>
      </c>
      <c r="C37">
        <v>31.516400000000001</v>
      </c>
      <c r="D37">
        <f>D45</f>
        <v>321.99</v>
      </c>
      <c r="E37">
        <v>34.463200000000001</v>
      </c>
      <c r="F37" s="114">
        <v>161</v>
      </c>
      <c r="G37">
        <v>2220.3200000000002</v>
      </c>
      <c r="J37">
        <f>J45</f>
        <v>50000</v>
      </c>
      <c r="K37">
        <v>0.979213</v>
      </c>
      <c r="L37">
        <f>L45</f>
        <v>75000</v>
      </c>
      <c r="M37">
        <v>0.979213</v>
      </c>
      <c r="N37" s="115">
        <f>(F37*G37)+(B37*C37)+(D37*E37)+(J37*K37)+(L37*M37)</f>
        <v>525953.15476800012</v>
      </c>
      <c r="O37">
        <v>161.94999999999999</v>
      </c>
      <c r="P37">
        <v>252645.61</v>
      </c>
      <c r="Q37" s="119">
        <v>9069.0300000000007</v>
      </c>
      <c r="R37" s="127">
        <f t="shared" si="7"/>
        <v>-6.8684302510850781E-3</v>
      </c>
      <c r="S37" s="117">
        <f t="shared" si="6"/>
        <v>-8.4678157049555836E-3</v>
      </c>
      <c r="T37" s="116">
        <f>(A37-$A$38)</f>
        <v>1</v>
      </c>
      <c r="U37" s="117">
        <f>((N37/$N$38)-1)/T37*30</f>
        <v>-0.25403447114866751</v>
      </c>
      <c r="V37" s="117"/>
      <c r="W37" s="117"/>
      <c r="X37" s="198"/>
      <c r="Y37" s="200"/>
      <c r="AH37">
        <v>68</v>
      </c>
      <c r="AI37">
        <v>16.57</v>
      </c>
    </row>
    <row r="38" spans="1:35">
      <c r="A38" s="118">
        <v>45362</v>
      </c>
      <c r="B38">
        <f>B45</f>
        <v>1110</v>
      </c>
      <c r="C38">
        <v>31.571400000000001</v>
      </c>
      <c r="D38">
        <f>D45</f>
        <v>321.99</v>
      </c>
      <c r="E38">
        <v>34.558100000000003</v>
      </c>
      <c r="F38" s="114">
        <v>161</v>
      </c>
      <c r="G38">
        <v>2232.66</v>
      </c>
      <c r="J38">
        <f>J45</f>
        <v>50000</v>
      </c>
      <c r="K38">
        <v>0.99851990000000002</v>
      </c>
      <c r="L38">
        <f>L45</f>
        <v>75000</v>
      </c>
      <c r="M38">
        <v>0.99851990000000002</v>
      </c>
      <c r="N38" s="128">
        <f>(F38*G38)+(B38*C38)+(D38*E38)+(J38*K38)+(L38*M38)</f>
        <v>530444.86411900003</v>
      </c>
      <c r="O38">
        <v>164.91</v>
      </c>
      <c r="P38">
        <v>257088.48</v>
      </c>
      <c r="Q38" s="119">
        <v>9131.32</v>
      </c>
      <c r="R38" s="127">
        <f t="shared" si="7"/>
        <v>-2.6283166070184549E-3</v>
      </c>
      <c r="S38" s="117">
        <f t="shared" si="6"/>
        <v>0</v>
      </c>
      <c r="T38" s="116">
        <f>(A38-$A$38)</f>
        <v>0</v>
      </c>
      <c r="U38" s="117"/>
      <c r="V38" s="117"/>
      <c r="W38" s="117"/>
      <c r="X38" s="198"/>
      <c r="Y38" s="200"/>
      <c r="AD38">
        <v>12</v>
      </c>
      <c r="AE38">
        <v>41.58</v>
      </c>
      <c r="AF38">
        <f>AF45</f>
        <v>15</v>
      </c>
      <c r="AG38">
        <v>55.55</v>
      </c>
      <c r="AH38">
        <v>68</v>
      </c>
      <c r="AI38">
        <v>15.07</v>
      </c>
    </row>
    <row r="39" spans="1:35">
      <c r="A39" s="118">
        <v>45359</v>
      </c>
      <c r="B39">
        <f>B45</f>
        <v>1110</v>
      </c>
      <c r="C39">
        <v>31.402999999999999</v>
      </c>
      <c r="D39">
        <f>D45</f>
        <v>321.99</v>
      </c>
      <c r="E39">
        <v>34.3643</v>
      </c>
      <c r="F39" s="114">
        <v>161</v>
      </c>
      <c r="G39">
        <v>2198.16</v>
      </c>
      <c r="J39">
        <f>J45</f>
        <v>50000</v>
      </c>
      <c r="K39">
        <v>0.99115900000000001</v>
      </c>
      <c r="L39">
        <f>L45</f>
        <v>75000</v>
      </c>
      <c r="M39">
        <v>0.99115900000000001</v>
      </c>
      <c r="N39" s="115">
        <f>(F39*G39)+(B39*C39)+(D39*E39)+(J39*K39)+(L39*M39)</f>
        <v>523720.92595699994</v>
      </c>
      <c r="O39">
        <v>160.9</v>
      </c>
      <c r="Q39" s="119">
        <v>9155.32</v>
      </c>
      <c r="R39" s="127">
        <f t="shared" si="7"/>
        <v>1.1047128882442081E-2</v>
      </c>
      <c r="S39" s="117"/>
      <c r="U39" s="117"/>
      <c r="V39" s="117"/>
      <c r="W39" s="117"/>
      <c r="X39" s="198"/>
      <c r="Y39" s="200"/>
      <c r="AD39">
        <v>12</v>
      </c>
      <c r="AE39">
        <v>37.799999999999997</v>
      </c>
      <c r="AF39">
        <f>AF45</f>
        <v>15</v>
      </c>
      <c r="AG39">
        <v>57.75</v>
      </c>
      <c r="AH39">
        <v>68</v>
      </c>
      <c r="AI39">
        <v>13.7</v>
      </c>
    </row>
    <row r="40" spans="1:35">
      <c r="A40" s="118">
        <v>45358</v>
      </c>
      <c r="B40">
        <f>B45</f>
        <v>1110</v>
      </c>
      <c r="C40">
        <v>31.297000000000001</v>
      </c>
      <c r="D40">
        <f>D45</f>
        <v>321.99</v>
      </c>
      <c r="E40">
        <v>34.110599999999998</v>
      </c>
      <c r="F40" s="114">
        <v>161</v>
      </c>
      <c r="G40">
        <v>2184.79</v>
      </c>
      <c r="J40">
        <f>J45</f>
        <v>50000</v>
      </c>
      <c r="K40">
        <v>0.945214</v>
      </c>
      <c r="L40">
        <f>L45</f>
        <v>75000</v>
      </c>
      <c r="M40">
        <v>0.945214</v>
      </c>
      <c r="N40" s="115">
        <f>(F40*G40)+(B40*C40)+(D40*E40)+(J40*K40)+(L40*M40)</f>
        <v>515625.882094</v>
      </c>
      <c r="O40">
        <v>155.75</v>
      </c>
      <c r="Q40" s="119">
        <v>9054.18</v>
      </c>
      <c r="R40" s="127">
        <f t="shared" si="7"/>
        <v>3.4194151209717583E-2</v>
      </c>
      <c r="S40" s="117"/>
      <c r="U40" s="117"/>
      <c r="V40" s="117"/>
      <c r="W40" s="117"/>
      <c r="X40" s="198"/>
      <c r="Y40" s="200"/>
      <c r="AD40">
        <v>12</v>
      </c>
      <c r="AE40">
        <v>34.380000000000003</v>
      </c>
      <c r="AF40">
        <f>AF45</f>
        <v>15</v>
      </c>
      <c r="AG40">
        <v>63.1</v>
      </c>
      <c r="AH40">
        <v>68</v>
      </c>
      <c r="AI40">
        <v>12.46</v>
      </c>
    </row>
    <row r="41" spans="1:35">
      <c r="A41" s="118">
        <v>45357</v>
      </c>
      <c r="B41">
        <f>B45</f>
        <v>1110</v>
      </c>
      <c r="C41">
        <v>31.293399999999998</v>
      </c>
      <c r="D41">
        <f>D45</f>
        <v>321.99</v>
      </c>
      <c r="E41">
        <v>34.006500000000003</v>
      </c>
      <c r="F41" s="114">
        <v>161</v>
      </c>
      <c r="G41">
        <v>2150.9</v>
      </c>
      <c r="J41">
        <f>J45</f>
        <v>50000</v>
      </c>
      <c r="K41">
        <v>0.99397100000000005</v>
      </c>
      <c r="L41">
        <f>L45</f>
        <v>75000</v>
      </c>
      <c r="M41">
        <v>0.99397100000000005</v>
      </c>
      <c r="N41" s="115">
        <f>(F41*G41)+(B41*C41)+(D41*E41)+(J41*K41)+(L41*M41)</f>
        <v>516226.70193500002</v>
      </c>
      <c r="O41">
        <v>156.16</v>
      </c>
      <c r="Q41" s="119">
        <v>8744.58</v>
      </c>
      <c r="R41" s="127">
        <f t="shared" si="7"/>
        <v>-1.3258498407013208E-2</v>
      </c>
      <c r="S41" s="117"/>
      <c r="U41" s="117"/>
      <c r="V41" s="117"/>
      <c r="W41" s="117"/>
      <c r="X41" s="198"/>
      <c r="Y41" s="200"/>
      <c r="AB41">
        <f>AB45</f>
        <v>57</v>
      </c>
      <c r="AC41">
        <v>580.05924800000003</v>
      </c>
      <c r="AD41">
        <v>12</v>
      </c>
      <c r="AE41">
        <v>31.26</v>
      </c>
      <c r="AF41">
        <f>AF45</f>
        <v>15</v>
      </c>
      <c r="AG41">
        <v>57.4</v>
      </c>
      <c r="AH41">
        <v>68</v>
      </c>
      <c r="AI41">
        <v>11.33</v>
      </c>
    </row>
    <row r="42" spans="1:35">
      <c r="A42" s="118">
        <v>45356</v>
      </c>
      <c r="B42">
        <f>B45</f>
        <v>1110</v>
      </c>
      <c r="C42">
        <v>31.079899999999999</v>
      </c>
      <c r="D42">
        <f>D45</f>
        <v>321.99</v>
      </c>
      <c r="E42">
        <v>33.721699999999998</v>
      </c>
      <c r="F42" s="114">
        <v>161</v>
      </c>
      <c r="G42">
        <v>2116.34</v>
      </c>
      <c r="J42">
        <f>J45</f>
        <v>50000</v>
      </c>
      <c r="K42">
        <v>1.0160309999999999</v>
      </c>
      <c r="L42">
        <f>L45</f>
        <v>75000</v>
      </c>
      <c r="M42">
        <v>1.0160309999999999</v>
      </c>
      <c r="N42" s="115">
        <f>(F42*G42)+(B42*C42)+(D42*E42)+(J42*K42)+(L42*M42)</f>
        <v>513091.35418300005</v>
      </c>
      <c r="O42">
        <v>154.22999999999999</v>
      </c>
      <c r="Q42" s="119">
        <v>8860.52</v>
      </c>
      <c r="R42" s="127">
        <f t="shared" si="7"/>
        <v>-5.319100910555985E-3</v>
      </c>
      <c r="S42" s="117"/>
      <c r="U42" s="117"/>
      <c r="V42" s="117"/>
      <c r="W42" s="117"/>
      <c r="X42" s="198"/>
      <c r="Y42" s="200"/>
      <c r="Z42">
        <f>Z45</f>
        <v>36</v>
      </c>
      <c r="AA42" s="129">
        <v>38.15</v>
      </c>
      <c r="AB42">
        <f>AB45</f>
        <v>57</v>
      </c>
      <c r="AC42">
        <v>579.361718</v>
      </c>
      <c r="AD42">
        <f>AD45</f>
        <v>12</v>
      </c>
      <c r="AE42">
        <v>28.42</v>
      </c>
      <c r="AF42">
        <f>AF45</f>
        <v>15</v>
      </c>
      <c r="AG42">
        <v>52.2</v>
      </c>
      <c r="AH42">
        <v>68</v>
      </c>
      <c r="AI42">
        <v>11.33</v>
      </c>
    </row>
    <row r="43" spans="1:35">
      <c r="A43" s="118">
        <v>45355</v>
      </c>
      <c r="B43">
        <f>B45</f>
        <v>1110</v>
      </c>
      <c r="C43">
        <v>30.905999999999999</v>
      </c>
      <c r="D43">
        <f>D45</f>
        <v>321.99</v>
      </c>
      <c r="E43">
        <v>33.542299999999997</v>
      </c>
      <c r="F43" s="114">
        <v>161</v>
      </c>
      <c r="G43">
        <v>2072.52</v>
      </c>
      <c r="J43">
        <f>J45</f>
        <v>50000</v>
      </c>
      <c r="K43">
        <v>1.041954</v>
      </c>
      <c r="L43">
        <f>L45</f>
        <v>75000</v>
      </c>
      <c r="M43">
        <v>1.041954</v>
      </c>
      <c r="N43" s="115">
        <f>(F43*G43)+(B43*C43)+(D43*E43)+(J43*K43)+(L43*M43)</f>
        <v>509025.91517699993</v>
      </c>
      <c r="Q43" s="119">
        <v>8907.65</v>
      </c>
      <c r="R43" s="127">
        <f t="shared" si="7"/>
        <v>-2.1273848882702007E-2</v>
      </c>
      <c r="S43" s="117"/>
      <c r="U43" s="117"/>
      <c r="V43" s="117"/>
      <c r="W43" s="117"/>
      <c r="X43" s="198"/>
      <c r="Y43" s="200"/>
      <c r="Z43">
        <f>Z45</f>
        <v>36</v>
      </c>
      <c r="AA43">
        <v>34.659999999999997</v>
      </c>
      <c r="AB43">
        <f>AB45</f>
        <v>57</v>
      </c>
      <c r="AC43">
        <v>578.66060300000004</v>
      </c>
      <c r="AD43">
        <f>AD45</f>
        <v>12</v>
      </c>
      <c r="AE43">
        <v>25.84</v>
      </c>
      <c r="AF43">
        <f>AF45</f>
        <v>15</v>
      </c>
      <c r="AG43">
        <v>47.46</v>
      </c>
      <c r="AH43">
        <v>68</v>
      </c>
      <c r="AI43">
        <v>11.33</v>
      </c>
    </row>
    <row r="44" spans="1:35">
      <c r="A44" s="118">
        <v>45352</v>
      </c>
      <c r="B44">
        <f>B45</f>
        <v>1110</v>
      </c>
      <c r="C44">
        <v>30.7361</v>
      </c>
      <c r="D44">
        <f>D45</f>
        <v>321.99</v>
      </c>
      <c r="E44">
        <v>33.225700000000003</v>
      </c>
      <c r="F44" s="114">
        <v>161</v>
      </c>
      <c r="G44">
        <v>2018.91</v>
      </c>
      <c r="J44">
        <f>J45</f>
        <v>50000</v>
      </c>
      <c r="K44">
        <v>1.034036</v>
      </c>
      <c r="L44">
        <f>L45</f>
        <v>75000</v>
      </c>
      <c r="M44">
        <v>1.034036</v>
      </c>
      <c r="N44" s="130">
        <f>(F44*G44)+(B44*C44)+(D44*E44)+(J44*K44)+(L44*M44)</f>
        <v>499114.42414299998</v>
      </c>
      <c r="Q44" s="119">
        <v>9097.15</v>
      </c>
      <c r="R44" s="127">
        <f t="shared" si="7"/>
        <v>-1.0612114783201454E-2</v>
      </c>
      <c r="S44" s="117"/>
      <c r="U44" s="117"/>
      <c r="V44" s="117"/>
      <c r="W44" s="117"/>
      <c r="X44" s="198"/>
      <c r="Y44" s="200"/>
      <c r="Z44">
        <f>Z45</f>
        <v>36</v>
      </c>
      <c r="AA44">
        <v>31.52</v>
      </c>
      <c r="AB44">
        <f>AB45</f>
        <v>57</v>
      </c>
      <c r="AC44">
        <v>576.58807100000001</v>
      </c>
      <c r="AD44">
        <f>AD45</f>
        <v>12</v>
      </c>
      <c r="AE44">
        <v>23.5</v>
      </c>
      <c r="AF44">
        <f>AF45</f>
        <v>15</v>
      </c>
      <c r="AG44">
        <v>43.16</v>
      </c>
      <c r="AH44">
        <v>68</v>
      </c>
      <c r="AI44">
        <v>11.33</v>
      </c>
    </row>
    <row r="45" spans="1:35">
      <c r="A45" s="118">
        <v>45351</v>
      </c>
      <c r="B45">
        <f>B46</f>
        <v>1110</v>
      </c>
      <c r="C45">
        <v>30.7361</v>
      </c>
      <c r="D45">
        <f>D46</f>
        <v>321.99</v>
      </c>
      <c r="E45">
        <v>33.225700000000003</v>
      </c>
      <c r="F45" s="114">
        <v>161</v>
      </c>
      <c r="G45">
        <v>2018.91</v>
      </c>
      <c r="J45">
        <f>J46</f>
        <v>50000</v>
      </c>
      <c r="K45">
        <v>1.010337</v>
      </c>
      <c r="L45">
        <f>L46</f>
        <v>75000</v>
      </c>
      <c r="M45">
        <v>1.010337</v>
      </c>
      <c r="N45" s="115">
        <f>(F45*G45)+(B45*C45)+(D45*E45)+(J45*K45)+(L45*M45)</f>
        <v>496152.04914299998</v>
      </c>
      <c r="Q45" s="119">
        <v>9193.69</v>
      </c>
      <c r="R45" s="127">
        <f t="shared" si="7"/>
        <v>1.428479750785594E-2</v>
      </c>
      <c r="S45" s="127"/>
      <c r="Z45">
        <f>Z46</f>
        <v>36</v>
      </c>
      <c r="AA45">
        <v>28.66</v>
      </c>
      <c r="AB45">
        <f>AB46</f>
        <v>57</v>
      </c>
      <c r="AC45">
        <v>576.58807100000001</v>
      </c>
      <c r="AD45">
        <f>AD46</f>
        <v>12</v>
      </c>
      <c r="AE45">
        <v>21.38</v>
      </c>
      <c r="AF45">
        <v>15</v>
      </c>
      <c r="AG45">
        <v>39.24</v>
      </c>
      <c r="AI45" s="132">
        <f>AI44</f>
        <v>11.33</v>
      </c>
    </row>
    <row r="46" spans="1:35">
      <c r="A46" s="118">
        <v>45350</v>
      </c>
      <c r="B46">
        <v>1110</v>
      </c>
      <c r="C46">
        <v>30.7361</v>
      </c>
      <c r="D46">
        <v>321.99</v>
      </c>
      <c r="E46">
        <v>33.225700000000003</v>
      </c>
      <c r="F46" s="114">
        <v>161</v>
      </c>
      <c r="G46">
        <v>2018.91</v>
      </c>
      <c r="J46">
        <f>J47</f>
        <v>50000</v>
      </c>
      <c r="K46">
        <v>1.067704</v>
      </c>
      <c r="L46">
        <f>L47</f>
        <v>75000</v>
      </c>
      <c r="M46">
        <v>1.067704</v>
      </c>
      <c r="N46" s="115">
        <f>(F46*G46)+(B46*C46)+(D46*E46)+(J46*K46)+(L46*M46)</f>
        <v>503322.92414299998</v>
      </c>
      <c r="Q46" s="119">
        <v>9062.36</v>
      </c>
      <c r="R46" s="127">
        <f t="shared" si="7"/>
        <v>-1.292378585710563E-2</v>
      </c>
      <c r="S46" s="127"/>
      <c r="Z46">
        <f>Z47</f>
        <v>36</v>
      </c>
      <c r="AA46">
        <v>26.06</v>
      </c>
      <c r="AB46">
        <v>57</v>
      </c>
      <c r="AC46">
        <v>576.58807100000001</v>
      </c>
      <c r="AD46">
        <v>12</v>
      </c>
      <c r="AE46">
        <v>19.45</v>
      </c>
      <c r="AG46" s="132">
        <f>AG45</f>
        <v>39.24</v>
      </c>
      <c r="AI46" s="132" t="s">
        <v>63</v>
      </c>
    </row>
    <row r="47" spans="1:35">
      <c r="A47" s="118">
        <v>45349</v>
      </c>
      <c r="B47">
        <v>1110</v>
      </c>
      <c r="C47">
        <v>30.7361</v>
      </c>
      <c r="D47">
        <v>321.99</v>
      </c>
      <c r="E47">
        <v>33.225700000000003</v>
      </c>
      <c r="F47" s="114">
        <v>161</v>
      </c>
      <c r="G47">
        <v>2018.91</v>
      </c>
      <c r="J47">
        <f>J48</f>
        <v>50000</v>
      </c>
      <c r="K47">
        <v>1.064435</v>
      </c>
      <c r="L47">
        <v>75000</v>
      </c>
      <c r="M47">
        <v>1.064435</v>
      </c>
      <c r="N47" s="131">
        <f>(F47*G47)+(B47*C47)+(D47*E47)+(J47*K47)+(L47*M47)</f>
        <v>502914.29914299998</v>
      </c>
      <c r="Q47" s="119">
        <v>9179.48</v>
      </c>
      <c r="R47" s="127">
        <f t="shared" si="7"/>
        <v>-1.6847359545420826E-2</v>
      </c>
      <c r="S47" s="127"/>
      <c r="Z47">
        <v>36</v>
      </c>
      <c r="AA47">
        <v>23.7</v>
      </c>
      <c r="AB47">
        <v>57</v>
      </c>
      <c r="AC47">
        <v>576.58807100000001</v>
      </c>
      <c r="AE47" s="132">
        <f>AE46</f>
        <v>19.45</v>
      </c>
      <c r="AG47" s="132" t="s">
        <v>63</v>
      </c>
      <c r="AI47" s="134" t="s">
        <v>64</v>
      </c>
    </row>
    <row r="48" spans="1:35">
      <c r="A48" s="118">
        <v>45348</v>
      </c>
      <c r="B48">
        <v>1110</v>
      </c>
      <c r="C48">
        <v>30.7361</v>
      </c>
      <c r="D48">
        <v>321.99</v>
      </c>
      <c r="E48">
        <v>33.225700000000003</v>
      </c>
      <c r="F48" s="114">
        <v>161</v>
      </c>
      <c r="G48">
        <v>2018.91</v>
      </c>
      <c r="J48">
        <f>J49</f>
        <v>50000</v>
      </c>
      <c r="K48">
        <v>1.0192399999999999</v>
      </c>
      <c r="M48">
        <v>1.0192399999999999</v>
      </c>
      <c r="N48" s="115">
        <f>(F48*G48)+(B48*C48)+(D48*E48)+(J48*K48)+(L48*M48)</f>
        <v>420821.92414299998</v>
      </c>
      <c r="Q48" s="119">
        <v>9334.1299999999992</v>
      </c>
      <c r="R48" s="127">
        <f t="shared" si="7"/>
        <v>-4.2928478604864484E-3</v>
      </c>
      <c r="S48" s="127"/>
      <c r="Z48">
        <v>36</v>
      </c>
      <c r="AA48">
        <v>21.56</v>
      </c>
      <c r="AB48">
        <v>57</v>
      </c>
      <c r="AC48">
        <v>576.58807100000001</v>
      </c>
      <c r="AE48" s="132" t="s">
        <v>63</v>
      </c>
      <c r="AG48" s="134" t="s">
        <v>64</v>
      </c>
      <c r="AI48" s="134">
        <f>AI5</f>
        <v>19.690000000000001</v>
      </c>
    </row>
    <row r="49" spans="1:35">
      <c r="A49" s="118">
        <v>45345</v>
      </c>
      <c r="B49">
        <v>1110</v>
      </c>
      <c r="C49">
        <v>30.7361</v>
      </c>
      <c r="D49">
        <v>321.99</v>
      </c>
      <c r="E49">
        <v>33.225700000000003</v>
      </c>
      <c r="F49" s="114">
        <v>161</v>
      </c>
      <c r="G49">
        <v>2018.91</v>
      </c>
      <c r="J49">
        <v>50000</v>
      </c>
      <c r="K49">
        <v>1.0032049999999999</v>
      </c>
      <c r="M49">
        <v>1.0032049999999999</v>
      </c>
      <c r="N49" s="115">
        <f>(F49*G49)+(B49*C49)+(D49*E49)+(J49*K49)+(L49*M49)</f>
        <v>420020.17414299998</v>
      </c>
      <c r="Q49" s="119">
        <v>9374.2000000000007</v>
      </c>
      <c r="R49" s="127">
        <f t="shared" si="7"/>
        <v>2.8834460540633211E-3</v>
      </c>
      <c r="S49" s="127"/>
      <c r="Z49">
        <v>36</v>
      </c>
      <c r="AA49">
        <v>19.600000000000001</v>
      </c>
      <c r="AB49">
        <v>57</v>
      </c>
      <c r="AC49">
        <v>576.58807100000001</v>
      </c>
      <c r="AE49" s="134" t="s">
        <v>64</v>
      </c>
      <c r="AG49" s="134">
        <v>55.5</v>
      </c>
      <c r="AI49" s="117">
        <f>(AI48-AI44)/AI44</f>
        <v>0.73786407766990303</v>
      </c>
    </row>
    <row r="50" spans="1:35">
      <c r="K50">
        <v>0.97160999999999997</v>
      </c>
      <c r="M50">
        <v>0.97160999999999997</v>
      </c>
      <c r="Q50" s="119">
        <v>9347.17</v>
      </c>
      <c r="Z50">
        <v>36</v>
      </c>
      <c r="AA50">
        <v>17.82</v>
      </c>
      <c r="AE50" s="134">
        <v>45.72</v>
      </c>
      <c r="AG50" s="117">
        <f>(AG49-AG45)/AG45</f>
        <v>0.41437308868501521</v>
      </c>
    </row>
    <row r="51" spans="1:35">
      <c r="K51">
        <v>0.93849000000000005</v>
      </c>
      <c r="M51">
        <v>0.93849000000000005</v>
      </c>
      <c r="Z51">
        <v>36</v>
      </c>
      <c r="AA51" s="132">
        <v>15.3</v>
      </c>
      <c r="AE51" s="117">
        <f>(AE50-AE46)/AE46</f>
        <v>1.3506426735218509</v>
      </c>
      <c r="AI51" s="135">
        <f>(AH44*AI48)-(AH32*AI44)</f>
        <v>568.48</v>
      </c>
    </row>
    <row r="52" spans="1:35">
      <c r="K52">
        <v>0.91198999999999997</v>
      </c>
      <c r="M52">
        <v>0.91198999999999997</v>
      </c>
      <c r="R52" s="133">
        <f>SUM(R10:R51)</f>
        <v>-1.4951831114521141E-2</v>
      </c>
      <c r="S52" s="133"/>
      <c r="AA52" s="132" t="s">
        <v>63</v>
      </c>
      <c r="AF52" s="135" t="s">
        <v>66</v>
      </c>
      <c r="AG52" s="135">
        <f>(AF45*AG49)-(AF10*AG45)</f>
        <v>832.5</v>
      </c>
    </row>
    <row r="53" spans="1:35">
      <c r="K53">
        <v>0.90268000000000004</v>
      </c>
      <c r="M53">
        <v>0.90268000000000004</v>
      </c>
      <c r="AA53" s="134" t="s">
        <v>64</v>
      </c>
      <c r="AD53" s="135" t="s">
        <v>66</v>
      </c>
      <c r="AE53" s="135">
        <f>(AD46*AE50)-(AD10*AE46)</f>
        <v>548.64</v>
      </c>
    </row>
    <row r="54" spans="1:35">
      <c r="K54">
        <v>0.89847999999999995</v>
      </c>
      <c r="M54">
        <v>0.89847999999999995</v>
      </c>
      <c r="Z54" t="s">
        <v>65</v>
      </c>
      <c r="AA54" s="134">
        <v>38</v>
      </c>
    </row>
    <row r="55" spans="1:35">
      <c r="K55">
        <v>0.88783999999999996</v>
      </c>
      <c r="M55">
        <v>0.88783999999999996</v>
      </c>
      <c r="AA55" s="117">
        <f>Sayfa2!M44</f>
        <v>1.3456790123456792</v>
      </c>
    </row>
    <row r="56" spans="1:35">
      <c r="K56">
        <v>0.86724999999999997</v>
      </c>
      <c r="M56">
        <v>0.86724999999999997</v>
      </c>
    </row>
    <row r="57" spans="1:35">
      <c r="Z57" s="135" t="s">
        <v>66</v>
      </c>
      <c r="AA57" s="135">
        <f>(38*36)-(36*16.2)</f>
        <v>784.80000000000007</v>
      </c>
    </row>
  </sheetData>
  <pageMargins left="0.7" right="0.7" top="0.75" bottom="0.75" header="0.511811023622047" footer="0.511811023622047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180"/>
  <sheetViews>
    <sheetView zoomScale="160" zoomScaleNormal="160" workbookViewId="0">
      <selection activeCell="B15" sqref="B15"/>
    </sheetView>
  </sheetViews>
  <sheetFormatPr defaultColWidth="8.7109375" defaultRowHeight="12.75"/>
  <cols>
    <col min="2" max="2" width="9.28515625" style="136" customWidth="1"/>
    <col min="3" max="3" width="8.85546875" style="114" customWidth="1"/>
    <col min="4" max="4" width="11.5703125" style="119" customWidth="1"/>
    <col min="5" max="5" width="13.140625" style="119" customWidth="1"/>
    <col min="6" max="6" width="9.42578125" style="119" customWidth="1"/>
    <col min="7" max="7" width="8.42578125" style="136" customWidth="1"/>
    <col min="8" max="8" width="12.7109375" style="136" customWidth="1"/>
    <col min="9" max="9" width="11" style="136" customWidth="1"/>
    <col min="10" max="10" width="9.140625" style="136" customWidth="1"/>
    <col min="11" max="11" width="9.42578125" style="119" customWidth="1"/>
    <col min="12" max="12" width="10.5703125" style="136" customWidth="1"/>
    <col min="13" max="13" width="12.140625" style="119" customWidth="1"/>
    <col min="14" max="14" width="9.140625" style="119" customWidth="1"/>
    <col min="15" max="19" width="9.140625" style="136" customWidth="1"/>
  </cols>
  <sheetData>
    <row r="1" spans="1:24" s="114" customFormat="1">
      <c r="D1" s="119"/>
      <c r="E1" s="119"/>
      <c r="F1" s="119"/>
      <c r="K1" s="119"/>
      <c r="M1" s="119"/>
      <c r="N1" s="119"/>
    </row>
    <row r="2" spans="1:24" s="114" customFormat="1">
      <c r="B2" s="114" t="s">
        <v>67</v>
      </c>
      <c r="N2" s="119"/>
    </row>
    <row r="3" spans="1:24" s="114" customFormat="1">
      <c r="N3" s="119"/>
    </row>
    <row r="4" spans="1:24">
      <c r="A4" s="1"/>
      <c r="B4" s="2"/>
      <c r="C4" s="3"/>
      <c r="D4" s="1"/>
      <c r="E4" s="8" t="s">
        <v>0</v>
      </c>
      <c r="F4" s="9"/>
      <c r="G4" s="10"/>
      <c r="H4" s="11"/>
      <c r="I4" s="12" t="s">
        <v>1</v>
      </c>
      <c r="J4" s="3"/>
      <c r="K4" s="10" t="s">
        <v>2</v>
      </c>
      <c r="L4" s="1"/>
      <c r="M4" s="7"/>
      <c r="N4" s="7"/>
      <c r="O4" s="1"/>
      <c r="P4" s="1"/>
      <c r="Q4" s="1"/>
      <c r="R4" s="1"/>
      <c r="S4" s="1"/>
      <c r="T4" s="1"/>
      <c r="U4" s="1"/>
      <c r="V4" s="1"/>
      <c r="W4" s="1"/>
      <c r="X4" s="1"/>
    </row>
    <row r="5" spans="1:24">
      <c r="A5" s="1"/>
      <c r="B5" s="13">
        <v>45402</v>
      </c>
      <c r="C5" s="3"/>
      <c r="D5" s="1"/>
      <c r="E5" s="4"/>
      <c r="F5" s="2"/>
      <c r="G5" s="3"/>
      <c r="H5" s="5"/>
      <c r="I5" s="6"/>
      <c r="J5" s="3"/>
      <c r="K5" s="14">
        <f>SUM(K8:K9)</f>
        <v>160.83500000000049</v>
      </c>
      <c r="L5" s="1"/>
      <c r="M5" s="7"/>
      <c r="N5" s="7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4">
      <c r="A6" s="1"/>
      <c r="B6" s="2">
        <v>45273</v>
      </c>
      <c r="C6" s="3"/>
      <c r="D6" s="1"/>
      <c r="E6" s="4"/>
      <c r="F6" s="2"/>
      <c r="G6" s="3"/>
      <c r="H6" s="5"/>
      <c r="I6" s="6"/>
      <c r="J6" s="3"/>
      <c r="K6" s="1"/>
      <c r="L6" s="15"/>
      <c r="M6" s="7"/>
      <c r="N6" s="7"/>
      <c r="O6" s="1"/>
      <c r="P6" s="1"/>
      <c r="Q6" s="1"/>
      <c r="R6" s="1"/>
      <c r="S6" s="1"/>
      <c r="T6" s="1"/>
      <c r="U6" s="1"/>
      <c r="V6" s="1"/>
      <c r="W6" s="1"/>
      <c r="X6" s="1"/>
    </row>
    <row r="7" spans="1:24">
      <c r="A7" s="1"/>
      <c r="B7" s="3">
        <f>B5-B6</f>
        <v>129</v>
      </c>
      <c r="C7" s="3"/>
      <c r="D7" s="137" t="s">
        <v>68</v>
      </c>
      <c r="E7" s="38">
        <f>SUM(E8:E9)</f>
        <v>6767.52</v>
      </c>
      <c r="F7" s="2"/>
      <c r="G7" s="3"/>
      <c r="H7" s="5"/>
      <c r="I7" s="38">
        <f>SUM(I8:I9)</f>
        <v>6931.165</v>
      </c>
      <c r="J7" s="49">
        <f>I7-E7</f>
        <v>163.64499999999953</v>
      </c>
      <c r="K7" s="38">
        <f>SUM(K8:K9)</f>
        <v>160.83500000000049</v>
      </c>
      <c r="L7" s="44">
        <f>K7/E7</f>
        <v>2.3765722155235668E-2</v>
      </c>
      <c r="M7" s="7"/>
      <c r="N7" s="7"/>
      <c r="O7" s="1"/>
      <c r="P7" s="1"/>
      <c r="Q7" s="1"/>
      <c r="R7" s="1"/>
      <c r="S7" s="1"/>
      <c r="T7" s="1"/>
      <c r="U7" s="1"/>
      <c r="V7" s="1"/>
      <c r="W7" s="1"/>
      <c r="X7" s="1"/>
    </row>
    <row r="8" spans="1:24">
      <c r="A8" s="1"/>
      <c r="B8" s="3">
        <f>K5/B7</f>
        <v>1.2467829457364379</v>
      </c>
      <c r="C8" s="3"/>
      <c r="D8" s="137" t="s">
        <v>3</v>
      </c>
      <c r="E8" s="43">
        <f>SUBTOTAL(109,E13:E20)</f>
        <v>5997.08</v>
      </c>
      <c r="F8" s="2"/>
      <c r="G8" s="3"/>
      <c r="H8" s="5"/>
      <c r="I8" s="43">
        <f>SUBTOTAL(109,I13:I20)</f>
        <v>5592.2449999999999</v>
      </c>
      <c r="J8" s="49">
        <f t="shared" ref="J8:J9" si="0">I8-E8</f>
        <v>-404.83500000000004</v>
      </c>
      <c r="K8" s="138">
        <f>SUBTOTAL(109,K13:K20)</f>
        <v>-404.8349999999997</v>
      </c>
      <c r="L8" s="44">
        <f>K8/E8</f>
        <v>-6.7505352604934357E-2</v>
      </c>
      <c r="M8" s="67">
        <f>SUBTOTAL(101,M13:M19)</f>
        <v>-5.471484785257439E-2</v>
      </c>
      <c r="N8" s="67">
        <f>SUBTOTAL(101,N13:N19)</f>
        <v>-1.9956902780497939E-2</v>
      </c>
      <c r="O8" s="1"/>
      <c r="P8" s="1"/>
      <c r="Q8" s="1"/>
      <c r="R8" s="1"/>
      <c r="S8" s="1"/>
      <c r="T8" s="1"/>
      <c r="U8" s="1"/>
      <c r="V8" s="1"/>
      <c r="W8" s="1"/>
      <c r="X8" s="1"/>
    </row>
    <row r="9" spans="1:24">
      <c r="A9" s="1"/>
      <c r="B9" s="3"/>
      <c r="C9" s="3"/>
      <c r="D9" s="139" t="s">
        <v>4</v>
      </c>
      <c r="E9" s="106">
        <f>SUBTOTAL(109,E23:E32)</f>
        <v>770.44</v>
      </c>
      <c r="F9" s="13"/>
      <c r="G9" s="49"/>
      <c r="H9" s="92"/>
      <c r="I9" s="51">
        <f>SUBTOTAL(109,I23:I32)</f>
        <v>1338.92</v>
      </c>
      <c r="J9" s="49">
        <f t="shared" si="0"/>
        <v>568.48</v>
      </c>
      <c r="K9" s="138">
        <f>SUBTOTAL(109,K23:K31)</f>
        <v>565.67000000000019</v>
      </c>
      <c r="L9" s="140">
        <f>K9/E9</f>
        <v>0.73421681117283644</v>
      </c>
      <c r="M9" s="141"/>
      <c r="N9" s="142">
        <f>L9/(B7/30)</f>
        <v>0.17074809562158988</v>
      </c>
      <c r="O9" s="1"/>
      <c r="P9" s="1"/>
      <c r="Q9" s="1"/>
      <c r="R9" s="1"/>
      <c r="S9" s="1"/>
      <c r="T9" s="1"/>
      <c r="U9" s="1"/>
      <c r="V9" s="1"/>
      <c r="W9" s="1"/>
      <c r="X9" s="1"/>
    </row>
    <row r="10" spans="1:24">
      <c r="A10" s="1"/>
      <c r="B10" s="2"/>
      <c r="C10" s="3"/>
      <c r="D10" s="42"/>
      <c r="E10" s="43"/>
      <c r="F10" s="2"/>
      <c r="G10" s="3"/>
      <c r="H10" s="5"/>
      <c r="J10" s="3"/>
      <c r="K10" s="43"/>
      <c r="L10" s="44"/>
      <c r="M10" s="45"/>
      <c r="N10" s="45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spans="1:24">
      <c r="A11" s="1"/>
      <c r="B11" s="2" t="s">
        <v>5</v>
      </c>
      <c r="C11" s="46" t="s">
        <v>5</v>
      </c>
      <c r="D11" s="47" t="s">
        <v>5</v>
      </c>
      <c r="E11" s="47" t="s">
        <v>5</v>
      </c>
      <c r="F11" s="48" t="s">
        <v>6</v>
      </c>
      <c r="G11" s="49" t="s">
        <v>6</v>
      </c>
      <c r="H11" s="50" t="s">
        <v>6</v>
      </c>
      <c r="I11" s="51" t="s">
        <v>6</v>
      </c>
      <c r="J11" s="52" t="s">
        <v>7</v>
      </c>
      <c r="K11" s="53" t="s">
        <v>7</v>
      </c>
      <c r="L11" s="53" t="s">
        <v>8</v>
      </c>
      <c r="M11" s="54" t="s">
        <v>8</v>
      </c>
      <c r="N11" s="54" t="s">
        <v>9</v>
      </c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1:24">
      <c r="A12" s="55" t="s">
        <v>10</v>
      </c>
      <c r="B12" s="48" t="s">
        <v>11</v>
      </c>
      <c r="C12" s="46" t="s">
        <v>12</v>
      </c>
      <c r="D12" s="47" t="s">
        <v>13</v>
      </c>
      <c r="E12" s="56" t="s">
        <v>14</v>
      </c>
      <c r="F12" s="48" t="s">
        <v>15</v>
      </c>
      <c r="G12" s="49" t="s">
        <v>16</v>
      </c>
      <c r="H12" s="57" t="s">
        <v>17</v>
      </c>
      <c r="I12" s="51" t="s">
        <v>18</v>
      </c>
      <c r="J12" s="52" t="s">
        <v>19</v>
      </c>
      <c r="K12" s="55" t="s">
        <v>20</v>
      </c>
      <c r="L12" s="55" t="s">
        <v>21</v>
      </c>
      <c r="M12" s="54" t="s">
        <v>22</v>
      </c>
      <c r="N12" s="54" t="s">
        <v>22</v>
      </c>
      <c r="O12" s="1"/>
      <c r="P12" s="1"/>
      <c r="Q12" s="1"/>
      <c r="R12" s="1"/>
      <c r="S12" s="1"/>
      <c r="T12" s="1"/>
      <c r="U12" s="1"/>
      <c r="V12" s="1"/>
      <c r="W12" s="1"/>
      <c r="X12" s="1"/>
    </row>
    <row r="13" spans="1:24">
      <c r="A13" s="1"/>
      <c r="B13" s="2"/>
      <c r="C13" s="52"/>
      <c r="D13" s="1"/>
      <c r="E13" s="53"/>
      <c r="F13" s="48"/>
      <c r="G13" s="52"/>
      <c r="H13" s="5"/>
      <c r="I13" s="6"/>
      <c r="J13" s="52"/>
      <c r="K13" s="1"/>
      <c r="L13" s="1"/>
      <c r="M13" s="54"/>
      <c r="N13" s="54"/>
      <c r="P13" s="1"/>
      <c r="Q13" s="1"/>
      <c r="R13" s="1"/>
      <c r="S13" s="1"/>
      <c r="T13" s="1"/>
      <c r="U13" s="1"/>
      <c r="V13" s="1"/>
      <c r="W13" s="1"/>
      <c r="X13" s="1"/>
    </row>
    <row r="14" spans="1:24">
      <c r="A14" s="143" t="s">
        <v>3</v>
      </c>
      <c r="B14" s="2"/>
      <c r="C14" s="3"/>
      <c r="D14" s="1"/>
      <c r="E14" s="4"/>
      <c r="F14" s="2"/>
      <c r="G14" s="3"/>
      <c r="H14" s="5"/>
      <c r="I14" s="6"/>
      <c r="J14" s="3"/>
      <c r="K14" s="1"/>
      <c r="L14" s="1"/>
      <c r="M14" s="7"/>
      <c r="N14" s="143" t="s">
        <v>3</v>
      </c>
      <c r="O14" s="144">
        <f>SUM(O15:O18)</f>
        <v>-404.8349999999997</v>
      </c>
      <c r="P14" s="1"/>
      <c r="Q14" s="1"/>
      <c r="R14" s="1"/>
      <c r="S14" s="1"/>
      <c r="T14" s="1"/>
      <c r="U14" s="1"/>
      <c r="V14" s="1"/>
      <c r="W14" s="1"/>
      <c r="X14" s="1"/>
    </row>
    <row r="15" spans="1:24">
      <c r="A15" s="1"/>
      <c r="B15" s="2"/>
      <c r="C15" s="3"/>
      <c r="D15" s="1"/>
      <c r="E15" s="4"/>
      <c r="F15" s="2"/>
      <c r="G15" s="3"/>
      <c r="H15" s="5"/>
      <c r="I15" s="6"/>
      <c r="J15" s="3"/>
      <c r="K15" s="1"/>
      <c r="L15" s="1"/>
      <c r="M15" s="7"/>
      <c r="N15" s="7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 spans="1:24">
      <c r="A16" s="111" t="s">
        <v>69</v>
      </c>
      <c r="B16" s="109">
        <v>45273</v>
      </c>
      <c r="C16" s="110">
        <v>26</v>
      </c>
      <c r="D16" s="111">
        <v>55.08</v>
      </c>
      <c r="E16" s="61">
        <f>Tablo23[[#This Row],[adet]]*Tablo23[[#This Row],[birim fiyat]]</f>
        <v>1432.08</v>
      </c>
      <c r="F16" s="2">
        <f>B5</f>
        <v>45402</v>
      </c>
      <c r="G16" s="46">
        <v>26</v>
      </c>
      <c r="H16" s="1">
        <v>46</v>
      </c>
      <c r="I16" s="51">
        <f>Tablo23[[#This Row],[Fiyat]]*Tablo23[[#This Row],[Miktar]]</f>
        <v>1196</v>
      </c>
      <c r="J16" s="106">
        <f>H16-D16</f>
        <v>-9.0799999999999983</v>
      </c>
      <c r="K16" s="65">
        <f>Tablo23[[#This Row],[Miktar3]]*Tablo23[[#This Row],[adet]]</f>
        <v>-236.07999999999996</v>
      </c>
      <c r="L16" s="66">
        <f>F16-B16</f>
        <v>129</v>
      </c>
      <c r="M16" s="67">
        <f>K16/E16</f>
        <v>-0.16485112563543933</v>
      </c>
      <c r="N16" s="67">
        <f>M16/L16*30</f>
        <v>-3.8337471078009146E-2</v>
      </c>
      <c r="O16" s="1"/>
      <c r="P16" s="1"/>
      <c r="Q16" s="1"/>
      <c r="R16" s="1"/>
      <c r="S16" s="1"/>
      <c r="T16" s="1"/>
      <c r="U16" s="1"/>
      <c r="V16" s="1"/>
      <c r="W16" s="1"/>
      <c r="X16" s="1"/>
    </row>
    <row r="17" spans="1:24">
      <c r="A17" s="1" t="s">
        <v>70</v>
      </c>
      <c r="B17" s="2">
        <v>45273</v>
      </c>
      <c r="C17" s="46">
        <v>9</v>
      </c>
      <c r="D17" s="47">
        <v>130</v>
      </c>
      <c r="E17" s="61">
        <f>Tablo23[[#This Row],[adet]]*Tablo23[[#This Row],[birim fiyat]]</f>
        <v>1170</v>
      </c>
      <c r="F17" s="62">
        <f>$B$5</f>
        <v>45402</v>
      </c>
      <c r="G17" s="63">
        <v>9</v>
      </c>
      <c r="H17" s="64">
        <v>140</v>
      </c>
      <c r="I17" s="51">
        <f>Tablo23[[#This Row],[Fiyat]]*Tablo23[[#This Row],[Miktar]]</f>
        <v>1260</v>
      </c>
      <c r="J17" s="46">
        <f>H17-D17</f>
        <v>10</v>
      </c>
      <c r="K17" s="65">
        <f>Tablo23[[#This Row],[Miktar3]]*Tablo23[[#This Row],[adet]]</f>
        <v>90</v>
      </c>
      <c r="L17" s="66">
        <f>F17-B17</f>
        <v>129</v>
      </c>
      <c r="M17" s="67">
        <f>K17/E17</f>
        <v>7.6923076923076927E-2</v>
      </c>
      <c r="N17" s="67">
        <f>M17/L17*30</f>
        <v>1.788908765652952E-2</v>
      </c>
      <c r="O17" s="68"/>
      <c r="P17" s="1"/>
      <c r="Q17" s="1"/>
      <c r="R17" s="1"/>
      <c r="S17" s="1"/>
      <c r="T17" s="1"/>
      <c r="U17" s="1"/>
      <c r="V17" s="1"/>
      <c r="W17" s="1"/>
      <c r="X17" s="1"/>
    </row>
    <row r="18" spans="1:24">
      <c r="A18" s="1" t="s">
        <v>23</v>
      </c>
      <c r="B18" s="2">
        <v>45344</v>
      </c>
      <c r="C18" s="46">
        <v>3500</v>
      </c>
      <c r="D18" s="47">
        <v>0.97</v>
      </c>
      <c r="E18" s="61">
        <f>Tablo23[[#This Row],[adet]]*Tablo23[[#This Row],[birim fiyat]]</f>
        <v>3395</v>
      </c>
      <c r="F18" s="62">
        <f>B5</f>
        <v>45402</v>
      </c>
      <c r="G18" s="63">
        <v>3500</v>
      </c>
      <c r="H18" s="64">
        <f>Sayfa4!M10</f>
        <v>0.89607000000000003</v>
      </c>
      <c r="I18" s="51">
        <f>Tablo23[[#This Row],[Fiyat]]*Tablo23[[#This Row],[Miktar]]</f>
        <v>3136.2449999999999</v>
      </c>
      <c r="J18" s="46">
        <f>H18-D18</f>
        <v>-7.392999999999994E-2</v>
      </c>
      <c r="K18" s="65">
        <f>Tablo23[[#This Row],[Miktar3]]*Tablo23[[#This Row],[adet]]</f>
        <v>-258.75499999999977</v>
      </c>
      <c r="L18" s="66">
        <f>F18-B18</f>
        <v>58</v>
      </c>
      <c r="M18" s="67">
        <f>K18/E18</f>
        <v>-7.6216494845360763E-2</v>
      </c>
      <c r="N18" s="67">
        <f>M18/L18*30</f>
        <v>-3.9422324920014185E-2</v>
      </c>
      <c r="O18" s="69">
        <f>SUM(K15:K18)</f>
        <v>-404.8349999999997</v>
      </c>
      <c r="P18" s="1"/>
      <c r="Q18" s="1"/>
      <c r="R18" s="1"/>
      <c r="S18" s="1"/>
      <c r="T18" s="1"/>
      <c r="U18" s="1"/>
      <c r="V18" s="1"/>
      <c r="W18" s="1"/>
      <c r="X18" s="1"/>
    </row>
    <row r="19" spans="1:24">
      <c r="A19" s="1"/>
      <c r="B19" s="2"/>
      <c r="C19" s="3"/>
      <c r="D19" s="1"/>
      <c r="E19" s="4"/>
      <c r="F19" s="2"/>
      <c r="G19" s="3"/>
      <c r="H19" s="5"/>
      <c r="I19" s="6"/>
      <c r="J19" s="3"/>
      <c r="K19" s="1"/>
      <c r="L19" s="1"/>
      <c r="M19" s="67"/>
      <c r="N19" s="67"/>
      <c r="O19" s="68"/>
      <c r="P19" s="1"/>
      <c r="Q19" s="1"/>
      <c r="R19" s="1"/>
      <c r="S19" s="1"/>
      <c r="T19" s="1"/>
      <c r="U19" s="1"/>
      <c r="V19" s="1"/>
      <c r="W19" s="1"/>
      <c r="X19" s="1"/>
    </row>
    <row r="20" spans="1:24">
      <c r="A20" s="1"/>
      <c r="B20" s="2"/>
      <c r="C20" s="46"/>
      <c r="D20" s="47"/>
      <c r="E20" s="65"/>
      <c r="F20" s="79"/>
      <c r="G20" s="90"/>
      <c r="H20" s="91"/>
      <c r="I20" s="51"/>
      <c r="J20" s="52"/>
      <c r="K20" s="1"/>
      <c r="L20" s="1"/>
      <c r="M20" s="67"/>
      <c r="N20" s="67"/>
      <c r="O20" s="1"/>
      <c r="P20" s="1"/>
      <c r="Q20" s="1"/>
      <c r="R20" s="67"/>
      <c r="S20" s="1"/>
      <c r="T20" s="1"/>
      <c r="U20" s="1"/>
      <c r="V20" s="1"/>
      <c r="W20" s="1"/>
      <c r="X20" s="1"/>
    </row>
    <row r="21" spans="1:24">
      <c r="A21" s="145"/>
      <c r="B21" s="146"/>
      <c r="C21" s="147"/>
      <c r="D21" s="145"/>
      <c r="E21" s="148"/>
      <c r="F21" s="149"/>
      <c r="G21" s="150"/>
      <c r="H21" s="151"/>
      <c r="I21" s="6"/>
      <c r="J21" s="147"/>
      <c r="K21" s="145"/>
      <c r="L21" s="145"/>
      <c r="M21" s="152" t="s">
        <v>4</v>
      </c>
      <c r="N21" s="153" t="s">
        <v>27</v>
      </c>
      <c r="O21" s="144">
        <f>SUM(O22:O32)</f>
        <v>565.67000000000019</v>
      </c>
      <c r="P21" s="1"/>
      <c r="Q21" s="1"/>
      <c r="R21" s="1"/>
      <c r="S21" s="1"/>
      <c r="T21" s="1"/>
      <c r="U21" s="1"/>
      <c r="V21" s="1"/>
      <c r="W21" s="1"/>
      <c r="X21" s="1"/>
    </row>
    <row r="22" spans="1:24">
      <c r="A22" s="1"/>
      <c r="B22" s="2"/>
      <c r="C22" s="52"/>
      <c r="D22" s="1"/>
      <c r="E22" s="78"/>
      <c r="F22" s="79"/>
      <c r="G22" s="80"/>
      <c r="H22" s="81"/>
      <c r="I22" s="6"/>
      <c r="J22" s="3"/>
      <c r="K22" s="1"/>
      <c r="L22" s="1"/>
      <c r="M22" s="67"/>
      <c r="N22" s="67"/>
      <c r="O22" s="68"/>
      <c r="P22" s="1"/>
      <c r="Q22" s="1"/>
      <c r="R22" s="1"/>
      <c r="S22" s="1"/>
      <c r="T22" s="1"/>
      <c r="U22" s="1"/>
      <c r="V22" s="1"/>
      <c r="W22" s="1"/>
      <c r="X22" s="1"/>
    </row>
    <row r="23" spans="1:24">
      <c r="A23" s="152" t="s">
        <v>4</v>
      </c>
      <c r="B23" s="2"/>
      <c r="C23" s="52"/>
      <c r="D23" s="1"/>
      <c r="E23" s="78"/>
      <c r="F23" s="79"/>
      <c r="G23" s="80"/>
      <c r="H23" s="81"/>
      <c r="I23" s="6"/>
      <c r="J23" s="3"/>
      <c r="K23" s="6"/>
      <c r="L23" s="1"/>
      <c r="M23" s="67"/>
      <c r="N23" s="67"/>
      <c r="O23" s="68"/>
      <c r="P23" s="1"/>
      <c r="Q23" s="1"/>
      <c r="R23" s="1"/>
      <c r="S23" s="1"/>
      <c r="T23" s="1"/>
      <c r="U23" s="1"/>
      <c r="V23" s="1"/>
      <c r="W23" s="1"/>
      <c r="X23" s="1"/>
    </row>
    <row r="24" spans="1:24">
      <c r="A24" s="1"/>
      <c r="B24" s="2"/>
      <c r="C24" s="52"/>
      <c r="D24" s="1"/>
      <c r="E24" s="78"/>
      <c r="F24" s="79"/>
      <c r="G24" s="80"/>
      <c r="H24" s="81"/>
      <c r="I24" s="6"/>
      <c r="J24" s="3"/>
      <c r="K24" s="6"/>
      <c r="L24" s="1"/>
      <c r="M24" s="67"/>
      <c r="N24" s="67"/>
      <c r="O24" s="68"/>
      <c r="P24" s="1"/>
      <c r="Q24" s="1"/>
      <c r="R24" s="1"/>
      <c r="S24" s="1"/>
      <c r="T24" s="1"/>
      <c r="U24" s="1"/>
      <c r="V24" s="1"/>
      <c r="W24" s="1"/>
      <c r="X24" s="1"/>
    </row>
    <row r="25" spans="1:24">
      <c r="A25" s="1"/>
      <c r="B25" s="2"/>
      <c r="C25" s="3"/>
      <c r="D25" s="1"/>
      <c r="E25" s="4"/>
      <c r="F25" s="2"/>
      <c r="G25" s="3"/>
      <c r="H25" s="5"/>
      <c r="I25" s="6"/>
      <c r="J25" s="3"/>
      <c r="K25" s="1"/>
      <c r="L25" s="1"/>
      <c r="M25" s="7"/>
      <c r="N25" s="7"/>
      <c r="O25" s="68"/>
      <c r="P25" s="1"/>
      <c r="Q25" s="1"/>
      <c r="R25" s="1"/>
      <c r="S25" s="1"/>
      <c r="T25" s="1"/>
      <c r="U25" s="1"/>
      <c r="V25" s="1"/>
      <c r="W25" s="1"/>
      <c r="X25" s="1"/>
    </row>
    <row r="26" spans="1:24">
      <c r="A26" s="1"/>
      <c r="B26" s="2"/>
      <c r="C26" s="3"/>
      <c r="D26" s="1"/>
      <c r="E26" s="4"/>
      <c r="F26" s="2"/>
      <c r="G26" s="3"/>
      <c r="H26" s="5"/>
      <c r="I26" s="6"/>
      <c r="J26" s="3"/>
      <c r="K26" s="1"/>
      <c r="L26" s="1"/>
      <c r="M26" s="7"/>
      <c r="N26" s="7"/>
      <c r="O26" s="68"/>
      <c r="P26" s="1"/>
      <c r="Q26" s="1"/>
      <c r="R26" s="1"/>
      <c r="S26" s="1"/>
      <c r="T26" s="1"/>
      <c r="U26" s="1"/>
      <c r="V26" s="1"/>
      <c r="W26" s="1"/>
      <c r="X26" s="1"/>
    </row>
    <row r="27" spans="1:24">
      <c r="A27" s="1" t="s">
        <v>30</v>
      </c>
      <c r="B27" s="2">
        <v>45350</v>
      </c>
      <c r="C27" s="46">
        <v>68</v>
      </c>
      <c r="D27" s="47">
        <v>11.33</v>
      </c>
      <c r="E27" s="61">
        <f>Tablo23[[#This Row],[adet]]*Tablo23[[#This Row],[birim fiyat]]</f>
        <v>770.44</v>
      </c>
      <c r="F27" s="62">
        <v>45370</v>
      </c>
      <c r="G27" s="63">
        <v>68</v>
      </c>
      <c r="H27" s="64">
        <v>19.690000000000001</v>
      </c>
      <c r="I27" s="51">
        <f>Tablo23[[#This Row],[Fiyat]]*Tablo23[[#This Row],[Miktar]]</f>
        <v>1338.92</v>
      </c>
      <c r="J27" s="46">
        <f>H27-D27</f>
        <v>8.3600000000000012</v>
      </c>
      <c r="K27" s="65">
        <f>Tablo23[[#This Row],[Miktar3]]*Tablo23[[#This Row],[adet]]</f>
        <v>568.48000000000013</v>
      </c>
      <c r="L27" s="66">
        <f>F27-B27</f>
        <v>20</v>
      </c>
      <c r="M27" s="67">
        <f>K27/E27</f>
        <v>0.73786407766990303</v>
      </c>
      <c r="N27" s="67">
        <f>M27/L27*30</f>
        <v>1.1067961165048545</v>
      </c>
      <c r="O27" s="68"/>
      <c r="P27" s="1"/>
      <c r="Q27" s="1"/>
      <c r="R27" s="1"/>
      <c r="S27" s="1"/>
      <c r="T27" s="1"/>
      <c r="U27" s="1"/>
      <c r="V27" s="1"/>
      <c r="W27" s="1"/>
      <c r="X27" s="1"/>
    </row>
    <row r="28" spans="1:24">
      <c r="A28" s="1" t="s">
        <v>71</v>
      </c>
      <c r="B28" s="2"/>
      <c r="C28" s="46"/>
      <c r="D28" s="47"/>
      <c r="E28" s="56"/>
      <c r="F28" s="62"/>
      <c r="G28" s="63"/>
      <c r="H28" s="64"/>
      <c r="I28" s="51"/>
      <c r="J28" s="46"/>
      <c r="K28" s="65">
        <v>-2.81</v>
      </c>
      <c r="L28" s="66"/>
      <c r="M28" s="67"/>
      <c r="N28" s="67"/>
      <c r="O28" s="68"/>
      <c r="P28" s="1"/>
      <c r="Q28" s="1"/>
      <c r="R28" s="1"/>
      <c r="S28" s="1"/>
      <c r="T28" s="1"/>
      <c r="U28" s="1"/>
      <c r="V28" s="1"/>
      <c r="W28" s="1"/>
      <c r="X28" s="1"/>
    </row>
    <row r="29" spans="1:24">
      <c r="A29" s="1"/>
      <c r="B29" s="2"/>
      <c r="C29" s="3"/>
      <c r="D29" s="1"/>
      <c r="E29" s="61"/>
      <c r="F29" s="2"/>
      <c r="G29" s="46"/>
      <c r="H29" s="1"/>
      <c r="I29" s="51"/>
      <c r="J29" s="106"/>
      <c r="K29" s="65"/>
      <c r="L29" s="107"/>
      <c r="M29" s="112"/>
      <c r="N29" s="67"/>
      <c r="O29" s="69">
        <f>SUM(K24:K29)</f>
        <v>565.67000000000019</v>
      </c>
      <c r="P29" s="1"/>
      <c r="Q29" s="1"/>
      <c r="R29" s="1"/>
      <c r="S29" s="1"/>
      <c r="T29" s="1"/>
      <c r="U29" s="1"/>
      <c r="V29" s="1"/>
      <c r="W29" s="1"/>
      <c r="X29" s="1"/>
    </row>
    <row r="30" spans="1:24">
      <c r="A30" s="1"/>
      <c r="B30" s="2"/>
      <c r="C30" s="3"/>
      <c r="D30" s="1"/>
      <c r="E30" s="61"/>
      <c r="F30" s="2"/>
      <c r="G30" s="46"/>
      <c r="H30" s="1"/>
      <c r="I30" s="51"/>
      <c r="J30" s="106"/>
      <c r="K30" s="65"/>
      <c r="L30" s="107"/>
      <c r="M30" s="112"/>
      <c r="N30" s="67"/>
      <c r="O30" s="103"/>
      <c r="P30" s="1"/>
      <c r="Q30" s="1"/>
      <c r="R30" s="1"/>
      <c r="S30" s="1"/>
      <c r="T30" s="1"/>
      <c r="U30" s="1"/>
      <c r="V30" s="1"/>
      <c r="W30" s="1"/>
      <c r="X30" s="1"/>
    </row>
    <row r="31" spans="1:24">
      <c r="A31" s="1"/>
      <c r="B31" s="2"/>
      <c r="C31" s="3"/>
      <c r="D31" s="1"/>
      <c r="E31" s="53"/>
      <c r="F31" s="48"/>
      <c r="G31" s="52"/>
      <c r="H31" s="5"/>
      <c r="I31" s="113"/>
      <c r="J31" s="3"/>
      <c r="K31" s="55"/>
      <c r="L31" s="55"/>
      <c r="M31" s="7"/>
      <c r="N31" s="7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 spans="1:24">
      <c r="A32" s="1"/>
      <c r="B32" s="2"/>
      <c r="C32" s="3"/>
      <c r="D32" s="1"/>
      <c r="E32" s="53"/>
      <c r="F32" s="48"/>
      <c r="G32" s="52"/>
      <c r="H32" s="5"/>
      <c r="I32" s="113"/>
      <c r="J32" s="3"/>
      <c r="K32" s="55"/>
      <c r="L32" s="55"/>
      <c r="M32" s="7"/>
      <c r="N32" s="7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 spans="1:24">
      <c r="A33" s="1"/>
      <c r="B33" s="2"/>
      <c r="C33" s="3"/>
      <c r="D33" s="1"/>
      <c r="E33" s="53"/>
      <c r="F33" s="48"/>
      <c r="G33" s="52"/>
      <c r="H33" s="5"/>
      <c r="I33" s="113"/>
      <c r="J33" s="3"/>
      <c r="K33" s="55"/>
      <c r="L33" s="55"/>
      <c r="M33" s="7"/>
      <c r="N33" s="7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 spans="1:24">
      <c r="A34" s="1"/>
      <c r="B34" s="2"/>
      <c r="C34" s="3"/>
      <c r="D34" s="1"/>
      <c r="E34" s="53"/>
      <c r="F34" s="48"/>
      <c r="G34" s="52"/>
      <c r="H34" s="5"/>
      <c r="I34" s="113"/>
      <c r="J34" s="3"/>
      <c r="K34" s="55"/>
      <c r="L34" s="55"/>
      <c r="M34" s="7"/>
      <c r="N34" s="7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 spans="1:24">
      <c r="A35" s="1"/>
      <c r="B35" s="2"/>
      <c r="C35" s="3"/>
      <c r="D35" s="1"/>
      <c r="E35" s="53"/>
      <c r="F35" s="48"/>
      <c r="G35" s="52"/>
      <c r="H35" s="5"/>
      <c r="I35" s="113"/>
      <c r="J35" s="3"/>
      <c r="K35" s="55"/>
      <c r="L35" s="55"/>
      <c r="M35" s="7"/>
      <c r="N35" s="7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 spans="1:24">
      <c r="A36" s="1"/>
      <c r="B36" s="2"/>
      <c r="C36" s="3"/>
      <c r="D36" s="1"/>
      <c r="E36" s="53"/>
      <c r="F36" s="48"/>
      <c r="G36" s="52"/>
      <c r="H36" s="5"/>
      <c r="I36" s="113"/>
      <c r="J36" s="3"/>
      <c r="K36" s="55"/>
      <c r="L36" s="55"/>
      <c r="M36" s="7"/>
      <c r="N36" s="7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 spans="1:24">
      <c r="A37" s="1"/>
      <c r="B37" s="2"/>
      <c r="C37" s="3"/>
      <c r="D37" s="1"/>
      <c r="E37" s="53"/>
      <c r="F37" s="48"/>
      <c r="G37" s="52"/>
      <c r="H37" s="5"/>
      <c r="I37" s="113"/>
      <c r="J37" s="3"/>
      <c r="K37" s="55"/>
      <c r="L37" s="55"/>
      <c r="M37" s="7"/>
      <c r="N37" s="7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spans="1:24">
      <c r="A38" s="1"/>
      <c r="B38" s="2"/>
      <c r="C38" s="3"/>
      <c r="D38" s="1"/>
      <c r="E38" s="53"/>
      <c r="F38" s="48"/>
      <c r="G38" s="52"/>
      <c r="H38" s="5"/>
      <c r="I38" s="6"/>
      <c r="J38" s="3"/>
      <c r="K38" s="1"/>
      <c r="L38" s="1"/>
      <c r="M38" s="7"/>
      <c r="N38" s="7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 spans="1:24">
      <c r="A39" s="1"/>
      <c r="B39" s="2"/>
      <c r="C39" s="3"/>
      <c r="D39" s="1"/>
      <c r="E39" s="53"/>
      <c r="F39" s="48"/>
      <c r="G39" s="52"/>
      <c r="H39" s="5"/>
      <c r="I39" s="6"/>
      <c r="J39" s="3"/>
      <c r="K39" s="1"/>
      <c r="L39" s="1"/>
      <c r="M39" s="7"/>
      <c r="N39" s="7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spans="1:24">
      <c r="A40" s="1"/>
      <c r="B40" s="2"/>
      <c r="C40" s="3"/>
      <c r="D40" s="1"/>
      <c r="E40" s="53"/>
      <c r="F40" s="48"/>
      <c r="G40" s="52"/>
      <c r="H40" s="5"/>
      <c r="I40" s="6"/>
      <c r="J40" s="3"/>
      <c r="K40" s="1"/>
      <c r="L40" s="1"/>
      <c r="M40" s="7"/>
      <c r="N40" s="7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spans="1:24">
      <c r="A41" s="1"/>
      <c r="B41" s="2"/>
      <c r="C41" s="3"/>
      <c r="D41" s="1"/>
      <c r="E41" s="53"/>
      <c r="F41" s="48"/>
      <c r="G41" s="52"/>
      <c r="H41" s="5"/>
      <c r="I41" s="6"/>
      <c r="J41" s="3"/>
      <c r="K41" s="1"/>
      <c r="L41" s="1"/>
      <c r="M41" s="7"/>
      <c r="N41" s="7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spans="1:24">
      <c r="A42" s="1"/>
      <c r="B42" s="2"/>
      <c r="C42" s="3"/>
      <c r="D42" s="1"/>
      <c r="E42" s="4"/>
      <c r="F42" s="2"/>
      <c r="G42" s="3"/>
      <c r="H42" s="5"/>
      <c r="I42" s="6"/>
      <c r="J42" s="3"/>
      <c r="K42" s="1"/>
      <c r="L42" s="1"/>
      <c r="M42" s="7"/>
      <c r="N42" s="7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spans="1:24">
      <c r="A43" s="1"/>
      <c r="B43" s="2"/>
      <c r="C43" s="3"/>
      <c r="D43" s="1"/>
      <c r="E43" s="4"/>
      <c r="F43" s="2"/>
      <c r="G43" s="3"/>
      <c r="H43" s="5"/>
      <c r="I43" s="6"/>
      <c r="J43" s="3"/>
      <c r="K43" s="1"/>
      <c r="L43" s="1"/>
      <c r="M43" s="7"/>
      <c r="N43" s="7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spans="1:24">
      <c r="A44" s="1"/>
      <c r="B44" s="2"/>
      <c r="C44" s="3"/>
      <c r="D44" s="1"/>
      <c r="E44" s="4"/>
      <c r="F44" s="2"/>
      <c r="G44" s="3"/>
      <c r="H44" s="5"/>
      <c r="I44" s="6"/>
      <c r="J44" s="3"/>
      <c r="K44" s="1"/>
      <c r="L44" s="1"/>
      <c r="M44" s="7"/>
      <c r="N44" s="7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spans="1:24">
      <c r="A45" s="1"/>
      <c r="B45" s="2"/>
      <c r="C45" s="3"/>
      <c r="D45" s="1"/>
      <c r="E45" s="4"/>
      <c r="F45" s="2"/>
      <c r="G45" s="3"/>
      <c r="H45" s="5"/>
      <c r="I45" s="6"/>
      <c r="J45" s="3"/>
      <c r="K45" s="1"/>
      <c r="L45" s="1"/>
      <c r="M45" s="7"/>
      <c r="N45" s="7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spans="1:24">
      <c r="A46" s="1"/>
      <c r="B46" s="2"/>
      <c r="C46" s="3"/>
      <c r="D46" s="1"/>
      <c r="E46" s="4"/>
      <c r="F46" s="2"/>
      <c r="G46" s="3"/>
      <c r="H46" s="5"/>
      <c r="I46" s="6"/>
      <c r="J46" s="3"/>
      <c r="K46" s="1"/>
      <c r="L46" s="1"/>
      <c r="M46" s="7"/>
      <c r="N46" s="7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spans="1:24">
      <c r="A47" s="1"/>
      <c r="B47" s="2"/>
      <c r="C47" s="3"/>
      <c r="D47" s="1"/>
      <c r="E47" s="4"/>
      <c r="F47" s="2"/>
      <c r="G47" s="3"/>
      <c r="H47" s="5"/>
      <c r="I47" s="6"/>
      <c r="J47" s="3"/>
      <c r="K47" s="1"/>
      <c r="L47" s="1"/>
      <c r="M47" s="7"/>
      <c r="N47" s="7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spans="1:24">
      <c r="A48" s="1"/>
      <c r="B48" s="2"/>
      <c r="C48" s="3"/>
      <c r="D48" s="1"/>
      <c r="E48" s="4"/>
      <c r="F48" s="2"/>
      <c r="G48" s="3"/>
      <c r="H48" s="5"/>
      <c r="I48" s="6"/>
      <c r="J48" s="3"/>
      <c r="K48" s="1"/>
      <c r="L48" s="1"/>
      <c r="M48" s="7"/>
      <c r="N48" s="7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spans="1:24">
      <c r="A49" s="1"/>
      <c r="B49" s="2"/>
      <c r="C49" s="3"/>
      <c r="D49" s="1"/>
      <c r="E49" s="4"/>
      <c r="F49" s="2"/>
      <c r="G49" s="3"/>
      <c r="H49" s="5"/>
      <c r="I49" s="6"/>
      <c r="J49" s="3"/>
      <c r="K49" s="1"/>
      <c r="L49" s="1"/>
      <c r="M49" s="7"/>
      <c r="N49" s="7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spans="1:24">
      <c r="A50" s="1"/>
      <c r="B50" s="2"/>
      <c r="C50" s="3"/>
      <c r="D50" s="1"/>
      <c r="E50" s="4"/>
      <c r="F50" s="2"/>
      <c r="G50" s="3"/>
      <c r="H50" s="5"/>
      <c r="I50" s="6"/>
      <c r="J50" s="3"/>
      <c r="K50" s="1"/>
      <c r="L50" s="1"/>
      <c r="M50" s="7"/>
      <c r="N50" s="7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spans="1:24">
      <c r="A51" s="1"/>
      <c r="B51" s="2"/>
      <c r="C51" s="3"/>
      <c r="D51" s="1"/>
      <c r="E51" s="4"/>
      <c r="F51" s="2"/>
      <c r="G51" s="3"/>
      <c r="H51" s="5"/>
      <c r="I51" s="6"/>
      <c r="J51" s="3"/>
      <c r="K51" s="1"/>
      <c r="L51" s="1"/>
      <c r="M51" s="7"/>
      <c r="N51" s="7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spans="1:24">
      <c r="A52" s="1"/>
      <c r="B52" s="2"/>
      <c r="C52" s="3"/>
      <c r="D52" s="1"/>
      <c r="E52" s="4"/>
      <c r="F52" s="2"/>
      <c r="G52" s="3"/>
      <c r="H52" s="5"/>
      <c r="I52" s="6"/>
      <c r="J52" s="3"/>
      <c r="K52" s="1"/>
      <c r="L52" s="1"/>
      <c r="M52" s="7"/>
      <c r="N52" s="7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 spans="1:24">
      <c r="A53" s="1"/>
      <c r="B53" s="2"/>
      <c r="C53" s="3"/>
      <c r="D53" s="1"/>
      <c r="E53" s="4"/>
      <c r="F53" s="2"/>
      <c r="G53" s="3"/>
      <c r="H53" s="5"/>
      <c r="I53" s="6"/>
      <c r="J53" s="3"/>
      <c r="K53" s="1"/>
      <c r="L53" s="1"/>
      <c r="M53" s="7"/>
      <c r="N53" s="7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 spans="1:24">
      <c r="A54" s="1"/>
      <c r="B54" s="2"/>
      <c r="C54" s="3"/>
      <c r="D54" s="1"/>
      <c r="E54" s="4"/>
      <c r="F54" s="2"/>
      <c r="G54" s="3"/>
      <c r="H54" s="5"/>
      <c r="I54" s="6"/>
      <c r="J54" s="3"/>
      <c r="K54" s="1"/>
      <c r="L54" s="1"/>
      <c r="M54" s="7"/>
      <c r="N54" s="7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 spans="1:24">
      <c r="A55" s="1"/>
      <c r="B55" s="2"/>
      <c r="C55" s="3"/>
      <c r="D55" s="1"/>
      <c r="E55" s="4"/>
      <c r="F55" s="2"/>
      <c r="G55" s="3"/>
      <c r="H55" s="5"/>
      <c r="I55" s="6"/>
      <c r="J55" s="3"/>
      <c r="K55" s="1"/>
      <c r="L55" s="1"/>
      <c r="M55" s="7"/>
      <c r="N55" s="7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 spans="1:24">
      <c r="A56" s="1"/>
      <c r="B56" s="2"/>
      <c r="C56" s="3"/>
      <c r="D56" s="1"/>
      <c r="E56" s="4"/>
      <c r="F56" s="2"/>
      <c r="G56" s="3"/>
      <c r="H56" s="5"/>
      <c r="I56" s="6"/>
      <c r="J56" s="3"/>
      <c r="K56" s="1"/>
      <c r="L56" s="1"/>
      <c r="M56" s="7"/>
      <c r="N56" s="7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 spans="1:24">
      <c r="A57" s="1"/>
      <c r="B57" s="2"/>
      <c r="C57" s="3"/>
      <c r="D57" s="1"/>
      <c r="E57" s="4"/>
      <c r="F57" s="2"/>
      <c r="G57" s="3"/>
      <c r="H57" s="5"/>
      <c r="I57" s="6"/>
      <c r="J57" s="3"/>
      <c r="K57" s="1"/>
      <c r="L57" s="1"/>
      <c r="M57" s="7"/>
      <c r="N57" s="7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 spans="1:24">
      <c r="A58" s="1"/>
      <c r="B58" s="2"/>
      <c r="C58" s="3"/>
      <c r="D58" s="1"/>
      <c r="E58" s="4"/>
      <c r="F58" s="2"/>
      <c r="G58" s="3"/>
      <c r="H58" s="5"/>
      <c r="I58" s="6"/>
      <c r="J58" s="3"/>
      <c r="K58" s="1"/>
      <c r="L58" s="1"/>
      <c r="M58" s="7"/>
      <c r="N58" s="7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 spans="1:24">
      <c r="A59" s="1"/>
      <c r="B59" s="2"/>
      <c r="C59" s="3"/>
      <c r="D59" s="1"/>
      <c r="E59" s="4"/>
      <c r="F59" s="2"/>
      <c r="G59" s="3"/>
      <c r="H59" s="5"/>
      <c r="I59" s="6"/>
      <c r="J59" s="3"/>
      <c r="K59" s="1"/>
      <c r="L59" s="1"/>
      <c r="M59" s="7"/>
      <c r="N59" s="7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 spans="1:24">
      <c r="A60" s="1"/>
      <c r="B60" s="2"/>
      <c r="C60" s="3"/>
      <c r="D60" s="1"/>
      <c r="E60" s="4"/>
      <c r="F60" s="2"/>
      <c r="G60" s="3"/>
      <c r="H60" s="5"/>
      <c r="I60" s="6"/>
      <c r="J60" s="3"/>
      <c r="K60" s="1"/>
      <c r="L60" s="1"/>
      <c r="M60" s="7"/>
      <c r="N60" s="7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 spans="1:24">
      <c r="A61" s="1"/>
      <c r="B61" s="2"/>
      <c r="C61" s="3"/>
      <c r="D61" s="1"/>
      <c r="E61" s="4"/>
      <c r="F61" s="2"/>
      <c r="G61" s="3"/>
      <c r="H61" s="5"/>
      <c r="I61" s="6"/>
      <c r="J61" s="3"/>
      <c r="K61" s="1"/>
      <c r="L61" s="1"/>
      <c r="M61" s="7"/>
      <c r="N61" s="7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 spans="1:24">
      <c r="A62" s="1"/>
      <c r="B62" s="2"/>
      <c r="C62" s="3"/>
      <c r="D62" s="1"/>
      <c r="E62" s="4"/>
      <c r="F62" s="2"/>
      <c r="G62" s="3"/>
      <c r="H62" s="5"/>
      <c r="I62" s="6"/>
      <c r="J62" s="3"/>
      <c r="K62" s="1"/>
      <c r="L62" s="1"/>
      <c r="M62" s="7"/>
      <c r="N62" s="7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 spans="1:24">
      <c r="A63" s="1"/>
      <c r="B63" s="2"/>
      <c r="C63" s="3"/>
      <c r="D63" s="1"/>
      <c r="E63" s="4"/>
      <c r="F63" s="2"/>
      <c r="G63" s="3"/>
      <c r="H63" s="5"/>
      <c r="I63" s="6"/>
      <c r="J63" s="3"/>
      <c r="K63" s="1"/>
      <c r="L63" s="1"/>
      <c r="M63" s="7"/>
      <c r="N63" s="7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 spans="1:24">
      <c r="A64" s="1"/>
      <c r="B64" s="2"/>
      <c r="C64" s="3"/>
      <c r="D64" s="1"/>
      <c r="E64" s="4"/>
      <c r="F64" s="2"/>
      <c r="G64" s="3"/>
      <c r="H64" s="5"/>
      <c r="I64" s="6"/>
      <c r="J64" s="3"/>
      <c r="K64" s="1"/>
      <c r="L64" s="1"/>
      <c r="M64" s="7"/>
      <c r="N64" s="7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 spans="1:24">
      <c r="A65" s="1"/>
      <c r="B65" s="2"/>
      <c r="C65" s="3"/>
      <c r="D65" s="1"/>
      <c r="E65" s="4"/>
      <c r="F65" s="2"/>
      <c r="G65" s="3"/>
      <c r="H65" s="5"/>
      <c r="I65" s="6"/>
      <c r="J65" s="3"/>
      <c r="K65" s="1"/>
      <c r="L65" s="1"/>
      <c r="M65" s="7"/>
      <c r="N65" s="7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 spans="1:24">
      <c r="A66" s="1"/>
      <c r="B66" s="2"/>
      <c r="C66" s="3"/>
      <c r="D66" s="1"/>
      <c r="E66" s="4"/>
      <c r="F66" s="2"/>
      <c r="G66" s="3"/>
      <c r="H66" s="5"/>
      <c r="I66" s="6"/>
      <c r="J66" s="3"/>
      <c r="K66" s="1"/>
      <c r="L66" s="1"/>
      <c r="M66" s="7"/>
      <c r="N66" s="7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 spans="1:24">
      <c r="A67" s="1"/>
      <c r="B67" s="2"/>
      <c r="C67" s="3"/>
      <c r="D67" s="1"/>
      <c r="E67" s="4"/>
      <c r="F67" s="2"/>
      <c r="G67" s="3"/>
      <c r="H67" s="5"/>
      <c r="I67" s="6"/>
      <c r="J67" s="3"/>
      <c r="K67" s="1"/>
      <c r="L67" s="1"/>
      <c r="M67" s="7"/>
      <c r="N67" s="7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 spans="1:24">
      <c r="A68" s="1"/>
      <c r="B68" s="2"/>
      <c r="C68" s="3"/>
      <c r="D68" s="1"/>
      <c r="E68" s="4"/>
      <c r="F68" s="2"/>
      <c r="G68" s="3"/>
      <c r="H68" s="5"/>
      <c r="I68" s="6"/>
      <c r="J68" s="3"/>
      <c r="K68" s="1"/>
      <c r="L68" s="1"/>
      <c r="M68" s="7"/>
      <c r="N68" s="7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 spans="1:24">
      <c r="A69" s="1"/>
      <c r="B69" s="2"/>
      <c r="C69" s="3"/>
      <c r="D69" s="1"/>
      <c r="E69" s="4"/>
      <c r="F69" s="2"/>
      <c r="G69" s="3"/>
      <c r="H69" s="5"/>
      <c r="I69" s="6"/>
      <c r="J69" s="3"/>
      <c r="K69" s="1"/>
      <c r="L69" s="1"/>
      <c r="M69" s="7"/>
      <c r="N69" s="7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 spans="1:24">
      <c r="A70" s="1"/>
      <c r="B70" s="2"/>
      <c r="C70" s="3"/>
      <c r="D70" s="1"/>
      <c r="E70" s="4"/>
      <c r="F70" s="2"/>
      <c r="G70" s="3"/>
      <c r="H70" s="5"/>
      <c r="I70" s="6"/>
      <c r="J70" s="3"/>
      <c r="K70" s="1"/>
      <c r="L70" s="1"/>
      <c r="M70" s="7"/>
      <c r="N70" s="7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spans="1:24">
      <c r="A71" s="1"/>
      <c r="B71" s="2"/>
      <c r="C71" s="3"/>
      <c r="D71" s="1"/>
      <c r="E71" s="4"/>
      <c r="F71" s="2"/>
      <c r="G71" s="3"/>
      <c r="H71" s="5"/>
      <c r="I71" s="6"/>
      <c r="J71" s="3"/>
      <c r="K71" s="1"/>
      <c r="L71" s="1"/>
      <c r="M71" s="7"/>
      <c r="N71" s="7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spans="1:24">
      <c r="A72" s="1"/>
      <c r="B72" s="2"/>
      <c r="C72" s="3"/>
      <c r="D72" s="1"/>
      <c r="E72" s="4"/>
      <c r="F72" s="2"/>
      <c r="G72" s="3"/>
      <c r="H72" s="5"/>
      <c r="I72" s="6"/>
      <c r="J72" s="3"/>
      <c r="K72" s="1"/>
      <c r="L72" s="1"/>
      <c r="M72" s="7"/>
      <c r="N72" s="7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spans="1:24">
      <c r="A73" s="1"/>
      <c r="B73" s="2"/>
      <c r="C73" s="3"/>
      <c r="D73" s="1"/>
      <c r="E73" s="4"/>
      <c r="F73" s="2"/>
      <c r="G73" s="3"/>
      <c r="H73" s="5"/>
      <c r="I73" s="6"/>
      <c r="J73" s="3"/>
      <c r="K73" s="1"/>
      <c r="L73" s="1"/>
      <c r="M73" s="7"/>
      <c r="N73" s="7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spans="1:24">
      <c r="A74" s="1"/>
      <c r="B74" s="2"/>
      <c r="C74" s="3"/>
      <c r="D74" s="1"/>
      <c r="E74" s="4"/>
      <c r="F74" s="2"/>
      <c r="G74" s="3"/>
      <c r="H74" s="5"/>
      <c r="I74" s="6"/>
      <c r="J74" s="3"/>
      <c r="K74" s="1"/>
      <c r="L74" s="1"/>
      <c r="M74" s="7"/>
      <c r="N74" s="7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spans="1:24">
      <c r="A75" s="1"/>
      <c r="B75" s="2"/>
      <c r="C75" s="3"/>
      <c r="D75" s="1"/>
      <c r="E75" s="4"/>
      <c r="F75" s="2"/>
      <c r="G75" s="3"/>
      <c r="H75" s="5"/>
      <c r="I75" s="6"/>
      <c r="J75" s="3"/>
      <c r="K75" s="1"/>
      <c r="L75" s="1"/>
      <c r="M75" s="7"/>
      <c r="N75" s="7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 spans="1:24">
      <c r="A76" s="1"/>
      <c r="B76" s="2"/>
      <c r="C76" s="3"/>
      <c r="D76" s="1"/>
      <c r="E76" s="4"/>
      <c r="F76" s="2"/>
      <c r="G76" s="3"/>
      <c r="H76" s="5"/>
      <c r="I76" s="6"/>
      <c r="J76" s="3"/>
      <c r="K76" s="1"/>
      <c r="L76" s="1"/>
      <c r="M76" s="7"/>
      <c r="N76" s="7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spans="1:24">
      <c r="A77" s="1"/>
      <c r="B77" s="2"/>
      <c r="C77" s="3"/>
      <c r="D77" s="1"/>
      <c r="E77" s="4"/>
      <c r="F77" s="2"/>
      <c r="G77" s="3"/>
      <c r="H77" s="5"/>
      <c r="I77" s="6"/>
      <c r="J77" s="3"/>
      <c r="K77" s="1"/>
      <c r="L77" s="1"/>
      <c r="M77" s="7"/>
      <c r="N77" s="7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spans="1:24">
      <c r="A78" s="1"/>
      <c r="B78" s="2"/>
      <c r="C78" s="3"/>
      <c r="D78" s="1"/>
      <c r="E78" s="4"/>
      <c r="F78" s="2"/>
      <c r="G78" s="3"/>
      <c r="H78" s="5"/>
      <c r="I78" s="6"/>
      <c r="J78" s="3"/>
      <c r="K78" s="1"/>
      <c r="L78" s="1"/>
      <c r="M78" s="7"/>
      <c r="N78" s="7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spans="1:24">
      <c r="A79" s="1"/>
      <c r="B79" s="2"/>
      <c r="C79" s="3"/>
      <c r="D79" s="1"/>
      <c r="E79" s="4"/>
      <c r="F79" s="2"/>
      <c r="G79" s="3"/>
      <c r="H79" s="5"/>
      <c r="I79" s="6"/>
      <c r="J79" s="3"/>
      <c r="K79" s="1"/>
      <c r="L79" s="1"/>
      <c r="M79" s="7"/>
      <c r="N79" s="7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 spans="1:24">
      <c r="A80" s="1"/>
      <c r="B80" s="2"/>
      <c r="C80" s="3"/>
      <c r="D80" s="1"/>
      <c r="E80" s="4"/>
      <c r="F80" s="2"/>
      <c r="G80" s="3"/>
      <c r="H80" s="5"/>
      <c r="I80" s="6"/>
      <c r="J80" s="3"/>
      <c r="K80" s="1"/>
      <c r="L80" s="1"/>
      <c r="M80" s="7"/>
      <c r="N80" s="7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 spans="1:24">
      <c r="A81" s="1"/>
      <c r="B81" s="2"/>
      <c r="C81" s="3"/>
      <c r="D81" s="1"/>
      <c r="E81" s="4"/>
      <c r="F81" s="2"/>
      <c r="G81" s="3"/>
      <c r="H81" s="5"/>
      <c r="I81" s="6"/>
      <c r="J81" s="3"/>
      <c r="K81" s="1"/>
      <c r="L81" s="1"/>
      <c r="M81" s="7"/>
      <c r="N81" s="7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spans="1:24">
      <c r="A82" s="1"/>
      <c r="B82" s="2"/>
      <c r="C82" s="3"/>
      <c r="D82" s="1"/>
      <c r="E82" s="4"/>
      <c r="F82" s="2"/>
      <c r="G82" s="3"/>
      <c r="H82" s="5"/>
      <c r="I82" s="6"/>
      <c r="J82" s="3"/>
      <c r="K82" s="1"/>
      <c r="L82" s="1"/>
      <c r="M82" s="7"/>
      <c r="N82" s="7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spans="1:24">
      <c r="A83" s="1"/>
      <c r="B83" s="2"/>
      <c r="C83" s="3"/>
      <c r="D83" s="1"/>
      <c r="E83" s="4"/>
      <c r="F83" s="2"/>
      <c r="G83" s="3"/>
      <c r="H83" s="5"/>
      <c r="I83" s="6"/>
      <c r="J83" s="3"/>
      <c r="K83" s="1"/>
      <c r="L83" s="1"/>
      <c r="M83" s="7"/>
      <c r="N83" s="7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spans="1:24">
      <c r="A84" s="1"/>
      <c r="B84" s="2"/>
      <c r="C84" s="3"/>
      <c r="D84" s="1"/>
      <c r="E84" s="4"/>
      <c r="F84" s="2"/>
      <c r="G84" s="3"/>
      <c r="H84" s="5"/>
      <c r="I84" s="6"/>
      <c r="J84" s="3"/>
      <c r="K84" s="1"/>
      <c r="L84" s="1"/>
      <c r="M84" s="7"/>
      <c r="N84" s="7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 spans="1:24">
      <c r="A85" s="1"/>
      <c r="B85" s="2"/>
      <c r="C85" s="3"/>
      <c r="D85" s="1"/>
      <c r="E85" s="4"/>
      <c r="F85" s="2"/>
      <c r="G85" s="3"/>
      <c r="H85" s="5"/>
      <c r="I85" s="6"/>
      <c r="J85" s="3"/>
      <c r="K85" s="1"/>
      <c r="L85" s="1"/>
      <c r="M85" s="7"/>
      <c r="N85" s="7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 spans="1:24">
      <c r="A86" s="1"/>
      <c r="B86" s="2"/>
      <c r="C86" s="3"/>
      <c r="D86" s="1"/>
      <c r="E86" s="4"/>
      <c r="F86" s="2"/>
      <c r="G86" s="3"/>
      <c r="H86" s="5"/>
      <c r="I86" s="6"/>
      <c r="J86" s="3"/>
      <c r="K86" s="1"/>
      <c r="L86" s="1"/>
      <c r="M86" s="7"/>
      <c r="N86" s="7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 spans="1:24">
      <c r="A87" s="1"/>
      <c r="B87" s="2"/>
      <c r="C87" s="3"/>
      <c r="D87" s="1"/>
      <c r="E87" s="4"/>
      <c r="F87" s="2"/>
      <c r="G87" s="3"/>
      <c r="H87" s="5"/>
      <c r="I87" s="6"/>
      <c r="J87" s="3"/>
      <c r="K87" s="1"/>
      <c r="L87" s="1"/>
      <c r="M87" s="7"/>
      <c r="N87" s="7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 spans="1:24">
      <c r="A88" s="1"/>
      <c r="B88" s="2"/>
      <c r="C88" s="3"/>
      <c r="D88" s="1"/>
      <c r="E88" s="4"/>
      <c r="F88" s="2"/>
      <c r="G88" s="3"/>
      <c r="H88" s="5"/>
      <c r="I88" s="6"/>
      <c r="J88" s="3"/>
      <c r="K88" s="1"/>
      <c r="L88" s="1"/>
      <c r="M88" s="7"/>
      <c r="N88" s="7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 spans="1:24">
      <c r="A89" s="1"/>
      <c r="B89" s="2"/>
      <c r="C89" s="3"/>
      <c r="D89" s="1"/>
      <c r="E89" s="4"/>
      <c r="F89" s="2"/>
      <c r="G89" s="3"/>
      <c r="H89" s="5"/>
      <c r="I89" s="6"/>
      <c r="J89" s="3"/>
      <c r="K89" s="1"/>
      <c r="L89" s="1"/>
      <c r="M89" s="7"/>
      <c r="N89" s="7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 spans="1:24">
      <c r="A90" s="1"/>
      <c r="B90" s="2"/>
      <c r="C90" s="3"/>
      <c r="D90" s="1"/>
      <c r="E90" s="4"/>
      <c r="F90" s="2"/>
      <c r="G90" s="3"/>
      <c r="H90" s="5"/>
      <c r="I90" s="6"/>
      <c r="J90" s="3"/>
      <c r="K90" s="1"/>
      <c r="L90" s="1"/>
      <c r="M90" s="7"/>
      <c r="N90" s="7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 spans="1:24">
      <c r="A91" s="1"/>
      <c r="B91" s="2"/>
      <c r="C91" s="3"/>
      <c r="D91" s="1"/>
      <c r="E91" s="4"/>
      <c r="F91" s="2"/>
      <c r="G91" s="3"/>
      <c r="H91" s="5"/>
      <c r="I91" s="6"/>
      <c r="J91" s="3"/>
      <c r="K91" s="1"/>
      <c r="L91" s="1"/>
      <c r="M91" s="7"/>
      <c r="N91" s="7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 spans="1:24">
      <c r="A92" s="1"/>
      <c r="B92" s="2"/>
      <c r="C92" s="3"/>
      <c r="D92" s="1"/>
      <c r="E92" s="4"/>
      <c r="F92" s="2"/>
      <c r="G92" s="3"/>
      <c r="H92" s="5"/>
      <c r="I92" s="6"/>
      <c r="J92" s="3"/>
      <c r="K92" s="1"/>
      <c r="L92" s="1"/>
      <c r="M92" s="7"/>
      <c r="N92" s="7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 spans="1:24">
      <c r="A93" s="1"/>
      <c r="B93" s="2"/>
      <c r="C93" s="3"/>
      <c r="D93" s="1"/>
      <c r="E93" s="4"/>
      <c r="F93" s="2"/>
      <c r="G93" s="3"/>
      <c r="H93" s="5"/>
      <c r="I93" s="6"/>
      <c r="J93" s="3"/>
      <c r="K93" s="1"/>
      <c r="L93" s="1"/>
      <c r="M93" s="7"/>
      <c r="N93" s="7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 spans="1:24">
      <c r="A94" s="1"/>
      <c r="B94" s="2"/>
      <c r="C94" s="3"/>
      <c r="D94" s="1"/>
      <c r="E94" s="4"/>
      <c r="F94" s="2"/>
      <c r="G94" s="3"/>
      <c r="H94" s="5"/>
      <c r="I94" s="6"/>
      <c r="J94" s="3"/>
      <c r="K94" s="1"/>
      <c r="L94" s="1"/>
      <c r="M94" s="7"/>
      <c r="N94" s="7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 spans="1:24">
      <c r="A95" s="1"/>
      <c r="B95" s="2"/>
      <c r="C95" s="3"/>
      <c r="D95" s="1"/>
      <c r="E95" s="4"/>
      <c r="F95" s="2"/>
      <c r="G95" s="3"/>
      <c r="H95" s="5"/>
      <c r="I95" s="6"/>
      <c r="J95" s="3"/>
      <c r="K95" s="1"/>
      <c r="L95" s="1"/>
      <c r="M95" s="7"/>
      <c r="N95" s="7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 spans="1:24">
      <c r="A96" s="1"/>
      <c r="B96" s="2"/>
      <c r="C96" s="3"/>
      <c r="D96" s="1"/>
      <c r="E96" s="4"/>
      <c r="F96" s="2"/>
      <c r="G96" s="3"/>
      <c r="H96" s="5"/>
      <c r="I96" s="6"/>
      <c r="J96" s="3"/>
      <c r="K96" s="1"/>
      <c r="L96" s="1"/>
      <c r="M96" s="7"/>
      <c r="N96" s="7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 spans="1:24">
      <c r="A97" s="1"/>
      <c r="B97" s="2"/>
      <c r="C97" s="3"/>
      <c r="D97" s="1"/>
      <c r="E97" s="4"/>
      <c r="F97" s="2"/>
      <c r="G97" s="3"/>
      <c r="H97" s="5"/>
      <c r="I97" s="6"/>
      <c r="J97" s="3"/>
      <c r="K97" s="1"/>
      <c r="L97" s="1"/>
      <c r="M97" s="7"/>
      <c r="N97" s="7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 spans="1:24">
      <c r="A98" s="1"/>
      <c r="B98" s="2"/>
      <c r="C98" s="3"/>
      <c r="D98" s="1"/>
      <c r="E98" s="4"/>
      <c r="F98" s="2"/>
      <c r="G98" s="3"/>
      <c r="H98" s="5"/>
      <c r="I98" s="6"/>
      <c r="J98" s="3"/>
      <c r="K98" s="1"/>
      <c r="L98" s="1"/>
      <c r="M98" s="7"/>
      <c r="N98" s="7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spans="1:24">
      <c r="A99" s="1"/>
      <c r="B99" s="2"/>
      <c r="C99" s="3"/>
      <c r="D99" s="1"/>
      <c r="E99" s="4"/>
      <c r="F99" s="2"/>
      <c r="G99" s="3"/>
      <c r="H99" s="5"/>
      <c r="I99" s="6"/>
      <c r="J99" s="3"/>
      <c r="K99" s="1"/>
      <c r="L99" s="1"/>
      <c r="M99" s="7"/>
      <c r="N99" s="7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 spans="1:24">
      <c r="A100" s="1"/>
      <c r="B100" s="2"/>
      <c r="C100" s="3"/>
      <c r="D100" s="1"/>
      <c r="E100" s="4"/>
      <c r="F100" s="2"/>
      <c r="G100" s="3"/>
      <c r="H100" s="5"/>
      <c r="I100" s="6"/>
      <c r="J100" s="3"/>
      <c r="K100" s="1"/>
      <c r="L100" s="1"/>
      <c r="M100" s="7"/>
      <c r="N100" s="7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 spans="1:24">
      <c r="A101" s="1"/>
      <c r="B101" s="2"/>
      <c r="C101" s="3"/>
      <c r="D101" s="1"/>
      <c r="E101" s="4"/>
      <c r="F101" s="2"/>
      <c r="G101" s="3"/>
      <c r="H101" s="5"/>
      <c r="I101" s="6"/>
      <c r="J101" s="3"/>
      <c r="K101" s="1"/>
      <c r="L101" s="1"/>
      <c r="M101" s="7"/>
      <c r="N101" s="7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 spans="1:24">
      <c r="A102" s="1"/>
      <c r="B102" s="2"/>
      <c r="C102" s="3"/>
      <c r="D102" s="1"/>
      <c r="E102" s="4"/>
      <c r="F102" s="2"/>
      <c r="G102" s="3"/>
      <c r="H102" s="5"/>
      <c r="I102" s="6"/>
      <c r="J102" s="3"/>
      <c r="K102" s="1"/>
      <c r="L102" s="1"/>
      <c r="M102" s="7"/>
      <c r="N102" s="7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 spans="1:24">
      <c r="A103" s="1"/>
      <c r="B103" s="2"/>
      <c r="C103" s="3"/>
      <c r="D103" s="1"/>
      <c r="E103" s="4"/>
      <c r="F103" s="2"/>
      <c r="G103" s="3"/>
      <c r="H103" s="5"/>
      <c r="I103" s="6"/>
      <c r="J103" s="3"/>
      <c r="K103" s="1"/>
      <c r="L103" s="1"/>
      <c r="M103" s="7"/>
      <c r="N103" s="7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 spans="1:24">
      <c r="A104" s="1"/>
      <c r="B104" s="2"/>
      <c r="C104" s="3"/>
      <c r="D104" s="1"/>
      <c r="E104" s="4"/>
      <c r="F104" s="2"/>
      <c r="G104" s="3"/>
      <c r="H104" s="5"/>
      <c r="I104" s="6"/>
      <c r="J104" s="3"/>
      <c r="K104" s="1"/>
      <c r="L104" s="1"/>
      <c r="M104" s="7"/>
      <c r="N104" s="7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 spans="1:24">
      <c r="A105" s="1"/>
      <c r="B105" s="2"/>
      <c r="C105" s="3"/>
      <c r="D105" s="1"/>
      <c r="E105" s="4"/>
      <c r="F105" s="2"/>
      <c r="G105" s="3"/>
      <c r="H105" s="5"/>
      <c r="I105" s="6"/>
      <c r="J105" s="3"/>
      <c r="K105" s="1"/>
      <c r="L105" s="1"/>
      <c r="M105" s="7"/>
      <c r="N105" s="7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 spans="1:24">
      <c r="A106" s="1"/>
      <c r="B106" s="2"/>
      <c r="C106" s="3"/>
      <c r="D106" s="1"/>
      <c r="E106" s="4"/>
      <c r="F106" s="2"/>
      <c r="G106" s="3"/>
      <c r="H106" s="5"/>
      <c r="I106" s="6"/>
      <c r="J106" s="3"/>
      <c r="K106" s="1"/>
      <c r="L106" s="1"/>
      <c r="M106" s="7"/>
      <c r="N106" s="7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 spans="1:24">
      <c r="A107" s="1"/>
      <c r="B107" s="2"/>
      <c r="C107" s="3"/>
      <c r="D107" s="1"/>
      <c r="E107" s="4"/>
      <c r="F107" s="2"/>
      <c r="G107" s="3"/>
      <c r="H107" s="5"/>
      <c r="I107" s="6"/>
      <c r="J107" s="3"/>
      <c r="K107" s="1"/>
      <c r="L107" s="1"/>
      <c r="M107" s="7"/>
      <c r="N107" s="7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 spans="1:24">
      <c r="A108" s="1"/>
      <c r="B108" s="2"/>
      <c r="C108" s="3"/>
      <c r="D108" s="1"/>
      <c r="E108" s="4"/>
      <c r="F108" s="2"/>
      <c r="G108" s="3"/>
      <c r="H108" s="5"/>
      <c r="I108" s="6"/>
      <c r="J108" s="3"/>
      <c r="K108" s="1"/>
      <c r="L108" s="1"/>
      <c r="M108" s="7"/>
      <c r="N108" s="7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 spans="1:24">
      <c r="A109" s="1"/>
      <c r="B109" s="2"/>
      <c r="C109" s="3"/>
      <c r="D109" s="1"/>
      <c r="E109" s="4"/>
      <c r="F109" s="2"/>
      <c r="G109" s="3"/>
      <c r="H109" s="5"/>
      <c r="I109" s="6"/>
      <c r="J109" s="3"/>
      <c r="K109" s="1"/>
      <c r="L109" s="1"/>
      <c r="M109" s="7"/>
      <c r="N109" s="7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 spans="1:24">
      <c r="A110" s="1"/>
      <c r="B110" s="2"/>
      <c r="C110" s="3"/>
      <c r="D110" s="1"/>
      <c r="E110" s="4"/>
      <c r="F110" s="2"/>
      <c r="G110" s="3"/>
      <c r="H110" s="5"/>
      <c r="I110" s="6"/>
      <c r="J110" s="3"/>
      <c r="K110" s="1"/>
      <c r="L110" s="1"/>
      <c r="M110" s="7"/>
      <c r="N110" s="7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 spans="1:24">
      <c r="A111" s="1"/>
      <c r="B111" s="2"/>
      <c r="C111" s="3"/>
      <c r="D111" s="1"/>
      <c r="E111" s="4"/>
      <c r="F111" s="2"/>
      <c r="G111" s="3"/>
      <c r="H111" s="5"/>
      <c r="I111" s="6"/>
      <c r="J111" s="3"/>
      <c r="K111" s="1"/>
      <c r="L111" s="1"/>
      <c r="M111" s="7"/>
      <c r="N111" s="7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 spans="1:24">
      <c r="A112" s="1"/>
      <c r="B112" s="2"/>
      <c r="C112" s="3"/>
      <c r="D112" s="1"/>
      <c r="E112" s="4"/>
      <c r="F112" s="2"/>
      <c r="G112" s="3"/>
      <c r="H112" s="5"/>
      <c r="I112" s="6"/>
      <c r="J112" s="3"/>
      <c r="K112" s="1"/>
      <c r="L112" s="1"/>
      <c r="M112" s="7"/>
      <c r="N112" s="7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 spans="1:24">
      <c r="A113" s="1"/>
      <c r="B113" s="2"/>
      <c r="C113" s="3"/>
      <c r="D113" s="1"/>
      <c r="E113" s="4"/>
      <c r="F113" s="2"/>
      <c r="G113" s="3"/>
      <c r="H113" s="5"/>
      <c r="I113" s="6"/>
      <c r="J113" s="3"/>
      <c r="K113" s="1"/>
      <c r="L113" s="1"/>
      <c r="M113" s="7"/>
      <c r="N113" s="7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 spans="1:24">
      <c r="A114" s="1"/>
      <c r="B114" s="2"/>
      <c r="C114" s="3"/>
      <c r="D114" s="1"/>
      <c r="E114" s="4"/>
      <c r="F114" s="2"/>
      <c r="G114" s="3"/>
      <c r="H114" s="5"/>
      <c r="I114" s="6"/>
      <c r="J114" s="3"/>
      <c r="K114" s="1"/>
      <c r="L114" s="1"/>
      <c r="M114" s="7"/>
      <c r="N114" s="7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 spans="1:24">
      <c r="A115" s="1"/>
      <c r="B115" s="2"/>
      <c r="C115" s="3"/>
      <c r="D115" s="1"/>
      <c r="E115" s="4"/>
      <c r="F115" s="2"/>
      <c r="G115" s="3"/>
      <c r="H115" s="5"/>
      <c r="I115" s="6"/>
      <c r="J115" s="3"/>
      <c r="K115" s="1"/>
      <c r="L115" s="1"/>
      <c r="M115" s="7"/>
      <c r="N115" s="7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 spans="1:24">
      <c r="A116" s="1"/>
      <c r="B116" s="2"/>
      <c r="C116" s="3"/>
      <c r="D116" s="1"/>
      <c r="E116" s="4"/>
      <c r="F116" s="2"/>
      <c r="G116" s="3"/>
      <c r="H116" s="5"/>
      <c r="I116" s="6"/>
      <c r="J116" s="3"/>
      <c r="K116" s="1"/>
      <c r="L116" s="1"/>
      <c r="M116" s="7"/>
      <c r="N116" s="7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 spans="1:24">
      <c r="A117" s="1"/>
      <c r="B117" s="2"/>
      <c r="C117" s="3"/>
      <c r="D117" s="1"/>
      <c r="E117" s="4"/>
      <c r="F117" s="2"/>
      <c r="G117" s="3"/>
      <c r="H117" s="5"/>
      <c r="I117" s="6"/>
      <c r="J117" s="3"/>
      <c r="K117" s="1"/>
      <c r="L117" s="1"/>
      <c r="M117" s="7"/>
      <c r="N117" s="7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 spans="1:24">
      <c r="A118" s="1"/>
      <c r="B118" s="2"/>
      <c r="C118" s="3"/>
      <c r="D118" s="1"/>
      <c r="E118" s="4"/>
      <c r="F118" s="2"/>
      <c r="G118" s="3"/>
      <c r="H118" s="5"/>
      <c r="I118" s="6"/>
      <c r="J118" s="3"/>
      <c r="K118" s="1"/>
      <c r="L118" s="1"/>
      <c r="M118" s="7"/>
      <c r="N118" s="7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 spans="1:24">
      <c r="A119" s="1"/>
      <c r="B119" s="2"/>
      <c r="C119" s="3"/>
      <c r="D119" s="1"/>
      <c r="E119" s="4"/>
      <c r="F119" s="2"/>
      <c r="G119" s="3"/>
      <c r="H119" s="5"/>
      <c r="I119" s="6"/>
      <c r="J119" s="3"/>
      <c r="K119" s="1"/>
      <c r="L119" s="1"/>
      <c r="M119" s="7"/>
      <c r="N119" s="7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 spans="1:24">
      <c r="A120" s="1"/>
      <c r="B120" s="2"/>
      <c r="C120" s="3"/>
      <c r="D120" s="1"/>
      <c r="E120" s="4"/>
      <c r="F120" s="2"/>
      <c r="G120" s="3"/>
      <c r="H120" s="5"/>
      <c r="I120" s="6"/>
      <c r="J120" s="3"/>
      <c r="K120" s="1"/>
      <c r="L120" s="1"/>
      <c r="M120" s="7"/>
      <c r="N120" s="7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 spans="1:24">
      <c r="A121" s="1"/>
      <c r="B121" s="2"/>
      <c r="C121" s="3"/>
      <c r="D121" s="1"/>
      <c r="E121" s="4"/>
      <c r="F121" s="2"/>
      <c r="G121" s="3"/>
      <c r="H121" s="5"/>
      <c r="I121" s="6"/>
      <c r="J121" s="3"/>
      <c r="K121" s="1"/>
      <c r="L121" s="1"/>
      <c r="M121" s="7"/>
      <c r="N121" s="7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 spans="1:24">
      <c r="A122" s="1"/>
      <c r="B122" s="2"/>
      <c r="C122" s="3"/>
      <c r="D122" s="1"/>
      <c r="E122" s="4"/>
      <c r="F122" s="2"/>
      <c r="G122" s="3"/>
      <c r="H122" s="5"/>
      <c r="I122" s="6"/>
      <c r="J122" s="3"/>
      <c r="K122" s="1"/>
      <c r="L122" s="1"/>
      <c r="M122" s="7"/>
      <c r="N122" s="7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 spans="1:24">
      <c r="A123" s="1"/>
      <c r="B123" s="2"/>
      <c r="C123" s="3"/>
      <c r="D123" s="1"/>
      <c r="E123" s="4"/>
      <c r="F123" s="2"/>
      <c r="G123" s="3"/>
      <c r="H123" s="5"/>
      <c r="I123" s="6"/>
      <c r="J123" s="3"/>
      <c r="K123" s="1"/>
      <c r="L123" s="1"/>
      <c r="M123" s="7"/>
      <c r="N123" s="7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 spans="1:24">
      <c r="A124" s="1"/>
      <c r="B124" s="2"/>
      <c r="C124" s="3"/>
      <c r="D124" s="1"/>
      <c r="E124" s="4"/>
      <c r="F124" s="2"/>
      <c r="G124" s="3"/>
      <c r="H124" s="5"/>
      <c r="I124" s="6"/>
      <c r="J124" s="3"/>
      <c r="K124" s="1"/>
      <c r="L124" s="1"/>
      <c r="M124" s="7"/>
      <c r="N124" s="7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 spans="1:24">
      <c r="A125" s="1"/>
      <c r="B125" s="2"/>
      <c r="C125" s="3"/>
      <c r="D125" s="1"/>
      <c r="E125" s="4"/>
      <c r="F125" s="2"/>
      <c r="G125" s="3"/>
      <c r="H125" s="5"/>
      <c r="I125" s="6"/>
      <c r="J125" s="3"/>
      <c r="K125" s="1"/>
      <c r="L125" s="1"/>
      <c r="M125" s="7"/>
      <c r="N125" s="7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 spans="1:24">
      <c r="A126" s="1"/>
      <c r="B126" s="2"/>
      <c r="C126" s="3"/>
      <c r="D126" s="1"/>
      <c r="E126" s="4"/>
      <c r="F126" s="2"/>
      <c r="G126" s="3"/>
      <c r="H126" s="5"/>
      <c r="I126" s="6"/>
      <c r="J126" s="3"/>
      <c r="K126" s="1"/>
      <c r="L126" s="1"/>
      <c r="M126" s="7"/>
      <c r="N126" s="7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 spans="1:24">
      <c r="A127" s="1"/>
      <c r="B127" s="2"/>
      <c r="C127" s="3"/>
      <c r="D127" s="1"/>
      <c r="E127" s="4"/>
      <c r="F127" s="2"/>
      <c r="G127" s="3"/>
      <c r="H127" s="5"/>
      <c r="I127" s="6"/>
      <c r="J127" s="3"/>
      <c r="K127" s="1"/>
      <c r="L127" s="1"/>
      <c r="M127" s="7"/>
      <c r="N127" s="7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 spans="1:24">
      <c r="A128" s="1"/>
      <c r="B128" s="2"/>
      <c r="C128" s="3"/>
      <c r="D128" s="1"/>
      <c r="E128" s="4"/>
      <c r="F128" s="2"/>
      <c r="G128" s="3"/>
      <c r="H128" s="5"/>
      <c r="I128" s="6"/>
      <c r="J128" s="3"/>
      <c r="K128" s="1"/>
      <c r="L128" s="1"/>
      <c r="M128" s="7"/>
      <c r="N128" s="7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 spans="1:24">
      <c r="A129" s="1"/>
      <c r="B129" s="2"/>
      <c r="C129" s="3"/>
      <c r="D129" s="1"/>
      <c r="E129" s="4"/>
      <c r="F129" s="2"/>
      <c r="G129" s="3"/>
      <c r="H129" s="5"/>
      <c r="I129" s="6"/>
      <c r="J129" s="3"/>
      <c r="K129" s="1"/>
      <c r="L129" s="1"/>
      <c r="M129" s="7"/>
      <c r="N129" s="7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 spans="1:24">
      <c r="A130" s="1"/>
      <c r="B130" s="2"/>
      <c r="C130" s="3"/>
      <c r="D130" s="1"/>
      <c r="E130" s="4"/>
      <c r="F130" s="2"/>
      <c r="G130" s="3"/>
      <c r="H130" s="5"/>
      <c r="I130" s="6"/>
      <c r="J130" s="3"/>
      <c r="K130" s="1"/>
      <c r="L130" s="1"/>
      <c r="M130" s="7"/>
      <c r="N130" s="7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 spans="1:24">
      <c r="A131" s="1"/>
      <c r="B131" s="2"/>
      <c r="C131" s="3"/>
      <c r="D131" s="1"/>
      <c r="E131" s="4"/>
      <c r="F131" s="2"/>
      <c r="G131" s="3"/>
      <c r="H131" s="5"/>
      <c r="I131" s="6"/>
      <c r="J131" s="3"/>
      <c r="K131" s="1"/>
      <c r="L131" s="1"/>
      <c r="M131" s="7"/>
      <c r="N131" s="7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 spans="1:24">
      <c r="A132" s="1"/>
      <c r="B132" s="2"/>
      <c r="C132" s="3"/>
      <c r="D132" s="1"/>
      <c r="E132" s="4"/>
      <c r="F132" s="2"/>
      <c r="G132" s="3"/>
      <c r="H132" s="5"/>
      <c r="I132" s="6"/>
      <c r="J132" s="3"/>
      <c r="K132" s="1"/>
      <c r="L132" s="1"/>
      <c r="M132" s="7"/>
      <c r="N132" s="7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 spans="1:24">
      <c r="A133" s="1"/>
      <c r="B133" s="2"/>
      <c r="C133" s="3"/>
      <c r="D133" s="1"/>
      <c r="E133" s="4"/>
      <c r="F133" s="2"/>
      <c r="G133" s="3"/>
      <c r="H133" s="5"/>
      <c r="I133" s="6"/>
      <c r="J133" s="3"/>
      <c r="K133" s="1"/>
      <c r="L133" s="1"/>
      <c r="M133" s="7"/>
      <c r="N133" s="7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 spans="1:24">
      <c r="A134" s="1"/>
      <c r="B134" s="2"/>
      <c r="C134" s="3"/>
      <c r="D134" s="1"/>
      <c r="E134" s="4"/>
      <c r="F134" s="2"/>
      <c r="G134" s="3"/>
      <c r="H134" s="5"/>
      <c r="I134" s="6"/>
      <c r="J134" s="3"/>
      <c r="K134" s="1"/>
      <c r="L134" s="1"/>
      <c r="M134" s="7"/>
      <c r="N134" s="7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 spans="1:24">
      <c r="A135" s="1"/>
      <c r="B135" s="2"/>
      <c r="C135" s="3"/>
      <c r="D135" s="1"/>
      <c r="E135" s="4"/>
      <c r="F135" s="2"/>
      <c r="G135" s="3"/>
      <c r="H135" s="5"/>
      <c r="I135" s="6"/>
      <c r="J135" s="3"/>
      <c r="K135" s="1"/>
      <c r="L135" s="1"/>
      <c r="M135" s="7"/>
      <c r="N135" s="7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 spans="1:24">
      <c r="A136" s="1"/>
      <c r="B136" s="2"/>
      <c r="C136" s="3"/>
      <c r="D136" s="1"/>
      <c r="E136" s="4"/>
      <c r="F136" s="2"/>
      <c r="G136" s="3"/>
      <c r="H136" s="5"/>
      <c r="I136" s="6"/>
      <c r="J136" s="3"/>
      <c r="K136" s="1"/>
      <c r="L136" s="1"/>
      <c r="M136" s="7"/>
      <c r="N136" s="7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 spans="1:24">
      <c r="A137" s="1"/>
      <c r="B137" s="2"/>
      <c r="C137" s="3"/>
      <c r="D137" s="1"/>
      <c r="E137" s="4"/>
      <c r="F137" s="2"/>
      <c r="G137" s="3"/>
      <c r="H137" s="5"/>
      <c r="I137" s="6"/>
      <c r="J137" s="3"/>
      <c r="K137" s="1"/>
      <c r="L137" s="1"/>
      <c r="M137" s="7"/>
      <c r="N137" s="7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 spans="1:24">
      <c r="A138" s="1"/>
      <c r="B138" s="2"/>
      <c r="C138" s="3"/>
      <c r="D138" s="1"/>
      <c r="E138" s="4"/>
      <c r="F138" s="2"/>
      <c r="G138" s="3"/>
      <c r="H138" s="5"/>
      <c r="I138" s="6"/>
      <c r="J138" s="3"/>
      <c r="K138" s="1"/>
      <c r="L138" s="1"/>
      <c r="M138" s="7"/>
      <c r="N138" s="7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 spans="1:24">
      <c r="A139" s="1"/>
      <c r="B139" s="2"/>
      <c r="C139" s="3"/>
      <c r="D139" s="1"/>
      <c r="E139" s="4"/>
      <c r="F139" s="2"/>
      <c r="G139" s="3"/>
      <c r="H139" s="5"/>
      <c r="I139" s="6"/>
      <c r="J139" s="3"/>
      <c r="K139" s="1"/>
      <c r="L139" s="1"/>
      <c r="M139" s="7"/>
      <c r="N139" s="7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 spans="1:24">
      <c r="A140" s="1"/>
      <c r="B140" s="2"/>
      <c r="C140" s="3"/>
      <c r="D140" s="1"/>
      <c r="E140" s="4"/>
      <c r="F140" s="2"/>
      <c r="G140" s="3"/>
      <c r="H140" s="5"/>
      <c r="I140" s="6"/>
      <c r="J140" s="3"/>
      <c r="K140" s="1"/>
      <c r="L140" s="1"/>
      <c r="M140" s="7"/>
      <c r="N140" s="7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 spans="1:24">
      <c r="A141" s="1"/>
      <c r="B141" s="2"/>
      <c r="C141" s="3"/>
      <c r="D141" s="1"/>
      <c r="E141" s="4"/>
      <c r="F141" s="2"/>
      <c r="G141" s="3"/>
      <c r="H141" s="5"/>
      <c r="I141" s="6"/>
      <c r="J141" s="3"/>
      <c r="K141" s="1"/>
      <c r="L141" s="1"/>
      <c r="M141" s="7"/>
      <c r="N141" s="7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 spans="1:24">
      <c r="A142" s="1"/>
      <c r="B142" s="2"/>
      <c r="C142" s="3"/>
      <c r="D142" s="1"/>
      <c r="E142" s="4"/>
      <c r="F142" s="2"/>
      <c r="G142" s="3"/>
      <c r="H142" s="5"/>
      <c r="I142" s="6"/>
      <c r="J142" s="3"/>
      <c r="K142" s="1"/>
      <c r="L142" s="1"/>
      <c r="M142" s="7"/>
      <c r="N142" s="7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 spans="1:24">
      <c r="A143" s="1"/>
      <c r="B143" s="2"/>
      <c r="C143" s="3"/>
      <c r="D143" s="1"/>
      <c r="E143" s="4"/>
      <c r="F143" s="2"/>
      <c r="G143" s="3"/>
      <c r="H143" s="5"/>
      <c r="I143" s="6"/>
      <c r="J143" s="3"/>
      <c r="K143" s="1"/>
      <c r="L143" s="1"/>
      <c r="M143" s="7"/>
      <c r="N143" s="7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 spans="1:24">
      <c r="A144" s="1"/>
      <c r="B144" s="2"/>
      <c r="C144" s="3"/>
      <c r="D144" s="1"/>
      <c r="E144" s="4"/>
      <c r="F144" s="2"/>
      <c r="G144" s="3"/>
      <c r="H144" s="5"/>
      <c r="I144" s="6"/>
      <c r="J144" s="3"/>
      <c r="K144" s="1"/>
      <c r="L144" s="1"/>
      <c r="M144" s="7"/>
      <c r="N144" s="7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 spans="1:24">
      <c r="A145" s="1"/>
      <c r="B145" s="2"/>
      <c r="C145" s="3"/>
      <c r="D145" s="1"/>
      <c r="E145" s="4"/>
      <c r="F145" s="2"/>
      <c r="G145" s="3"/>
      <c r="H145" s="5"/>
      <c r="I145" s="6"/>
      <c r="J145" s="3"/>
      <c r="K145" s="1"/>
      <c r="L145" s="1"/>
      <c r="M145" s="7"/>
      <c r="N145" s="7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 spans="1:24">
      <c r="A146" s="1"/>
      <c r="B146" s="2"/>
      <c r="C146" s="3"/>
      <c r="D146" s="1"/>
      <c r="E146" s="4"/>
      <c r="F146" s="2"/>
      <c r="G146" s="3"/>
      <c r="H146" s="5"/>
      <c r="I146" s="6"/>
      <c r="J146" s="3"/>
      <c r="K146" s="1"/>
      <c r="L146" s="1"/>
      <c r="M146" s="7"/>
      <c r="N146" s="7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 spans="1:24">
      <c r="A147" s="1"/>
      <c r="B147" s="2"/>
      <c r="C147" s="3"/>
      <c r="D147" s="1"/>
      <c r="E147" s="4"/>
      <c r="F147" s="2"/>
      <c r="G147" s="3"/>
      <c r="H147" s="5"/>
      <c r="I147" s="6"/>
      <c r="J147" s="3"/>
      <c r="K147" s="1"/>
      <c r="L147" s="1"/>
      <c r="M147" s="7"/>
      <c r="N147" s="7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 spans="1:24">
      <c r="A148" s="1"/>
      <c r="B148" s="2"/>
      <c r="C148" s="3"/>
      <c r="D148" s="1"/>
      <c r="E148" s="4"/>
      <c r="F148" s="2"/>
      <c r="G148" s="3"/>
      <c r="H148" s="5"/>
      <c r="I148" s="6"/>
      <c r="J148" s="3"/>
      <c r="K148" s="1"/>
      <c r="L148" s="1"/>
      <c r="M148" s="7"/>
      <c r="N148" s="7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 spans="1:24">
      <c r="A149" s="1"/>
      <c r="B149" s="2"/>
      <c r="C149" s="3"/>
      <c r="D149" s="1"/>
      <c r="E149" s="4"/>
      <c r="F149" s="2"/>
      <c r="G149" s="3"/>
      <c r="H149" s="5"/>
      <c r="I149" s="6"/>
      <c r="J149" s="3"/>
      <c r="K149" s="1"/>
      <c r="L149" s="1"/>
      <c r="M149" s="7"/>
      <c r="N149" s="7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 spans="1:24">
      <c r="A150" s="1"/>
      <c r="B150" s="2"/>
      <c r="C150" s="3"/>
      <c r="D150" s="1"/>
      <c r="E150" s="4"/>
      <c r="F150" s="2"/>
      <c r="G150" s="3"/>
      <c r="H150" s="5"/>
      <c r="I150" s="6"/>
      <c r="J150" s="3"/>
      <c r="K150" s="1"/>
      <c r="L150" s="1"/>
      <c r="M150" s="7"/>
      <c r="N150" s="7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 spans="1:24">
      <c r="A151" s="1"/>
      <c r="B151" s="2"/>
      <c r="C151" s="3"/>
      <c r="D151" s="1"/>
      <c r="E151" s="4"/>
      <c r="F151" s="2"/>
      <c r="G151" s="3"/>
      <c r="H151" s="5"/>
      <c r="I151" s="6"/>
      <c r="J151" s="3"/>
      <c r="K151" s="1"/>
      <c r="L151" s="1"/>
      <c r="M151" s="7"/>
      <c r="N151" s="7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 spans="1:24">
      <c r="A152" s="1"/>
      <c r="B152" s="2"/>
      <c r="C152" s="3"/>
      <c r="D152" s="1"/>
      <c r="E152" s="4"/>
      <c r="F152" s="2"/>
      <c r="G152" s="3"/>
      <c r="H152" s="5"/>
      <c r="I152" s="6"/>
      <c r="J152" s="3"/>
      <c r="K152" s="1"/>
      <c r="L152" s="1"/>
      <c r="M152" s="7"/>
      <c r="N152" s="7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 spans="1:24">
      <c r="A153" s="1"/>
      <c r="B153" s="2"/>
      <c r="C153" s="3"/>
      <c r="D153" s="1"/>
      <c r="E153" s="4"/>
      <c r="F153" s="2"/>
      <c r="G153" s="3"/>
      <c r="H153" s="5"/>
      <c r="I153" s="6"/>
      <c r="J153" s="3"/>
      <c r="K153" s="1"/>
      <c r="L153" s="1"/>
      <c r="M153" s="7"/>
      <c r="N153" s="7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 spans="1:24">
      <c r="A154" s="1"/>
      <c r="B154" s="2"/>
      <c r="C154" s="3"/>
      <c r="D154" s="1"/>
      <c r="E154" s="4"/>
      <c r="F154" s="2"/>
      <c r="G154" s="3"/>
      <c r="H154" s="5"/>
      <c r="I154" s="6"/>
      <c r="J154" s="3"/>
      <c r="K154" s="1"/>
      <c r="L154" s="1"/>
      <c r="M154" s="7"/>
      <c r="N154" s="7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 spans="1:24">
      <c r="A155" s="1"/>
      <c r="B155" s="2"/>
      <c r="C155" s="3"/>
      <c r="D155" s="1"/>
      <c r="E155" s="4"/>
      <c r="F155" s="2"/>
      <c r="G155" s="3"/>
      <c r="H155" s="5"/>
      <c r="I155" s="6"/>
      <c r="J155" s="3"/>
      <c r="K155" s="1"/>
      <c r="L155" s="1"/>
      <c r="M155" s="7"/>
      <c r="N155" s="7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 spans="1:24">
      <c r="A156" s="1"/>
      <c r="B156" s="2"/>
      <c r="C156" s="3"/>
      <c r="D156" s="1"/>
      <c r="E156" s="4"/>
      <c r="F156" s="2"/>
      <c r="G156" s="3"/>
      <c r="H156" s="5"/>
      <c r="I156" s="6"/>
      <c r="J156" s="3"/>
      <c r="K156" s="1"/>
      <c r="L156" s="1"/>
      <c r="M156" s="7"/>
      <c r="N156" s="7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 spans="1:24">
      <c r="A157" s="1"/>
      <c r="B157" s="2"/>
      <c r="C157" s="3"/>
      <c r="D157" s="1"/>
      <c r="E157" s="4"/>
      <c r="F157" s="2"/>
      <c r="G157" s="3"/>
      <c r="H157" s="5"/>
      <c r="I157" s="6"/>
      <c r="J157" s="3"/>
      <c r="K157" s="1"/>
      <c r="L157" s="1"/>
      <c r="M157" s="7"/>
      <c r="N157" s="7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 spans="1:24">
      <c r="A158" s="1"/>
      <c r="B158" s="2"/>
      <c r="C158" s="3"/>
      <c r="D158" s="1"/>
      <c r="E158" s="4"/>
      <c r="F158" s="2"/>
      <c r="G158" s="3"/>
      <c r="H158" s="5"/>
      <c r="I158" s="6"/>
      <c r="J158" s="3"/>
      <c r="K158" s="1"/>
      <c r="L158" s="1"/>
      <c r="M158" s="7"/>
      <c r="N158" s="7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 spans="1:24">
      <c r="A159" s="1"/>
      <c r="B159" s="2"/>
      <c r="C159" s="3"/>
      <c r="D159" s="1"/>
      <c r="E159" s="4"/>
      <c r="F159" s="2"/>
      <c r="G159" s="3"/>
      <c r="H159" s="5"/>
      <c r="I159" s="6"/>
      <c r="J159" s="3"/>
      <c r="K159" s="1"/>
      <c r="L159" s="1"/>
      <c r="M159" s="7"/>
      <c r="N159" s="7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 spans="1:24">
      <c r="A160" s="1"/>
      <c r="B160" s="2"/>
      <c r="C160" s="3"/>
      <c r="D160" s="1"/>
      <c r="E160" s="4"/>
      <c r="F160" s="2"/>
      <c r="G160" s="3"/>
      <c r="H160" s="5"/>
      <c r="I160" s="6"/>
      <c r="J160" s="3"/>
      <c r="K160" s="1"/>
      <c r="L160" s="1"/>
      <c r="M160" s="7"/>
      <c r="N160" s="7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 spans="1:24">
      <c r="A161" s="1"/>
      <c r="B161" s="2"/>
      <c r="C161" s="3"/>
      <c r="D161" s="1"/>
      <c r="E161" s="4"/>
      <c r="F161" s="2"/>
      <c r="G161" s="3"/>
      <c r="H161" s="5"/>
      <c r="I161" s="6"/>
      <c r="J161" s="3"/>
      <c r="K161" s="1"/>
      <c r="L161" s="1"/>
      <c r="M161" s="7"/>
      <c r="N161" s="7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 spans="1:24">
      <c r="A162" s="1"/>
      <c r="B162" s="2"/>
      <c r="C162" s="3"/>
      <c r="D162" s="1"/>
      <c r="E162" s="4"/>
      <c r="F162" s="2"/>
      <c r="G162" s="3"/>
      <c r="H162" s="5"/>
      <c r="I162" s="6"/>
      <c r="J162" s="3"/>
      <c r="K162" s="1"/>
      <c r="L162" s="1"/>
      <c r="M162" s="7"/>
      <c r="N162" s="7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 spans="1:24">
      <c r="A163" s="1"/>
      <c r="B163" s="2"/>
      <c r="C163" s="3"/>
      <c r="D163" s="1"/>
      <c r="E163" s="4"/>
      <c r="F163" s="2"/>
      <c r="G163" s="3"/>
      <c r="H163" s="5"/>
      <c r="I163" s="6"/>
      <c r="J163" s="3"/>
      <c r="K163" s="1"/>
      <c r="L163" s="1"/>
      <c r="M163" s="7"/>
      <c r="N163" s="7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 spans="1:24">
      <c r="A164" s="1"/>
      <c r="B164" s="2"/>
      <c r="C164" s="3"/>
      <c r="D164" s="1"/>
      <c r="E164" s="4"/>
      <c r="F164" s="2"/>
      <c r="G164" s="3"/>
      <c r="H164" s="5"/>
      <c r="I164" s="6"/>
      <c r="J164" s="3"/>
      <c r="K164" s="1"/>
      <c r="L164" s="1"/>
      <c r="M164" s="7"/>
      <c r="N164" s="7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 spans="1:24">
      <c r="A165" s="1"/>
      <c r="B165" s="2"/>
      <c r="C165" s="3"/>
      <c r="D165" s="1"/>
      <c r="E165" s="4"/>
      <c r="F165" s="2"/>
      <c r="G165" s="3"/>
      <c r="H165" s="5"/>
      <c r="I165" s="6"/>
      <c r="J165" s="3"/>
      <c r="K165" s="1"/>
      <c r="L165" s="1"/>
      <c r="M165" s="7"/>
      <c r="N165" s="7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 spans="1:24">
      <c r="A166" s="1"/>
      <c r="B166" s="2"/>
      <c r="C166" s="3"/>
      <c r="D166" s="1"/>
      <c r="E166" s="4"/>
      <c r="F166" s="2"/>
      <c r="G166" s="3"/>
      <c r="H166" s="5"/>
      <c r="I166" s="6"/>
      <c r="J166" s="3"/>
      <c r="K166" s="1"/>
      <c r="L166" s="1"/>
      <c r="M166" s="7"/>
      <c r="N166" s="7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 spans="1:24">
      <c r="A167" s="1"/>
      <c r="B167" s="2"/>
      <c r="C167" s="3"/>
      <c r="D167" s="1"/>
      <c r="E167" s="4"/>
      <c r="F167" s="2"/>
      <c r="G167" s="3"/>
      <c r="H167" s="5"/>
      <c r="I167" s="6"/>
      <c r="J167" s="3"/>
      <c r="K167" s="1"/>
      <c r="L167" s="1"/>
      <c r="M167" s="7"/>
      <c r="N167" s="7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 spans="1:24">
      <c r="A168" s="1"/>
      <c r="B168" s="2"/>
      <c r="C168" s="3"/>
      <c r="D168" s="1"/>
      <c r="E168" s="4"/>
      <c r="F168" s="2"/>
      <c r="G168" s="3"/>
      <c r="H168" s="5"/>
      <c r="I168" s="6"/>
      <c r="J168" s="3"/>
      <c r="K168" s="1"/>
      <c r="L168" s="1"/>
      <c r="M168" s="7"/>
      <c r="N168" s="7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 spans="1:24">
      <c r="A169" s="1"/>
      <c r="B169" s="2"/>
      <c r="C169" s="3"/>
      <c r="D169" s="1"/>
      <c r="E169" s="4"/>
      <c r="F169" s="2"/>
      <c r="G169" s="3"/>
      <c r="H169" s="5"/>
      <c r="I169" s="6"/>
      <c r="J169" s="3"/>
      <c r="K169" s="1"/>
      <c r="L169" s="1"/>
      <c r="M169" s="7"/>
      <c r="N169" s="7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 spans="1:24">
      <c r="A170" s="1"/>
      <c r="B170" s="2"/>
      <c r="C170" s="3"/>
      <c r="D170" s="1"/>
      <c r="E170" s="4"/>
      <c r="F170" s="2"/>
      <c r="G170" s="3"/>
      <c r="H170" s="5"/>
      <c r="I170" s="6"/>
      <c r="J170" s="3"/>
      <c r="K170" s="1"/>
      <c r="L170" s="1"/>
      <c r="M170" s="7"/>
      <c r="N170" s="7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 spans="1:24">
      <c r="A171" s="1"/>
      <c r="B171" s="2"/>
      <c r="C171" s="3"/>
      <c r="D171" s="1"/>
      <c r="E171" s="4"/>
      <c r="F171" s="2"/>
      <c r="G171" s="3"/>
      <c r="H171" s="5"/>
      <c r="I171" s="6"/>
      <c r="J171" s="3"/>
      <c r="K171" s="1"/>
      <c r="L171" s="1"/>
      <c r="M171" s="7"/>
      <c r="N171" s="7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 spans="1:24">
      <c r="A172" s="1"/>
      <c r="B172" s="2"/>
      <c r="C172" s="3"/>
      <c r="D172" s="1"/>
      <c r="E172" s="4"/>
      <c r="F172" s="2"/>
      <c r="G172" s="3"/>
      <c r="H172" s="5"/>
      <c r="I172" s="6"/>
      <c r="J172" s="3"/>
      <c r="K172" s="1"/>
      <c r="L172" s="1"/>
      <c r="M172" s="7"/>
      <c r="N172" s="7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 spans="1:24">
      <c r="A173" s="1"/>
      <c r="B173" s="2"/>
      <c r="C173" s="3"/>
      <c r="D173" s="1"/>
      <c r="E173" s="4"/>
      <c r="F173" s="2"/>
      <c r="G173" s="3"/>
      <c r="H173" s="5"/>
      <c r="I173" s="6"/>
      <c r="J173" s="3"/>
      <c r="K173" s="1"/>
      <c r="L173" s="1"/>
      <c r="M173" s="7"/>
      <c r="N173" s="7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 spans="1:24">
      <c r="A174" s="1"/>
      <c r="B174" s="2"/>
      <c r="C174" s="3"/>
      <c r="D174" s="1"/>
      <c r="E174" s="4"/>
      <c r="F174" s="2"/>
      <c r="G174" s="3"/>
      <c r="H174" s="5"/>
      <c r="I174" s="6"/>
      <c r="J174" s="3"/>
      <c r="K174" s="1"/>
      <c r="L174" s="1"/>
      <c r="M174" s="7"/>
      <c r="N174" s="7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 spans="1:24">
      <c r="A175" s="1"/>
      <c r="B175" s="2"/>
      <c r="C175" s="3"/>
      <c r="D175" s="1"/>
      <c r="E175" s="4"/>
      <c r="F175" s="2"/>
      <c r="G175" s="3"/>
      <c r="H175" s="5"/>
      <c r="I175" s="6"/>
      <c r="J175" s="3"/>
      <c r="K175" s="1"/>
      <c r="L175" s="1"/>
      <c r="M175" s="7"/>
      <c r="N175" s="7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 spans="1:24">
      <c r="A176" s="1"/>
      <c r="B176" s="2"/>
      <c r="C176" s="3"/>
      <c r="D176" s="1"/>
      <c r="E176" s="4"/>
      <c r="F176" s="2"/>
      <c r="G176" s="3"/>
      <c r="H176" s="5"/>
      <c r="I176" s="6"/>
      <c r="J176" s="3"/>
      <c r="K176" s="1"/>
      <c r="L176" s="1"/>
      <c r="M176" s="7"/>
      <c r="N176" s="7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 spans="1:24">
      <c r="A177" s="1"/>
      <c r="B177" s="2"/>
      <c r="C177" s="3"/>
      <c r="D177" s="1"/>
      <c r="E177" s="4"/>
      <c r="F177" s="2"/>
      <c r="G177" s="3"/>
      <c r="H177" s="5"/>
      <c r="I177" s="6"/>
      <c r="J177" s="3"/>
      <c r="K177" s="1"/>
      <c r="L177" s="1"/>
      <c r="M177" s="7"/>
      <c r="N177" s="7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 spans="1:24">
      <c r="A178" s="1"/>
      <c r="B178" s="2"/>
      <c r="C178" s="3"/>
      <c r="D178" s="1"/>
      <c r="E178" s="4"/>
      <c r="F178" s="2"/>
      <c r="G178" s="3"/>
      <c r="H178" s="5"/>
      <c r="I178" s="6"/>
      <c r="J178" s="3"/>
      <c r="K178" s="1"/>
      <c r="L178" s="1"/>
      <c r="M178" s="7"/>
      <c r="N178" s="7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 spans="1:24">
      <c r="A179" s="1"/>
      <c r="B179" s="2"/>
      <c r="C179" s="3"/>
      <c r="D179" s="1"/>
      <c r="E179" s="4"/>
      <c r="F179" s="2"/>
      <c r="G179" s="3"/>
      <c r="H179" s="5"/>
      <c r="I179" s="6"/>
      <c r="J179" s="3"/>
      <c r="K179" s="1"/>
      <c r="L179" s="1"/>
      <c r="M179" s="7"/>
      <c r="N179" s="7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 spans="1:24">
      <c r="A180" s="1"/>
      <c r="B180" s="2"/>
      <c r="C180" s="3"/>
      <c r="D180" s="1"/>
      <c r="E180" s="4"/>
      <c r="F180" s="2"/>
      <c r="G180" s="3"/>
      <c r="H180" s="5"/>
      <c r="I180" s="6"/>
      <c r="J180" s="3"/>
      <c r="K180" s="1"/>
      <c r="L180" s="1"/>
      <c r="M180" s="7"/>
      <c r="N180" s="7"/>
      <c r="O180" s="1"/>
      <c r="P180" s="1"/>
      <c r="Q180" s="1"/>
      <c r="R180" s="1"/>
      <c r="S180" s="1"/>
      <c r="T180" s="1"/>
      <c r="U180" s="1"/>
      <c r="V180" s="1"/>
      <c r="W180" s="1"/>
      <c r="X180" s="1"/>
    </row>
  </sheetData>
  <pageMargins left="0.7" right="0.7" top="0.75" bottom="0.75" header="0.511811023622047" footer="0.511811023622047"/>
  <pageSetup paperSize="9" orientation="portrait" horizontalDpi="300" verticalDpi="300" r:id="rId1"/>
  <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200-000000000000}">
          <x14:formula1>
            <xm:f>Sayfa1!$C:$C</xm:f>
          </x14:formula1>
          <x14:formula2>
            <xm:f>0</xm:f>
          </x14:formula2>
          <xm:sqref>I31:L31 I32:I37 K32:L37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75"/>
  <sheetViews>
    <sheetView topLeftCell="A28" zoomScale="190" zoomScaleNormal="190" workbookViewId="0">
      <selection activeCell="B45" sqref="B45"/>
    </sheetView>
  </sheetViews>
  <sheetFormatPr defaultColWidth="8.7109375" defaultRowHeight="12.75"/>
  <cols>
    <col min="1" max="1" width="10.42578125" style="120" customWidth="1"/>
    <col min="2" max="2" width="18.42578125" style="154" customWidth="1"/>
    <col min="3" max="3" width="13.28515625" style="155" customWidth="1"/>
    <col min="4" max="4" width="9.42578125" style="156" customWidth="1"/>
    <col min="5" max="5" width="8.85546875" style="157" customWidth="1"/>
    <col min="6" max="12" width="9.140625" style="120" customWidth="1"/>
  </cols>
  <sheetData>
    <row r="1" spans="1:11" ht="25.5">
      <c r="A1" s="158" t="s">
        <v>72</v>
      </c>
      <c r="B1" s="159" t="s">
        <v>17</v>
      </c>
      <c r="C1" s="160" t="s">
        <v>73</v>
      </c>
      <c r="D1" s="161" t="s">
        <v>74</v>
      </c>
      <c r="E1" s="162" t="s">
        <v>75</v>
      </c>
    </row>
    <row r="2" spans="1:11">
      <c r="A2" s="163">
        <v>45289</v>
      </c>
      <c r="B2" s="159">
        <v>538.78970700000002</v>
      </c>
      <c r="C2" s="160" t="s">
        <v>76</v>
      </c>
      <c r="D2" s="117">
        <v>0</v>
      </c>
      <c r="E2" s="162" t="s">
        <v>77</v>
      </c>
    </row>
    <row r="3" spans="1:11">
      <c r="A3" s="163">
        <v>45294</v>
      </c>
      <c r="B3" s="159">
        <v>539.40629100000001</v>
      </c>
      <c r="C3" s="160" t="s">
        <v>78</v>
      </c>
      <c r="D3" s="117">
        <v>1.1000000000000001E-3</v>
      </c>
      <c r="E3" s="164">
        <f>D2+D3</f>
        <v>1.1000000000000001E-3</v>
      </c>
    </row>
    <row r="4" spans="1:11">
      <c r="A4" s="163">
        <v>45295</v>
      </c>
      <c r="B4" s="165">
        <v>540.000044</v>
      </c>
      <c r="C4" s="160" t="s">
        <v>79</v>
      </c>
      <c r="D4" s="117">
        <v>1.1000000000000001E-3</v>
      </c>
      <c r="E4" s="164">
        <f>D3+D4</f>
        <v>2.2000000000000001E-3</v>
      </c>
    </row>
    <row r="5" spans="1:11">
      <c r="A5" s="163">
        <v>45296</v>
      </c>
      <c r="B5" s="159">
        <v>540.60110799999995</v>
      </c>
      <c r="C5" s="160" t="s">
        <v>80</v>
      </c>
      <c r="D5" s="117">
        <v>1.1000000000000001E-3</v>
      </c>
      <c r="E5" s="164">
        <f t="shared" ref="E5:E43" si="0">E4+D5</f>
        <v>3.3E-3</v>
      </c>
    </row>
    <row r="6" spans="1:11">
      <c r="A6" s="163">
        <v>45299</v>
      </c>
      <c r="B6" s="159">
        <v>542.43450199999995</v>
      </c>
      <c r="C6" s="166">
        <v>1833394</v>
      </c>
      <c r="D6" s="117">
        <v>3.3E-3</v>
      </c>
      <c r="E6" s="164">
        <f t="shared" si="0"/>
        <v>6.6E-3</v>
      </c>
    </row>
    <row r="7" spans="1:11">
      <c r="A7" s="163">
        <v>45300</v>
      </c>
      <c r="B7" s="159">
        <v>543.04310699999996</v>
      </c>
      <c r="C7" s="160" t="s">
        <v>81</v>
      </c>
      <c r="D7" s="117">
        <v>1.1000000000000001E-3</v>
      </c>
      <c r="E7" s="164">
        <f t="shared" si="0"/>
        <v>7.7000000000000002E-3</v>
      </c>
    </row>
    <row r="8" spans="1:11">
      <c r="A8" s="163">
        <v>45301</v>
      </c>
      <c r="B8" s="159">
        <v>543.64739199999997</v>
      </c>
      <c r="C8" s="160" t="s">
        <v>82</v>
      </c>
      <c r="D8" s="117">
        <v>1.1000000000000001E-3</v>
      </c>
      <c r="E8" s="164">
        <f t="shared" si="0"/>
        <v>8.8000000000000005E-3</v>
      </c>
    </row>
    <row r="9" spans="1:11">
      <c r="A9" s="163">
        <v>45302</v>
      </c>
      <c r="B9" s="159">
        <v>544.251892</v>
      </c>
      <c r="C9" s="160" t="s">
        <v>83</v>
      </c>
      <c r="D9" s="117">
        <v>1.1000000000000001E-3</v>
      </c>
      <c r="E9" s="164">
        <f t="shared" si="0"/>
        <v>9.9000000000000008E-3</v>
      </c>
      <c r="K9" s="167"/>
    </row>
    <row r="10" spans="1:11">
      <c r="A10" s="163">
        <v>45303</v>
      </c>
      <c r="B10" s="159">
        <v>544.85273700000005</v>
      </c>
      <c r="C10" s="160" t="s">
        <v>84</v>
      </c>
      <c r="D10" s="117">
        <v>1.1000000000000001E-3</v>
      </c>
      <c r="E10" s="164">
        <f t="shared" si="0"/>
        <v>1.1000000000000001E-2</v>
      </c>
      <c r="K10" s="167"/>
    </row>
    <row r="11" spans="1:11">
      <c r="A11" s="163">
        <v>45306</v>
      </c>
      <c r="B11" s="159">
        <v>546.65639799999997</v>
      </c>
      <c r="C11" s="166">
        <v>1803661</v>
      </c>
      <c r="D11" s="117">
        <v>3.3E-3</v>
      </c>
      <c r="E11" s="164">
        <f t="shared" si="0"/>
        <v>1.43E-2</v>
      </c>
      <c r="K11" s="167"/>
    </row>
    <row r="12" spans="1:11">
      <c r="A12" s="163">
        <v>45307</v>
      </c>
      <c r="B12" s="159">
        <v>547.255898</v>
      </c>
      <c r="C12" s="160" t="s">
        <v>85</v>
      </c>
      <c r="D12" s="117">
        <v>1E-3</v>
      </c>
      <c r="E12" s="164">
        <f t="shared" si="0"/>
        <v>1.5300000000000001E-2</v>
      </c>
      <c r="K12" s="167"/>
    </row>
    <row r="13" spans="1:11">
      <c r="A13" s="163">
        <v>45308</v>
      </c>
      <c r="B13" s="159">
        <v>547.85336800000005</v>
      </c>
      <c r="C13" s="160" t="s">
        <v>86</v>
      </c>
      <c r="D13" s="117">
        <v>1E-3</v>
      </c>
      <c r="E13" s="164">
        <f t="shared" si="0"/>
        <v>1.6300000000000002E-2</v>
      </c>
    </row>
    <row r="14" spans="1:11">
      <c r="A14" s="163">
        <v>45309</v>
      </c>
      <c r="B14" s="159">
        <v>548.45883500000002</v>
      </c>
      <c r="C14" s="160" t="s">
        <v>87</v>
      </c>
      <c r="D14" s="117">
        <v>1.1000000000000001E-3</v>
      </c>
      <c r="E14" s="164">
        <f t="shared" si="0"/>
        <v>1.7400000000000002E-2</v>
      </c>
    </row>
    <row r="15" spans="1:11">
      <c r="A15" s="163">
        <v>45310</v>
      </c>
      <c r="B15" s="159">
        <v>549.06771900000001</v>
      </c>
      <c r="C15" s="160" t="s">
        <v>88</v>
      </c>
      <c r="D15" s="117">
        <v>1.1000000000000001E-3</v>
      </c>
      <c r="E15" s="164">
        <f t="shared" si="0"/>
        <v>1.8500000000000003E-2</v>
      </c>
    </row>
    <row r="16" spans="1:11">
      <c r="A16" s="163">
        <v>45313</v>
      </c>
      <c r="B16" s="159">
        <v>550.93394899999998</v>
      </c>
      <c r="C16" s="166">
        <v>1866230</v>
      </c>
      <c r="D16" s="117">
        <v>3.3E-3</v>
      </c>
      <c r="E16" s="164">
        <f t="shared" si="0"/>
        <v>2.1800000000000003E-2</v>
      </c>
    </row>
    <row r="17" spans="1:5">
      <c r="A17" s="163">
        <v>45314</v>
      </c>
      <c r="B17" s="159">
        <v>551.56365100000005</v>
      </c>
      <c r="C17" s="160" t="s">
        <v>89</v>
      </c>
      <c r="D17" s="117">
        <v>1.1000000000000001E-3</v>
      </c>
      <c r="E17" s="164">
        <f t="shared" si="0"/>
        <v>2.2900000000000004E-2</v>
      </c>
    </row>
    <row r="18" spans="1:5">
      <c r="A18" s="163">
        <v>45315</v>
      </c>
      <c r="B18" s="159">
        <v>552.18915300000003</v>
      </c>
      <c r="C18" s="160" t="s">
        <v>90</v>
      </c>
      <c r="D18" s="117">
        <v>1.1000000000000001E-3</v>
      </c>
      <c r="E18" s="164">
        <f t="shared" si="0"/>
        <v>2.4000000000000004E-2</v>
      </c>
    </row>
    <row r="19" spans="1:5">
      <c r="A19" s="163">
        <v>45316</v>
      </c>
      <c r="B19" s="159">
        <v>552.81493399999999</v>
      </c>
      <c r="C19" s="160" t="s">
        <v>91</v>
      </c>
      <c r="D19" s="117">
        <v>1.1000000000000001E-3</v>
      </c>
      <c r="E19" s="164">
        <f t="shared" si="0"/>
        <v>2.5100000000000004E-2</v>
      </c>
    </row>
    <row r="20" spans="1:5">
      <c r="A20" s="163">
        <v>45317</v>
      </c>
      <c r="B20" s="159">
        <v>553.42975100000001</v>
      </c>
      <c r="C20" s="160" t="s">
        <v>92</v>
      </c>
      <c r="D20" s="117">
        <v>1.1000000000000001E-3</v>
      </c>
      <c r="E20" s="164">
        <f t="shared" si="0"/>
        <v>2.6200000000000005E-2</v>
      </c>
    </row>
    <row r="21" spans="1:5">
      <c r="A21" s="163">
        <v>45320</v>
      </c>
      <c r="B21" s="159">
        <v>555.31532100000004</v>
      </c>
      <c r="C21" s="166">
        <v>1885570</v>
      </c>
      <c r="D21" s="117">
        <v>3.3999999999999998E-3</v>
      </c>
      <c r="E21" s="164">
        <f t="shared" si="0"/>
        <v>2.9600000000000005E-2</v>
      </c>
    </row>
    <row r="22" spans="1:5">
      <c r="A22" s="163">
        <v>45321</v>
      </c>
      <c r="B22" s="159">
        <v>555.950107</v>
      </c>
      <c r="C22" s="160" t="s">
        <v>93</v>
      </c>
      <c r="D22" s="117">
        <v>1.1000000000000001E-3</v>
      </c>
      <c r="E22" s="164">
        <f t="shared" si="0"/>
        <v>3.0700000000000005E-2</v>
      </c>
    </row>
    <row r="23" spans="1:5">
      <c r="A23" s="163">
        <v>45322</v>
      </c>
      <c r="B23" s="159">
        <v>556.58167700000001</v>
      </c>
      <c r="C23" s="160" t="s">
        <v>94</v>
      </c>
      <c r="D23" s="117">
        <v>1.1000000000000001E-3</v>
      </c>
      <c r="E23" s="164">
        <f t="shared" si="0"/>
        <v>3.1800000000000002E-2</v>
      </c>
    </row>
    <row r="24" spans="1:5">
      <c r="A24" s="163">
        <v>45323</v>
      </c>
      <c r="B24" s="159">
        <v>557.21083299999998</v>
      </c>
      <c r="C24" s="160" t="s">
        <v>95</v>
      </c>
      <c r="D24" s="117">
        <v>1.1000000000000001E-3</v>
      </c>
      <c r="E24" s="164">
        <f t="shared" si="0"/>
        <v>3.2899999999999999E-2</v>
      </c>
    </row>
    <row r="25" spans="1:5">
      <c r="A25" s="163">
        <v>45324</v>
      </c>
      <c r="B25" s="159">
        <v>557.85254299999997</v>
      </c>
      <c r="C25" s="160" t="s">
        <v>96</v>
      </c>
      <c r="D25" s="117">
        <v>1.1000000000000001E-3</v>
      </c>
      <c r="E25" s="164">
        <f t="shared" si="0"/>
        <v>3.3999999999999996E-2</v>
      </c>
    </row>
    <row r="26" spans="1:5">
      <c r="A26" s="163">
        <v>45327</v>
      </c>
      <c r="B26" s="159">
        <v>559.83385699999997</v>
      </c>
      <c r="C26" s="166">
        <v>1981314</v>
      </c>
      <c r="D26" s="117">
        <v>3.5000000000000001E-3</v>
      </c>
      <c r="E26" s="164">
        <f t="shared" si="0"/>
        <v>3.7499999999999999E-2</v>
      </c>
    </row>
    <row r="27" spans="1:5">
      <c r="A27" s="163">
        <v>45328</v>
      </c>
      <c r="B27" s="159">
        <v>560.499053</v>
      </c>
      <c r="C27" s="160" t="s">
        <v>97</v>
      </c>
      <c r="D27" s="117">
        <v>1.1000000000000001E-3</v>
      </c>
      <c r="E27" s="164">
        <f t="shared" si="0"/>
        <v>3.8599999999999995E-2</v>
      </c>
    </row>
    <row r="28" spans="1:5">
      <c r="A28" s="163">
        <v>45329</v>
      </c>
      <c r="B28" s="159">
        <v>561.15721199999996</v>
      </c>
      <c r="C28" s="160" t="s">
        <v>98</v>
      </c>
      <c r="D28" s="117">
        <v>1.1000000000000001E-3</v>
      </c>
      <c r="E28" s="164">
        <f t="shared" si="0"/>
        <v>3.9699999999999992E-2</v>
      </c>
    </row>
    <row r="29" spans="1:5">
      <c r="A29" s="163">
        <v>45330</v>
      </c>
      <c r="B29" s="159">
        <v>561.81587999999999</v>
      </c>
      <c r="C29" s="160" t="s">
        <v>99</v>
      </c>
      <c r="D29" s="117">
        <v>1.1000000000000001E-3</v>
      </c>
      <c r="E29" s="164">
        <f t="shared" si="0"/>
        <v>4.0799999999999989E-2</v>
      </c>
    </row>
    <row r="30" spans="1:5">
      <c r="A30" s="163">
        <v>45331</v>
      </c>
      <c r="B30" s="159">
        <v>562.47431400000005</v>
      </c>
      <c r="C30" s="160" t="s">
        <v>100</v>
      </c>
      <c r="D30" s="117">
        <v>1.1000000000000001E-3</v>
      </c>
      <c r="E30" s="164">
        <f t="shared" si="0"/>
        <v>4.1899999999999986E-2</v>
      </c>
    </row>
    <row r="31" spans="1:5">
      <c r="A31" s="163">
        <v>45334</v>
      </c>
      <c r="B31" s="159">
        <v>564.45009800000003</v>
      </c>
      <c r="C31" s="166">
        <v>1975784</v>
      </c>
      <c r="D31" s="117">
        <v>3.5000000000000001E-3</v>
      </c>
      <c r="E31" s="164">
        <f t="shared" si="0"/>
        <v>4.5399999999999989E-2</v>
      </c>
    </row>
    <row r="32" spans="1:5">
      <c r="A32" s="163">
        <v>45335</v>
      </c>
      <c r="B32" s="159">
        <v>565.11282900000003</v>
      </c>
      <c r="C32" s="160" t="s">
        <v>101</v>
      </c>
      <c r="D32" s="117">
        <v>1.1000000000000001E-3</v>
      </c>
      <c r="E32" s="164">
        <f t="shared" si="0"/>
        <v>4.6499999999999986E-2</v>
      </c>
    </row>
    <row r="33" spans="1:5">
      <c r="A33" s="163">
        <v>45336</v>
      </c>
      <c r="B33" s="159">
        <v>565.75863100000004</v>
      </c>
      <c r="C33" s="160" t="s">
        <v>102</v>
      </c>
      <c r="D33" s="117">
        <v>1.1000000000000001E-3</v>
      </c>
      <c r="E33" s="164">
        <f t="shared" si="0"/>
        <v>4.7599999999999983E-2</v>
      </c>
    </row>
    <row r="34" spans="1:5">
      <c r="A34" s="163">
        <v>45337</v>
      </c>
      <c r="B34" s="159">
        <v>566.416246</v>
      </c>
      <c r="C34" s="160" t="s">
        <v>103</v>
      </c>
      <c r="D34" s="117">
        <v>1.1000000000000001E-3</v>
      </c>
      <c r="E34" s="164">
        <f t="shared" si="0"/>
        <v>4.8699999999999979E-2</v>
      </c>
    </row>
    <row r="35" spans="1:5">
      <c r="A35" s="163">
        <v>45338</v>
      </c>
      <c r="B35" s="159">
        <v>567.08235100000002</v>
      </c>
      <c r="C35" s="160" t="s">
        <v>104</v>
      </c>
      <c r="D35" s="117">
        <v>1.1000000000000001E-3</v>
      </c>
      <c r="E35" s="164">
        <f t="shared" si="0"/>
        <v>4.9799999999999976E-2</v>
      </c>
    </row>
    <row r="36" spans="1:5">
      <c r="A36" s="163">
        <v>45341</v>
      </c>
      <c r="B36" s="159">
        <v>569.09258399999999</v>
      </c>
      <c r="C36" s="166">
        <v>2010233</v>
      </c>
      <c r="D36" s="117">
        <v>3.5000000000000001E-3</v>
      </c>
      <c r="E36" s="164">
        <f t="shared" si="0"/>
        <v>5.3299999999999979E-2</v>
      </c>
    </row>
    <row r="37" spans="1:5">
      <c r="A37" s="163">
        <v>45342</v>
      </c>
      <c r="B37" s="159">
        <v>569.76265000000001</v>
      </c>
      <c r="C37" s="160" t="s">
        <v>105</v>
      </c>
      <c r="D37" s="117">
        <v>1.1000000000000001E-3</v>
      </c>
      <c r="E37" s="164">
        <f t="shared" si="0"/>
        <v>5.4399999999999976E-2</v>
      </c>
    </row>
    <row r="38" spans="1:5">
      <c r="A38" s="163">
        <v>45343</v>
      </c>
      <c r="B38" s="159">
        <v>570.43001100000004</v>
      </c>
      <c r="C38" s="160" t="s">
        <v>106</v>
      </c>
      <c r="D38" s="117">
        <v>1.1000000000000001E-3</v>
      </c>
      <c r="E38" s="164">
        <f t="shared" si="0"/>
        <v>5.5499999999999973E-2</v>
      </c>
    </row>
    <row r="39" spans="1:5">
      <c r="A39" s="163">
        <v>45344</v>
      </c>
      <c r="B39" s="159">
        <v>571.10522800000001</v>
      </c>
      <c r="C39" s="160" t="s">
        <v>107</v>
      </c>
      <c r="D39" s="117">
        <v>1.1000000000000001E-3</v>
      </c>
      <c r="E39" s="164">
        <f t="shared" si="0"/>
        <v>5.659999999999997E-2</v>
      </c>
    </row>
    <row r="40" spans="1:5">
      <c r="A40" s="163">
        <v>45345</v>
      </c>
      <c r="B40" s="159">
        <v>571.78678600000001</v>
      </c>
      <c r="C40" s="160" t="s">
        <v>108</v>
      </c>
      <c r="D40" s="117">
        <v>1.1000000000000001E-3</v>
      </c>
      <c r="E40" s="164">
        <f t="shared" si="0"/>
        <v>5.7699999999999967E-2</v>
      </c>
    </row>
    <row r="41" spans="1:5">
      <c r="A41" s="163">
        <v>45348</v>
      </c>
      <c r="B41" s="159">
        <v>573.835914</v>
      </c>
      <c r="C41" s="166">
        <v>2049128</v>
      </c>
      <c r="D41" s="117">
        <v>3.5000000000000001E-3</v>
      </c>
      <c r="E41" s="164">
        <f t="shared" si="0"/>
        <v>6.119999999999997E-2</v>
      </c>
    </row>
    <row r="42" spans="1:5">
      <c r="A42" s="163">
        <v>45349</v>
      </c>
      <c r="B42" s="159">
        <v>574.52528199999995</v>
      </c>
      <c r="C42" s="160" t="s">
        <v>109</v>
      </c>
      <c r="D42" s="117">
        <v>1.1999999999999999E-3</v>
      </c>
      <c r="E42" s="164">
        <f t="shared" si="0"/>
        <v>6.2399999999999969E-2</v>
      </c>
    </row>
    <row r="43" spans="1:5">
      <c r="A43" s="163">
        <v>45350</v>
      </c>
      <c r="B43" s="159">
        <v>575.21535400000005</v>
      </c>
      <c r="C43" s="160" t="s">
        <v>110</v>
      </c>
      <c r="D43" s="117">
        <v>1.1999999999999999E-3</v>
      </c>
      <c r="E43" s="164">
        <f t="shared" si="0"/>
        <v>6.3599999999999976E-2</v>
      </c>
    </row>
    <row r="44" spans="1:5">
      <c r="A44" s="163">
        <v>45351</v>
      </c>
    </row>
    <row r="45" spans="1:5">
      <c r="A45" s="163">
        <v>45352</v>
      </c>
    </row>
    <row r="46" spans="1:5">
      <c r="A46" s="163"/>
    </row>
    <row r="47" spans="1:5">
      <c r="A47" s="163"/>
    </row>
    <row r="48" spans="1:5">
      <c r="A48" s="163"/>
    </row>
    <row r="49" spans="1:1">
      <c r="A49" s="163"/>
    </row>
    <row r="50" spans="1:1">
      <c r="A50" s="163"/>
    </row>
    <row r="51" spans="1:1">
      <c r="A51" s="163"/>
    </row>
    <row r="52" spans="1:1">
      <c r="A52" s="163"/>
    </row>
    <row r="53" spans="1:1">
      <c r="A53" s="163"/>
    </row>
    <row r="54" spans="1:1">
      <c r="A54" s="163"/>
    </row>
    <row r="55" spans="1:1">
      <c r="A55" s="163"/>
    </row>
    <row r="56" spans="1:1">
      <c r="A56" s="163"/>
    </row>
    <row r="57" spans="1:1">
      <c r="A57" s="163"/>
    </row>
    <row r="58" spans="1:1">
      <c r="A58" s="163"/>
    </row>
    <row r="59" spans="1:1">
      <c r="A59" s="163"/>
    </row>
    <row r="60" spans="1:1">
      <c r="A60" s="163"/>
    </row>
    <row r="61" spans="1:1">
      <c r="A61" s="163"/>
    </row>
    <row r="62" spans="1:1">
      <c r="A62" s="163"/>
    </row>
    <row r="63" spans="1:1">
      <c r="A63" s="163"/>
    </row>
    <row r="64" spans="1:1">
      <c r="A64" s="163"/>
    </row>
    <row r="65" spans="1:1">
      <c r="A65" s="163"/>
    </row>
    <row r="66" spans="1:1">
      <c r="A66" s="163"/>
    </row>
    <row r="67" spans="1:1">
      <c r="A67" s="163"/>
    </row>
    <row r="68" spans="1:1">
      <c r="A68" s="163"/>
    </row>
    <row r="69" spans="1:1">
      <c r="A69" s="163"/>
    </row>
    <row r="70" spans="1:1">
      <c r="A70" s="163"/>
    </row>
    <row r="71" spans="1:1">
      <c r="A71" s="163"/>
    </row>
    <row r="72" spans="1:1">
      <c r="A72" s="163"/>
    </row>
    <row r="73" spans="1:1">
      <c r="A73" s="163"/>
    </row>
    <row r="74" spans="1:1">
      <c r="A74" s="163"/>
    </row>
    <row r="75" spans="1:1">
      <c r="A75" s="163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3:AMJ65"/>
  <sheetViews>
    <sheetView topLeftCell="A8" zoomScale="160" zoomScaleNormal="160" workbookViewId="0">
      <selection activeCell="D60" sqref="D60"/>
    </sheetView>
  </sheetViews>
  <sheetFormatPr defaultColWidth="44.140625" defaultRowHeight="15"/>
  <cols>
    <col min="1" max="1" width="15.7109375" style="168" customWidth="1"/>
    <col min="2" max="2" width="12" style="168" customWidth="1"/>
    <col min="3" max="3" width="17.28515625" style="169" customWidth="1"/>
    <col min="4" max="4" width="15.7109375" style="170" customWidth="1"/>
    <col min="5" max="5" width="12.140625" style="170" customWidth="1"/>
    <col min="6" max="7" width="14.140625" style="171" customWidth="1"/>
    <col min="8" max="8" width="15.7109375" style="168" customWidth="1"/>
    <col min="9" max="9" width="15.7109375" style="171" customWidth="1"/>
    <col min="10" max="10" width="14.5703125" style="171" customWidth="1"/>
    <col min="11" max="11" width="61.5703125" style="168" customWidth="1"/>
    <col min="12" max="12" width="8.5703125" style="168" customWidth="1"/>
    <col min="13" max="13" width="14" style="168" customWidth="1"/>
    <col min="14" max="14" width="7" style="168" customWidth="1"/>
    <col min="15" max="1024" width="44.140625" style="168"/>
  </cols>
  <sheetData>
    <row r="3" spans="1:14">
      <c r="A3" s="168" t="s">
        <v>111</v>
      </c>
      <c r="B3" s="168" t="s">
        <v>112</v>
      </c>
      <c r="C3" s="169" t="s">
        <v>113</v>
      </c>
      <c r="D3" s="170" t="s">
        <v>114</v>
      </c>
      <c r="F3" s="171" t="s">
        <v>65</v>
      </c>
      <c r="H3" s="168" t="s">
        <v>115</v>
      </c>
      <c r="J3" s="171" t="s">
        <v>116</v>
      </c>
      <c r="K3" s="168" t="s">
        <v>117</v>
      </c>
      <c r="L3" s="168" t="s">
        <v>118</v>
      </c>
      <c r="M3" s="168" t="s">
        <v>119</v>
      </c>
      <c r="N3" s="168" t="s">
        <v>120</v>
      </c>
    </row>
    <row r="4" spans="1:14">
      <c r="A4" s="168" t="s">
        <v>121</v>
      </c>
      <c r="B4" s="168" t="s">
        <v>122</v>
      </c>
      <c r="C4" s="169" t="s">
        <v>123</v>
      </c>
      <c r="D4" s="170" t="s">
        <v>124</v>
      </c>
      <c r="F4" s="171" t="s">
        <v>125</v>
      </c>
      <c r="G4" s="170" t="s">
        <v>126</v>
      </c>
      <c r="H4" s="168" t="s">
        <v>127</v>
      </c>
      <c r="J4" s="171" t="s">
        <v>128</v>
      </c>
      <c r="L4" s="168" t="s">
        <v>129</v>
      </c>
      <c r="M4" s="168" t="s">
        <v>130</v>
      </c>
      <c r="N4" s="168" t="s">
        <v>131</v>
      </c>
    </row>
    <row r="5" spans="1:14">
      <c r="A5" s="168" t="s">
        <v>132</v>
      </c>
      <c r="B5" s="168" t="s">
        <v>133</v>
      </c>
      <c r="C5" s="169" t="s">
        <v>134</v>
      </c>
      <c r="D5" s="170" t="s">
        <v>132</v>
      </c>
      <c r="H5" s="168" t="s">
        <v>135</v>
      </c>
      <c r="J5" s="171" t="s">
        <v>136</v>
      </c>
      <c r="K5" s="168" t="s">
        <v>137</v>
      </c>
      <c r="L5" s="168" t="s">
        <v>138</v>
      </c>
      <c r="M5" s="168" t="s">
        <v>132</v>
      </c>
      <c r="N5" s="168" t="s">
        <v>139</v>
      </c>
    </row>
    <row r="6" spans="1:14">
      <c r="A6" s="172">
        <v>45217</v>
      </c>
      <c r="B6" s="168" t="s">
        <v>140</v>
      </c>
      <c r="C6" s="169" t="s">
        <v>141</v>
      </c>
      <c r="D6" s="170" t="s">
        <v>142</v>
      </c>
      <c r="H6" s="168">
        <v>3000.68</v>
      </c>
      <c r="I6" s="173">
        <f>H6</f>
        <v>3000.68</v>
      </c>
      <c r="J6" s="171">
        <v>3000.68</v>
      </c>
      <c r="K6" s="168" t="s">
        <v>143</v>
      </c>
      <c r="L6" s="168">
        <v>5800</v>
      </c>
      <c r="M6" s="168">
        <v>95113516</v>
      </c>
      <c r="N6" s="168" t="s">
        <v>144</v>
      </c>
    </row>
    <row r="7" spans="1:14">
      <c r="A7" s="172">
        <v>45217</v>
      </c>
      <c r="B7" s="174" t="s">
        <v>145</v>
      </c>
      <c r="C7" s="175" t="s">
        <v>141</v>
      </c>
      <c r="D7" s="176" t="s">
        <v>142</v>
      </c>
      <c r="E7" s="176"/>
      <c r="H7" s="174">
        <v>-2080</v>
      </c>
      <c r="I7" s="173">
        <f>I6+H7</f>
        <v>920.67999999999984</v>
      </c>
      <c r="J7" s="171">
        <v>920.68</v>
      </c>
      <c r="K7" s="174" t="s">
        <v>146</v>
      </c>
      <c r="L7" s="168">
        <v>5800</v>
      </c>
      <c r="M7" s="168">
        <v>36114333</v>
      </c>
      <c r="N7" s="168" t="s">
        <v>147</v>
      </c>
    </row>
    <row r="8" spans="1:14">
      <c r="A8" s="172">
        <v>45222</v>
      </c>
      <c r="B8" s="168" t="s">
        <v>145</v>
      </c>
      <c r="C8" s="169" t="s">
        <v>141</v>
      </c>
      <c r="D8" s="170" t="s">
        <v>142</v>
      </c>
      <c r="F8" s="173"/>
      <c r="G8" s="173"/>
      <c r="H8" s="177">
        <v>910</v>
      </c>
      <c r="I8" s="173">
        <f>I7+H8</f>
        <v>1830.6799999999998</v>
      </c>
      <c r="J8" s="173">
        <v>1830.68</v>
      </c>
      <c r="K8" s="177" t="s">
        <v>148</v>
      </c>
      <c r="L8" s="168">
        <v>165</v>
      </c>
      <c r="M8" s="168">
        <v>88888888</v>
      </c>
      <c r="N8" s="168" t="s">
        <v>149</v>
      </c>
    </row>
    <row r="9" spans="1:14">
      <c r="A9" s="172">
        <v>45222</v>
      </c>
      <c r="B9" s="178" t="s">
        <v>145</v>
      </c>
      <c r="C9" s="179">
        <v>130</v>
      </c>
      <c r="D9" s="180">
        <v>9</v>
      </c>
      <c r="E9" s="180"/>
      <c r="F9" s="181">
        <f>D9*C9</f>
        <v>1170</v>
      </c>
      <c r="G9" s="181"/>
      <c r="H9" s="178">
        <v>0</v>
      </c>
      <c r="I9" s="181"/>
      <c r="J9" s="171">
        <v>1830.68</v>
      </c>
      <c r="K9" s="168" t="s">
        <v>150</v>
      </c>
      <c r="L9" s="168">
        <v>165</v>
      </c>
      <c r="M9" s="168">
        <v>88888888</v>
      </c>
      <c r="N9" s="168" t="s">
        <v>149</v>
      </c>
    </row>
    <row r="10" spans="1:14">
      <c r="A10" s="172">
        <v>45226</v>
      </c>
      <c r="B10" s="168" t="s">
        <v>145</v>
      </c>
      <c r="C10" s="169">
        <v>157.30000000000001</v>
      </c>
      <c r="D10" s="170">
        <v>1</v>
      </c>
      <c r="H10" s="168">
        <v>-157.63</v>
      </c>
      <c r="I10" s="182">
        <v>0</v>
      </c>
      <c r="J10" s="182">
        <v>1830.68</v>
      </c>
      <c r="K10" s="183" t="s">
        <v>151</v>
      </c>
      <c r="L10" s="168">
        <v>165</v>
      </c>
      <c r="M10" s="168">
        <v>95215533</v>
      </c>
      <c r="N10" s="168" t="s">
        <v>152</v>
      </c>
    </row>
    <row r="11" spans="1:14">
      <c r="A11" s="172">
        <v>45226</v>
      </c>
      <c r="B11" s="168" t="s">
        <v>145</v>
      </c>
      <c r="C11" s="169">
        <v>157.30000000000001</v>
      </c>
      <c r="D11" s="170">
        <v>2</v>
      </c>
      <c r="H11" s="168">
        <v>-315.26</v>
      </c>
      <c r="I11" s="182">
        <v>0</v>
      </c>
      <c r="J11" s="182">
        <v>1830.68</v>
      </c>
      <c r="K11" s="183" t="s">
        <v>153</v>
      </c>
      <c r="L11" s="168">
        <v>165</v>
      </c>
      <c r="M11" s="168">
        <v>95215846</v>
      </c>
      <c r="N11" s="168" t="s">
        <v>152</v>
      </c>
    </row>
    <row r="12" spans="1:14">
      <c r="A12" s="172">
        <v>45229</v>
      </c>
      <c r="B12" s="168" t="s">
        <v>145</v>
      </c>
      <c r="C12" s="169">
        <v>173</v>
      </c>
      <c r="D12" s="170">
        <v>5</v>
      </c>
      <c r="H12" s="168">
        <v>-866.82</v>
      </c>
      <c r="I12" s="182">
        <v>0</v>
      </c>
      <c r="J12" s="182">
        <v>1830.68</v>
      </c>
      <c r="K12" s="183" t="s">
        <v>154</v>
      </c>
      <c r="L12" s="168">
        <v>165</v>
      </c>
      <c r="M12" s="168">
        <v>95103707</v>
      </c>
      <c r="N12" s="168" t="s">
        <v>152</v>
      </c>
    </row>
    <row r="13" spans="1:14">
      <c r="A13" s="172">
        <v>45229</v>
      </c>
      <c r="B13" s="168" t="s">
        <v>145</v>
      </c>
      <c r="C13" s="169">
        <v>173</v>
      </c>
      <c r="D13" s="170">
        <v>5</v>
      </c>
      <c r="H13" s="168">
        <v>157.63</v>
      </c>
      <c r="I13" s="182">
        <v>0</v>
      </c>
      <c r="J13" s="182">
        <v>1830.68</v>
      </c>
      <c r="K13" s="183" t="s">
        <v>155</v>
      </c>
      <c r="L13" s="168">
        <v>165</v>
      </c>
      <c r="M13" s="168">
        <v>18200988</v>
      </c>
      <c r="N13" s="168" t="s">
        <v>156</v>
      </c>
    </row>
    <row r="14" spans="1:14">
      <c r="A14" s="172">
        <v>45229</v>
      </c>
      <c r="B14" s="168" t="s">
        <v>145</v>
      </c>
      <c r="C14" s="169">
        <v>157.30000000000001</v>
      </c>
      <c r="D14" s="170">
        <v>2</v>
      </c>
      <c r="H14" s="168">
        <v>315.26</v>
      </c>
      <c r="I14" s="182">
        <v>0</v>
      </c>
      <c r="J14" s="182">
        <v>1830.68</v>
      </c>
      <c r="K14" s="183" t="s">
        <v>157</v>
      </c>
      <c r="L14" s="168">
        <v>165</v>
      </c>
      <c r="M14" s="168">
        <v>18201019</v>
      </c>
      <c r="N14" s="168" t="s">
        <v>156</v>
      </c>
    </row>
    <row r="15" spans="1:14">
      <c r="A15" s="172">
        <v>45229</v>
      </c>
      <c r="B15" s="168" t="s">
        <v>145</v>
      </c>
      <c r="C15" s="169">
        <v>157.30000000000001</v>
      </c>
      <c r="D15" s="170">
        <v>1</v>
      </c>
      <c r="H15" s="168">
        <v>866.82</v>
      </c>
      <c r="I15" s="182">
        <v>0</v>
      </c>
      <c r="J15" s="182">
        <v>1830.68</v>
      </c>
      <c r="K15" s="183" t="s">
        <v>158</v>
      </c>
      <c r="L15" s="168">
        <v>165</v>
      </c>
      <c r="M15" s="168">
        <v>18201200</v>
      </c>
      <c r="N15" s="168" t="s">
        <v>156</v>
      </c>
    </row>
    <row r="16" spans="1:14">
      <c r="A16" s="172">
        <v>45267</v>
      </c>
      <c r="B16" s="174" t="s">
        <v>159</v>
      </c>
      <c r="C16" s="175" t="s">
        <v>141</v>
      </c>
      <c r="D16" s="176" t="s">
        <v>142</v>
      </c>
      <c r="E16" s="176"/>
      <c r="H16" s="174">
        <v>-566</v>
      </c>
      <c r="I16" s="173">
        <f>I8+H16</f>
        <v>1264.6799999999998</v>
      </c>
      <c r="J16" s="171">
        <v>1264.68</v>
      </c>
      <c r="K16" s="184" t="s">
        <v>146</v>
      </c>
      <c r="L16" s="168">
        <v>5800</v>
      </c>
      <c r="M16" s="168">
        <v>36093318</v>
      </c>
      <c r="N16" s="168" t="s">
        <v>147</v>
      </c>
    </row>
    <row r="17" spans="1:14">
      <c r="A17" s="172">
        <v>45267</v>
      </c>
      <c r="B17" s="174" t="s">
        <v>160</v>
      </c>
      <c r="C17" s="175" t="s">
        <v>141</v>
      </c>
      <c r="D17" s="176" t="s">
        <v>142</v>
      </c>
      <c r="E17" s="176"/>
      <c r="H17" s="174">
        <v>-983.6</v>
      </c>
      <c r="I17" s="173">
        <f t="shared" ref="I17:I22" si="0">I16+H17</f>
        <v>281.07999999999981</v>
      </c>
      <c r="J17" s="171">
        <v>281.08</v>
      </c>
      <c r="K17" s="184" t="s">
        <v>146</v>
      </c>
      <c r="L17" s="168">
        <v>5800</v>
      </c>
      <c r="M17" s="168">
        <v>36093353</v>
      </c>
      <c r="N17" s="168" t="s">
        <v>147</v>
      </c>
    </row>
    <row r="18" spans="1:14">
      <c r="A18" s="172">
        <v>45267</v>
      </c>
      <c r="B18" s="168" t="s">
        <v>140</v>
      </c>
      <c r="C18" s="169" t="s">
        <v>141</v>
      </c>
      <c r="D18" s="170" t="s">
        <v>142</v>
      </c>
      <c r="H18" s="168">
        <v>5181.13</v>
      </c>
      <c r="I18" s="173">
        <f t="shared" si="0"/>
        <v>5462.21</v>
      </c>
      <c r="J18" s="171">
        <v>5462.21</v>
      </c>
      <c r="K18" s="168" t="s">
        <v>143</v>
      </c>
      <c r="L18" s="168">
        <v>5800</v>
      </c>
      <c r="M18" s="168">
        <v>36094012</v>
      </c>
      <c r="N18" s="168" t="s">
        <v>144</v>
      </c>
    </row>
    <row r="19" spans="1:14">
      <c r="A19" s="172">
        <v>45267</v>
      </c>
      <c r="B19" s="168">
        <v>808</v>
      </c>
      <c r="C19" s="169">
        <v>18.207357999999999</v>
      </c>
      <c r="D19" s="170">
        <v>300</v>
      </c>
      <c r="F19" s="185">
        <f>D19*C19</f>
        <v>5462.2073999999993</v>
      </c>
      <c r="G19" s="185"/>
      <c r="H19" s="168">
        <v>-5462.21</v>
      </c>
      <c r="I19" s="173">
        <f t="shared" si="0"/>
        <v>0</v>
      </c>
      <c r="J19" s="171">
        <v>0</v>
      </c>
      <c r="K19" s="168" t="s">
        <v>161</v>
      </c>
      <c r="L19" s="168">
        <v>5800</v>
      </c>
      <c r="M19" s="168">
        <v>36094012</v>
      </c>
      <c r="N19" s="168">
        <v>72</v>
      </c>
    </row>
    <row r="20" spans="1:14">
      <c r="A20" s="172">
        <v>45267</v>
      </c>
      <c r="B20" s="168" t="s">
        <v>140</v>
      </c>
      <c r="C20" s="169" t="s">
        <v>141</v>
      </c>
      <c r="D20" s="170" t="s">
        <v>142</v>
      </c>
      <c r="H20" s="168">
        <v>5238.8999999999996</v>
      </c>
      <c r="I20" s="173">
        <f t="shared" si="0"/>
        <v>5238.8999999999996</v>
      </c>
      <c r="J20" s="171">
        <v>5238.8999999999996</v>
      </c>
      <c r="K20" s="168" t="s">
        <v>143</v>
      </c>
      <c r="L20" s="168">
        <v>5800</v>
      </c>
      <c r="M20" s="168">
        <v>36094051</v>
      </c>
      <c r="N20" s="168" t="s">
        <v>144</v>
      </c>
    </row>
    <row r="21" spans="1:14">
      <c r="A21" s="172">
        <v>45267</v>
      </c>
      <c r="B21" s="168">
        <v>801</v>
      </c>
      <c r="C21" s="169">
        <v>523.88987099999997</v>
      </c>
      <c r="D21" s="170">
        <v>10</v>
      </c>
      <c r="F21" s="185">
        <f>D21*C21</f>
        <v>5238.8987099999995</v>
      </c>
      <c r="G21" s="185"/>
      <c r="H21" s="168">
        <v>-5238.8999999999996</v>
      </c>
      <c r="I21" s="173">
        <f t="shared" si="0"/>
        <v>0</v>
      </c>
      <c r="J21" s="171">
        <v>0</v>
      </c>
      <c r="K21" s="168" t="s">
        <v>162</v>
      </c>
      <c r="L21" s="168">
        <v>5800</v>
      </c>
      <c r="M21" s="168">
        <v>36094051</v>
      </c>
      <c r="N21" s="168">
        <v>72</v>
      </c>
    </row>
    <row r="22" spans="1:14">
      <c r="A22" s="172">
        <v>45267</v>
      </c>
      <c r="B22" s="168" t="s">
        <v>140</v>
      </c>
      <c r="C22" s="169" t="s">
        <v>141</v>
      </c>
      <c r="D22" s="170" t="s">
        <v>142</v>
      </c>
      <c r="H22" s="168">
        <v>1576.31</v>
      </c>
      <c r="I22" s="173">
        <f t="shared" si="0"/>
        <v>1576.31</v>
      </c>
      <c r="J22" s="171">
        <v>1576.31</v>
      </c>
      <c r="K22" s="168" t="s">
        <v>143</v>
      </c>
      <c r="L22" s="168">
        <v>5800</v>
      </c>
      <c r="M22" s="168">
        <v>10001</v>
      </c>
      <c r="N22" s="168" t="s">
        <v>144</v>
      </c>
    </row>
    <row r="23" spans="1:14">
      <c r="A23" s="172">
        <v>45267</v>
      </c>
      <c r="B23" s="168" t="s">
        <v>145</v>
      </c>
      <c r="C23" s="169">
        <v>157.30000000000001</v>
      </c>
      <c r="D23" s="170">
        <v>10</v>
      </c>
      <c r="H23" s="168">
        <v>-1576.31</v>
      </c>
      <c r="I23" s="182"/>
      <c r="J23" s="182">
        <v>1576.31</v>
      </c>
      <c r="K23" s="183" t="s">
        <v>163</v>
      </c>
      <c r="L23" s="168">
        <v>165</v>
      </c>
      <c r="M23" s="168">
        <v>36094616</v>
      </c>
      <c r="N23" s="168" t="s">
        <v>152</v>
      </c>
    </row>
    <row r="24" spans="1:14">
      <c r="A24" s="172">
        <v>45267</v>
      </c>
      <c r="B24" s="168" t="s">
        <v>145</v>
      </c>
      <c r="C24" s="169">
        <v>-157.53</v>
      </c>
      <c r="D24" s="170">
        <v>10</v>
      </c>
      <c r="H24" s="168">
        <v>-1575.3</v>
      </c>
      <c r="I24" s="182"/>
      <c r="J24" s="182">
        <v>1576.31</v>
      </c>
      <c r="K24" s="183" t="s">
        <v>164</v>
      </c>
      <c r="L24" s="168">
        <v>165</v>
      </c>
      <c r="M24" s="168">
        <v>36094724</v>
      </c>
      <c r="N24" s="168" t="s">
        <v>165</v>
      </c>
    </row>
    <row r="25" spans="1:14">
      <c r="A25" s="172">
        <v>45271</v>
      </c>
      <c r="B25" s="186" t="s">
        <v>145</v>
      </c>
      <c r="C25" s="187">
        <v>-143.69999999999999</v>
      </c>
      <c r="D25" s="188">
        <v>10</v>
      </c>
      <c r="E25" s="188"/>
      <c r="F25" s="186">
        <v>-1440.01</v>
      </c>
      <c r="G25" s="185">
        <v>3.01</v>
      </c>
      <c r="H25" s="186">
        <v>-1440.01</v>
      </c>
      <c r="I25" s="173">
        <f>I22+H25</f>
        <v>136.29999999999995</v>
      </c>
      <c r="J25" s="171">
        <v>136.30000000000001</v>
      </c>
      <c r="K25" s="168" t="s">
        <v>166</v>
      </c>
      <c r="L25" s="168">
        <v>165</v>
      </c>
      <c r="M25" s="168">
        <v>0</v>
      </c>
      <c r="N25" s="168" t="s">
        <v>167</v>
      </c>
    </row>
    <row r="26" spans="1:14">
      <c r="A26" s="172">
        <v>45271</v>
      </c>
      <c r="B26" s="168" t="s">
        <v>160</v>
      </c>
      <c r="C26" s="169" t="s">
        <v>141</v>
      </c>
      <c r="F26" s="173"/>
      <c r="G26" s="173"/>
      <c r="H26" s="177">
        <v>491.8</v>
      </c>
      <c r="I26" s="173">
        <f>I25+H26</f>
        <v>628.09999999999991</v>
      </c>
      <c r="J26" s="173">
        <v>628.1</v>
      </c>
      <c r="K26" s="177" t="s">
        <v>168</v>
      </c>
      <c r="L26" s="168">
        <v>165</v>
      </c>
      <c r="M26" s="168">
        <v>88888888</v>
      </c>
      <c r="N26" s="168" t="s">
        <v>149</v>
      </c>
    </row>
    <row r="27" spans="1:14">
      <c r="A27" s="172">
        <v>45271</v>
      </c>
      <c r="B27" s="178" t="s">
        <v>160</v>
      </c>
      <c r="C27" s="179">
        <v>49.18</v>
      </c>
      <c r="D27" s="180">
        <v>10</v>
      </c>
      <c r="E27" s="180"/>
      <c r="F27" s="181">
        <f>D27*C27</f>
        <v>491.8</v>
      </c>
      <c r="G27" s="181"/>
      <c r="H27" s="178">
        <v>0</v>
      </c>
      <c r="I27" s="181"/>
      <c r="J27" s="182">
        <v>628.1</v>
      </c>
      <c r="K27" s="183" t="s">
        <v>169</v>
      </c>
      <c r="L27" s="168">
        <v>165</v>
      </c>
      <c r="M27" s="168">
        <v>88888888</v>
      </c>
      <c r="N27" s="168" t="s">
        <v>149</v>
      </c>
    </row>
    <row r="28" spans="1:14">
      <c r="A28" s="172">
        <v>45271</v>
      </c>
      <c r="B28" s="168" t="s">
        <v>159</v>
      </c>
      <c r="C28" s="169" t="s">
        <v>141</v>
      </c>
      <c r="D28" s="170" t="s">
        <v>142</v>
      </c>
      <c r="F28" s="173"/>
      <c r="G28" s="173"/>
      <c r="H28" s="177">
        <v>198.1</v>
      </c>
      <c r="I28" s="173">
        <f>I26+H28</f>
        <v>826.19999999999993</v>
      </c>
      <c r="J28" s="173">
        <v>826.2</v>
      </c>
      <c r="K28" s="177" t="s">
        <v>168</v>
      </c>
      <c r="L28" s="168">
        <v>165</v>
      </c>
      <c r="M28" s="168">
        <v>88888888</v>
      </c>
      <c r="N28" s="168" t="s">
        <v>149</v>
      </c>
    </row>
    <row r="29" spans="1:14">
      <c r="A29" s="172">
        <v>45271</v>
      </c>
      <c r="B29" s="178" t="s">
        <v>159</v>
      </c>
      <c r="C29" s="179">
        <v>28.3</v>
      </c>
      <c r="D29" s="180">
        <v>13</v>
      </c>
      <c r="E29" s="180"/>
      <c r="F29" s="181">
        <f>D29*C29</f>
        <v>367.90000000000003</v>
      </c>
      <c r="G29" s="181"/>
      <c r="H29" s="178">
        <v>0</v>
      </c>
      <c r="I29" s="181"/>
      <c r="J29" s="182">
        <v>826.2</v>
      </c>
      <c r="K29" s="183" t="s">
        <v>170</v>
      </c>
      <c r="L29" s="168">
        <v>165</v>
      </c>
      <c r="M29" s="168">
        <v>88888888</v>
      </c>
      <c r="N29" s="168" t="s">
        <v>149</v>
      </c>
    </row>
    <row r="30" spans="1:14">
      <c r="A30" s="172">
        <v>45273</v>
      </c>
      <c r="B30" s="168" t="s">
        <v>129</v>
      </c>
      <c r="C30" s="169" t="s">
        <v>171</v>
      </c>
      <c r="D30" s="170" t="s">
        <v>172</v>
      </c>
      <c r="H30" s="168">
        <v>826.2</v>
      </c>
      <c r="I30" s="173">
        <f>I28+H30</f>
        <v>1652.4</v>
      </c>
      <c r="J30" s="171">
        <v>1652.4</v>
      </c>
      <c r="K30" s="168" t="s">
        <v>143</v>
      </c>
      <c r="L30" s="168">
        <v>5800</v>
      </c>
      <c r="M30" s="168">
        <v>36151331</v>
      </c>
      <c r="N30" s="168" t="s">
        <v>173</v>
      </c>
    </row>
    <row r="31" spans="1:14">
      <c r="A31" s="172">
        <v>45273</v>
      </c>
      <c r="B31" s="174" t="s">
        <v>174</v>
      </c>
      <c r="C31" s="175" t="s">
        <v>171</v>
      </c>
      <c r="D31" s="176" t="s">
        <v>172</v>
      </c>
      <c r="E31" s="176"/>
      <c r="H31" s="174">
        <v>-1652.4</v>
      </c>
      <c r="I31" s="173">
        <f>I30+H31</f>
        <v>0</v>
      </c>
      <c r="J31" s="171">
        <v>0</v>
      </c>
      <c r="K31" s="174" t="s">
        <v>146</v>
      </c>
      <c r="L31" s="168">
        <v>5800</v>
      </c>
      <c r="M31" s="168">
        <v>36151331</v>
      </c>
      <c r="N31" s="168" t="s">
        <v>175</v>
      </c>
    </row>
    <row r="32" spans="1:14">
      <c r="A32" s="172">
        <v>45273</v>
      </c>
      <c r="B32" s="168" t="s">
        <v>129</v>
      </c>
      <c r="C32" s="169" t="s">
        <v>171</v>
      </c>
      <c r="D32" s="170" t="s">
        <v>172</v>
      </c>
      <c r="H32" s="168">
        <v>21088.49</v>
      </c>
      <c r="I32" s="173">
        <f>I31+H32</f>
        <v>21088.49</v>
      </c>
      <c r="J32" s="171">
        <v>21088.49</v>
      </c>
      <c r="K32" s="168" t="s">
        <v>143</v>
      </c>
      <c r="L32" s="168">
        <v>5800</v>
      </c>
      <c r="M32" s="168">
        <v>36151857</v>
      </c>
      <c r="N32" s="168" t="s">
        <v>173</v>
      </c>
    </row>
    <row r="33" spans="1:14">
      <c r="A33" s="172">
        <v>45273</v>
      </c>
      <c r="B33" s="168">
        <v>801</v>
      </c>
      <c r="C33" s="169">
        <v>527.21223999999995</v>
      </c>
      <c r="D33" s="170">
        <v>40</v>
      </c>
      <c r="F33" s="185">
        <f>D33*C33</f>
        <v>21088.489599999997</v>
      </c>
      <c r="G33" s="185"/>
      <c r="H33" s="168">
        <v>-21088.49</v>
      </c>
      <c r="I33" s="173">
        <f>I32+H33</f>
        <v>0</v>
      </c>
      <c r="J33" s="171">
        <v>0</v>
      </c>
      <c r="K33" s="168" t="s">
        <v>176</v>
      </c>
      <c r="L33" s="168">
        <v>5800</v>
      </c>
      <c r="M33" s="168">
        <v>36151857</v>
      </c>
      <c r="N33" s="168">
        <v>72</v>
      </c>
    </row>
    <row r="34" spans="1:14">
      <c r="A34" s="172">
        <v>45278</v>
      </c>
      <c r="B34" s="168" t="s">
        <v>174</v>
      </c>
      <c r="C34" s="169" t="s">
        <v>171</v>
      </c>
      <c r="D34" s="170" t="s">
        <v>172</v>
      </c>
      <c r="F34" s="173"/>
      <c r="G34" s="173"/>
      <c r="H34" s="177">
        <v>220.32</v>
      </c>
      <c r="I34" s="173">
        <f>I33+H34</f>
        <v>220.32</v>
      </c>
      <c r="J34" s="173">
        <v>220.32</v>
      </c>
      <c r="K34" s="177" t="s">
        <v>168</v>
      </c>
      <c r="L34" s="168">
        <v>165</v>
      </c>
      <c r="M34" s="168">
        <v>88888888</v>
      </c>
      <c r="N34" s="168" t="s">
        <v>177</v>
      </c>
    </row>
    <row r="35" spans="1:14">
      <c r="A35" s="172">
        <v>45278</v>
      </c>
      <c r="B35" s="178" t="s">
        <v>174</v>
      </c>
      <c r="C35" s="179">
        <v>55.08</v>
      </c>
      <c r="D35" s="180">
        <v>26</v>
      </c>
      <c r="E35" s="180"/>
      <c r="F35" s="181">
        <f>D35*C35</f>
        <v>1432.08</v>
      </c>
      <c r="G35" s="181"/>
      <c r="H35" s="178">
        <v>0</v>
      </c>
      <c r="I35" s="181"/>
      <c r="J35" s="171">
        <v>220.32</v>
      </c>
      <c r="K35" s="168" t="s">
        <v>178</v>
      </c>
      <c r="L35" s="168">
        <v>165</v>
      </c>
      <c r="M35" s="168">
        <v>88888888</v>
      </c>
      <c r="N35" s="168" t="s">
        <v>177</v>
      </c>
    </row>
    <row r="36" spans="1:14">
      <c r="A36" s="172">
        <v>45288</v>
      </c>
      <c r="B36" s="189">
        <v>808</v>
      </c>
      <c r="C36" s="190">
        <v>18.625761000000001</v>
      </c>
      <c r="D36" s="191">
        <v>-300</v>
      </c>
      <c r="E36" s="191"/>
      <c r="F36" s="192"/>
      <c r="G36" s="192"/>
      <c r="H36" s="189">
        <v>5587.73</v>
      </c>
      <c r="I36" s="173">
        <f>I34+H36</f>
        <v>5808.0499999999993</v>
      </c>
      <c r="J36" s="171">
        <v>5808.05</v>
      </c>
      <c r="K36" s="168" t="s">
        <v>179</v>
      </c>
      <c r="L36" s="168">
        <v>5800</v>
      </c>
      <c r="M36" s="168">
        <v>95105725</v>
      </c>
      <c r="N36" s="168">
        <v>73</v>
      </c>
    </row>
    <row r="37" spans="1:14">
      <c r="A37" s="172">
        <v>45288</v>
      </c>
      <c r="B37" s="168" t="s">
        <v>129</v>
      </c>
      <c r="C37" s="169" t="s">
        <v>171</v>
      </c>
      <c r="D37" s="170" t="s">
        <v>172</v>
      </c>
      <c r="H37" s="168">
        <v>-5587.73</v>
      </c>
      <c r="I37" s="173">
        <f>I36+H37</f>
        <v>220.31999999999971</v>
      </c>
      <c r="J37" s="171">
        <v>220.32</v>
      </c>
      <c r="K37" s="168" t="s">
        <v>180</v>
      </c>
      <c r="L37" s="168">
        <v>5800</v>
      </c>
      <c r="M37" s="168">
        <v>95105725</v>
      </c>
      <c r="N37" s="168" t="s">
        <v>181</v>
      </c>
    </row>
    <row r="38" spans="1:14">
      <c r="A38" s="172">
        <v>45288</v>
      </c>
      <c r="B38" s="168" t="s">
        <v>129</v>
      </c>
      <c r="C38" s="169" t="s">
        <v>171</v>
      </c>
      <c r="D38" s="170" t="s">
        <v>172</v>
      </c>
      <c r="H38" s="168">
        <v>2086.5100000000002</v>
      </c>
      <c r="I38" s="173">
        <f>I37+H38</f>
        <v>2306.83</v>
      </c>
      <c r="J38" s="171">
        <v>2306.83</v>
      </c>
      <c r="K38" s="168" t="s">
        <v>143</v>
      </c>
      <c r="L38" s="168">
        <v>5800</v>
      </c>
      <c r="M38" s="168">
        <v>10001</v>
      </c>
      <c r="N38" s="168" t="s">
        <v>173</v>
      </c>
    </row>
    <row r="39" spans="1:14">
      <c r="A39" s="172">
        <v>45288</v>
      </c>
      <c r="B39" s="168" t="s">
        <v>70</v>
      </c>
      <c r="C39" s="169">
        <v>115.1</v>
      </c>
      <c r="D39" s="170">
        <v>20</v>
      </c>
      <c r="H39" s="168">
        <v>-2306.83</v>
      </c>
      <c r="I39" s="182"/>
      <c r="J39" s="182">
        <v>2306.83</v>
      </c>
      <c r="K39" s="183" t="s">
        <v>182</v>
      </c>
      <c r="L39" s="168">
        <v>165</v>
      </c>
      <c r="M39" s="168">
        <v>95110347</v>
      </c>
      <c r="N39" s="168" t="s">
        <v>183</v>
      </c>
    </row>
    <row r="40" spans="1:14">
      <c r="A40" s="172">
        <v>45288</v>
      </c>
      <c r="B40" s="168" t="s">
        <v>129</v>
      </c>
      <c r="C40" s="169" t="s">
        <v>171</v>
      </c>
      <c r="D40" s="170" t="s">
        <v>172</v>
      </c>
      <c r="H40" s="168">
        <v>3960.3</v>
      </c>
      <c r="I40" s="173">
        <f>I38+H40</f>
        <v>6267.13</v>
      </c>
      <c r="J40" s="171">
        <v>6267.13</v>
      </c>
      <c r="K40" s="168" t="s">
        <v>143</v>
      </c>
      <c r="L40" s="168">
        <v>5800</v>
      </c>
      <c r="M40" s="168">
        <v>10001</v>
      </c>
      <c r="N40" s="168" t="s">
        <v>173</v>
      </c>
    </row>
    <row r="41" spans="1:14">
      <c r="A41" s="172">
        <v>45288</v>
      </c>
      <c r="B41" s="168" t="s">
        <v>174</v>
      </c>
      <c r="C41" s="169">
        <v>39.520000000000003</v>
      </c>
      <c r="D41" s="170">
        <v>100</v>
      </c>
      <c r="H41" s="168">
        <v>-3960.3</v>
      </c>
      <c r="I41" s="182"/>
      <c r="J41" s="182">
        <v>6267.13</v>
      </c>
      <c r="K41" s="183" t="s">
        <v>184</v>
      </c>
      <c r="L41" s="168">
        <v>165</v>
      </c>
      <c r="M41" s="168">
        <v>95111027</v>
      </c>
      <c r="N41" s="168" t="s">
        <v>183</v>
      </c>
    </row>
    <row r="42" spans="1:14">
      <c r="A42" s="183"/>
      <c r="B42" s="183"/>
      <c r="C42" s="193"/>
      <c r="D42" s="194"/>
      <c r="E42" s="194"/>
      <c r="F42" s="182"/>
      <c r="G42" s="182"/>
      <c r="H42" s="183"/>
      <c r="I42" s="182"/>
      <c r="J42" s="182"/>
      <c r="K42" s="183"/>
      <c r="L42" s="183"/>
      <c r="M42" s="183"/>
      <c r="N42" s="183"/>
    </row>
    <row r="43" spans="1:14">
      <c r="A43" s="172">
        <v>45293</v>
      </c>
      <c r="B43" s="186" t="s">
        <v>185</v>
      </c>
      <c r="C43" s="187">
        <v>-115.1</v>
      </c>
      <c r="D43" s="188">
        <v>20</v>
      </c>
      <c r="E43" s="188"/>
      <c r="F43" s="185">
        <f>H43/D43</f>
        <v>-115.3415</v>
      </c>
      <c r="G43" s="185">
        <v>4.83</v>
      </c>
      <c r="H43" s="186">
        <v>-2306.83</v>
      </c>
      <c r="I43" s="173">
        <f>I40+H43</f>
        <v>3960.3</v>
      </c>
      <c r="J43" s="171">
        <v>3960.3</v>
      </c>
      <c r="K43" s="168" t="s">
        <v>186</v>
      </c>
      <c r="L43" s="168">
        <v>165</v>
      </c>
      <c r="M43" s="168">
        <v>0</v>
      </c>
      <c r="N43" s="168" t="s">
        <v>187</v>
      </c>
    </row>
    <row r="44" spans="1:14">
      <c r="A44" s="172">
        <v>45293</v>
      </c>
      <c r="B44" s="186" t="s">
        <v>188</v>
      </c>
      <c r="C44" s="187">
        <v>-39.5</v>
      </c>
      <c r="D44" s="188">
        <v>100</v>
      </c>
      <c r="E44" s="188"/>
      <c r="F44" s="185">
        <f>H44/D44</f>
        <v>-39.582999999999998</v>
      </c>
      <c r="G44" s="185">
        <v>8.3000000000000007</v>
      </c>
      <c r="H44" s="186">
        <v>-3958.3</v>
      </c>
      <c r="I44" s="173">
        <f>I43+H44</f>
        <v>2</v>
      </c>
      <c r="J44" s="171">
        <v>2</v>
      </c>
      <c r="K44" s="168" t="s">
        <v>189</v>
      </c>
      <c r="L44" s="168">
        <v>165</v>
      </c>
      <c r="M44" s="168">
        <v>0</v>
      </c>
      <c r="N44" s="168" t="s">
        <v>187</v>
      </c>
    </row>
    <row r="45" spans="1:14">
      <c r="A45" s="172">
        <v>45293</v>
      </c>
      <c r="B45" s="189">
        <v>801</v>
      </c>
      <c r="C45" s="190">
        <v>538.78970700000002</v>
      </c>
      <c r="D45" s="191">
        <v>-28</v>
      </c>
      <c r="E45" s="191"/>
      <c r="F45" s="192"/>
      <c r="G45" s="192"/>
      <c r="H45" s="189">
        <v>15086.11</v>
      </c>
      <c r="I45" s="173">
        <f>I44+H45</f>
        <v>15088.11</v>
      </c>
      <c r="J45" s="171">
        <v>15088.11</v>
      </c>
      <c r="K45" s="168" t="s">
        <v>190</v>
      </c>
      <c r="L45" s="168">
        <v>5800</v>
      </c>
      <c r="M45" s="168">
        <v>95112740</v>
      </c>
      <c r="N45" s="168">
        <v>73</v>
      </c>
    </row>
    <row r="46" spans="1:14">
      <c r="A46" s="172">
        <v>45293</v>
      </c>
      <c r="B46" s="168" t="s">
        <v>191</v>
      </c>
      <c r="C46" s="169" t="s">
        <v>141</v>
      </c>
      <c r="D46" s="170" t="s">
        <v>192</v>
      </c>
      <c r="H46" s="168">
        <v>-15086.11</v>
      </c>
      <c r="I46" s="173">
        <f>I45+H46</f>
        <v>2</v>
      </c>
      <c r="J46" s="171">
        <v>2</v>
      </c>
      <c r="K46" s="168" t="s">
        <v>180</v>
      </c>
      <c r="L46" s="168">
        <v>5800</v>
      </c>
      <c r="M46" s="168">
        <v>95112740</v>
      </c>
      <c r="N46" s="168" t="s">
        <v>181</v>
      </c>
    </row>
    <row r="47" spans="1:14">
      <c r="A47" s="172">
        <v>45294</v>
      </c>
      <c r="B47" s="168" t="s">
        <v>191</v>
      </c>
      <c r="C47" s="169" t="s">
        <v>141</v>
      </c>
      <c r="D47" s="170" t="s">
        <v>192</v>
      </c>
      <c r="G47" s="171">
        <v>-1.9</v>
      </c>
      <c r="H47" s="168">
        <v>0</v>
      </c>
      <c r="I47" s="173">
        <f>I46+G47</f>
        <v>0.10000000000000009</v>
      </c>
      <c r="J47" s="171">
        <v>0.1</v>
      </c>
      <c r="K47" s="168" t="s">
        <v>193</v>
      </c>
      <c r="L47" s="168">
        <v>165</v>
      </c>
      <c r="M47" s="168">
        <v>22229971</v>
      </c>
      <c r="N47" s="168" t="s">
        <v>194</v>
      </c>
    </row>
    <row r="48" spans="1:14">
      <c r="A48" s="172">
        <v>45294</v>
      </c>
      <c r="B48" s="168" t="s">
        <v>191</v>
      </c>
      <c r="C48" s="169" t="s">
        <v>141</v>
      </c>
      <c r="D48" s="170" t="s">
        <v>192</v>
      </c>
      <c r="G48" s="171">
        <v>-0.1</v>
      </c>
      <c r="H48" s="168">
        <v>-0.1</v>
      </c>
      <c r="I48" s="173">
        <f>I47+G48</f>
        <v>0</v>
      </c>
      <c r="J48" s="171">
        <v>0</v>
      </c>
      <c r="K48" s="168" t="s">
        <v>195</v>
      </c>
      <c r="L48" s="168">
        <v>165</v>
      </c>
      <c r="M48" s="168">
        <v>22229977</v>
      </c>
      <c r="N48" s="168" t="s">
        <v>196</v>
      </c>
    </row>
    <row r="49" spans="1:14">
      <c r="A49" s="172">
        <v>45295</v>
      </c>
      <c r="B49" s="189">
        <v>801</v>
      </c>
      <c r="C49" s="190">
        <v>540.000044</v>
      </c>
      <c r="D49" s="191">
        <v>-22</v>
      </c>
      <c r="E49" s="191"/>
      <c r="F49" s="192"/>
      <c r="G49" s="192"/>
      <c r="H49" s="189">
        <v>11880</v>
      </c>
      <c r="I49" s="173">
        <f t="shared" ref="I49:I55" si="1">I48+H49</f>
        <v>11880</v>
      </c>
      <c r="J49" s="171">
        <v>11880</v>
      </c>
      <c r="K49" s="168" t="s">
        <v>179</v>
      </c>
      <c r="L49" s="168">
        <v>5800</v>
      </c>
      <c r="M49" s="168">
        <v>95101505</v>
      </c>
      <c r="N49" s="168">
        <v>73</v>
      </c>
    </row>
    <row r="50" spans="1:14">
      <c r="A50" s="172">
        <v>45295</v>
      </c>
      <c r="B50" s="168" t="s">
        <v>191</v>
      </c>
      <c r="C50" s="169" t="s">
        <v>141</v>
      </c>
      <c r="D50" s="170" t="s">
        <v>192</v>
      </c>
      <c r="H50" s="168">
        <v>-11855.75</v>
      </c>
      <c r="I50" s="173">
        <f t="shared" si="1"/>
        <v>24.25</v>
      </c>
      <c r="J50" s="171">
        <v>24.25</v>
      </c>
      <c r="K50" s="168" t="s">
        <v>180</v>
      </c>
      <c r="L50" s="168">
        <v>5800</v>
      </c>
      <c r="M50" s="168">
        <v>95101505</v>
      </c>
      <c r="N50" s="168" t="s">
        <v>181</v>
      </c>
    </row>
    <row r="51" spans="1:14">
      <c r="A51" s="172">
        <v>45295</v>
      </c>
      <c r="B51" s="168" t="s">
        <v>191</v>
      </c>
      <c r="C51" s="169" t="s">
        <v>141</v>
      </c>
      <c r="D51" s="170" t="s">
        <v>192</v>
      </c>
      <c r="G51" s="171">
        <v>-23.1</v>
      </c>
      <c r="H51" s="168">
        <v>-23.1</v>
      </c>
      <c r="I51" s="173">
        <f t="shared" si="1"/>
        <v>1.1499999999999986</v>
      </c>
      <c r="J51" s="171">
        <v>1.1499999999999999</v>
      </c>
      <c r="K51" s="168" t="s">
        <v>193</v>
      </c>
      <c r="L51" s="168">
        <v>5800</v>
      </c>
      <c r="M51" s="168">
        <v>95109971</v>
      </c>
      <c r="N51" s="168" t="s">
        <v>194</v>
      </c>
    </row>
    <row r="52" spans="1:14">
      <c r="A52" s="172">
        <v>45295</v>
      </c>
      <c r="B52" s="168" t="s">
        <v>191</v>
      </c>
      <c r="C52" s="169" t="s">
        <v>141</v>
      </c>
      <c r="D52" s="170" t="s">
        <v>192</v>
      </c>
      <c r="G52" s="171">
        <v>-1.1499999999999999</v>
      </c>
      <c r="H52" s="168">
        <v>-1.1499999999999999</v>
      </c>
      <c r="I52" s="173">
        <f t="shared" si="1"/>
        <v>0</v>
      </c>
      <c r="J52" s="171">
        <v>0</v>
      </c>
      <c r="K52" s="168" t="s">
        <v>195</v>
      </c>
      <c r="L52" s="168">
        <v>5800</v>
      </c>
      <c r="M52" s="168">
        <v>95109977</v>
      </c>
      <c r="N52" s="168" t="s">
        <v>196</v>
      </c>
    </row>
    <row r="53" spans="1:14">
      <c r="A53" s="172">
        <v>45296</v>
      </c>
      <c r="B53" s="168" t="s">
        <v>191</v>
      </c>
      <c r="C53" s="169" t="s">
        <v>141</v>
      </c>
      <c r="D53" s="170" t="s">
        <v>192</v>
      </c>
      <c r="H53" s="168">
        <v>59466.12</v>
      </c>
      <c r="I53" s="173">
        <f t="shared" si="1"/>
        <v>59466.12</v>
      </c>
      <c r="J53" s="171">
        <v>59466.12</v>
      </c>
      <c r="K53" s="168" t="s">
        <v>143</v>
      </c>
      <c r="L53" s="168">
        <v>5800</v>
      </c>
      <c r="M53" s="168">
        <v>36161744</v>
      </c>
      <c r="N53" s="168" t="s">
        <v>173</v>
      </c>
    </row>
    <row r="54" spans="1:14">
      <c r="A54" s="172">
        <v>45296</v>
      </c>
      <c r="B54" s="186">
        <v>801</v>
      </c>
      <c r="C54" s="187">
        <v>540.60110799999995</v>
      </c>
      <c r="D54" s="188">
        <v>110</v>
      </c>
      <c r="E54" s="188"/>
      <c r="F54" s="185">
        <f>D54*C54</f>
        <v>59466.121879999992</v>
      </c>
      <c r="G54" s="185"/>
      <c r="H54" s="186">
        <v>-59466.12</v>
      </c>
      <c r="I54" s="173">
        <f t="shared" si="1"/>
        <v>0</v>
      </c>
      <c r="J54" s="171">
        <v>0</v>
      </c>
      <c r="K54" s="168" t="s">
        <v>197</v>
      </c>
      <c r="L54" s="168">
        <v>5800</v>
      </c>
      <c r="M54" s="168">
        <v>36161744</v>
      </c>
      <c r="N54" s="168">
        <v>72</v>
      </c>
    </row>
    <row r="55" spans="1:14">
      <c r="A55" s="172">
        <v>45296</v>
      </c>
      <c r="B55" s="168" t="s">
        <v>191</v>
      </c>
      <c r="C55" s="169" t="s">
        <v>141</v>
      </c>
      <c r="D55" s="170" t="s">
        <v>192</v>
      </c>
      <c r="H55" s="168">
        <v>27030.06</v>
      </c>
      <c r="I55" s="173">
        <f t="shared" si="1"/>
        <v>27030.06</v>
      </c>
      <c r="J55" s="171">
        <v>27030.06</v>
      </c>
      <c r="K55" s="168" t="s">
        <v>143</v>
      </c>
      <c r="L55" s="168">
        <v>5800</v>
      </c>
      <c r="M55" s="168">
        <v>95173631</v>
      </c>
      <c r="N55" s="168" t="s">
        <v>173</v>
      </c>
    </row>
    <row r="56" spans="1:14">
      <c r="A56" s="172">
        <v>45296</v>
      </c>
      <c r="B56" s="168">
        <v>801</v>
      </c>
      <c r="C56" s="169" t="s">
        <v>198</v>
      </c>
      <c r="D56" s="170">
        <v>50000</v>
      </c>
      <c r="H56" s="168">
        <v>-27030.06</v>
      </c>
      <c r="I56" s="182"/>
      <c r="J56" s="182">
        <v>27030.06</v>
      </c>
      <c r="K56" s="183" t="s">
        <v>199</v>
      </c>
      <c r="L56" s="168">
        <v>5800</v>
      </c>
      <c r="M56" s="168">
        <v>95173631</v>
      </c>
      <c r="N56" s="168" t="s">
        <v>200</v>
      </c>
    </row>
    <row r="57" spans="1:14">
      <c r="A57" s="172">
        <v>45299</v>
      </c>
      <c r="B57" s="168" t="s">
        <v>191</v>
      </c>
      <c r="C57" s="169" t="s">
        <v>141</v>
      </c>
      <c r="D57" s="170" t="s">
        <v>192</v>
      </c>
      <c r="H57" s="168">
        <v>91.67</v>
      </c>
      <c r="I57" s="173">
        <f>I55+H57</f>
        <v>27121.73</v>
      </c>
      <c r="J57" s="171">
        <v>27121.73</v>
      </c>
      <c r="K57" s="168" t="s">
        <v>143</v>
      </c>
      <c r="L57" s="168">
        <v>5800</v>
      </c>
      <c r="M57" s="168">
        <v>58009517</v>
      </c>
      <c r="N57" s="168" t="s">
        <v>173</v>
      </c>
    </row>
    <row r="58" spans="1:14">
      <c r="A58" s="172">
        <v>45299</v>
      </c>
      <c r="B58" s="186">
        <v>801</v>
      </c>
      <c r="C58" s="187">
        <v>542.43450199999995</v>
      </c>
      <c r="D58" s="188">
        <v>50</v>
      </c>
      <c r="E58" s="188"/>
      <c r="F58" s="185">
        <f>D58*C58</f>
        <v>27121.725099999996</v>
      </c>
      <c r="G58" s="185"/>
      <c r="H58" s="186">
        <v>-27121.73</v>
      </c>
      <c r="I58" s="182"/>
      <c r="J58" s="182">
        <v>0</v>
      </c>
      <c r="K58" s="183" t="s">
        <v>201</v>
      </c>
      <c r="L58" s="168">
        <v>5800</v>
      </c>
      <c r="M58" s="168">
        <v>95173631</v>
      </c>
      <c r="N58" s="168" t="s">
        <v>202</v>
      </c>
    </row>
    <row r="59" spans="1:14">
      <c r="A59" s="172">
        <v>45313</v>
      </c>
      <c r="B59" s="168" t="s">
        <v>188</v>
      </c>
      <c r="C59" s="169">
        <v>51.4</v>
      </c>
      <c r="D59" s="170">
        <v>-126</v>
      </c>
      <c r="H59" s="168">
        <v>6462.8</v>
      </c>
      <c r="I59" s="182"/>
      <c r="J59" s="182">
        <v>0</v>
      </c>
      <c r="K59" s="183" t="s">
        <v>203</v>
      </c>
      <c r="L59" s="168">
        <v>165</v>
      </c>
      <c r="M59" s="168">
        <v>95164217</v>
      </c>
      <c r="N59" s="168" t="s">
        <v>204</v>
      </c>
    </row>
    <row r="60" spans="1:14">
      <c r="A60" s="172">
        <v>45313</v>
      </c>
      <c r="B60" s="168" t="s">
        <v>205</v>
      </c>
      <c r="C60" s="169">
        <v>41.6</v>
      </c>
      <c r="D60" s="170">
        <v>-13</v>
      </c>
      <c r="H60" s="168">
        <v>539.66999999999996</v>
      </c>
      <c r="I60" s="182"/>
      <c r="J60" s="182">
        <v>0</v>
      </c>
      <c r="K60" s="183" t="s">
        <v>206</v>
      </c>
      <c r="L60" s="168">
        <v>165</v>
      </c>
      <c r="M60" s="168">
        <v>95164250</v>
      </c>
      <c r="N60" s="168" t="s">
        <v>204</v>
      </c>
    </row>
    <row r="61" spans="1:14">
      <c r="A61" s="172">
        <v>45315</v>
      </c>
      <c r="B61" s="177" t="s">
        <v>188</v>
      </c>
      <c r="C61" s="195">
        <v>-51.4</v>
      </c>
      <c r="D61" s="196">
        <v>-126</v>
      </c>
      <c r="E61" s="196"/>
      <c r="F61" s="173">
        <f>D61*C61</f>
        <v>6476.4</v>
      </c>
      <c r="G61" s="173"/>
      <c r="H61" s="177">
        <v>6462.8</v>
      </c>
      <c r="I61" s="173">
        <f>I60+H61</f>
        <v>6462.8</v>
      </c>
      <c r="J61" s="171">
        <v>6462.8</v>
      </c>
      <c r="K61" s="168" t="s">
        <v>207</v>
      </c>
      <c r="L61" s="168">
        <v>165</v>
      </c>
      <c r="M61" s="168">
        <v>0</v>
      </c>
      <c r="N61" s="168" t="s">
        <v>208</v>
      </c>
    </row>
    <row r="62" spans="1:14">
      <c r="A62" s="172">
        <v>45315</v>
      </c>
      <c r="B62" s="177" t="s">
        <v>205</v>
      </c>
      <c r="C62" s="195">
        <v>-41.6</v>
      </c>
      <c r="D62" s="196">
        <v>-13</v>
      </c>
      <c r="E62" s="196"/>
      <c r="F62" s="173">
        <f>D62*C62</f>
        <v>540.80000000000007</v>
      </c>
      <c r="G62" s="173"/>
      <c r="H62" s="177">
        <v>539.66999999999996</v>
      </c>
      <c r="I62" s="173">
        <f>I61+H62</f>
        <v>7002.47</v>
      </c>
      <c r="J62" s="171">
        <v>7002.47</v>
      </c>
      <c r="K62" s="168" t="s">
        <v>209</v>
      </c>
      <c r="L62" s="168">
        <v>165</v>
      </c>
      <c r="M62" s="168">
        <v>0</v>
      </c>
      <c r="N62" s="168" t="s">
        <v>208</v>
      </c>
    </row>
    <row r="63" spans="1:14">
      <c r="D63" s="168"/>
      <c r="E63" s="168"/>
    </row>
    <row r="64" spans="1:14">
      <c r="D64" s="168"/>
      <c r="E64" s="168"/>
    </row>
    <row r="65" spans="4:5">
      <c r="D65" s="168"/>
      <c r="E65" s="168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C5:C30"/>
  <sheetViews>
    <sheetView topLeftCell="A4" zoomScale="160" zoomScaleNormal="160" workbookViewId="0">
      <selection activeCell="A4" sqref="A4"/>
    </sheetView>
  </sheetViews>
  <sheetFormatPr defaultColWidth="8.5703125" defaultRowHeight="12.75"/>
  <cols>
    <col min="1" max="2" width="9.140625" customWidth="1"/>
    <col min="3" max="3" width="37.140625" customWidth="1"/>
    <col min="4" max="4" width="9.140625" customWidth="1"/>
  </cols>
  <sheetData>
    <row r="5" spans="3:3">
      <c r="C5">
        <v>2240</v>
      </c>
    </row>
    <row r="6" spans="3:3">
      <c r="C6" t="s">
        <v>210</v>
      </c>
    </row>
    <row r="7" spans="3:3">
      <c r="C7" t="s">
        <v>211</v>
      </c>
    </row>
    <row r="8" spans="3:3">
      <c r="C8" t="s">
        <v>212</v>
      </c>
    </row>
    <row r="9" spans="3:3">
      <c r="C9" t="s">
        <v>213</v>
      </c>
    </row>
    <row r="10" spans="3:3">
      <c r="C10" t="s">
        <v>214</v>
      </c>
    </row>
    <row r="11" spans="3:3">
      <c r="C11" t="s">
        <v>215</v>
      </c>
    </row>
    <row r="12" spans="3:3">
      <c r="C12" t="s">
        <v>216</v>
      </c>
    </row>
    <row r="13" spans="3:3">
      <c r="C13" t="s">
        <v>217</v>
      </c>
    </row>
    <row r="14" spans="3:3">
      <c r="C14" t="s">
        <v>218</v>
      </c>
    </row>
    <row r="15" spans="3:3">
      <c r="C15" t="s">
        <v>219</v>
      </c>
    </row>
    <row r="16" spans="3:3">
      <c r="C16" t="s">
        <v>220</v>
      </c>
    </row>
    <row r="17" spans="3:3">
      <c r="C17" t="s">
        <v>221</v>
      </c>
    </row>
    <row r="18" spans="3:3">
      <c r="C18" t="s">
        <v>222</v>
      </c>
    </row>
    <row r="19" spans="3:3">
      <c r="C19" t="s">
        <v>223</v>
      </c>
    </row>
    <row r="20" spans="3:3">
      <c r="C20" t="s">
        <v>224</v>
      </c>
    </row>
    <row r="21" spans="3:3">
      <c r="C21" t="s">
        <v>225</v>
      </c>
    </row>
    <row r="22" spans="3:3">
      <c r="C22" t="s">
        <v>226</v>
      </c>
    </row>
    <row r="23" spans="3:3">
      <c r="C23" t="s">
        <v>227</v>
      </c>
    </row>
    <row r="24" spans="3:3">
      <c r="C24" t="s">
        <v>228</v>
      </c>
    </row>
    <row r="25" spans="3:3">
      <c r="C25" t="s">
        <v>229</v>
      </c>
    </row>
    <row r="26" spans="3:3">
      <c r="C26" t="s">
        <v>230</v>
      </c>
    </row>
    <row r="28" spans="3:3">
      <c r="C28" t="s">
        <v>231</v>
      </c>
    </row>
    <row r="29" spans="3:3">
      <c r="C29" t="s">
        <v>232</v>
      </c>
    </row>
    <row r="30" spans="3:3">
      <c r="C30" t="s">
        <v>233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1103</TotalTime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6</vt:i4>
      </vt:variant>
    </vt:vector>
  </HeadingPairs>
  <TitlesOfParts>
    <vt:vector size="6" baseType="lpstr">
      <vt:lpstr>Sayfa2</vt:lpstr>
      <vt:lpstr>Sayfa4</vt:lpstr>
      <vt:lpstr>Yasemin</vt:lpstr>
      <vt:lpstr>801</vt:lpstr>
      <vt:lpstr>Sayfa3</vt:lpstr>
      <vt:lpstr>Sayfa1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</dc:creator>
  <dc:description/>
  <cp:lastModifiedBy>m</cp:lastModifiedBy>
  <cp:revision>266</cp:revision>
  <cp:lastPrinted>2024-02-28T10:33:00Z</cp:lastPrinted>
  <dcterms:created xsi:type="dcterms:W3CDTF">2022-03-04T11:30:59Z</dcterms:created>
  <dcterms:modified xsi:type="dcterms:W3CDTF">2024-04-26T07:46:18Z</dcterms:modified>
  <dc:language>tr-TR</dc:language>
</cp:coreProperties>
</file>