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CCE3D43-A3A6-4951-84CB-CC6E616A730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6" i="2" l="1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7" i="2"/>
  <c r="K7" i="2"/>
  <c r="J7" i="2"/>
  <c r="H7" i="2"/>
  <c r="D7" i="2"/>
  <c r="B7" i="2"/>
  <c r="L7" i="2" s="1"/>
  <c r="K8" i="2"/>
  <c r="D8" i="2"/>
  <c r="B8" i="2"/>
  <c r="K9" i="2"/>
  <c r="P29" i="2"/>
  <c r="O52" i="1"/>
  <c r="O29" i="1"/>
  <c r="J34" i="1"/>
  <c r="K34" i="1" s="1"/>
  <c r="O34" i="1" s="1"/>
  <c r="L34" i="1"/>
  <c r="E34" i="1"/>
  <c r="K10" i="2"/>
  <c r="K11" i="2"/>
  <c r="K12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N9" i="3" s="1"/>
  <c r="I9" i="3"/>
  <c r="E9" i="3"/>
  <c r="B7" i="3"/>
  <c r="Y45" i="2"/>
  <c r="W45" i="2"/>
  <c r="S45" i="2"/>
  <c r="Y43" i="2"/>
  <c r="W43" i="2"/>
  <c r="AA39" i="2"/>
  <c r="Y39" i="2"/>
  <c r="W39" i="2"/>
  <c r="P37" i="2"/>
  <c r="L37" i="2"/>
  <c r="P36" i="2"/>
  <c r="H36" i="2"/>
  <c r="L36" i="2" s="1"/>
  <c r="P35" i="2"/>
  <c r="H35" i="2"/>
  <c r="H34" i="2" s="1"/>
  <c r="R34" i="2"/>
  <c r="R33" i="2" s="1"/>
  <c r="P34" i="2"/>
  <c r="J34" i="2"/>
  <c r="J15" i="2" s="1"/>
  <c r="V33" i="2"/>
  <c r="V31" i="2" s="1"/>
  <c r="T33" i="2"/>
  <c r="T31" i="2" s="1"/>
  <c r="P33" i="2"/>
  <c r="J33" i="2"/>
  <c r="J25" i="2" s="1"/>
  <c r="D33" i="2"/>
  <c r="D29" i="2" s="1"/>
  <c r="B33" i="2"/>
  <c r="B29" i="2" s="1"/>
  <c r="X32" i="2"/>
  <c r="P32" i="2"/>
  <c r="X31" i="2"/>
  <c r="P31" i="2"/>
  <c r="X30" i="2"/>
  <c r="P30" i="2"/>
  <c r="X29" i="2"/>
  <c r="X28" i="2"/>
  <c r="X27" i="2"/>
  <c r="X26" i="2"/>
  <c r="K20" i="2"/>
  <c r="K19" i="2"/>
  <c r="K18" i="2"/>
  <c r="K17" i="2"/>
  <c r="K16" i="2"/>
  <c r="K15" i="2"/>
  <c r="D15" i="2"/>
  <c r="B15" i="2"/>
  <c r="K14" i="2"/>
  <c r="K13" i="2"/>
  <c r="K6" i="2"/>
  <c r="H18" i="3" s="1"/>
  <c r="AA2" i="2"/>
  <c r="AA42" i="2" s="1"/>
  <c r="Y2" i="2"/>
  <c r="W2" i="2"/>
  <c r="U2" i="2"/>
  <c r="S2" i="2"/>
  <c r="K2" i="2"/>
  <c r="I2" i="2"/>
  <c r="H15" i="1" s="1"/>
  <c r="J15" i="1" s="1"/>
  <c r="K15" i="1" s="1"/>
  <c r="E2" i="2"/>
  <c r="H24" i="1" s="1"/>
  <c r="J24" i="1" s="1"/>
  <c r="K24" i="1" s="1"/>
  <c r="C2" i="2"/>
  <c r="H25" i="1" s="1"/>
  <c r="G2" i="2"/>
  <c r="A2" i="2"/>
  <c r="L74" i="1"/>
  <c r="J74" i="1"/>
  <c r="K74" i="1" s="1"/>
  <c r="I74" i="1"/>
  <c r="E74" i="1"/>
  <c r="L73" i="1"/>
  <c r="H73" i="1"/>
  <c r="I73" i="1" s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2" i="1"/>
  <c r="J52" i="1"/>
  <c r="K52" i="1" s="1"/>
  <c r="I52" i="1"/>
  <c r="E52" i="1"/>
  <c r="J51" i="1"/>
  <c r="K51" i="1" s="1"/>
  <c r="I51" i="1"/>
  <c r="E51" i="1"/>
  <c r="L50" i="1"/>
  <c r="J50" i="1"/>
  <c r="K50" i="1" s="1"/>
  <c r="I50" i="1"/>
  <c r="E50" i="1"/>
  <c r="L49" i="1"/>
  <c r="J49" i="1"/>
  <c r="K49" i="1" s="1"/>
  <c r="I49" i="1"/>
  <c r="E49" i="1"/>
  <c r="K48" i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2" i="1"/>
  <c r="J32" i="1"/>
  <c r="K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G15" i="1"/>
  <c r="F15" i="1"/>
  <c r="L15" i="1" s="1"/>
  <c r="E15" i="1"/>
  <c r="C3" i="1"/>
  <c r="J8" i="2" l="1"/>
  <c r="B9" i="2"/>
  <c r="P40" i="2"/>
  <c r="J9" i="2"/>
  <c r="V32" i="2"/>
  <c r="D9" i="2"/>
  <c r="D10" i="2"/>
  <c r="J10" i="2"/>
  <c r="B10" i="2"/>
  <c r="T32" i="2"/>
  <c r="M32" i="1"/>
  <c r="N32" i="1" s="1"/>
  <c r="M50" i="1"/>
  <c r="N50" i="1" s="1"/>
  <c r="M66" i="1"/>
  <c r="N66" i="1" s="1"/>
  <c r="M59" i="1"/>
  <c r="N59" i="1" s="1"/>
  <c r="M40" i="1"/>
  <c r="N40" i="1" s="1"/>
  <c r="M63" i="1"/>
  <c r="N63" i="1" s="1"/>
  <c r="M24" i="1"/>
  <c r="N24" i="1" s="1"/>
  <c r="E6" i="1"/>
  <c r="M55" i="1"/>
  <c r="N55" i="1" s="1"/>
  <c r="M34" i="1"/>
  <c r="N34" i="1"/>
  <c r="I34" i="1"/>
  <c r="I6" i="1" s="1"/>
  <c r="N46" i="1"/>
  <c r="M46" i="1"/>
  <c r="J73" i="1"/>
  <c r="K73" i="1" s="1"/>
  <c r="M73" i="1" s="1"/>
  <c r="N73" i="1" s="1"/>
  <c r="M71" i="1"/>
  <c r="N71" i="1" s="1"/>
  <c r="M60" i="1"/>
  <c r="N60" i="1" s="1"/>
  <c r="M52" i="1"/>
  <c r="N52" i="1" s="1"/>
  <c r="M36" i="1"/>
  <c r="N36" i="1" s="1"/>
  <c r="M49" i="1"/>
  <c r="N49" i="1" s="1"/>
  <c r="M57" i="1"/>
  <c r="N57" i="1" s="1"/>
  <c r="M74" i="1"/>
  <c r="N74" i="1" s="1"/>
  <c r="M51" i="1"/>
  <c r="M65" i="1"/>
  <c r="N65" i="1" s="1"/>
  <c r="M47" i="1"/>
  <c r="N47" i="1" s="1"/>
  <c r="E5" i="1"/>
  <c r="M62" i="1"/>
  <c r="N62" i="1" s="1"/>
  <c r="M70" i="1"/>
  <c r="N70" i="1" s="1"/>
  <c r="M72" i="1"/>
  <c r="N72" i="1" s="1"/>
  <c r="M61" i="1"/>
  <c r="N61" i="1" s="1"/>
  <c r="M69" i="1"/>
  <c r="N69" i="1" s="1"/>
  <c r="M38" i="1"/>
  <c r="N38" i="1" s="1"/>
  <c r="M67" i="1"/>
  <c r="N67" i="1" s="1"/>
  <c r="M58" i="1"/>
  <c r="N58" i="1" s="1"/>
  <c r="B11" i="2"/>
  <c r="D11" i="2"/>
  <c r="J11" i="2"/>
  <c r="J32" i="2"/>
  <c r="J6" i="2" s="1"/>
  <c r="D26" i="2"/>
  <c r="D24" i="2"/>
  <c r="J26" i="2"/>
  <c r="B26" i="2"/>
  <c r="D19" i="2"/>
  <c r="J13" i="2"/>
  <c r="V30" i="2"/>
  <c r="D12" i="2"/>
  <c r="B20" i="2"/>
  <c r="B12" i="2"/>
  <c r="D27" i="2"/>
  <c r="D13" i="2"/>
  <c r="J20" i="2"/>
  <c r="J12" i="2"/>
  <c r="B27" i="2"/>
  <c r="J27" i="2"/>
  <c r="J19" i="2"/>
  <c r="B32" i="2"/>
  <c r="B6" i="2" s="1"/>
  <c r="J18" i="2"/>
  <c r="B19" i="2"/>
  <c r="B13" i="2"/>
  <c r="D20" i="2"/>
  <c r="D32" i="2"/>
  <c r="D6" i="2" s="1"/>
  <c r="T29" i="2"/>
  <c r="D16" i="2"/>
  <c r="B23" i="2"/>
  <c r="B30" i="2"/>
  <c r="B22" i="2"/>
  <c r="J22" i="2"/>
  <c r="B16" i="2"/>
  <c r="J16" i="2"/>
  <c r="D23" i="2"/>
  <c r="D30" i="2"/>
  <c r="J29" i="2"/>
  <c r="J23" i="2"/>
  <c r="J30" i="2"/>
  <c r="H19" i="1"/>
  <c r="H20" i="1" s="1"/>
  <c r="I20" i="1" s="1"/>
  <c r="P20" i="1" s="1"/>
  <c r="R20" i="1" s="1"/>
  <c r="H16" i="1"/>
  <c r="J16" i="1" s="1"/>
  <c r="K16" i="1" s="1"/>
  <c r="M16" i="1" s="1"/>
  <c r="N16" i="1" s="1"/>
  <c r="D22" i="2"/>
  <c r="B24" i="2"/>
  <c r="T30" i="2"/>
  <c r="M42" i="1"/>
  <c r="M15" i="1"/>
  <c r="AA45" i="2"/>
  <c r="AA43" i="2"/>
  <c r="N44" i="1"/>
  <c r="M44" i="1"/>
  <c r="M16" i="3"/>
  <c r="J25" i="1"/>
  <c r="K25" i="1" s="1"/>
  <c r="M25" i="1" s="1"/>
  <c r="N25" i="1" s="1"/>
  <c r="I25" i="1"/>
  <c r="R31" i="2"/>
  <c r="R32" i="2"/>
  <c r="R30" i="2"/>
  <c r="J18" i="3"/>
  <c r="K18" i="3" s="1"/>
  <c r="M18" i="3" s="1"/>
  <c r="N18" i="3" s="1"/>
  <c r="I18" i="3"/>
  <c r="I8" i="3" s="1"/>
  <c r="M68" i="1"/>
  <c r="N68" i="1"/>
  <c r="L34" i="2"/>
  <c r="H15" i="2"/>
  <c r="L15" i="2" s="1"/>
  <c r="H33" i="2"/>
  <c r="M56" i="1"/>
  <c r="N56" i="1" s="1"/>
  <c r="N45" i="1"/>
  <c r="M45" i="1"/>
  <c r="M18" i="1"/>
  <c r="N18" i="1" s="1"/>
  <c r="K6" i="1"/>
  <c r="L6" i="1" s="1"/>
  <c r="O32" i="1"/>
  <c r="M31" i="1"/>
  <c r="N31" i="1" s="1"/>
  <c r="N17" i="3"/>
  <c r="L35" i="2"/>
  <c r="B17" i="2"/>
  <c r="B28" i="2"/>
  <c r="I24" i="1"/>
  <c r="D17" i="2"/>
  <c r="J24" i="2"/>
  <c r="D28" i="2"/>
  <c r="B31" i="2"/>
  <c r="D31" i="2"/>
  <c r="J17" i="2"/>
  <c r="I18" i="1"/>
  <c r="P18" i="1" s="1"/>
  <c r="B14" i="2"/>
  <c r="D14" i="2"/>
  <c r="B21" i="2"/>
  <c r="B25" i="2"/>
  <c r="J31" i="2"/>
  <c r="D21" i="2"/>
  <c r="D25" i="2"/>
  <c r="J28" i="2"/>
  <c r="I15" i="1"/>
  <c r="J14" i="2"/>
  <c r="B18" i="2"/>
  <c r="J21" i="2"/>
  <c r="D18" i="2"/>
  <c r="H9" i="2" l="1"/>
  <c r="H8" i="2"/>
  <c r="L8" i="2" s="1"/>
  <c r="L9" i="2"/>
  <c r="H11" i="2"/>
  <c r="L11" i="2" s="1"/>
  <c r="H10" i="2"/>
  <c r="L10" i="2" s="1"/>
  <c r="O74" i="1"/>
  <c r="O16" i="1"/>
  <c r="I19" i="1"/>
  <c r="P19" i="1" s="1"/>
  <c r="R19" i="1" s="1"/>
  <c r="J19" i="1"/>
  <c r="K19" i="1" s="1"/>
  <c r="M19" i="1" s="1"/>
  <c r="N19" i="1" s="1"/>
  <c r="L33" i="2"/>
  <c r="H12" i="2"/>
  <c r="L12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29" i="2"/>
  <c r="L29" i="2" s="1"/>
  <c r="H18" i="2"/>
  <c r="L18" i="2" s="1"/>
  <c r="H31" i="2"/>
  <c r="L31" i="2" s="1"/>
  <c r="H16" i="2"/>
  <c r="L16" i="2" s="1"/>
  <c r="H23" i="2"/>
  <c r="L23" i="2" s="1"/>
  <c r="H22" i="2"/>
  <c r="L22" i="2" s="1"/>
  <c r="H25" i="2"/>
  <c r="L25" i="2" s="1"/>
  <c r="H21" i="2"/>
  <c r="L21" i="2" s="1"/>
  <c r="H32" i="2"/>
  <c r="H14" i="2"/>
  <c r="L14" i="2" s="1"/>
  <c r="H20" i="2"/>
  <c r="L20" i="2" s="1"/>
  <c r="H27" i="2"/>
  <c r="L27" i="2" s="1"/>
  <c r="H17" i="2"/>
  <c r="L17" i="2" s="1"/>
  <c r="H30" i="2"/>
  <c r="L30" i="2" s="1"/>
  <c r="H28" i="2"/>
  <c r="L28" i="2" s="1"/>
  <c r="H19" i="2"/>
  <c r="L19" i="2" s="1"/>
  <c r="H24" i="2"/>
  <c r="L24" i="2" s="1"/>
  <c r="H13" i="2"/>
  <c r="L13" i="2" s="1"/>
  <c r="H26" i="2"/>
  <c r="L26" i="2" s="1"/>
  <c r="N15" i="1"/>
  <c r="N5" i="1" s="1"/>
  <c r="M5" i="1"/>
  <c r="N16" i="3"/>
  <c r="N8" i="3" s="1"/>
  <c r="M8" i="3"/>
  <c r="N42" i="1"/>
  <c r="S43" i="2"/>
  <c r="L8" i="3" l="1"/>
  <c r="K5" i="3"/>
  <c r="B8" i="3" s="1"/>
  <c r="P23" i="1"/>
  <c r="T25" i="1" s="1"/>
  <c r="R21" i="1"/>
  <c r="H22" i="1"/>
  <c r="H23" i="1" s="1"/>
  <c r="I21" i="1"/>
  <c r="H6" i="2"/>
  <c r="L6" i="2" s="1"/>
  <c r="L32" i="2"/>
  <c r="M21" i="1"/>
  <c r="N21" i="1" s="1"/>
  <c r="I22" i="1" l="1"/>
  <c r="R23" i="1"/>
  <c r="P24" i="1"/>
  <c r="P25" i="1" s="1"/>
  <c r="R25" i="1" s="1"/>
  <c r="R26" i="1" s="1"/>
  <c r="J22" i="1"/>
  <c r="K22" i="1" s="1"/>
  <c r="M22" i="1" s="1"/>
  <c r="N22" i="1" s="1"/>
  <c r="I23" i="1"/>
  <c r="J23" i="1"/>
  <c r="K23" i="1" s="1"/>
  <c r="I5" i="1" l="1"/>
  <c r="R28" i="1"/>
  <c r="M23" i="1"/>
  <c r="N23" i="1" s="1"/>
  <c r="K5" i="1"/>
  <c r="O25" i="1"/>
  <c r="O11" i="1" s="1"/>
  <c r="L5" i="1" l="1"/>
  <c r="K2" i="1"/>
  <c r="D3" i="1" l="1"/>
  <c r="M2" i="2" s="1"/>
  <c r="N2" i="2"/>
  <c r="I7" i="3" l="1"/>
  <c r="L7" i="3"/>
  <c r="E7" i="3"/>
</calcChain>
</file>

<file path=xl/sharedStrings.xml><?xml version="1.0" encoding="utf-8"?>
<sst xmlns="http://schemas.openxmlformats.org/spreadsheetml/2006/main" count="452" uniqueCount="231">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</sst>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2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  <xf numFmtId="4" fontId="0" fillId="16" borderId="0" xfId="0" applyNumberFormat="1" applyFill="1" applyBorder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582180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45387</v>
      </c>
      <c r="K2" s="14">
        <f>SUM(K5:K6)</f>
        <v>244587.02162700001</v>
      </c>
    </row>
    <row r="3" spans="1:15">
      <c r="B3" s="2">
        <v>43803</v>
      </c>
      <c r="C3" s="3">
        <f>B2-B3</f>
        <v>1584</v>
      </c>
      <c r="D3" s="3">
        <f>K2/C3</f>
        <v>154.41099850189394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516635.81332000002</v>
      </c>
      <c r="J5" s="27"/>
      <c r="K5" s="25">
        <f>SUBTOTAL(109,K10:K26)</f>
        <v>226086.84424000001</v>
      </c>
      <c r="L5" s="30">
        <f>K5/E5</f>
        <v>0.81004916752571232</v>
      </c>
      <c r="M5" s="31">
        <f>SUBTOTAL(101,M10:M16)</f>
        <v>-0.20201827846173664</v>
      </c>
      <c r="N5" s="31">
        <f>SUBTOTAL(101,N10:N16)</f>
        <v>-0.14901630476292854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226086.84423999998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45387</v>
      </c>
      <c r="G15" s="64">
        <f>Tablo2[[#This Row],[adet]]</f>
        <v>75000</v>
      </c>
      <c r="H15" s="65">
        <f>Sayfa4!I2</f>
        <v>0.82424600000000003</v>
      </c>
      <c r="I15" s="51">
        <f>Sayfa2!$H15*Sayfa2!$G15</f>
        <v>61818.450000000004</v>
      </c>
      <c r="J15" s="46">
        <f>H15-D15</f>
        <v>-0.24018899999999999</v>
      </c>
      <c r="K15" s="66">
        <f>Sayfa2!$J15*Sayfa2!$C15</f>
        <v>-18014.174999999999</v>
      </c>
      <c r="L15" s="67">
        <f>F15-B15</f>
        <v>39</v>
      </c>
      <c r="M15" s="68">
        <f>K15/E15</f>
        <v>-0.22564928811998852</v>
      </c>
      <c r="N15" s="68">
        <f>M15/L15*30</f>
        <v>-0.17357637547691426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45387</v>
      </c>
      <c r="G16" s="64">
        <f>Tablo2[[#This Row],[adet]]</f>
        <v>50000</v>
      </c>
      <c r="H16" s="65">
        <f>H15</f>
        <v>0.82424600000000003</v>
      </c>
      <c r="I16" s="51">
        <f>Sayfa2!$H16*Sayfa2!$G16</f>
        <v>41212.300000000003</v>
      </c>
      <c r="J16" s="46">
        <f>H16-D16</f>
        <v>-0.17895899999999987</v>
      </c>
      <c r="K16" s="66">
        <f>Sayfa2!$J16*Sayfa2!$C16</f>
        <v>-8947.9499999999935</v>
      </c>
      <c r="L16" s="67">
        <f>F16-B16</f>
        <v>43</v>
      </c>
      <c r="M16" s="68">
        <f>K16/E16</f>
        <v>-0.17838726880348474</v>
      </c>
      <c r="N16" s="68">
        <f>M16/L16*30</f>
        <v>-0.12445623404894283</v>
      </c>
      <c r="O16" s="70">
        <f>SUM(K13:K16)</f>
        <v>-26962.124999999993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2">
        <f>Sayfa2!$D18*Sayfa2!$C18</f>
        <v>82193.850000000006</v>
      </c>
      <c r="F18" s="63">
        <f t="shared" ref="F18:F25" si="0">$B$2</f>
        <v>45387</v>
      </c>
      <c r="G18" s="64">
        <v>50</v>
      </c>
      <c r="H18" s="65">
        <f>Sayfa4!G6</f>
        <v>2289.27</v>
      </c>
      <c r="I18" s="51">
        <f>Sayfa2!$H18*Sayfa2!$G18</f>
        <v>114463.5</v>
      </c>
      <c r="J18" s="46">
        <f t="shared" ref="J18:J25" si="1">H18-D18</f>
        <v>462.74</v>
      </c>
      <c r="K18" s="66">
        <f>Sayfa2!$J18*Sayfa2!$C18</f>
        <v>20823.3</v>
      </c>
      <c r="L18" s="67">
        <f t="shared" ref="L18:L25" si="2">F18-B18</f>
        <v>168</v>
      </c>
      <c r="M18" s="68">
        <f t="shared" ref="M18:M25" si="3">K18/E18</f>
        <v>0.2533437720705381</v>
      </c>
      <c r="N18" s="68">
        <f t="shared" ref="N18:N25" si="4">M18/L18*30</f>
        <v>4.523995929831038E-2</v>
      </c>
      <c r="O18" s="69"/>
      <c r="P18" s="6">
        <f>Tablo2[[#This Row],[Tutar3]]</f>
        <v>114463.5</v>
      </c>
      <c r="Q18" s="1">
        <v>2000</v>
      </c>
      <c r="R18" s="1">
        <f>P18/Q18</f>
        <v>57.231749999999998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45387</v>
      </c>
      <c r="G19" s="64">
        <v>11</v>
      </c>
      <c r="H19" s="65">
        <f>H18</f>
        <v>2289.27</v>
      </c>
      <c r="I19" s="51">
        <f>Sayfa2!$H19*Sayfa2!$G19</f>
        <v>25181.97</v>
      </c>
      <c r="J19" s="46">
        <f t="shared" si="1"/>
        <v>1887.17</v>
      </c>
      <c r="K19" s="66">
        <f>Sayfa2!$J19*Sayfa2!$C19</f>
        <v>20758.870000000003</v>
      </c>
      <c r="L19" s="67">
        <f t="shared" si="2"/>
        <v>1143</v>
      </c>
      <c r="M19" s="68">
        <f t="shared" si="3"/>
        <v>4.6932852524247703</v>
      </c>
      <c r="N19" s="68">
        <f t="shared" si="4"/>
        <v>0.12318333995865538</v>
      </c>
      <c r="O19" s="69"/>
      <c r="P19" s="6">
        <f>Tablo2[[#This Row],[Tutar3]]</f>
        <v>25181.97</v>
      </c>
      <c r="Q19" s="1">
        <v>2000</v>
      </c>
      <c r="R19" s="1">
        <f>P19/Q19</f>
        <v>12.590985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45387</v>
      </c>
      <c r="G20" s="64">
        <v>50</v>
      </c>
      <c r="H20" s="65">
        <f>H19</f>
        <v>2289.27</v>
      </c>
      <c r="I20" s="51">
        <f>Sayfa2!$H20*Sayfa2!$G20</f>
        <v>114463.5</v>
      </c>
      <c r="J20" s="46">
        <f t="shared" si="1"/>
        <v>1820.4099999999999</v>
      </c>
      <c r="K20" s="66">
        <f>Sayfa2!$J20*Sayfa2!$C20</f>
        <v>91020.5</v>
      </c>
      <c r="L20" s="67">
        <f t="shared" si="2"/>
        <v>1303</v>
      </c>
      <c r="M20" s="68">
        <f t="shared" si="3"/>
        <v>3.8826302094441836</v>
      </c>
      <c r="N20" s="68">
        <f t="shared" si="4"/>
        <v>8.939286744691137E-2</v>
      </c>
      <c r="O20" s="69"/>
      <c r="P20" s="6">
        <f>Tablo2[[#This Row],[Tutar3]]</f>
        <v>114463.5</v>
      </c>
      <c r="Q20" s="1">
        <v>2000</v>
      </c>
      <c r="R20" s="1">
        <f>P20/Q20</f>
        <v>57.231749999999998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45387</v>
      </c>
      <c r="G21" s="64">
        <f>Tablo2[[#This Row],[adet]]</f>
        <v>25</v>
      </c>
      <c r="H21" s="65">
        <f>H20</f>
        <v>2289.27</v>
      </c>
      <c r="I21" s="51">
        <f>Sayfa2!$H21*Sayfa2!$G21</f>
        <v>57231.75</v>
      </c>
      <c r="J21" s="46">
        <f t="shared" si="1"/>
        <v>1889.4</v>
      </c>
      <c r="K21" s="66">
        <f>Sayfa2!$J21*Sayfa2!$C21</f>
        <v>47235</v>
      </c>
      <c r="L21" s="67">
        <f t="shared" si="2"/>
        <v>1367</v>
      </c>
      <c r="M21" s="68">
        <f t="shared" si="3"/>
        <v>4.7250356365818895</v>
      </c>
      <c r="N21" s="68">
        <f t="shared" si="4"/>
        <v>0.10369500299740796</v>
      </c>
      <c r="O21" s="69"/>
      <c r="R21" s="1">
        <f>SUM(R18:R20)</f>
        <v>127.054485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45387</v>
      </c>
      <c r="G22" s="64">
        <f>Tablo2[[#This Row],[adet]]</f>
        <v>24</v>
      </c>
      <c r="H22" s="65">
        <f>H21</f>
        <v>2289.27</v>
      </c>
      <c r="I22" s="51">
        <f>Sayfa2!$H22*Sayfa2!$G22</f>
        <v>54942.479999999996</v>
      </c>
      <c r="J22" s="46">
        <f t="shared" si="1"/>
        <v>2015.46</v>
      </c>
      <c r="K22" s="66">
        <f>Sayfa2!$J22*Sayfa2!$C22</f>
        <v>48371.040000000001</v>
      </c>
      <c r="L22" s="67">
        <f t="shared" si="2"/>
        <v>1584</v>
      </c>
      <c r="M22" s="68">
        <f t="shared" si="3"/>
        <v>7.3607976333954195</v>
      </c>
      <c r="N22" s="68">
        <f t="shared" si="4"/>
        <v>0.13940904608703447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45387</v>
      </c>
      <c r="G23" s="64">
        <f>Tablo2[[#This Row],[adet]]</f>
        <v>1</v>
      </c>
      <c r="H23" s="65">
        <f>H22</f>
        <v>2289.27</v>
      </c>
      <c r="I23" s="51">
        <f>Sayfa2!$H23*Sayfa2!$G23</f>
        <v>2289.27</v>
      </c>
      <c r="J23" s="46">
        <f t="shared" si="1"/>
        <v>2051.6799999999998</v>
      </c>
      <c r="K23" s="66">
        <f>Sayfa2!$J23*Sayfa2!$C23</f>
        <v>2051.6799999999998</v>
      </c>
      <c r="L23" s="67">
        <f t="shared" si="2"/>
        <v>1584</v>
      </c>
      <c r="M23" s="68">
        <f t="shared" si="3"/>
        <v>8.6353802769476822</v>
      </c>
      <c r="N23" s="68">
        <f t="shared" si="4"/>
        <v>0.16354886888158487</v>
      </c>
      <c r="O23" s="69"/>
      <c r="P23" s="6">
        <f>SUM(P18:P22)</f>
        <v>254108.97</v>
      </c>
      <c r="R23" s="1">
        <f>P23/2220.32</f>
        <v>114.44700313468329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45387</v>
      </c>
      <c r="G24" s="64">
        <f>Tablo2[[#This Row],[adet]]</f>
        <v>298.8</v>
      </c>
      <c r="H24" s="65">
        <f>Sayfa4!E2</f>
        <v>34.038899999999998</v>
      </c>
      <c r="I24" s="51">
        <f>Sayfa2!$H24*Sayfa2!$G24</f>
        <v>10170.82332</v>
      </c>
      <c r="J24" s="46">
        <f t="shared" si="1"/>
        <v>15.317299999999999</v>
      </c>
      <c r="K24" s="66">
        <f>Sayfa2!$J24*Sayfa2!$C24</f>
        <v>4576.8092399999996</v>
      </c>
      <c r="L24" s="67">
        <f t="shared" si="2"/>
        <v>603</v>
      </c>
      <c r="M24" s="68">
        <f t="shared" si="3"/>
        <v>0.81816190923852661</v>
      </c>
      <c r="N24" s="68">
        <f t="shared" si="4"/>
        <v>4.0704572598931676E-2</v>
      </c>
      <c r="O24" s="69"/>
      <c r="P24" s="1">
        <f>P23*Q24</f>
        <v>25410.897000000001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45387</v>
      </c>
      <c r="G25" s="64">
        <f>Tablo2[[#This Row],[adet]]</f>
        <v>1110</v>
      </c>
      <c r="H25" s="65">
        <f>Sayfa4!C2</f>
        <v>31.407</v>
      </c>
      <c r="I25" s="51">
        <f>Sayfa2!$H25*Sayfa2!$G25</f>
        <v>34861.769999999997</v>
      </c>
      <c r="J25" s="46">
        <f t="shared" si="1"/>
        <v>16.407</v>
      </c>
      <c r="K25" s="66">
        <f>Sayfa2!$J25*Sayfa2!$C25</f>
        <v>18211.77</v>
      </c>
      <c r="L25" s="67">
        <f t="shared" si="2"/>
        <v>613</v>
      </c>
      <c r="M25" s="68">
        <f t="shared" si="3"/>
        <v>1.0938000000000001</v>
      </c>
      <c r="N25" s="68">
        <f t="shared" si="4"/>
        <v>5.353017944535074E-2</v>
      </c>
      <c r="O25" s="70">
        <f>SUM(K18:K25)</f>
        <v>253048.96923999998</v>
      </c>
      <c r="P25" s="6">
        <f>SUM(P23:P24)</f>
        <v>279519.86700000003</v>
      </c>
      <c r="R25" s="1">
        <f>P25/2000</f>
        <v>139.75993350000002</v>
      </c>
      <c r="T25" s="1">
        <f>P23/T24</f>
        <v>110.48216086956522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-0.22117600000000026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310311.77554872003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SUM(O31:O75)</f>
        <v>18500.177387000014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024">
      <c r="A33" s="41"/>
      <c r="O33" s="69"/>
    </row>
    <row r="34" spans="1:1024">
      <c r="A34" s="61" t="s">
        <v>24</v>
      </c>
      <c r="B34" s="79">
        <v>45219</v>
      </c>
      <c r="C34" s="46">
        <v>5</v>
      </c>
      <c r="D34" s="47">
        <v>1826.53</v>
      </c>
      <c r="E34" s="62">
        <f>Sayfa2!$D34*Sayfa2!$C34</f>
        <v>9132.65</v>
      </c>
      <c r="F34" s="63">
        <v>45384</v>
      </c>
      <c r="G34" s="64">
        <v>5</v>
      </c>
      <c r="H34" s="65">
        <v>2282.83</v>
      </c>
      <c r="I34" s="51">
        <f>Sayfa2!$H34*Sayfa2!$G34</f>
        <v>11414.15</v>
      </c>
      <c r="J34" s="46">
        <f t="shared" ref="J34" si="5">H34-D34</f>
        <v>456.29999999999995</v>
      </c>
      <c r="K34" s="66">
        <f>Sayfa2!$J34*Sayfa2!$C34</f>
        <v>2281.5</v>
      </c>
      <c r="L34" s="67">
        <f t="shared" ref="L34" si="6">F34-B34</f>
        <v>165</v>
      </c>
      <c r="M34" s="86">
        <f t="shared" ref="M34" si="7">K34/E34</f>
        <v>0.24981796083283606</v>
      </c>
      <c r="N34" s="86">
        <f t="shared" ref="N34" si="8">M34/L34*30</f>
        <v>4.5421447424152009E-2</v>
      </c>
      <c r="O34" s="201">
        <f>Tablo2[[#This Row],[Tutar2]]</f>
        <v>2281.5</v>
      </c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</row>
    <row r="35" spans="1:1024">
      <c r="A35" s="41"/>
      <c r="O35" s="69"/>
    </row>
    <row r="36" spans="1:1024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3">
        <v>45370</v>
      </c>
      <c r="G36" s="64">
        <v>68</v>
      </c>
      <c r="H36" s="65">
        <v>19.690000000000001</v>
      </c>
      <c r="I36" s="51">
        <f>Sayfa2!$H36*Sayfa2!$G36</f>
        <v>1338.92</v>
      </c>
      <c r="J36" s="46">
        <f>H36-D36</f>
        <v>8.3600000000000012</v>
      </c>
      <c r="K36" s="66">
        <f>Sayfa2!$J36*Sayfa2!$C36</f>
        <v>568.48000000000013</v>
      </c>
      <c r="L36" s="67">
        <f>F36-B36</f>
        <v>20</v>
      </c>
      <c r="M36" s="68">
        <f>K36/E36</f>
        <v>0.73786407766990303</v>
      </c>
      <c r="N36" s="68">
        <f>M36/L36*30</f>
        <v>1.1067961165048545</v>
      </c>
      <c r="O36" s="69"/>
    </row>
    <row r="37" spans="1:1024">
      <c r="A37" s="41" t="s">
        <v>30</v>
      </c>
      <c r="C37" s="46"/>
      <c r="D37" s="47"/>
      <c r="E37" s="56"/>
      <c r="F37" s="63"/>
      <c r="G37" s="64"/>
      <c r="H37" s="65"/>
      <c r="I37" s="51"/>
      <c r="J37" s="46"/>
      <c r="K37" s="66">
        <v>-2.81</v>
      </c>
      <c r="L37" s="67"/>
      <c r="M37" s="68"/>
      <c r="N37" s="68"/>
      <c r="O37" s="69"/>
    </row>
    <row r="38" spans="1:1024">
      <c r="A38" s="10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105">
        <v>45362</v>
      </c>
      <c r="G38" s="106">
        <v>15</v>
      </c>
      <c r="H38" s="10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108">
        <f>F38-B38</f>
        <v>18</v>
      </c>
      <c r="M38" s="109">
        <f>K38/E38</f>
        <v>0.41692150866462785</v>
      </c>
      <c r="N38" s="109">
        <f>M38/L38*30</f>
        <v>0.69486918110771312</v>
      </c>
      <c r="O38" s="110"/>
    </row>
    <row r="39" spans="1:1024">
      <c r="A39" s="104" t="s">
        <v>32</v>
      </c>
      <c r="B39" s="48"/>
      <c r="C39" s="46"/>
      <c r="D39" s="47"/>
      <c r="E39" s="56"/>
      <c r="F39" s="105"/>
      <c r="G39" s="106"/>
      <c r="H39" s="107"/>
      <c r="I39" s="51"/>
      <c r="J39" s="46"/>
      <c r="K39" s="56">
        <v>-1.75</v>
      </c>
      <c r="L39" s="108"/>
      <c r="M39" s="111"/>
      <c r="N39" s="109"/>
      <c r="O39" s="110"/>
    </row>
    <row r="40" spans="1:1024">
      <c r="A40" s="10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105">
        <v>45364</v>
      </c>
      <c r="G40" s="106">
        <v>12</v>
      </c>
      <c r="H40" s="10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108">
        <f>F40-B40</f>
        <v>20</v>
      </c>
      <c r="M40" s="109">
        <f>K40/E40</f>
        <v>1.3506426735218511</v>
      </c>
      <c r="N40" s="109">
        <f>M40/L40*30</f>
        <v>2.0259640102827765</v>
      </c>
      <c r="O40" s="69"/>
    </row>
    <row r="41" spans="1:1024">
      <c r="A41" s="104" t="s">
        <v>34</v>
      </c>
      <c r="B41" s="48"/>
      <c r="C41" s="46"/>
      <c r="D41" s="47"/>
      <c r="E41" s="56"/>
      <c r="F41" s="105"/>
      <c r="G41" s="106"/>
      <c r="H41" s="107"/>
      <c r="I41" s="51"/>
      <c r="J41" s="46"/>
      <c r="K41" s="56">
        <v>-1.1599999999999999</v>
      </c>
      <c r="L41" s="108"/>
      <c r="M41" s="111"/>
      <c r="N41" s="109"/>
      <c r="O41" s="69"/>
    </row>
    <row r="42" spans="1:1024">
      <c r="A42" s="41" t="s">
        <v>35</v>
      </c>
      <c r="B42" s="2">
        <v>45341</v>
      </c>
      <c r="C42" s="46">
        <v>36</v>
      </c>
      <c r="D42" s="47">
        <v>16.2</v>
      </c>
      <c r="E42" s="62">
        <f>Sayfa2!$D42*Sayfa2!$C42</f>
        <v>583.19999999999993</v>
      </c>
      <c r="F42" s="2">
        <v>45356</v>
      </c>
      <c r="G42" s="49">
        <v>36</v>
      </c>
      <c r="H42" s="103">
        <v>38</v>
      </c>
      <c r="I42" s="51">
        <f>Sayfa2!$H42*Sayfa2!$G42</f>
        <v>1368</v>
      </c>
      <c r="J42" s="46">
        <f>H42-D42</f>
        <v>21.8</v>
      </c>
      <c r="K42" s="112">
        <f>Sayfa2!$J42*Sayfa2!$C42</f>
        <v>784.80000000000007</v>
      </c>
      <c r="L42" s="67">
        <f>F42-B42</f>
        <v>15</v>
      </c>
      <c r="M42" s="68">
        <f>K42/E42</f>
        <v>1.3456790123456792</v>
      </c>
      <c r="N42" s="68">
        <f>M42/L42*30</f>
        <v>2.6913580246913584</v>
      </c>
      <c r="O42" s="113"/>
    </row>
    <row r="43" spans="1:1024">
      <c r="A43" s="41" t="s">
        <v>36</v>
      </c>
      <c r="C43" s="46"/>
      <c r="D43" s="47"/>
      <c r="E43" s="62"/>
      <c r="G43" s="49"/>
      <c r="H43" s="103"/>
      <c r="I43" s="51"/>
      <c r="J43" s="46"/>
      <c r="K43" s="112">
        <v>-2.88</v>
      </c>
      <c r="L43" s="67"/>
      <c r="M43" s="68"/>
      <c r="N43" s="68"/>
      <c r="O43" s="113"/>
    </row>
    <row r="44" spans="1:1024">
      <c r="A44" s="41" t="s">
        <v>37</v>
      </c>
      <c r="B44" s="2">
        <v>45222</v>
      </c>
      <c r="C44" s="3">
        <v>9</v>
      </c>
      <c r="D44" s="1">
        <v>130</v>
      </c>
      <c r="E44" s="62">
        <f>Sayfa2!$D44*Sayfa2!$C44</f>
        <v>1170</v>
      </c>
      <c r="F44" s="114">
        <v>45334</v>
      </c>
      <c r="G44" s="46">
        <v>9</v>
      </c>
      <c r="H44" s="115">
        <v>145.5</v>
      </c>
      <c r="I44" s="51">
        <f>Sayfa2!$H44*Sayfa2!$G44</f>
        <v>1309.5</v>
      </c>
      <c r="J44" s="116">
        <f>H44-D44</f>
        <v>15.5</v>
      </c>
      <c r="K44" s="66">
        <f>Sayfa2!$J44*Sayfa2!$G44</f>
        <v>139.5</v>
      </c>
      <c r="L44" s="67">
        <f>F44-B44</f>
        <v>112</v>
      </c>
      <c r="M44" s="68">
        <f>K44/E44</f>
        <v>0.11923076923076924</v>
      </c>
      <c r="N44" s="68">
        <f>K44/E44</f>
        <v>0.11923076923076924</v>
      </c>
      <c r="O44" s="113"/>
    </row>
    <row r="45" spans="1:1024">
      <c r="A45" s="41" t="s">
        <v>37</v>
      </c>
      <c r="B45" s="2">
        <v>45271</v>
      </c>
      <c r="C45" s="3">
        <v>10</v>
      </c>
      <c r="D45" s="1">
        <v>144.001</v>
      </c>
      <c r="E45" s="62">
        <f>Sayfa2!$D45*Sayfa2!$C45</f>
        <v>1440.01</v>
      </c>
      <c r="F45" s="114">
        <v>45334</v>
      </c>
      <c r="G45" s="46">
        <v>10</v>
      </c>
      <c r="H45" s="115">
        <v>145.5</v>
      </c>
      <c r="I45" s="51">
        <f>Sayfa2!$H45*Sayfa2!$G45</f>
        <v>1455</v>
      </c>
      <c r="J45" s="116">
        <f>H45-D45</f>
        <v>1.4989999999999952</v>
      </c>
      <c r="K45" s="66">
        <f>Sayfa2!$J45*Sayfa2!$G45</f>
        <v>14.989999999999952</v>
      </c>
      <c r="L45" s="67">
        <f>F45-B45</f>
        <v>63</v>
      </c>
      <c r="M45" s="68">
        <f>K45/E45</f>
        <v>1.0409649932986544E-2</v>
      </c>
      <c r="N45" s="68">
        <f>K45/E45</f>
        <v>1.0409649932986544E-2</v>
      </c>
      <c r="O45" s="113"/>
    </row>
    <row r="46" spans="1:1024">
      <c r="A46" s="41" t="s">
        <v>37</v>
      </c>
      <c r="B46" s="2">
        <v>45288</v>
      </c>
      <c r="C46" s="3">
        <v>20</v>
      </c>
      <c r="D46" s="1">
        <v>115.34</v>
      </c>
      <c r="E46" s="62">
        <f>Sayfa2!$D46*Sayfa2!$C46</f>
        <v>2306.8000000000002</v>
      </c>
      <c r="F46" s="114">
        <v>45334</v>
      </c>
      <c r="G46" s="46">
        <v>20</v>
      </c>
      <c r="H46" s="115">
        <v>145.5</v>
      </c>
      <c r="I46" s="51">
        <f>Sayfa2!$H46*Sayfa2!$G46</f>
        <v>2910</v>
      </c>
      <c r="J46" s="116">
        <f>H46-D46</f>
        <v>30.159999999999997</v>
      </c>
      <c r="K46" s="66">
        <f>Sayfa2!$J46*Sayfa2!$G46</f>
        <v>603.19999999999993</v>
      </c>
      <c r="L46" s="67">
        <f>F46-B46</f>
        <v>46</v>
      </c>
      <c r="M46" s="68">
        <f>K46/E46</f>
        <v>0.26148777527310557</v>
      </c>
      <c r="N46" s="68">
        <f>K46/E46</f>
        <v>0.26148777527310557</v>
      </c>
      <c r="O46" s="113"/>
    </row>
    <row r="47" spans="1:1024">
      <c r="A47" s="41" t="s">
        <v>38</v>
      </c>
      <c r="B47" s="2">
        <v>45335</v>
      </c>
      <c r="C47" s="3">
        <v>313</v>
      </c>
      <c r="D47" s="3">
        <v>190.8</v>
      </c>
      <c r="E47" s="62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6">
        <f>Sayfa2!$J47*Sayfa2!$G47</f>
        <v>3912.5</v>
      </c>
      <c r="L47" s="67">
        <f>F47-B47</f>
        <v>2</v>
      </c>
      <c r="M47" s="68">
        <f>K47/E47</f>
        <v>6.5513626834381555E-2</v>
      </c>
      <c r="N47" s="68">
        <f>M47/L47*30</f>
        <v>0.98270440251572333</v>
      </c>
      <c r="O47" s="113"/>
    </row>
    <row r="48" spans="1:1024">
      <c r="A48" s="41" t="s">
        <v>39</v>
      </c>
      <c r="E48" s="62">
        <f>Sayfa2!$D48*Sayfa2!$C48</f>
        <v>0</v>
      </c>
      <c r="F48" s="48"/>
      <c r="I48" s="51">
        <f>Sayfa2!$H48*Sayfa2!$G48</f>
        <v>0</v>
      </c>
      <c r="J48" s="3">
        <v>-133.63</v>
      </c>
      <c r="K48" s="66">
        <f>Sayfa2!$J48*Sayfa2!$G48</f>
        <v>0</v>
      </c>
      <c r="M48" s="68"/>
      <c r="N48" s="68"/>
      <c r="O48" s="11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2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6">
        <f>Sayfa2!$J49*Sayfa2!$G49</f>
        <v>28.200000000000003</v>
      </c>
      <c r="L49" s="67">
        <f>F49-B49</f>
        <v>60</v>
      </c>
      <c r="M49" s="68">
        <f>K49/E49</f>
        <v>5.7340382269215132E-2</v>
      </c>
      <c r="N49" s="68">
        <f>M49/L49*30</f>
        <v>2.8670191134607566E-2</v>
      </c>
      <c r="O49" s="11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2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6">
        <f>Sayfa2!$J50*Sayfa2!$G50</f>
        <v>172.9</v>
      </c>
      <c r="L50" s="117">
        <f>F50-B50</f>
        <v>46</v>
      </c>
      <c r="M50" s="68">
        <f>K50/E50</f>
        <v>0.46996466431095402</v>
      </c>
      <c r="N50" s="68">
        <f>M50/L50*30</f>
        <v>0.30649869411583958</v>
      </c>
      <c r="O50" s="113"/>
      <c r="P50" s="3"/>
    </row>
    <row r="51" spans="1:16">
      <c r="A51" s="118" t="s">
        <v>42</v>
      </c>
      <c r="B51" s="119">
        <v>45273</v>
      </c>
      <c r="C51" s="120">
        <v>26</v>
      </c>
      <c r="D51" s="121">
        <v>55.08</v>
      </c>
      <c r="E51" s="62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16">
        <f>H51-D51</f>
        <v>-3.6799999999999997</v>
      </c>
      <c r="K51" s="66">
        <f>Sayfa2!$J51*Sayfa2!$G51</f>
        <v>-95.679999999999993</v>
      </c>
      <c r="L51" s="55"/>
      <c r="M51" s="68">
        <f>K51/E51</f>
        <v>-6.6811909949164847E-2</v>
      </c>
      <c r="N51" s="68"/>
      <c r="O51" s="11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2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16">
        <f>H52-D52</f>
        <v>11.899999999999999</v>
      </c>
      <c r="K52" s="66">
        <f>Sayfa2!$J52*Sayfa2!$G52</f>
        <v>1189.9999999999998</v>
      </c>
      <c r="L52" s="117">
        <f>F52-B52</f>
        <v>25</v>
      </c>
      <c r="M52" s="68">
        <f>K52/E52</f>
        <v>0.30126582278481007</v>
      </c>
      <c r="N52" s="68">
        <f>M52/L52*30</f>
        <v>0.36151898734177207</v>
      </c>
      <c r="O52" s="70">
        <f>SUM(K36:K52)</f>
        <v>7870.9299999999994</v>
      </c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/>
      <c r="E54" s="62"/>
      <c r="G54" s="46"/>
      <c r="H54" s="1"/>
      <c r="I54" s="51"/>
      <c r="J54" s="116"/>
      <c r="K54" s="66"/>
      <c r="L54" s="117"/>
      <c r="M54" s="122"/>
      <c r="N54" s="68"/>
      <c r="O54" s="11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2">
        <f>Sayfa2!$D55*Sayfa2!$C55</f>
        <v>6853.2627360000006</v>
      </c>
      <c r="F55" s="2">
        <v>45357</v>
      </c>
      <c r="G55" s="49">
        <v>12</v>
      </c>
      <c r="H55" s="103">
        <v>580.05924800000003</v>
      </c>
      <c r="I55" s="51">
        <f>Sayfa2!$H55*Sayfa2!$G55</f>
        <v>6960.7109760000003</v>
      </c>
      <c r="J55" s="46">
        <f t="shared" ref="J55:J73" si="9">H55-D55</f>
        <v>8.9540200000000141</v>
      </c>
      <c r="K55" s="66">
        <f>Sayfa2!$J55*Sayfa2!$C55</f>
        <v>107.44824000000017</v>
      </c>
      <c r="L55" s="67">
        <f t="shared" ref="L55:L73" si="10">F55-B55</f>
        <v>13</v>
      </c>
      <c r="M55" s="68">
        <f t="shared" ref="M55:M74" si="11">K55/E55</f>
        <v>1.5678406642076849E-2</v>
      </c>
      <c r="N55" s="68">
        <f t="shared" ref="N55:N67" si="12">M55/L55*30</f>
        <v>3.618093840479273E-2</v>
      </c>
      <c r="O55" s="11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2">
        <f>Sayfa2!$D56*Sayfa2!$C56</f>
        <v>12564.315016</v>
      </c>
      <c r="F56" s="2">
        <v>45357</v>
      </c>
      <c r="G56" s="49">
        <v>10</v>
      </c>
      <c r="H56" s="103">
        <v>580.05924800000003</v>
      </c>
      <c r="I56" s="51">
        <f>Sayfa2!$H56*Sayfa2!$G56</f>
        <v>5800.5924800000003</v>
      </c>
      <c r="J56" s="46">
        <f t="shared" si="9"/>
        <v>8.9540200000000141</v>
      </c>
      <c r="K56" s="66">
        <f>Sayfa2!$J56*Sayfa2!$C56</f>
        <v>196.98844000000031</v>
      </c>
      <c r="L56" s="67">
        <f t="shared" si="10"/>
        <v>13</v>
      </c>
      <c r="M56" s="68">
        <f t="shared" si="11"/>
        <v>1.5678406642076849E-2</v>
      </c>
      <c r="N56" s="68">
        <f t="shared" si="12"/>
        <v>3.618093840479273E-2</v>
      </c>
      <c r="O56" s="11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2">
        <f>Sayfa2!$D57*Sayfa2!$C57</f>
        <v>6282.1575080000002</v>
      </c>
      <c r="F57" s="2">
        <v>45356</v>
      </c>
      <c r="G57" s="49">
        <v>11</v>
      </c>
      <c r="H57" s="103">
        <v>580.05924800000003</v>
      </c>
      <c r="I57" s="51">
        <f>Sayfa2!$H57*Sayfa2!$G57</f>
        <v>6380.6517280000007</v>
      </c>
      <c r="J57" s="46">
        <f t="shared" si="9"/>
        <v>8.9540200000000141</v>
      </c>
      <c r="K57" s="66">
        <f>Sayfa2!$J57*Sayfa2!$C57</f>
        <v>98.494220000000155</v>
      </c>
      <c r="L57" s="67">
        <f t="shared" si="10"/>
        <v>12</v>
      </c>
      <c r="M57" s="68">
        <f t="shared" si="11"/>
        <v>1.5678406642076849E-2</v>
      </c>
      <c r="N57" s="68">
        <f t="shared" si="12"/>
        <v>3.9196016605192119E-2</v>
      </c>
      <c r="O57" s="11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2">
        <f>Sayfa2!$D58*Sayfa2!$C58</f>
        <v>34719.636180000001</v>
      </c>
      <c r="F58" s="2">
        <v>45356</v>
      </c>
      <c r="G58" s="49">
        <v>60</v>
      </c>
      <c r="H58" s="103">
        <v>580.05924800000003</v>
      </c>
      <c r="I58" s="51">
        <f>Sayfa2!$H58*Sayfa2!$G58</f>
        <v>34803.554880000003</v>
      </c>
      <c r="J58" s="46">
        <f t="shared" si="9"/>
        <v>1.3986449999999877</v>
      </c>
      <c r="K58" s="66">
        <f>Sayfa2!$J58*Sayfa2!$C58</f>
        <v>83.918699999999262</v>
      </c>
      <c r="L58" s="67">
        <f t="shared" si="10"/>
        <v>1</v>
      </c>
      <c r="M58" s="68">
        <f t="shared" si="11"/>
        <v>2.4170385762377323E-3</v>
      </c>
      <c r="N58" s="68">
        <f t="shared" si="12"/>
        <v>7.2511157287131964E-2</v>
      </c>
      <c r="O58" s="11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2">
        <f>Sayfa2!$D59*Sayfa2!$C59</f>
        <v>13805.168496000002</v>
      </c>
      <c r="F59" s="2">
        <v>45356</v>
      </c>
      <c r="G59" s="49">
        <v>24</v>
      </c>
      <c r="H59" s="103">
        <v>580.05924800000003</v>
      </c>
      <c r="I59" s="51">
        <f>Sayfa2!$H59*Sayfa2!$G59</f>
        <v>13921.421952000001</v>
      </c>
      <c r="J59" s="46">
        <f t="shared" si="9"/>
        <v>4.8438939999999775</v>
      </c>
      <c r="K59" s="66">
        <f>Sayfa2!$J59*Sayfa2!$C59</f>
        <v>116.25345599999946</v>
      </c>
      <c r="L59" s="67">
        <f t="shared" si="10"/>
        <v>6</v>
      </c>
      <c r="M59" s="68">
        <f t="shared" si="11"/>
        <v>8.4210095685310522E-3</v>
      </c>
      <c r="N59" s="68">
        <f t="shared" si="12"/>
        <v>4.2105047842655258E-2</v>
      </c>
      <c r="O59" s="11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2">
        <f>Sayfa2!$D60*Sayfa2!$C60</f>
        <v>1142.210456</v>
      </c>
      <c r="F60" s="2">
        <v>45347</v>
      </c>
      <c r="G60" s="49">
        <v>2</v>
      </c>
      <c r="H60" s="103">
        <v>573.835914</v>
      </c>
      <c r="I60" s="51">
        <f>Sayfa2!$H60*Sayfa2!$G60</f>
        <v>1147.671828</v>
      </c>
      <c r="J60" s="46">
        <f t="shared" si="9"/>
        <v>2.7306859999999915</v>
      </c>
      <c r="K60" s="112">
        <f>Sayfa2!$J60*Sayfa2!$G60</f>
        <v>5.461371999999983</v>
      </c>
      <c r="L60" s="67">
        <f t="shared" si="10"/>
        <v>3</v>
      </c>
      <c r="M60" s="68">
        <f t="shared" si="11"/>
        <v>4.7814060634023678E-3</v>
      </c>
      <c r="N60" s="68">
        <f t="shared" si="12"/>
        <v>4.7814060634023672E-2</v>
      </c>
      <c r="O60" s="11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2">
        <f>Sayfa2!$D61*Sayfa2!$C61</f>
        <v>571.10522800000001</v>
      </c>
      <c r="F61" s="2">
        <v>45350</v>
      </c>
      <c r="G61" s="49">
        <v>1</v>
      </c>
      <c r="H61" s="103">
        <v>573.835914</v>
      </c>
      <c r="I61" s="51">
        <f>Sayfa2!$H61*Sayfa2!$G61</f>
        <v>573.835914</v>
      </c>
      <c r="J61" s="46">
        <f t="shared" si="9"/>
        <v>2.7306859999999915</v>
      </c>
      <c r="K61" s="112">
        <f>Sayfa2!$J61*Sayfa2!$G61</f>
        <v>2.7306859999999915</v>
      </c>
      <c r="L61" s="67">
        <f t="shared" si="10"/>
        <v>6</v>
      </c>
      <c r="M61" s="68">
        <f t="shared" si="11"/>
        <v>4.7814060634023678E-3</v>
      </c>
      <c r="N61" s="68">
        <f t="shared" si="12"/>
        <v>2.3907030317011836E-2</v>
      </c>
      <c r="O61" s="11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2">
        <f>Sayfa2!$D62*Sayfa2!$C62</f>
        <v>25128.630032000001</v>
      </c>
      <c r="F62" s="2">
        <v>45350</v>
      </c>
      <c r="G62" s="49">
        <v>44</v>
      </c>
      <c r="H62" s="103">
        <v>573.835914</v>
      </c>
      <c r="I62" s="51">
        <f>Sayfa2!$H62*Sayfa2!$G62</f>
        <v>25248.780215999999</v>
      </c>
      <c r="J62" s="46">
        <f t="shared" si="9"/>
        <v>2.7306859999999915</v>
      </c>
      <c r="K62" s="112">
        <f>Sayfa2!$J62*Sayfa2!$G62</f>
        <v>120.15018399999963</v>
      </c>
      <c r="L62" s="67">
        <f t="shared" si="10"/>
        <v>6</v>
      </c>
      <c r="M62" s="68">
        <f t="shared" si="11"/>
        <v>4.7814060634023669E-3</v>
      </c>
      <c r="N62" s="68">
        <f t="shared" si="12"/>
        <v>2.3907030317011836E-2</v>
      </c>
      <c r="O62" s="11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2">
        <f>Sayfa2!$D63*Sayfa2!$C63</f>
        <v>60323.813903999995</v>
      </c>
      <c r="F63" s="2">
        <v>45350</v>
      </c>
      <c r="G63" s="49">
        <v>106</v>
      </c>
      <c r="H63" s="103">
        <v>573.835914</v>
      </c>
      <c r="I63" s="51">
        <f>Sayfa2!$H63*Sayfa2!$G63</f>
        <v>60826.606884000001</v>
      </c>
      <c r="J63" s="46">
        <f t="shared" si="9"/>
        <v>4.7433300000000145</v>
      </c>
      <c r="K63" s="112">
        <f>Sayfa2!$J63*Sayfa2!$G63</f>
        <v>502.79298000000153</v>
      </c>
      <c r="L63" s="67">
        <f t="shared" si="10"/>
        <v>9</v>
      </c>
      <c r="M63" s="68">
        <f t="shared" si="11"/>
        <v>8.3349003894241831E-3</v>
      </c>
      <c r="N63" s="68">
        <f t="shared" si="12"/>
        <v>2.778300129808061E-2</v>
      </c>
      <c r="O63" s="11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2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9"/>
        <v>4.022876999999994</v>
      </c>
      <c r="K64" s="112">
        <f>Sayfa2!$J64*Sayfa2!$G64</f>
        <v>257.46412799999962</v>
      </c>
      <c r="L64" s="67">
        <f t="shared" si="10"/>
        <v>6</v>
      </c>
      <c r="M64" s="68">
        <f t="shared" si="11"/>
        <v>7.0939908337933691E-3</v>
      </c>
      <c r="N64" s="68">
        <f t="shared" si="12"/>
        <v>3.5469954168966845E-2</v>
      </c>
      <c r="O64" s="11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2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9"/>
        <v>28.670726000000059</v>
      </c>
      <c r="K65" s="112">
        <f>Sayfa2!$J65*Sayfa2!$G65</f>
        <v>1433.5363000000029</v>
      </c>
      <c r="L65" s="67">
        <f t="shared" si="10"/>
        <v>45</v>
      </c>
      <c r="M65" s="68">
        <f t="shared" si="11"/>
        <v>5.2855645970690972E-2</v>
      </c>
      <c r="N65" s="68">
        <f t="shared" si="12"/>
        <v>3.5237097313793986E-2</v>
      </c>
      <c r="O65" s="11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2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9"/>
        <v>15.155121000000008</v>
      </c>
      <c r="K66" s="112">
        <f>Sayfa2!$J66*Sayfa2!$G66</f>
        <v>757.75605000000041</v>
      </c>
      <c r="L66" s="67">
        <f t="shared" si="10"/>
        <v>23</v>
      </c>
      <c r="M66" s="68">
        <f t="shared" si="11"/>
        <v>2.7259858050535473E-2</v>
      </c>
      <c r="N66" s="68">
        <f t="shared" si="12"/>
        <v>3.5556336587654967E-2</v>
      </c>
      <c r="O66" s="11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2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9"/>
        <v>15.155121000000008</v>
      </c>
      <c r="K67" s="112">
        <f>Sayfa2!$J67*Sayfa2!$G67</f>
        <v>242.48193600000013</v>
      </c>
      <c r="L67" s="67">
        <f t="shared" si="10"/>
        <v>22</v>
      </c>
      <c r="M67" s="68">
        <f t="shared" si="11"/>
        <v>2.7259858050535473E-2</v>
      </c>
      <c r="N67" s="68">
        <f t="shared" si="12"/>
        <v>3.7172533705275651E-2</v>
      </c>
      <c r="O67" s="11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2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16">
        <f t="shared" si="9"/>
        <v>24.51172100000008</v>
      </c>
      <c r="K68" s="66">
        <f>Sayfa2!$J68*Sayfa2!$G68</f>
        <v>2696.2893100000088</v>
      </c>
      <c r="L68" s="67">
        <f t="shared" si="10"/>
        <v>39</v>
      </c>
      <c r="M68" s="68">
        <f t="shared" si="11"/>
        <v>4.5341603332415076E-2</v>
      </c>
      <c r="N68" s="68">
        <f>K68/E68</f>
        <v>4.5341603332415076E-2</v>
      </c>
      <c r="O68" s="11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2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16">
        <f t="shared" si="9"/>
        <v>8.4999910000000227</v>
      </c>
      <c r="K69" s="66">
        <f>Sayfa2!$J69*Sayfa2!$G69</f>
        <v>84.999910000000227</v>
      </c>
      <c r="L69" s="67">
        <f t="shared" si="10"/>
        <v>12</v>
      </c>
      <c r="M69" s="68">
        <f t="shared" si="11"/>
        <v>1.5289125576155384E-2</v>
      </c>
      <c r="N69" s="68">
        <f t="shared" ref="N69:N74" si="13">M69/L69*30</f>
        <v>3.8222813940388463E-2</v>
      </c>
      <c r="O69" s="11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2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9"/>
        <v>3.8837499999999636</v>
      </c>
      <c r="K70" s="66">
        <f>Sayfa2!$J70*Sayfa2!$G70</f>
        <v>178.65249999999833</v>
      </c>
      <c r="L70" s="67">
        <f t="shared" si="10"/>
        <v>5</v>
      </c>
      <c r="M70" s="68">
        <f t="shared" si="11"/>
        <v>6.9857887445284065E-3</v>
      </c>
      <c r="N70" s="68">
        <f t="shared" si="13"/>
        <v>4.1914732467170444E-2</v>
      </c>
      <c r="O70" s="11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2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16">
        <f t="shared" si="9"/>
        <v>0.41840300000000141</v>
      </c>
      <c r="K71" s="66">
        <f>Sayfa2!$J71*Sayfa2!$G71</f>
        <v>125.52090000000042</v>
      </c>
      <c r="L71" s="1">
        <f t="shared" si="10"/>
        <v>21</v>
      </c>
      <c r="M71" s="68">
        <f t="shared" si="11"/>
        <v>2.2979885384798907E-2</v>
      </c>
      <c r="N71" s="68">
        <f t="shared" si="13"/>
        <v>3.2828407692569866E-2</v>
      </c>
      <c r="O71" s="11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2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16">
        <f t="shared" si="9"/>
        <v>14.89983600000005</v>
      </c>
      <c r="K72" s="66">
        <f>Sayfa2!$J72*Sayfa2!$G72</f>
        <v>148.9983600000005</v>
      </c>
      <c r="L72" s="1">
        <f t="shared" si="10"/>
        <v>26</v>
      </c>
      <c r="M72" s="68">
        <f t="shared" si="11"/>
        <v>2.8440778920881354E-2</v>
      </c>
      <c r="N72" s="68">
        <f t="shared" si="13"/>
        <v>3.2816283370247716E-2</v>
      </c>
      <c r="O72" s="11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2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16">
        <f t="shared" si="9"/>
        <v>11.57746700000007</v>
      </c>
      <c r="K73" s="66">
        <f>Sayfa2!$J73*Sayfa2!$G73</f>
        <v>324.16907600000195</v>
      </c>
      <c r="L73" s="1">
        <f t="shared" si="10"/>
        <v>20</v>
      </c>
      <c r="M73" s="68">
        <f t="shared" si="11"/>
        <v>2.1959784165860925E-2</v>
      </c>
      <c r="N73" s="68">
        <f t="shared" si="13"/>
        <v>3.2939676248791384E-2</v>
      </c>
      <c r="O73" s="11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2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16">
        <f>H74-D73</f>
        <v>12.787804000000051</v>
      </c>
      <c r="K74" s="66">
        <f>Sayfa2!$J74*Sayfa2!$G74</f>
        <v>281.33168800000112</v>
      </c>
      <c r="L74" s="1">
        <f>F74-B73</f>
        <v>22</v>
      </c>
      <c r="M74" s="68">
        <f t="shared" si="11"/>
        <v>2.4255514249821006E-2</v>
      </c>
      <c r="N74" s="68">
        <f t="shared" si="13"/>
        <v>3.3075701249755916E-2</v>
      </c>
      <c r="O74" s="70">
        <f>SUM(K55:K74)</f>
        <v>7765.4384360000149</v>
      </c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12">
      <c r="E81" s="53"/>
      <c r="F81" s="48"/>
      <c r="G81" s="52"/>
      <c r="I81" s="12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45"/>
  <sheetViews>
    <sheetView tabSelected="1" zoomScale="145" zoomScaleNormal="145" workbookViewId="0">
      <pane xSplit="1" topLeftCell="B1" activePane="topRight" state="frozen"/>
      <selection pane="topRight" activeCell="O7" sqref="O7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6" max="16" width="14.5703125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customWidth="1"/>
    <col min="31" max="31" width="4.42578125" customWidth="1"/>
    <col min="33" max="33" width="4.42578125" customWidth="1"/>
    <col min="1023" max="1024" width="11.28515625" customWidth="1"/>
  </cols>
  <sheetData>
    <row r="2" spans="1:27">
      <c r="A2" s="126">
        <f>A6</f>
        <v>45387</v>
      </c>
      <c r="C2">
        <f>C6</f>
        <v>31.407</v>
      </c>
      <c r="E2">
        <f>E6</f>
        <v>34.038899999999998</v>
      </c>
      <c r="G2">
        <f>G6</f>
        <v>2289.27</v>
      </c>
      <c r="I2">
        <f>I6</f>
        <v>0.82424600000000003</v>
      </c>
      <c r="K2">
        <f>I6</f>
        <v>0.82424600000000003</v>
      </c>
      <c r="M2" s="127">
        <f>Sayfa2!D3</f>
        <v>154.41099850189394</v>
      </c>
      <c r="N2" s="128">
        <f>Sayfa2!K2</f>
        <v>244587.02162700001</v>
      </c>
      <c r="S2">
        <f>S6</f>
        <v>0</v>
      </c>
      <c r="U2">
        <f>U6</f>
        <v>0</v>
      </c>
      <c r="W2">
        <f>W6</f>
        <v>0</v>
      </c>
      <c r="Y2">
        <f>Y6</f>
        <v>0</v>
      </c>
      <c r="AA2">
        <f>AA20</f>
        <v>19.690000000000001</v>
      </c>
    </row>
    <row r="3" spans="1:27">
      <c r="A3" s="129"/>
      <c r="B3" s="131"/>
      <c r="C3" s="131" t="s">
        <v>26</v>
      </c>
      <c r="D3" s="131"/>
      <c r="E3" s="131" t="s">
        <v>52</v>
      </c>
      <c r="F3" s="130"/>
      <c r="G3" s="131" t="s">
        <v>51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6" spans="1:27">
      <c r="A6" s="126">
        <v>45387</v>
      </c>
      <c r="B6">
        <f>B32</f>
        <v>1110</v>
      </c>
      <c r="C6">
        <v>31.407</v>
      </c>
      <c r="D6">
        <f>D32</f>
        <v>321.99</v>
      </c>
      <c r="E6">
        <v>34.038899999999998</v>
      </c>
      <c r="F6" s="124">
        <v>156</v>
      </c>
      <c r="G6">
        <v>2289.27</v>
      </c>
      <c r="H6">
        <f>H32</f>
        <v>50000</v>
      </c>
      <c r="I6">
        <v>0.82424600000000003</v>
      </c>
      <c r="J6">
        <f>J32</f>
        <v>75000</v>
      </c>
      <c r="K6" s="129">
        <f t="shared" ref="K6:K20" si="0">I6</f>
        <v>0.82424600000000003</v>
      </c>
      <c r="L6" s="125">
        <f>(F6*G6)+(B6*C6)+(D6*E6)+(H6*I6)+(Z20*AA20)+(J6*K6)</f>
        <v>507317.74541099998</v>
      </c>
      <c r="M6">
        <v>154.41</v>
      </c>
      <c r="N6">
        <v>244587.02</v>
      </c>
      <c r="O6" s="127">
        <v>9300</v>
      </c>
      <c r="P6" s="133">
        <f>(1-(O7/O6))</f>
        <v>1.8384946236559063E-2</v>
      </c>
    </row>
    <row r="7" spans="1:27">
      <c r="A7" s="126">
        <v>45386</v>
      </c>
      <c r="B7">
        <f>B33</f>
        <v>1110</v>
      </c>
      <c r="C7">
        <v>31.399799999999999</v>
      </c>
      <c r="D7">
        <f>D33</f>
        <v>321.99</v>
      </c>
      <c r="E7">
        <v>34.053100000000001</v>
      </c>
      <c r="F7" s="124">
        <v>156</v>
      </c>
      <c r="G7">
        <v>2292.5700000000002</v>
      </c>
      <c r="H7">
        <f>H33</f>
        <v>50000</v>
      </c>
      <c r="I7">
        <v>0.82913899999999996</v>
      </c>
      <c r="J7">
        <f>J33</f>
        <v>75000</v>
      </c>
      <c r="K7" s="129">
        <f t="shared" ref="K7" si="1">I7</f>
        <v>0.82913899999999996</v>
      </c>
      <c r="L7" s="125">
        <f>(F7*G7)+(B7*C7)+(D7*E7)+(H7*I7)+(Z21*AA21)+(J7*K7)</f>
        <v>508663.11066900007</v>
      </c>
      <c r="M7">
        <v>155.22</v>
      </c>
      <c r="N7">
        <v>245709.7</v>
      </c>
      <c r="O7" s="127">
        <v>9129.02</v>
      </c>
      <c r="P7" s="133">
        <f>(1-(O8/O7))</f>
        <v>2.0070062284889389E-2</v>
      </c>
    </row>
    <row r="8" spans="1:27">
      <c r="A8" s="126">
        <v>45385</v>
      </c>
      <c r="B8">
        <f>B33</f>
        <v>1110</v>
      </c>
      <c r="C8">
        <v>31.399799999999999</v>
      </c>
      <c r="D8">
        <f>D33</f>
        <v>321.99</v>
      </c>
      <c r="E8">
        <v>34.053100000000001</v>
      </c>
      <c r="F8" s="124">
        <v>156</v>
      </c>
      <c r="G8">
        <v>2292.5700000000002</v>
      </c>
      <c r="H8">
        <f>H33</f>
        <v>50000</v>
      </c>
      <c r="I8">
        <v>0.82913899999999996</v>
      </c>
      <c r="J8">
        <f>J33</f>
        <v>75000</v>
      </c>
      <c r="K8" s="129">
        <f t="shared" ref="K8" si="2">I8</f>
        <v>0.82913899999999996</v>
      </c>
      <c r="L8" s="125">
        <f>(F8*G8)+(B8*C8)+(D8*E8)+(H8*I8)+(Z21*AA21)+(J8*K8)</f>
        <v>508663.11066900007</v>
      </c>
      <c r="M8">
        <v>155.22</v>
      </c>
      <c r="N8">
        <v>245709.7</v>
      </c>
      <c r="O8" s="127">
        <v>8945.7999999999993</v>
      </c>
      <c r="P8" s="133">
        <f t="shared" ref="P8:P28" si="3">(1-(O9/O8))</f>
        <v>-1.0627333497283731E-2</v>
      </c>
    </row>
    <row r="9" spans="1:27">
      <c r="A9" s="126">
        <v>45384</v>
      </c>
      <c r="B9">
        <f>B33</f>
        <v>1110</v>
      </c>
      <c r="C9">
        <v>31.536899999999999</v>
      </c>
      <c r="D9">
        <f>D33</f>
        <v>321.99</v>
      </c>
      <c r="E9">
        <v>33.958799999999997</v>
      </c>
      <c r="F9" s="124">
        <v>156</v>
      </c>
      <c r="G9">
        <v>2287.73</v>
      </c>
      <c r="H9">
        <f>H33</f>
        <v>50000</v>
      </c>
      <c r="I9">
        <v>0.85561100000000001</v>
      </c>
      <c r="J9">
        <f>J33</f>
        <v>75000</v>
      </c>
      <c r="K9" s="129">
        <f t="shared" ref="K9" si="4">I9</f>
        <v>0.85561100000000001</v>
      </c>
      <c r="L9" s="125">
        <f>(F9*G9)+(B9*C9)+(D9*E9)+(H9*I9)+(Z21*AA21)+(J9*K9)</f>
        <v>511338.88801200007</v>
      </c>
      <c r="M9">
        <v>157.11000000000001</v>
      </c>
      <c r="N9">
        <v>248387.66</v>
      </c>
      <c r="O9" s="127">
        <v>9040.8700000000008</v>
      </c>
      <c r="P9" s="133">
        <f t="shared" si="3"/>
        <v>-1.2904731513670775E-2</v>
      </c>
    </row>
    <row r="10" spans="1:27">
      <c r="A10" s="126">
        <v>45383</v>
      </c>
      <c r="B10">
        <f>B33</f>
        <v>1110</v>
      </c>
      <c r="C10">
        <v>31.879300000000001</v>
      </c>
      <c r="D10">
        <f>D33</f>
        <v>321.99</v>
      </c>
      <c r="E10">
        <v>34.391399999999997</v>
      </c>
      <c r="F10" s="124">
        <v>161</v>
      </c>
      <c r="G10">
        <v>2308.4299999999998</v>
      </c>
      <c r="H10">
        <f>H33</f>
        <v>50000</v>
      </c>
      <c r="I10">
        <v>0.88097599999999998</v>
      </c>
      <c r="J10">
        <f>J33</f>
        <v>75000</v>
      </c>
      <c r="K10" s="129">
        <f t="shared" ref="K10" si="5">I10</f>
        <v>0.88097599999999998</v>
      </c>
      <c r="L10" s="125">
        <f>(F10*G10)+(B10*C10)+(D10*E10)+(H10*I10)+(Z21*AA21)+(J10*K10)</f>
        <v>529800.21988599992</v>
      </c>
      <c r="M10">
        <v>161.66</v>
      </c>
      <c r="N10">
        <v>255424.81</v>
      </c>
      <c r="O10" s="127">
        <v>9157.5400000000009</v>
      </c>
      <c r="P10" s="133">
        <f t="shared" si="3"/>
        <v>1.6532824317448958E-3</v>
      </c>
    </row>
    <row r="11" spans="1:27">
      <c r="A11" s="126">
        <v>45381</v>
      </c>
      <c r="B11">
        <f>B33</f>
        <v>1110</v>
      </c>
      <c r="C11">
        <v>31.879300000000001</v>
      </c>
      <c r="D11">
        <f>D33</f>
        <v>321.99</v>
      </c>
      <c r="E11">
        <v>34.391399999999997</v>
      </c>
      <c r="F11" s="124">
        <v>161</v>
      </c>
      <c r="G11">
        <v>2308.4299999999998</v>
      </c>
      <c r="H11">
        <f>H33</f>
        <v>50000</v>
      </c>
      <c r="I11">
        <v>0.88097599999999998</v>
      </c>
      <c r="J11">
        <f>J33</f>
        <v>75000</v>
      </c>
      <c r="K11" s="129">
        <f t="shared" ref="K11" si="6">I11</f>
        <v>0.88097599999999998</v>
      </c>
      <c r="L11" s="125">
        <f>(F11*G11)+(B11*C11)+(D11*E11)+(H11*I11)+(Z21*AA21)+(J11*K11)</f>
        <v>529800.21988599992</v>
      </c>
      <c r="M11">
        <v>161.66</v>
      </c>
      <c r="N11">
        <v>255424.81</v>
      </c>
      <c r="O11" s="127">
        <v>9142.4</v>
      </c>
      <c r="P11" s="133">
        <f t="shared" si="3"/>
        <v>0</v>
      </c>
    </row>
    <row r="12" spans="1:27">
      <c r="A12" s="126">
        <v>45380</v>
      </c>
      <c r="B12">
        <f>B33</f>
        <v>1110</v>
      </c>
      <c r="C12">
        <v>31.8308</v>
      </c>
      <c r="D12">
        <f>D33</f>
        <v>321.99</v>
      </c>
      <c r="E12">
        <v>34.369900000000001</v>
      </c>
      <c r="F12" s="124">
        <v>161</v>
      </c>
      <c r="G12">
        <v>2273.3200000000002</v>
      </c>
      <c r="H12">
        <f>H33</f>
        <v>50000</v>
      </c>
      <c r="I12">
        <v>0.85243100000000005</v>
      </c>
      <c r="J12">
        <f>J33</f>
        <v>75000</v>
      </c>
      <c r="K12" s="129">
        <f t="shared" ref="K12" si="7">I12</f>
        <v>0.85243100000000005</v>
      </c>
      <c r="L12" s="125">
        <f>(F12*G12)+(B12*C12)+(D12*E12)+(H12*I12)+(Z21*AA21)+(J12*K12)</f>
        <v>520518.62710100005</v>
      </c>
      <c r="M12">
        <v>156.08000000000001</v>
      </c>
      <c r="N12">
        <v>246143.72</v>
      </c>
      <c r="O12" s="127">
        <v>9142.4</v>
      </c>
      <c r="P12" s="133">
        <f t="shared" si="3"/>
        <v>6.8286226811340445E-3</v>
      </c>
    </row>
    <row r="13" spans="1:27">
      <c r="A13" s="126">
        <v>45379</v>
      </c>
      <c r="B13">
        <f>B33</f>
        <v>1110</v>
      </c>
      <c r="C13">
        <v>31.870699999999999</v>
      </c>
      <c r="D13">
        <f>D33</f>
        <v>321.99</v>
      </c>
      <c r="E13">
        <v>34.480800000000002</v>
      </c>
      <c r="F13" s="124">
        <v>161</v>
      </c>
      <c r="G13">
        <v>2240.09</v>
      </c>
      <c r="H13">
        <f>H33</f>
        <v>50000</v>
      </c>
      <c r="I13">
        <v>0.86473199999999995</v>
      </c>
      <c r="J13">
        <f>J33</f>
        <v>75000</v>
      </c>
      <c r="K13" s="129">
        <f t="shared" si="0"/>
        <v>0.86473199999999995</v>
      </c>
      <c r="L13" s="125">
        <f>(F13*G13)+(B13*C13)+(D13*E13)+(T13*U13)+(H13*I13)+(R13*S13)+(V13*W13)+(X13*Y13)+(Z21*AA21)+(J13*K13)</f>
        <v>516786.21979200002</v>
      </c>
      <c r="M13">
        <v>153.81</v>
      </c>
      <c r="N13">
        <v>242408.74</v>
      </c>
      <c r="O13" s="127">
        <v>9079.9699999999993</v>
      </c>
      <c r="P13" s="133">
        <f t="shared" si="3"/>
        <v>3.0093711763364839E-2</v>
      </c>
    </row>
    <row r="14" spans="1:27">
      <c r="A14" s="126">
        <v>45378</v>
      </c>
      <c r="B14">
        <f>B33</f>
        <v>1110</v>
      </c>
      <c r="C14">
        <v>31.821999999999999</v>
      </c>
      <c r="D14">
        <f>D33</f>
        <v>321.99</v>
      </c>
      <c r="E14">
        <v>34.5045</v>
      </c>
      <c r="F14" s="124">
        <v>161</v>
      </c>
      <c r="G14">
        <v>2227.25</v>
      </c>
      <c r="H14">
        <f>H33</f>
        <v>50000</v>
      </c>
      <c r="I14">
        <v>0.85899999999999999</v>
      </c>
      <c r="J14">
        <f>J33</f>
        <v>75000</v>
      </c>
      <c r="K14" s="129">
        <f t="shared" si="0"/>
        <v>0.85899999999999999</v>
      </c>
      <c r="L14" s="125">
        <f>(F14*G14)+(B14*C14)+(D14*E14)+(T14*U14)+(H14*I14)+(R14*S14)+(V14*W14)+(X14*Y14)+(Z21*AA21)+(J14*K14)</f>
        <v>513956.05395500001</v>
      </c>
      <c r="M14">
        <v>154.24</v>
      </c>
      <c r="N14">
        <v>242616.68</v>
      </c>
      <c r="O14" s="127">
        <v>8806.7199999999993</v>
      </c>
      <c r="P14" s="133">
        <f t="shared" si="3"/>
        <v>-7.4942770974972817E-5</v>
      </c>
    </row>
    <row r="15" spans="1:27">
      <c r="A15" s="126">
        <v>45377</v>
      </c>
      <c r="B15">
        <f>B34</f>
        <v>1110</v>
      </c>
      <c r="C15">
        <v>31.530999999999999</v>
      </c>
      <c r="D15">
        <f>D34</f>
        <v>321.99</v>
      </c>
      <c r="E15">
        <v>34.125900000000001</v>
      </c>
      <c r="F15" s="124">
        <v>161</v>
      </c>
      <c r="G15">
        <v>2227.25</v>
      </c>
      <c r="H15">
        <f>H34</f>
        <v>50000</v>
      </c>
      <c r="I15">
        <v>0.890316</v>
      </c>
      <c r="J15">
        <f>J34</f>
        <v>75000</v>
      </c>
      <c r="K15" s="129">
        <f t="shared" si="0"/>
        <v>0.890316</v>
      </c>
      <c r="L15" s="125">
        <f>(F15*G15)+(B15*C15)+(D15*E15)+(T15*U15)+(H15*I15)+(R15*S15)+(V15*W15)+(X15*Y15)+(Z22*AA22)+(J15*K15)</f>
        <v>517363.07854099997</v>
      </c>
      <c r="M15">
        <v>154.24</v>
      </c>
      <c r="N15">
        <v>242616.68</v>
      </c>
      <c r="O15" s="127">
        <v>8807.3799999999992</v>
      </c>
      <c r="P15" s="133">
        <f t="shared" si="3"/>
        <v>-2.5206133946758191E-2</v>
      </c>
    </row>
    <row r="16" spans="1:27">
      <c r="A16" s="126">
        <v>45376</v>
      </c>
      <c r="B16">
        <f>B33</f>
        <v>1110</v>
      </c>
      <c r="C16">
        <v>31.786200000000001</v>
      </c>
      <c r="D16">
        <f>D33</f>
        <v>321.99</v>
      </c>
      <c r="E16">
        <v>34.386299999999999</v>
      </c>
      <c r="F16" s="124">
        <v>161</v>
      </c>
      <c r="G16">
        <v>2214.31</v>
      </c>
      <c r="H16">
        <f>H33</f>
        <v>50000</v>
      </c>
      <c r="I16">
        <v>0.91889100000000001</v>
      </c>
      <c r="J16">
        <f>J33</f>
        <v>75000</v>
      </c>
      <c r="K16" s="129">
        <f t="shared" si="0"/>
        <v>0.91889100000000001</v>
      </c>
      <c r="L16" s="125">
        <f>(F16*G16)+(B16*C16)+(D16*E16)+(T16*U16)+(H16*I16)+(R16*S16)+(V16*W16)+(X16*Y16)+(Z21*AA21)+(J16*K16)</f>
        <v>519281.29173699999</v>
      </c>
      <c r="M16">
        <v>155.99</v>
      </c>
      <c r="N16">
        <v>244906</v>
      </c>
      <c r="O16" s="127">
        <v>9029.3799999999992</v>
      </c>
      <c r="P16" s="133">
        <f t="shared" si="3"/>
        <v>-9.0947551216142841E-3</v>
      </c>
    </row>
    <row r="17" spans="1:27">
      <c r="A17" s="126">
        <v>45373</v>
      </c>
      <c r="B17">
        <f>B33</f>
        <v>1110</v>
      </c>
      <c r="C17">
        <v>31.710699999999999</v>
      </c>
      <c r="D17">
        <f>D33</f>
        <v>321.99</v>
      </c>
      <c r="E17">
        <v>34.336300000000001</v>
      </c>
      <c r="F17" s="124">
        <v>161</v>
      </c>
      <c r="G17">
        <v>2212.11</v>
      </c>
      <c r="H17">
        <f>H33</f>
        <v>50000</v>
      </c>
      <c r="I17">
        <v>0.93062100000000003</v>
      </c>
      <c r="J17">
        <f>J33</f>
        <v>75000</v>
      </c>
      <c r="K17" s="129">
        <f t="shared" si="0"/>
        <v>0.93062100000000003</v>
      </c>
      <c r="L17" s="125">
        <f>(F17*G17)+(B17*C17)+(D17*E17)+(T17*U17)+(H17*I17)+(R17*S17)+(V17*W17)+(X17*Y17)+(Z21*AA21)+(J17*K17)</f>
        <v>520293.43723700003</v>
      </c>
      <c r="M17">
        <v>156.63999999999999</v>
      </c>
      <c r="N17">
        <v>245919.31</v>
      </c>
      <c r="O17">
        <v>9111.5</v>
      </c>
      <c r="P17" s="133">
        <f t="shared" si="3"/>
        <v>-3.2047412610438641E-3</v>
      </c>
    </row>
    <row r="18" spans="1:27">
      <c r="A18" s="126">
        <v>45372</v>
      </c>
      <c r="B18">
        <f>B33</f>
        <v>1110</v>
      </c>
      <c r="C18">
        <v>32.063899999999997</v>
      </c>
      <c r="D18">
        <f>D33</f>
        <v>321.99</v>
      </c>
      <c r="E18">
        <v>35.065100000000001</v>
      </c>
      <c r="F18" s="124">
        <v>161</v>
      </c>
      <c r="G18">
        <v>2267.61</v>
      </c>
      <c r="H18">
        <f>H33</f>
        <v>50000</v>
      </c>
      <c r="I18">
        <v>0.94166499999999997</v>
      </c>
      <c r="J18">
        <f>J33</f>
        <v>75000</v>
      </c>
      <c r="K18" s="129">
        <f t="shared" si="0"/>
        <v>0.94166499999999997</v>
      </c>
      <c r="L18" s="125">
        <f>(F18*G18)+(B18*C18)+(D18*E18)+(T18*U18)+(H18*I18)+(R18*S18)+(V18*W18)+(X18*Y18)+(Z21*AA21)+(J18*K18)</f>
        <v>531236.15554900002</v>
      </c>
      <c r="M18">
        <v>163.91</v>
      </c>
      <c r="N18">
        <v>256845.12</v>
      </c>
      <c r="O18" s="127">
        <v>9140.7000000000007</v>
      </c>
      <c r="P18" s="133">
        <f t="shared" si="3"/>
        <v>2.0302602645311585E-2</v>
      </c>
    </row>
    <row r="19" spans="1:27">
      <c r="A19" s="126">
        <v>45371</v>
      </c>
      <c r="B19">
        <f>B33</f>
        <v>1110</v>
      </c>
      <c r="C19">
        <v>32.028799999999997</v>
      </c>
      <c r="D19">
        <f>D33</f>
        <v>321.99</v>
      </c>
      <c r="E19">
        <v>34.808799999999998</v>
      </c>
      <c r="F19" s="124">
        <v>161</v>
      </c>
      <c r="G19">
        <v>2220.92</v>
      </c>
      <c r="H19">
        <f>H33</f>
        <v>50000</v>
      </c>
      <c r="I19">
        <v>0.93470600000000004</v>
      </c>
      <c r="J19">
        <f>J33</f>
        <v>75000</v>
      </c>
      <c r="K19" s="129">
        <f t="shared" si="0"/>
        <v>0.93470600000000004</v>
      </c>
      <c r="L19" s="125">
        <f t="shared" ref="L19:L37" si="8">(F19*G19)+(B19*C19)+(D19*E19)+(T19*U19)+(H19*I19)+(R19*S19)+(V19*W19)+(X19*Y19)+(Z19*AA19)+(J19*K19)</f>
        <v>521166.42351200001</v>
      </c>
      <c r="M19">
        <v>158.47999999999999</v>
      </c>
      <c r="N19">
        <v>248342.62</v>
      </c>
      <c r="O19" s="127">
        <v>8955.1200000000008</v>
      </c>
      <c r="P19" s="133">
        <f t="shared" si="3"/>
        <v>2.8184993612594411E-3</v>
      </c>
    </row>
    <row r="20" spans="1:27">
      <c r="A20" s="126">
        <v>45370</v>
      </c>
      <c r="B20">
        <f>B33</f>
        <v>1110</v>
      </c>
      <c r="C20">
        <v>32.087800000000001</v>
      </c>
      <c r="D20">
        <f>D33</f>
        <v>321.99</v>
      </c>
      <c r="E20">
        <v>34.799100000000003</v>
      </c>
      <c r="F20" s="124">
        <v>161</v>
      </c>
      <c r="G20">
        <v>2219.02</v>
      </c>
      <c r="H20">
        <f>H33</f>
        <v>50000</v>
      </c>
      <c r="I20">
        <v>0.90033600000000003</v>
      </c>
      <c r="J20">
        <f>J33</f>
        <v>75000</v>
      </c>
      <c r="K20" s="129">
        <f t="shared" si="0"/>
        <v>0.90033600000000003</v>
      </c>
      <c r="L20" s="125">
        <f t="shared" si="8"/>
        <v>517965.56020899996</v>
      </c>
      <c r="M20">
        <v>155.59</v>
      </c>
      <c r="N20">
        <v>243803.06</v>
      </c>
      <c r="O20" s="127">
        <v>8929.8799999999992</v>
      </c>
      <c r="P20" s="133">
        <f t="shared" si="3"/>
        <v>2.3714764364134666E-2</v>
      </c>
      <c r="Z20">
        <v>68</v>
      </c>
      <c r="AA20">
        <v>19.690000000000001</v>
      </c>
    </row>
    <row r="21" spans="1:27">
      <c r="A21" s="126">
        <v>45369</v>
      </c>
      <c r="B21">
        <f>B33</f>
        <v>1110</v>
      </c>
      <c r="C21">
        <v>31.9499</v>
      </c>
      <c r="D21">
        <f>D33</f>
        <v>321.99</v>
      </c>
      <c r="E21">
        <v>34.8125</v>
      </c>
      <c r="F21" s="124">
        <v>161</v>
      </c>
      <c r="G21">
        <v>2212.35</v>
      </c>
      <c r="H21">
        <f>H33</f>
        <v>50000</v>
      </c>
      <c r="I21">
        <v>0.93887900000000002</v>
      </c>
      <c r="J21">
        <f>J33</f>
        <v>75000</v>
      </c>
      <c r="K21">
        <v>0.93887900000000002</v>
      </c>
      <c r="L21" s="125">
        <f t="shared" si="8"/>
        <v>521783.17087500001</v>
      </c>
      <c r="M21">
        <v>155.44</v>
      </c>
      <c r="N21">
        <v>247623.17</v>
      </c>
      <c r="O21" s="127">
        <v>8718.11</v>
      </c>
      <c r="P21" s="133">
        <f t="shared" si="3"/>
        <v>-1.2685088855267868E-2</v>
      </c>
      <c r="Z21">
        <v>68</v>
      </c>
      <c r="AA21">
        <v>22.96</v>
      </c>
    </row>
    <row r="22" spans="1:27">
      <c r="A22" s="126">
        <v>45366</v>
      </c>
      <c r="B22">
        <f>B33</f>
        <v>1110</v>
      </c>
      <c r="C22">
        <v>31.796299999999999</v>
      </c>
      <c r="D22">
        <f>D33</f>
        <v>321.99</v>
      </c>
      <c r="E22">
        <v>34.619700000000002</v>
      </c>
      <c r="F22" s="124">
        <v>161</v>
      </c>
      <c r="G22">
        <v>2213.54</v>
      </c>
      <c r="H22">
        <f>H33</f>
        <v>50000</v>
      </c>
      <c r="I22">
        <v>0.94838599999999995</v>
      </c>
      <c r="J22">
        <f>J33</f>
        <v>75000</v>
      </c>
      <c r="K22">
        <v>0.94838599999999995</v>
      </c>
      <c r="L22" s="125">
        <f t="shared" si="8"/>
        <v>522868.00020299997</v>
      </c>
      <c r="M22">
        <v>156.13</v>
      </c>
      <c r="N22">
        <v>248712.47</v>
      </c>
      <c r="O22" s="127">
        <v>8828.7000000000007</v>
      </c>
      <c r="P22" s="133">
        <f t="shared" si="3"/>
        <v>-6.2092946866469934E-3</v>
      </c>
      <c r="Z22">
        <v>68</v>
      </c>
      <c r="AA22">
        <v>22.04</v>
      </c>
    </row>
    <row r="23" spans="1:27">
      <c r="A23" s="126">
        <v>45365</v>
      </c>
      <c r="B23">
        <f>B33</f>
        <v>1110</v>
      </c>
      <c r="C23">
        <v>31.775700000000001</v>
      </c>
      <c r="D23">
        <f>D33</f>
        <v>321.99</v>
      </c>
      <c r="E23">
        <v>34.762500000000003</v>
      </c>
      <c r="F23" s="124">
        <v>161</v>
      </c>
      <c r="G23">
        <v>2222.88</v>
      </c>
      <c r="H23">
        <f>H33</f>
        <v>50000</v>
      </c>
      <c r="I23">
        <v>0.95100700000000005</v>
      </c>
      <c r="J23">
        <f>J33</f>
        <v>75000</v>
      </c>
      <c r="K23">
        <v>0.95100700000000005</v>
      </c>
      <c r="L23" s="125">
        <f t="shared" si="8"/>
        <v>524610.95937499998</v>
      </c>
      <c r="M23">
        <v>157.21</v>
      </c>
      <c r="N23">
        <v>250427.64</v>
      </c>
      <c r="O23" s="127">
        <v>8883.52</v>
      </c>
      <c r="P23" s="133">
        <f t="shared" si="3"/>
        <v>-3.0066910413888426E-3</v>
      </c>
      <c r="Z23">
        <v>68</v>
      </c>
      <c r="AA23">
        <v>20.399999999999999</v>
      </c>
    </row>
    <row r="24" spans="1:27">
      <c r="A24" s="126">
        <v>45364</v>
      </c>
      <c r="B24">
        <f>B33</f>
        <v>1110</v>
      </c>
      <c r="C24">
        <v>32</v>
      </c>
      <c r="D24">
        <f>D33</f>
        <v>321.99</v>
      </c>
      <c r="E24">
        <v>35</v>
      </c>
      <c r="F24" s="124">
        <v>161</v>
      </c>
      <c r="G24">
        <v>2220.3200000000002</v>
      </c>
      <c r="H24">
        <f>H33</f>
        <v>50000</v>
      </c>
      <c r="I24">
        <v>0.957233</v>
      </c>
      <c r="J24">
        <f>J33</f>
        <v>75000</v>
      </c>
      <c r="K24">
        <v>0.957233</v>
      </c>
      <c r="L24" s="125">
        <f t="shared" si="8"/>
        <v>525154.25500000012</v>
      </c>
      <c r="M24">
        <v>160.79</v>
      </c>
      <c r="N24">
        <v>250989.9</v>
      </c>
      <c r="O24" s="127">
        <v>8910.23</v>
      </c>
      <c r="P24" s="133">
        <f t="shared" si="3"/>
        <v>-1.7822211098927898E-2</v>
      </c>
      <c r="Z24">
        <v>68</v>
      </c>
      <c r="AA24">
        <v>18.22</v>
      </c>
    </row>
    <row r="25" spans="1:27">
      <c r="A25" s="126">
        <v>45363</v>
      </c>
      <c r="B25">
        <f>B33</f>
        <v>1110</v>
      </c>
      <c r="C25">
        <v>31.516400000000001</v>
      </c>
      <c r="D25">
        <f>D33</f>
        <v>321.99</v>
      </c>
      <c r="E25">
        <v>34.463200000000001</v>
      </c>
      <c r="F25" s="124">
        <v>161</v>
      </c>
      <c r="G25">
        <v>2220.3200000000002</v>
      </c>
      <c r="H25">
        <f>H33</f>
        <v>50000</v>
      </c>
      <c r="I25">
        <v>0.979213</v>
      </c>
      <c r="J25">
        <f>J33</f>
        <v>75000</v>
      </c>
      <c r="K25">
        <v>0.979213</v>
      </c>
      <c r="L25" s="125">
        <f t="shared" si="8"/>
        <v>527079.91476800013</v>
      </c>
      <c r="M25">
        <v>161.94999999999999</v>
      </c>
      <c r="N25">
        <v>252645.61</v>
      </c>
      <c r="O25" s="127">
        <v>9069.0300000000007</v>
      </c>
      <c r="P25" s="133">
        <f t="shared" si="3"/>
        <v>-6.8684302510850781E-3</v>
      </c>
      <c r="Z25">
        <v>68</v>
      </c>
      <c r="AA25">
        <v>16.57</v>
      </c>
    </row>
    <row r="26" spans="1:27">
      <c r="A26" s="126">
        <v>45362</v>
      </c>
      <c r="B26">
        <f>B33</f>
        <v>1110</v>
      </c>
      <c r="C26">
        <v>31.571400000000001</v>
      </c>
      <c r="D26">
        <f>D33</f>
        <v>321.99</v>
      </c>
      <c r="E26">
        <v>34.558100000000003</v>
      </c>
      <c r="F26" s="124">
        <v>161</v>
      </c>
      <c r="G26">
        <v>2232.66</v>
      </c>
      <c r="H26">
        <f>H33</f>
        <v>50000</v>
      </c>
      <c r="I26">
        <v>0.99851990000000002</v>
      </c>
      <c r="J26">
        <f>J33</f>
        <v>75000</v>
      </c>
      <c r="K26">
        <v>0.99851990000000002</v>
      </c>
      <c r="L26" s="125">
        <f t="shared" si="8"/>
        <v>532801.83411900001</v>
      </c>
      <c r="M26">
        <v>164.91</v>
      </c>
      <c r="N26">
        <v>257088.48</v>
      </c>
      <c r="O26" s="127">
        <v>9131.32</v>
      </c>
      <c r="P26" s="133">
        <f t="shared" si="3"/>
        <v>-2.6283166070184549E-3</v>
      </c>
      <c r="V26">
        <v>12</v>
      </c>
      <c r="W26">
        <v>41.58</v>
      </c>
      <c r="X26">
        <f>X33</f>
        <v>15</v>
      </c>
      <c r="Y26">
        <v>55.55</v>
      </c>
      <c r="Z26">
        <v>68</v>
      </c>
      <c r="AA26">
        <v>15.07</v>
      </c>
    </row>
    <row r="27" spans="1:27">
      <c r="A27" s="126">
        <v>45359</v>
      </c>
      <c r="B27">
        <f>B33</f>
        <v>1110</v>
      </c>
      <c r="C27">
        <v>31.402999999999999</v>
      </c>
      <c r="D27">
        <f>D33</f>
        <v>321.99</v>
      </c>
      <c r="E27">
        <v>34.3643</v>
      </c>
      <c r="F27" s="124">
        <v>161</v>
      </c>
      <c r="G27">
        <v>2198.16</v>
      </c>
      <c r="H27">
        <f>H33</f>
        <v>50000</v>
      </c>
      <c r="I27">
        <v>0.99115900000000001</v>
      </c>
      <c r="J27">
        <f>J33</f>
        <v>75000</v>
      </c>
      <c r="K27">
        <v>0.99115900000000001</v>
      </c>
      <c r="L27" s="125">
        <f t="shared" si="8"/>
        <v>525972.37595699995</v>
      </c>
      <c r="M27">
        <v>160.9</v>
      </c>
      <c r="O27" s="127">
        <v>9155.32</v>
      </c>
      <c r="P27" s="133">
        <f t="shared" si="3"/>
        <v>1.1047128882442081E-2</v>
      </c>
      <c r="V27">
        <v>12</v>
      </c>
      <c r="W27">
        <v>37.799999999999997</v>
      </c>
      <c r="X27">
        <f>X33</f>
        <v>15</v>
      </c>
      <c r="Y27">
        <v>57.75</v>
      </c>
      <c r="Z27">
        <v>68</v>
      </c>
      <c r="AA27">
        <v>13.7</v>
      </c>
    </row>
    <row r="28" spans="1:27">
      <c r="A28" s="126">
        <v>45358</v>
      </c>
      <c r="B28">
        <f>B33</f>
        <v>1110</v>
      </c>
      <c r="C28">
        <v>31.297000000000001</v>
      </c>
      <c r="D28">
        <f>D33</f>
        <v>321.99</v>
      </c>
      <c r="E28">
        <v>34.110599999999998</v>
      </c>
      <c r="F28" s="124">
        <v>161</v>
      </c>
      <c r="G28">
        <v>2184.79</v>
      </c>
      <c r="H28">
        <f>H33</f>
        <v>50000</v>
      </c>
      <c r="I28">
        <v>0.945214</v>
      </c>
      <c r="J28">
        <f>J33</f>
        <v>75000</v>
      </c>
      <c r="K28">
        <v>0.945214</v>
      </c>
      <c r="L28" s="125">
        <f t="shared" si="8"/>
        <v>517832.22209400003</v>
      </c>
      <c r="M28">
        <v>155.75</v>
      </c>
      <c r="O28" s="127">
        <v>9054.18</v>
      </c>
      <c r="P28" s="133">
        <f t="shared" si="3"/>
        <v>3.4194151209717583E-2</v>
      </c>
      <c r="V28">
        <v>12</v>
      </c>
      <c r="W28">
        <v>34.380000000000003</v>
      </c>
      <c r="X28">
        <f>X33</f>
        <v>15</v>
      </c>
      <c r="Y28">
        <v>63.1</v>
      </c>
      <c r="Z28">
        <v>68</v>
      </c>
      <c r="AA28">
        <v>12.46</v>
      </c>
    </row>
    <row r="29" spans="1:27">
      <c r="A29" s="126">
        <v>45357</v>
      </c>
      <c r="B29">
        <f>B33</f>
        <v>1110</v>
      </c>
      <c r="C29">
        <v>31.293399999999998</v>
      </c>
      <c r="D29">
        <f>D33</f>
        <v>321.99</v>
      </c>
      <c r="E29">
        <v>34.006500000000003</v>
      </c>
      <c r="F29" s="124">
        <v>161</v>
      </c>
      <c r="G29">
        <v>2150.9</v>
      </c>
      <c r="H29">
        <f>H33</f>
        <v>50000</v>
      </c>
      <c r="I29">
        <v>0.99397100000000005</v>
      </c>
      <c r="J29">
        <f>J33</f>
        <v>75000</v>
      </c>
      <c r="K29">
        <v>0.99397100000000005</v>
      </c>
      <c r="L29" s="125">
        <f t="shared" si="8"/>
        <v>551296.63907100004</v>
      </c>
      <c r="M29">
        <v>156.16</v>
      </c>
      <c r="O29" s="127">
        <v>8744.58</v>
      </c>
      <c r="P29" s="133">
        <f t="shared" ref="P10:P29" si="9">(1-(O30/O29))</f>
        <v>-1.3258498407013208E-2</v>
      </c>
      <c r="T29">
        <f>T33</f>
        <v>57</v>
      </c>
      <c r="U29">
        <v>580.05924800000003</v>
      </c>
      <c r="V29">
        <v>12</v>
      </c>
      <c r="W29">
        <v>31.26</v>
      </c>
      <c r="X29">
        <f>X33</f>
        <v>15</v>
      </c>
      <c r="Y29">
        <v>57.4</v>
      </c>
      <c r="Z29">
        <v>68</v>
      </c>
      <c r="AA29">
        <v>11.33</v>
      </c>
    </row>
    <row r="30" spans="1:27">
      <c r="A30" s="126">
        <v>45356</v>
      </c>
      <c r="B30">
        <f>B33</f>
        <v>1110</v>
      </c>
      <c r="C30">
        <v>31.079899999999999</v>
      </c>
      <c r="D30">
        <f>D33</f>
        <v>321.99</v>
      </c>
      <c r="E30">
        <v>33.721699999999998</v>
      </c>
      <c r="F30" s="124">
        <v>161</v>
      </c>
      <c r="G30">
        <v>2116.34</v>
      </c>
      <c r="H30">
        <f>H33</f>
        <v>50000</v>
      </c>
      <c r="I30">
        <v>1.0160309999999999</v>
      </c>
      <c r="J30">
        <f>J33</f>
        <v>75000</v>
      </c>
      <c r="K30">
        <v>1.0160309999999999</v>
      </c>
      <c r="L30" s="125">
        <f t="shared" si="8"/>
        <v>549382.85210899997</v>
      </c>
      <c r="M30">
        <v>154.22999999999999</v>
      </c>
      <c r="O30" s="127">
        <v>8860.52</v>
      </c>
      <c r="P30" s="133">
        <f t="shared" ref="P30:P37" si="10">(1-(O31/O30))</f>
        <v>-5.319100910555985E-3</v>
      </c>
      <c r="R30">
        <f>R33</f>
        <v>36</v>
      </c>
      <c r="S30" s="134">
        <v>38.15</v>
      </c>
      <c r="T30">
        <f>T33</f>
        <v>57</v>
      </c>
      <c r="U30">
        <v>579.361718</v>
      </c>
      <c r="V30">
        <f>V33</f>
        <v>12</v>
      </c>
      <c r="W30">
        <v>28.42</v>
      </c>
      <c r="X30">
        <f>X33</f>
        <v>15</v>
      </c>
      <c r="Y30">
        <v>52.2</v>
      </c>
      <c r="Z30">
        <v>68</v>
      </c>
      <c r="AA30">
        <v>11.33</v>
      </c>
    </row>
    <row r="31" spans="1:27">
      <c r="A31" s="126">
        <v>45355</v>
      </c>
      <c r="B31">
        <f>B33</f>
        <v>1110</v>
      </c>
      <c r="C31">
        <v>30.905999999999999</v>
      </c>
      <c r="D31">
        <f>D33</f>
        <v>321.99</v>
      </c>
      <c r="E31">
        <v>33.542299999999997</v>
      </c>
      <c r="F31" s="124">
        <v>161</v>
      </c>
      <c r="G31">
        <v>2072.52</v>
      </c>
      <c r="H31">
        <f>H33</f>
        <v>50000</v>
      </c>
      <c r="I31">
        <v>1.041954</v>
      </c>
      <c r="J31">
        <f>J33</f>
        <v>75000</v>
      </c>
      <c r="K31">
        <v>1.041954</v>
      </c>
      <c r="L31" s="125">
        <f t="shared" si="8"/>
        <v>545049.74954800005</v>
      </c>
      <c r="O31" s="127">
        <v>8907.65</v>
      </c>
      <c r="P31" s="133">
        <f t="shared" si="10"/>
        <v>-2.1273848882702007E-2</v>
      </c>
      <c r="R31">
        <f>R33</f>
        <v>36</v>
      </c>
      <c r="S31">
        <v>34.659999999999997</v>
      </c>
      <c r="T31">
        <f>T33</f>
        <v>57</v>
      </c>
      <c r="U31">
        <v>578.66060300000004</v>
      </c>
      <c r="V31">
        <f>V33</f>
        <v>12</v>
      </c>
      <c r="W31">
        <v>25.84</v>
      </c>
      <c r="X31">
        <f>X33</f>
        <v>15</v>
      </c>
      <c r="Y31">
        <v>47.46</v>
      </c>
      <c r="Z31">
        <v>68</v>
      </c>
      <c r="AA31">
        <v>11.33</v>
      </c>
    </row>
    <row r="32" spans="1:27">
      <c r="A32" s="126">
        <v>45352</v>
      </c>
      <c r="B32">
        <f>B33</f>
        <v>1110</v>
      </c>
      <c r="C32">
        <v>30.7361</v>
      </c>
      <c r="D32">
        <f>D33</f>
        <v>321.99</v>
      </c>
      <c r="E32">
        <v>33.225700000000003</v>
      </c>
      <c r="F32" s="124">
        <v>161</v>
      </c>
      <c r="G32">
        <v>2018.91</v>
      </c>
      <c r="H32">
        <f>H33</f>
        <v>50000</v>
      </c>
      <c r="I32">
        <v>1.034036</v>
      </c>
      <c r="J32">
        <f>J33</f>
        <v>75000</v>
      </c>
      <c r="K32">
        <v>1.034036</v>
      </c>
      <c r="L32" s="125">
        <f t="shared" si="8"/>
        <v>534814.50418999989</v>
      </c>
      <c r="O32" s="127">
        <v>9097.15</v>
      </c>
      <c r="P32" s="133">
        <f t="shared" si="10"/>
        <v>-1.0612114783201454E-2</v>
      </c>
      <c r="R32">
        <f>R33</f>
        <v>36</v>
      </c>
      <c r="S32">
        <v>31.52</v>
      </c>
      <c r="T32">
        <f>T33</f>
        <v>57</v>
      </c>
      <c r="U32">
        <v>576.58807100000001</v>
      </c>
      <c r="V32">
        <f>V33</f>
        <v>12</v>
      </c>
      <c r="W32">
        <v>23.5</v>
      </c>
      <c r="X32">
        <f>X33</f>
        <v>15</v>
      </c>
      <c r="Y32">
        <v>43.16</v>
      </c>
      <c r="Z32">
        <v>68</v>
      </c>
      <c r="AA32">
        <v>11.33</v>
      </c>
    </row>
    <row r="33" spans="1:27">
      <c r="A33" s="126">
        <v>45351</v>
      </c>
      <c r="B33">
        <f>B34</f>
        <v>1110</v>
      </c>
      <c r="C33">
        <v>30.7361</v>
      </c>
      <c r="D33">
        <f>D34</f>
        <v>321.99</v>
      </c>
      <c r="E33">
        <v>33.225700000000003</v>
      </c>
      <c r="F33" s="124">
        <v>161</v>
      </c>
      <c r="G33">
        <v>2018.91</v>
      </c>
      <c r="H33">
        <f>H34</f>
        <v>50000</v>
      </c>
      <c r="I33">
        <v>1.010337</v>
      </c>
      <c r="J33">
        <f>J34</f>
        <v>75000</v>
      </c>
      <c r="K33">
        <v>1.010337</v>
      </c>
      <c r="L33" s="125">
        <f t="shared" si="8"/>
        <v>530894.48918999988</v>
      </c>
      <c r="O33" s="127">
        <v>9193.69</v>
      </c>
      <c r="P33" s="133">
        <f t="shared" si="10"/>
        <v>1.428479750785594E-2</v>
      </c>
      <c r="R33">
        <f>R34</f>
        <v>36</v>
      </c>
      <c r="S33">
        <v>28.66</v>
      </c>
      <c r="T33">
        <f>T34</f>
        <v>57</v>
      </c>
      <c r="U33">
        <v>576.58807100000001</v>
      </c>
      <c r="V33">
        <f>V34</f>
        <v>12</v>
      </c>
      <c r="W33">
        <v>21.38</v>
      </c>
      <c r="X33">
        <v>15</v>
      </c>
      <c r="Y33">
        <v>39.24</v>
      </c>
    </row>
    <row r="34" spans="1:27">
      <c r="A34" s="126">
        <v>45350</v>
      </c>
      <c r="B34">
        <v>1110</v>
      </c>
      <c r="C34">
        <v>30.7361</v>
      </c>
      <c r="D34">
        <v>321.99</v>
      </c>
      <c r="E34">
        <v>33.225700000000003</v>
      </c>
      <c r="F34" s="124">
        <v>161</v>
      </c>
      <c r="G34">
        <v>2018.91</v>
      </c>
      <c r="H34">
        <f>H35</f>
        <v>50000</v>
      </c>
      <c r="I34">
        <v>1.067704</v>
      </c>
      <c r="J34">
        <f>J35</f>
        <v>75000</v>
      </c>
      <c r="K34">
        <v>1.067704</v>
      </c>
      <c r="L34" s="125">
        <f t="shared" si="8"/>
        <v>537360.00419000001</v>
      </c>
      <c r="O34" s="127">
        <v>9062.36</v>
      </c>
      <c r="P34" s="133">
        <f t="shared" si="10"/>
        <v>-1.292378585710563E-2</v>
      </c>
      <c r="R34">
        <f>R35</f>
        <v>36</v>
      </c>
      <c r="S34">
        <v>26.06</v>
      </c>
      <c r="T34">
        <v>57</v>
      </c>
      <c r="U34">
        <v>576.58807100000001</v>
      </c>
      <c r="V34">
        <v>12</v>
      </c>
      <c r="W34">
        <v>19.45</v>
      </c>
    </row>
    <row r="35" spans="1:27">
      <c r="A35" s="126">
        <v>45349</v>
      </c>
      <c r="B35">
        <v>1110</v>
      </c>
      <c r="C35">
        <v>30.7361</v>
      </c>
      <c r="D35">
        <v>321.99</v>
      </c>
      <c r="E35">
        <v>33.225700000000003</v>
      </c>
      <c r="F35" s="124">
        <v>161</v>
      </c>
      <c r="G35">
        <v>2018.91</v>
      </c>
      <c r="H35">
        <f>H36</f>
        <v>50000</v>
      </c>
      <c r="I35">
        <v>1.064435</v>
      </c>
      <c r="J35">
        <v>75000</v>
      </c>
      <c r="K35">
        <v>1.064435</v>
      </c>
      <c r="L35" s="125">
        <f t="shared" si="8"/>
        <v>536633.0191899999</v>
      </c>
      <c r="O35" s="127">
        <v>9179.48</v>
      </c>
      <c r="P35" s="133">
        <f t="shared" si="10"/>
        <v>-1.6847359545420826E-2</v>
      </c>
      <c r="R35">
        <v>36</v>
      </c>
      <c r="S35">
        <v>23.7</v>
      </c>
      <c r="T35">
        <v>57</v>
      </c>
      <c r="U35">
        <v>576.58807100000001</v>
      </c>
    </row>
    <row r="36" spans="1:27">
      <c r="A36" s="126">
        <v>45348</v>
      </c>
      <c r="B36">
        <v>1110</v>
      </c>
      <c r="C36">
        <v>30.7361</v>
      </c>
      <c r="D36">
        <v>321.99</v>
      </c>
      <c r="E36">
        <v>33.225700000000003</v>
      </c>
      <c r="F36" s="124">
        <v>161</v>
      </c>
      <c r="G36">
        <v>2018.91</v>
      </c>
      <c r="H36">
        <f>H37</f>
        <v>50000</v>
      </c>
      <c r="I36">
        <v>1.0192399999999999</v>
      </c>
      <c r="K36">
        <v>1.0192399999999999</v>
      </c>
      <c r="L36" s="125">
        <f t="shared" si="8"/>
        <v>454463.60418999993</v>
      </c>
      <c r="O36" s="127">
        <v>9334.1299999999992</v>
      </c>
      <c r="P36" s="133">
        <f t="shared" si="10"/>
        <v>-4.2928478604864484E-3</v>
      </c>
      <c r="R36">
        <v>36</v>
      </c>
      <c r="S36">
        <v>21.56</v>
      </c>
      <c r="T36">
        <v>57</v>
      </c>
      <c r="U36">
        <v>576.58807100000001</v>
      </c>
    </row>
    <row r="37" spans="1:27">
      <c r="A37" s="126">
        <v>45345</v>
      </c>
      <c r="B37">
        <v>1110</v>
      </c>
      <c r="C37">
        <v>30.7361</v>
      </c>
      <c r="D37">
        <v>321.99</v>
      </c>
      <c r="E37">
        <v>33.225700000000003</v>
      </c>
      <c r="F37" s="124">
        <v>161</v>
      </c>
      <c r="G37">
        <v>2018.91</v>
      </c>
      <c r="H37">
        <v>50000</v>
      </c>
      <c r="I37">
        <v>1.0032049999999999</v>
      </c>
      <c r="K37">
        <v>1.0032049999999999</v>
      </c>
      <c r="L37" s="125">
        <f t="shared" si="8"/>
        <v>453591.29418999993</v>
      </c>
      <c r="O37" s="127">
        <v>9374.2000000000007</v>
      </c>
      <c r="P37" s="133">
        <f t="shared" si="10"/>
        <v>2.8834460540633211E-3</v>
      </c>
      <c r="R37">
        <v>36</v>
      </c>
      <c r="S37">
        <v>19.600000000000001</v>
      </c>
      <c r="T37">
        <v>57</v>
      </c>
      <c r="U37">
        <v>576.58807100000001</v>
      </c>
    </row>
    <row r="38" spans="1:27">
      <c r="I38">
        <v>0.97160999999999997</v>
      </c>
      <c r="K38">
        <v>0.97160999999999997</v>
      </c>
      <c r="O38" s="127">
        <v>9347.17</v>
      </c>
      <c r="R38">
        <v>36</v>
      </c>
      <c r="S38">
        <v>17.82</v>
      </c>
    </row>
    <row r="39" spans="1:27">
      <c r="I39">
        <v>0.93849000000000005</v>
      </c>
      <c r="K39">
        <v>0.93849000000000005</v>
      </c>
      <c r="R39">
        <v>36</v>
      </c>
      <c r="S39" s="135">
        <v>15.3</v>
      </c>
      <c r="W39" s="135">
        <f>W34</f>
        <v>19.45</v>
      </c>
      <c r="Y39" s="135">
        <f>Y33</f>
        <v>39.24</v>
      </c>
      <c r="AA39" s="135">
        <f>AA32</f>
        <v>11.33</v>
      </c>
    </row>
    <row r="40" spans="1:27">
      <c r="I40">
        <v>0.91198999999999997</v>
      </c>
      <c r="K40">
        <v>0.91198999999999997</v>
      </c>
      <c r="P40" s="136">
        <f>SUM(P6:P39)</f>
        <v>-8.5842114756896626E-3</v>
      </c>
      <c r="S40" s="135" t="s">
        <v>60</v>
      </c>
      <c r="W40" s="135" t="s">
        <v>60</v>
      </c>
      <c r="Y40" s="135" t="s">
        <v>60</v>
      </c>
      <c r="AA40" s="135" t="s">
        <v>60</v>
      </c>
    </row>
    <row r="41" spans="1:27">
      <c r="I41">
        <v>0.90268000000000004</v>
      </c>
      <c r="K41">
        <v>0.90268000000000004</v>
      </c>
      <c r="S41" s="137" t="s">
        <v>61</v>
      </c>
      <c r="W41" s="137" t="s">
        <v>61</v>
      </c>
      <c r="Y41" s="137" t="s">
        <v>61</v>
      </c>
      <c r="AA41" s="137" t="s">
        <v>61</v>
      </c>
    </row>
    <row r="42" spans="1:27">
      <c r="I42">
        <v>0.89847999999999995</v>
      </c>
      <c r="K42">
        <v>0.89847999999999995</v>
      </c>
      <c r="R42" t="s">
        <v>62</v>
      </c>
      <c r="S42" s="137">
        <v>38</v>
      </c>
      <c r="W42" s="137">
        <v>45.72</v>
      </c>
      <c r="Y42" s="137">
        <v>55.5</v>
      </c>
      <c r="AA42" s="137">
        <f>AA2</f>
        <v>19.690000000000001</v>
      </c>
    </row>
    <row r="43" spans="1:27">
      <c r="I43">
        <v>0.88783999999999996</v>
      </c>
      <c r="K43">
        <v>0.88783999999999996</v>
      </c>
      <c r="S43" s="138">
        <f>Sayfa2!M42</f>
        <v>1.3456790123456792</v>
      </c>
      <c r="W43" s="138">
        <f>(W42-W34)/W34</f>
        <v>1.3506426735218509</v>
      </c>
      <c r="Y43" s="138">
        <f>(Y42-Y33)/Y33</f>
        <v>0.41437308868501521</v>
      </c>
      <c r="AA43" s="138">
        <f>(AA42-AA32)/AA32</f>
        <v>0.73786407766990303</v>
      </c>
    </row>
    <row r="44" spans="1:27">
      <c r="I44">
        <v>0.86724999999999997</v>
      </c>
      <c r="K44">
        <v>0.86724999999999997</v>
      </c>
    </row>
    <row r="45" spans="1:27">
      <c r="R45" s="139" t="s">
        <v>63</v>
      </c>
      <c r="S45" s="139">
        <f>(38*36)-(36*16.2)</f>
        <v>784.80000000000007</v>
      </c>
      <c r="V45" s="139" t="s">
        <v>63</v>
      </c>
      <c r="W45" s="139">
        <f>(V34*W42)-(V6*W34)</f>
        <v>548.64</v>
      </c>
      <c r="X45" s="139" t="s">
        <v>63</v>
      </c>
      <c r="Y45" s="139">
        <f>(X33*Y42)-(X6*Y33)</f>
        <v>832.5</v>
      </c>
      <c r="AA45" s="139">
        <f>(Z32*AA42)-(Z20*AA32)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6" sqref="B6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45386</v>
      </c>
      <c r="C5" s="3"/>
      <c r="D5" s="1"/>
      <c r="E5" s="4"/>
      <c r="F5" s="2"/>
      <c r="G5" s="3"/>
      <c r="H5" s="5"/>
      <c r="I5" s="6"/>
      <c r="J5" s="3"/>
      <c r="K5" s="14">
        <f>SUM(K8:K9)</f>
        <v>-110.74899999999968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113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-110.74899999999968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-0.98007964601769626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5320.6610000000001</v>
      </c>
      <c r="J8" s="3"/>
      <c r="K8" s="142">
        <f>SUBTOTAL(109,K13:K20)</f>
        <v>-676.41899999999987</v>
      </c>
      <c r="L8" s="44">
        <f>K8/E8</f>
        <v>-0.11279139181068118</v>
      </c>
      <c r="M8" s="68">
        <f>SUBTOTAL(101,M13:M19)</f>
        <v>-8.691390571011888E-2</v>
      </c>
      <c r="N8" s="68">
        <f>SUBTOTAL(101,N13:N19)</f>
        <v>-4.5553611192693418E-2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0.19492481712553181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-676.41899999999987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45386</v>
      </c>
      <c r="G16" s="46">
        <v>26</v>
      </c>
      <c r="H16" s="1">
        <v>47.3</v>
      </c>
      <c r="I16" s="51">
        <f>Tablo23[[#This Row],[Fiyat]]*Tablo23[[#This Row],[Miktar]]</f>
        <v>1229.8</v>
      </c>
      <c r="J16" s="116">
        <f>H16-D16</f>
        <v>-7.7800000000000011</v>
      </c>
      <c r="K16" s="66">
        <f>Tablo23[[#This Row],[Miktar3]]*Tablo23[[#This Row],[adet]]</f>
        <v>-202.28000000000003</v>
      </c>
      <c r="L16" s="67">
        <f>F16-B16</f>
        <v>113</v>
      </c>
      <c r="M16" s="68">
        <f>K16/E16</f>
        <v>-0.14124909222948442</v>
      </c>
      <c r="N16" s="68">
        <f>M16/L16*30</f>
        <v>-3.7499758998978165E-2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45386</v>
      </c>
      <c r="G17" s="64">
        <v>9</v>
      </c>
      <c r="H17" s="65">
        <v>134</v>
      </c>
      <c r="I17" s="51">
        <f>Tablo23[[#This Row],[Fiyat]]*Tablo23[[#This Row],[Miktar]]</f>
        <v>1206</v>
      </c>
      <c r="J17" s="46">
        <f>H17-D17</f>
        <v>4</v>
      </c>
      <c r="K17" s="66">
        <f>Tablo23[[#This Row],[Miktar3]]*Tablo23[[#This Row],[adet]]</f>
        <v>36</v>
      </c>
      <c r="L17" s="67">
        <f>F17-B17</f>
        <v>113</v>
      </c>
      <c r="M17" s="68">
        <f>K17/E17</f>
        <v>3.0769230769230771E-2</v>
      </c>
      <c r="N17" s="68">
        <f>M17/L17*30</f>
        <v>8.168822328114363E-3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45386</v>
      </c>
      <c r="G18" s="64">
        <v>3500</v>
      </c>
      <c r="H18" s="65">
        <f>Sayfa4!K6</f>
        <v>0.82424600000000003</v>
      </c>
      <c r="I18" s="51">
        <f>Tablo23[[#This Row],[Fiyat]]*Tablo23[[#This Row],[Miktar]]</f>
        <v>2884.8610000000003</v>
      </c>
      <c r="J18" s="46">
        <f>H18-D18</f>
        <v>-0.14575399999999994</v>
      </c>
      <c r="K18" s="66">
        <f>Tablo23[[#This Row],[Miktar3]]*Tablo23[[#This Row],[adet]]</f>
        <v>-510.13899999999978</v>
      </c>
      <c r="L18" s="67">
        <f>F18-B18</f>
        <v>42</v>
      </c>
      <c r="M18" s="68">
        <f>K18/E18</f>
        <v>-0.15026185567010303</v>
      </c>
      <c r="N18" s="68">
        <f>M18/L18*30</f>
        <v>-0.10732989690721645</v>
      </c>
      <c r="O18" s="70">
        <f>SUM(K15:K18)</f>
        <v>-676.41899999999987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2024-04-05T08:13:50Z</dcterms:modified>
  <dc:language>tr-TR</dc:language>
</cp:coreProperties>
</file>