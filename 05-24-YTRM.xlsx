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F82F48A-3B31-4848-99A9-3924A66A9BD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5" i="2" l="1"/>
  <c r="W16" i="2"/>
  <c r="R11" i="2"/>
  <c r="P11" i="2"/>
  <c r="K11" i="2"/>
  <c r="J11" i="2"/>
  <c r="H11" i="2"/>
  <c r="D11" i="2"/>
  <c r="L11" i="2" s="1"/>
  <c r="B11" i="2"/>
  <c r="G14" i="1"/>
  <c r="F14" i="1"/>
  <c r="L14" i="1" s="1"/>
  <c r="N14" i="1" s="1"/>
  <c r="E14" i="1"/>
  <c r="L47" i="2"/>
  <c r="W5" i="2"/>
  <c r="W17" i="2" s="1"/>
  <c r="R12" i="2"/>
  <c r="P12" i="2"/>
  <c r="K12" i="2"/>
  <c r="P10" i="2"/>
  <c r="P13" i="2"/>
  <c r="P14" i="2"/>
  <c r="R13" i="2"/>
  <c r="K13" i="2"/>
  <c r="E7" i="3"/>
  <c r="J9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E50" i="2"/>
  <c r="AC51" i="2"/>
  <c r="Y55" i="2"/>
  <c r="AE48" i="2"/>
  <c r="AC49" i="2"/>
  <c r="AG43" i="2"/>
  <c r="AE44" i="2"/>
  <c r="AC45" i="2"/>
  <c r="P47" i="2"/>
  <c r="P46" i="2"/>
  <c r="H46" i="2"/>
  <c r="L46" i="2" s="1"/>
  <c r="P45" i="2"/>
  <c r="X44" i="2"/>
  <c r="X43" i="2" s="1"/>
  <c r="P44" i="2"/>
  <c r="J44" i="2"/>
  <c r="J43" i="2" s="1"/>
  <c r="J26" i="2" s="1"/>
  <c r="AB43" i="2"/>
  <c r="AB41" i="2" s="1"/>
  <c r="Z43" i="2"/>
  <c r="Z39" i="2" s="1"/>
  <c r="P43" i="2"/>
  <c r="D43" i="2"/>
  <c r="D36" i="2" s="1"/>
  <c r="B43" i="2"/>
  <c r="B26" i="2" s="1"/>
  <c r="AD42" i="2"/>
  <c r="P42" i="2"/>
  <c r="AD41" i="2"/>
  <c r="P41" i="2"/>
  <c r="AD40" i="2"/>
  <c r="P40" i="2"/>
  <c r="AD39" i="2"/>
  <c r="P39" i="2"/>
  <c r="AD38" i="2"/>
  <c r="P38" i="2"/>
  <c r="AD37" i="2"/>
  <c r="P37" i="2"/>
  <c r="AD36" i="2"/>
  <c r="R36" i="2"/>
  <c r="P36" i="2"/>
  <c r="R35" i="2"/>
  <c r="P35" i="2"/>
  <c r="R34" i="2"/>
  <c r="P34" i="2"/>
  <c r="R33" i="2"/>
  <c r="P33" i="2"/>
  <c r="R32" i="2"/>
  <c r="P32" i="2"/>
  <c r="R31" i="2"/>
  <c r="P31" i="2"/>
  <c r="R30" i="2"/>
  <c r="P30" i="2"/>
  <c r="K30" i="2"/>
  <c r="R29" i="2"/>
  <c r="P29" i="2"/>
  <c r="K29" i="2"/>
  <c r="R28" i="2"/>
  <c r="P28" i="2"/>
  <c r="K28" i="2"/>
  <c r="R27" i="2"/>
  <c r="P27" i="2"/>
  <c r="K27" i="2"/>
  <c r="R26" i="2"/>
  <c r="P26" i="2"/>
  <c r="K26" i="2"/>
  <c r="R25" i="2"/>
  <c r="P25" i="2"/>
  <c r="K25" i="2"/>
  <c r="D25" i="2"/>
  <c r="B25" i="2"/>
  <c r="R24" i="2"/>
  <c r="P24" i="2"/>
  <c r="K24" i="2"/>
  <c r="R23" i="2"/>
  <c r="P23" i="2"/>
  <c r="K23" i="2"/>
  <c r="R22" i="2"/>
  <c r="P22" i="2"/>
  <c r="K22" i="2"/>
  <c r="R21" i="2"/>
  <c r="P21" i="2"/>
  <c r="K21" i="2"/>
  <c r="R20" i="2"/>
  <c r="P20" i="2"/>
  <c r="K20" i="2"/>
  <c r="R19" i="2"/>
  <c r="P19" i="2"/>
  <c r="K19" i="2"/>
  <c r="R18" i="2"/>
  <c r="P18" i="2"/>
  <c r="K18" i="2"/>
  <c r="R17" i="2"/>
  <c r="P17" i="2"/>
  <c r="K17" i="2"/>
  <c r="R16" i="2"/>
  <c r="P16" i="2"/>
  <c r="K16" i="2"/>
  <c r="R15" i="2"/>
  <c r="P15" i="2"/>
  <c r="K15" i="2"/>
  <c r="R14" i="2"/>
  <c r="K14" i="2"/>
  <c r="R10" i="2"/>
  <c r="K10" i="2"/>
  <c r="H18" i="3" s="1"/>
  <c r="I18" i="3" s="1"/>
  <c r="AG5" i="2"/>
  <c r="AG46" i="2" s="1"/>
  <c r="AE5" i="2"/>
  <c r="AC5" i="2"/>
  <c r="AA5" i="2"/>
  <c r="Y5" i="2"/>
  <c r="K5" i="2"/>
  <c r="I5" i="2"/>
  <c r="H15" i="1" s="1"/>
  <c r="G5" i="2"/>
  <c r="E5" i="2"/>
  <c r="H24" i="1" s="1"/>
  <c r="C5" i="2"/>
  <c r="H25" i="1" s="1"/>
  <c r="A5" i="2"/>
  <c r="L74" i="1"/>
  <c r="K74" i="1"/>
  <c r="M74" i="1" s="1"/>
  <c r="N74" i="1" s="1"/>
  <c r="J74" i="1"/>
  <c r="I74" i="1"/>
  <c r="E74" i="1"/>
  <c r="L73" i="1"/>
  <c r="J73" i="1"/>
  <c r="K73" i="1" s="1"/>
  <c r="M73" i="1" s="1"/>
  <c r="N73" i="1" s="1"/>
  <c r="I73" i="1"/>
  <c r="H73" i="1"/>
  <c r="E73" i="1"/>
  <c r="L72" i="1"/>
  <c r="J72" i="1"/>
  <c r="K72" i="1" s="1"/>
  <c r="M72" i="1" s="1"/>
  <c r="N72" i="1" s="1"/>
  <c r="I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N68" i="1"/>
  <c r="M68" i="1"/>
  <c r="L68" i="1"/>
  <c r="K68" i="1"/>
  <c r="J68" i="1"/>
  <c r="I68" i="1"/>
  <c r="E68" i="1"/>
  <c r="L67" i="1"/>
  <c r="J67" i="1"/>
  <c r="K67" i="1" s="1"/>
  <c r="M67" i="1" s="1"/>
  <c r="N67" i="1" s="1"/>
  <c r="I67" i="1"/>
  <c r="E67" i="1"/>
  <c r="L66" i="1"/>
  <c r="K66" i="1"/>
  <c r="M66" i="1" s="1"/>
  <c r="N66" i="1" s="1"/>
  <c r="J66" i="1"/>
  <c r="I66" i="1"/>
  <c r="E66" i="1"/>
  <c r="L65" i="1"/>
  <c r="J65" i="1"/>
  <c r="K65" i="1" s="1"/>
  <c r="M65" i="1" s="1"/>
  <c r="N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K60" i="1"/>
  <c r="M60" i="1" s="1"/>
  <c r="N60" i="1" s="1"/>
  <c r="J60" i="1"/>
  <c r="I60" i="1"/>
  <c r="E60" i="1"/>
  <c r="L59" i="1"/>
  <c r="J59" i="1"/>
  <c r="K59" i="1" s="1"/>
  <c r="M59" i="1" s="1"/>
  <c r="N59" i="1" s="1"/>
  <c r="I59" i="1"/>
  <c r="E59" i="1"/>
  <c r="L58" i="1"/>
  <c r="K58" i="1"/>
  <c r="M58" i="1" s="1"/>
  <c r="N58" i="1" s="1"/>
  <c r="J58" i="1"/>
  <c r="I58" i="1"/>
  <c r="E58" i="1"/>
  <c r="L57" i="1"/>
  <c r="K57" i="1"/>
  <c r="M57" i="1" s="1"/>
  <c r="N57" i="1" s="1"/>
  <c r="J57" i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2" i="1"/>
  <c r="J52" i="1"/>
  <c r="K52" i="1" s="1"/>
  <c r="M52" i="1" s="1"/>
  <c r="N52" i="1" s="1"/>
  <c r="I52" i="1"/>
  <c r="E52" i="1"/>
  <c r="K51" i="1"/>
  <c r="M51" i="1" s="1"/>
  <c r="J51" i="1"/>
  <c r="I51" i="1"/>
  <c r="E51" i="1"/>
  <c r="L50" i="1"/>
  <c r="J50" i="1"/>
  <c r="K50" i="1" s="1"/>
  <c r="M50" i="1" s="1"/>
  <c r="N50" i="1" s="1"/>
  <c r="I50" i="1"/>
  <c r="E50" i="1"/>
  <c r="L49" i="1"/>
  <c r="K49" i="1"/>
  <c r="M49" i="1" s="1"/>
  <c r="N49" i="1" s="1"/>
  <c r="J49" i="1"/>
  <c r="I49" i="1"/>
  <c r="E49" i="1"/>
  <c r="K48" i="1"/>
  <c r="I48" i="1"/>
  <c r="E48" i="1"/>
  <c r="L47" i="1"/>
  <c r="K47" i="1"/>
  <c r="M47" i="1" s="1"/>
  <c r="N47" i="1" s="1"/>
  <c r="J47" i="1"/>
  <c r="I47" i="1"/>
  <c r="E47" i="1"/>
  <c r="L46" i="1"/>
  <c r="J46" i="1"/>
  <c r="K46" i="1" s="1"/>
  <c r="I46" i="1"/>
  <c r="E46" i="1"/>
  <c r="L45" i="1"/>
  <c r="K45" i="1"/>
  <c r="J45" i="1"/>
  <c r="I45" i="1"/>
  <c r="E45" i="1"/>
  <c r="L44" i="1"/>
  <c r="K44" i="1"/>
  <c r="N44" i="1" s="1"/>
  <c r="J44" i="1"/>
  <c r="I44" i="1"/>
  <c r="E44" i="1"/>
  <c r="L42" i="1"/>
  <c r="J42" i="1"/>
  <c r="K42" i="1" s="1"/>
  <c r="M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O32" i="1"/>
  <c r="N32" i="1"/>
  <c r="L32" i="1"/>
  <c r="J32" i="1"/>
  <c r="K32" i="1" s="1"/>
  <c r="M32" i="1" s="1"/>
  <c r="I32" i="1"/>
  <c r="E32" i="1"/>
  <c r="L31" i="1"/>
  <c r="K31" i="1"/>
  <c r="M31" i="1" s="1"/>
  <c r="N31" i="1" s="1"/>
  <c r="J31" i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I18" i="1" s="1"/>
  <c r="P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Q11" i="2" l="1"/>
  <c r="S11" i="2"/>
  <c r="H14" i="1"/>
  <c r="J14" i="1" s="1"/>
  <c r="K14" i="1" s="1"/>
  <c r="M14" i="1" s="1"/>
  <c r="Z42" i="2"/>
  <c r="B34" i="2"/>
  <c r="D34" i="2"/>
  <c r="B19" i="2"/>
  <c r="D19" i="2"/>
  <c r="B12" i="2"/>
  <c r="Z41" i="2"/>
  <c r="J12" i="2"/>
  <c r="D12" i="2"/>
  <c r="D18" i="2"/>
  <c r="B33" i="2"/>
  <c r="B42" i="2"/>
  <c r="J25" i="2"/>
  <c r="D33" i="2"/>
  <c r="D42" i="2"/>
  <c r="D10" i="2" s="1"/>
  <c r="J14" i="2"/>
  <c r="D14" i="2"/>
  <c r="D13" i="2"/>
  <c r="J13" i="2"/>
  <c r="Z40" i="2"/>
  <c r="B13" i="2"/>
  <c r="D41" i="2"/>
  <c r="B22" i="2"/>
  <c r="B17" i="2"/>
  <c r="D17" i="2"/>
  <c r="B29" i="2"/>
  <c r="D28" i="2"/>
  <c r="D29" i="2"/>
  <c r="B28" i="2"/>
  <c r="B24" i="2"/>
  <c r="D24" i="2"/>
  <c r="D15" i="2"/>
  <c r="D30" i="2"/>
  <c r="B20" i="2"/>
  <c r="D26" i="2"/>
  <c r="B16" i="2"/>
  <c r="B21" i="2"/>
  <c r="D20" i="2"/>
  <c r="D16" i="2"/>
  <c r="B32" i="2"/>
  <c r="D31" i="2"/>
  <c r="D32" i="2"/>
  <c r="B40" i="2"/>
  <c r="B31" i="2"/>
  <c r="B39" i="2"/>
  <c r="D27" i="2"/>
  <c r="D40" i="2"/>
  <c r="I8" i="3"/>
  <c r="J18" i="1"/>
  <c r="K18" i="1" s="1"/>
  <c r="M18" i="1" s="1"/>
  <c r="N18" i="1" s="1"/>
  <c r="H19" i="1"/>
  <c r="H20" i="1" s="1"/>
  <c r="H21" i="1" s="1"/>
  <c r="H22" i="1" s="1"/>
  <c r="K9" i="3"/>
  <c r="L9" i="3" s="1"/>
  <c r="N9" i="3" s="1"/>
  <c r="O29" i="3"/>
  <c r="O21" i="3" s="1"/>
  <c r="M27" i="3"/>
  <c r="N27" i="3" s="1"/>
  <c r="M16" i="3"/>
  <c r="N17" i="3"/>
  <c r="M45" i="1"/>
  <c r="N45" i="1"/>
  <c r="J24" i="1"/>
  <c r="K24" i="1" s="1"/>
  <c r="M24" i="1" s="1"/>
  <c r="N24" i="1" s="1"/>
  <c r="I24" i="1"/>
  <c r="M38" i="1"/>
  <c r="N38" i="1" s="1"/>
  <c r="O74" i="1"/>
  <c r="M55" i="1"/>
  <c r="N55" i="1" s="1"/>
  <c r="E6" i="1"/>
  <c r="N42" i="1"/>
  <c r="Y53" i="2"/>
  <c r="P50" i="2"/>
  <c r="M36" i="1"/>
  <c r="N36" i="1" s="1"/>
  <c r="O52" i="1"/>
  <c r="N46" i="1"/>
  <c r="M46" i="1"/>
  <c r="AG49" i="2"/>
  <c r="AG47" i="2"/>
  <c r="I6" i="1"/>
  <c r="O34" i="1"/>
  <c r="O29" i="1" s="1"/>
  <c r="M34" i="1"/>
  <c r="N34" i="1" s="1"/>
  <c r="R18" i="1"/>
  <c r="J25" i="1"/>
  <c r="K25" i="1" s="1"/>
  <c r="M25" i="1" s="1"/>
  <c r="N25" i="1" s="1"/>
  <c r="I25" i="1"/>
  <c r="J15" i="1"/>
  <c r="K15" i="1" s="1"/>
  <c r="I15" i="1"/>
  <c r="H16" i="1"/>
  <c r="J33" i="2"/>
  <c r="J28" i="2"/>
  <c r="J16" i="2"/>
  <c r="J23" i="2"/>
  <c r="J41" i="2"/>
  <c r="J30" i="2"/>
  <c r="J18" i="2"/>
  <c r="J38" i="2"/>
  <c r="J35" i="2"/>
  <c r="J42" i="2"/>
  <c r="J10" i="2" s="1"/>
  <c r="J27" i="2"/>
  <c r="J15" i="2"/>
  <c r="J20" i="2"/>
  <c r="J37" i="2"/>
  <c r="J32" i="2"/>
  <c r="J22" i="2"/>
  <c r="J31" i="2"/>
  <c r="J19" i="2"/>
  <c r="J40" i="2"/>
  <c r="J29" i="2"/>
  <c r="J17" i="2"/>
  <c r="J34" i="2"/>
  <c r="J24" i="2"/>
  <c r="J36" i="2"/>
  <c r="J39" i="2"/>
  <c r="J21" i="2"/>
  <c r="X41" i="2"/>
  <c r="X40" i="2"/>
  <c r="X42" i="2"/>
  <c r="M40" i="1"/>
  <c r="N40" i="1" s="1"/>
  <c r="H45" i="2"/>
  <c r="L45" i="2" s="1"/>
  <c r="B37" i="2"/>
  <c r="D22" i="2"/>
  <c r="D37" i="2"/>
  <c r="B15" i="2"/>
  <c r="B27" i="2"/>
  <c r="AB42" i="2"/>
  <c r="B35" i="2"/>
  <c r="AB40" i="2"/>
  <c r="J18" i="3"/>
  <c r="K18" i="3" s="1"/>
  <c r="M18" i="3" s="1"/>
  <c r="N18" i="3" s="1"/>
  <c r="D35" i="2"/>
  <c r="B38" i="2"/>
  <c r="K6" i="1"/>
  <c r="L6" i="1" s="1"/>
  <c r="B18" i="2"/>
  <c r="B30" i="2"/>
  <c r="D38" i="2"/>
  <c r="B41" i="2"/>
  <c r="B23" i="2"/>
  <c r="D23" i="2"/>
  <c r="M44" i="1"/>
  <c r="D21" i="2"/>
  <c r="B36" i="2"/>
  <c r="D39" i="2"/>
  <c r="B14" i="2"/>
  <c r="I14" i="1" l="1"/>
  <c r="B10" i="2"/>
  <c r="J21" i="1"/>
  <c r="K21" i="1" s="1"/>
  <c r="M21" i="1" s="1"/>
  <c r="N21" i="1" s="1"/>
  <c r="K8" i="3"/>
  <c r="K5" i="3" s="1"/>
  <c r="B8" i="3" s="1"/>
  <c r="I21" i="1"/>
  <c r="J8" i="3"/>
  <c r="I7" i="3"/>
  <c r="I19" i="1"/>
  <c r="P19" i="1" s="1"/>
  <c r="R19" i="1" s="1"/>
  <c r="J19" i="1"/>
  <c r="K19" i="1" s="1"/>
  <c r="M19" i="1" s="1"/>
  <c r="N19" i="1" s="1"/>
  <c r="I20" i="1"/>
  <c r="P20" i="1" s="1"/>
  <c r="R20" i="1" s="1"/>
  <c r="J20" i="1"/>
  <c r="K20" i="1" s="1"/>
  <c r="M20" i="1" s="1"/>
  <c r="N20" i="1" s="1"/>
  <c r="O18" i="3"/>
  <c r="O14" i="3" s="1"/>
  <c r="M8" i="3"/>
  <c r="N16" i="3"/>
  <c r="N8" i="3" s="1"/>
  <c r="J16" i="1"/>
  <c r="K16" i="1" s="1"/>
  <c r="M16" i="1" s="1"/>
  <c r="N16" i="1" s="1"/>
  <c r="I16" i="1"/>
  <c r="M15" i="1"/>
  <c r="H44" i="2"/>
  <c r="L44" i="2" s="1"/>
  <c r="J22" i="1"/>
  <c r="K22" i="1" s="1"/>
  <c r="M22" i="1" s="1"/>
  <c r="N22" i="1" s="1"/>
  <c r="I22" i="1"/>
  <c r="H23" i="1"/>
  <c r="K7" i="3" l="1"/>
  <c r="L8" i="3"/>
  <c r="O16" i="1"/>
  <c r="R21" i="1"/>
  <c r="P23" i="1"/>
  <c r="I23" i="1"/>
  <c r="I5" i="1" s="1"/>
  <c r="J23" i="1"/>
  <c r="K23" i="1" s="1"/>
  <c r="O25" i="1" s="1"/>
  <c r="H25" i="2"/>
  <c r="L25" i="2" s="1"/>
  <c r="H43" i="2"/>
  <c r="L43" i="2" s="1"/>
  <c r="M5" i="1"/>
  <c r="N15" i="1"/>
  <c r="N5" i="1" s="1"/>
  <c r="T25" i="1"/>
  <c r="R23" i="1"/>
  <c r="P24" i="1"/>
  <c r="P25" i="1" s="1"/>
  <c r="R25" i="1" s="1"/>
  <c r="O11" i="1" l="1"/>
  <c r="H13" i="2"/>
  <c r="L13" i="2" s="1"/>
  <c r="H12" i="2"/>
  <c r="L12" i="2" s="1"/>
  <c r="R28" i="1"/>
  <c r="R26" i="1"/>
  <c r="H39" i="2"/>
  <c r="L39" i="2" s="1"/>
  <c r="H21" i="2"/>
  <c r="L21" i="2" s="1"/>
  <c r="H33" i="2"/>
  <c r="L33" i="2" s="1"/>
  <c r="H28" i="2"/>
  <c r="L28" i="2" s="1"/>
  <c r="H16" i="2"/>
  <c r="L16" i="2" s="1"/>
  <c r="H41" i="2"/>
  <c r="L41" i="2" s="1"/>
  <c r="H30" i="2"/>
  <c r="L30" i="2" s="1"/>
  <c r="H18" i="2"/>
  <c r="L18" i="2" s="1"/>
  <c r="H38" i="2"/>
  <c r="L38" i="2" s="1"/>
  <c r="H35" i="2"/>
  <c r="L35" i="2" s="1"/>
  <c r="H32" i="2"/>
  <c r="L32" i="2" s="1"/>
  <c r="H27" i="2"/>
  <c r="L27" i="2" s="1"/>
  <c r="H15" i="2"/>
  <c r="L15" i="2" s="1"/>
  <c r="H20" i="2"/>
  <c r="L20" i="2" s="1"/>
  <c r="H37" i="2"/>
  <c r="L37" i="2" s="1"/>
  <c r="H22" i="2"/>
  <c r="L22" i="2" s="1"/>
  <c r="H40" i="2"/>
  <c r="L40" i="2" s="1"/>
  <c r="H29" i="2"/>
  <c r="L29" i="2" s="1"/>
  <c r="H17" i="2"/>
  <c r="L17" i="2" s="1"/>
  <c r="H34" i="2"/>
  <c r="L34" i="2" s="1"/>
  <c r="H24" i="2"/>
  <c r="L24" i="2" s="1"/>
  <c r="H26" i="2"/>
  <c r="L26" i="2" s="1"/>
  <c r="H14" i="2"/>
  <c r="L14" i="2" s="1"/>
  <c r="H36" i="2"/>
  <c r="H23" i="2"/>
  <c r="L23" i="2" s="1"/>
  <c r="H31" i="2"/>
  <c r="L31" i="2" s="1"/>
  <c r="H19" i="2"/>
  <c r="L19" i="2" s="1"/>
  <c r="H42" i="2"/>
  <c r="L42" i="2" s="1"/>
  <c r="M23" i="1"/>
  <c r="N23" i="1" s="1"/>
  <c r="K5" i="1"/>
  <c r="L36" i="2" l="1"/>
  <c r="Q36" i="2" s="1"/>
  <c r="S12" i="2"/>
  <c r="Q13" i="2"/>
  <c r="S13" i="2"/>
  <c r="Q34" i="2"/>
  <c r="S34" i="2"/>
  <c r="Q29" i="2"/>
  <c r="S29" i="2"/>
  <c r="S20" i="2"/>
  <c r="Q20" i="2"/>
  <c r="S35" i="2"/>
  <c r="Q35" i="2"/>
  <c r="S26" i="2"/>
  <c r="Q26" i="2"/>
  <c r="S32" i="2"/>
  <c r="Q32" i="2"/>
  <c r="L5" i="1"/>
  <c r="K2" i="1"/>
  <c r="Q33" i="2"/>
  <c r="S33" i="2"/>
  <c r="S17" i="2"/>
  <c r="Q17" i="2"/>
  <c r="S30" i="2"/>
  <c r="S28" i="2"/>
  <c r="Q28" i="2"/>
  <c r="Q24" i="2"/>
  <c r="S24" i="2"/>
  <c r="S22" i="2"/>
  <c r="Q22" i="2"/>
  <c r="S15" i="2"/>
  <c r="Q15" i="2"/>
  <c r="Q18" i="2"/>
  <c r="S18" i="2"/>
  <c r="S16" i="2"/>
  <c r="Q16" i="2"/>
  <c r="H10" i="2"/>
  <c r="L10" i="2" s="1"/>
  <c r="S19" i="2"/>
  <c r="Q19" i="2"/>
  <c r="S31" i="2"/>
  <c r="Q31" i="2"/>
  <c r="Q21" i="2"/>
  <c r="S21" i="2"/>
  <c r="Q23" i="2"/>
  <c r="Q14" i="2"/>
  <c r="Q30" i="2" l="1"/>
  <c r="Q12" i="2"/>
  <c r="S14" i="2"/>
  <c r="Q27" i="2"/>
  <c r="S23" i="2"/>
  <c r="S27" i="2"/>
  <c r="S25" i="2"/>
  <c r="Q25" i="2"/>
  <c r="S10" i="2"/>
  <c r="Q10" i="2"/>
  <c r="D3" i="1"/>
  <c r="M5" i="2" s="1"/>
  <c r="N5" i="2"/>
  <c r="J7" i="3"/>
  <c r="L7" i="3"/>
</calcChain>
</file>

<file path=xl/sharedStrings.xml><?xml version="1.0" encoding="utf-8"?>
<sst xmlns="http://schemas.openxmlformats.org/spreadsheetml/2006/main" count="463" uniqueCount="237">
  <si>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</si>
  <si>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</si>
  <si>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</si>
  <si>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</si>
  <si>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</si>
  <si>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</si>
  <si>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</si>
  <si>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</si>
  <si>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</si>
  <si>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</si>
  <si>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</si>
  <si>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</si>
  <si>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</si>
  <si>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</si>
  <si>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</si>
  <si>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</si>
  <si>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</si>
  <si>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</si>
  <si>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</si>
  <si>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</si>
  <si>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</si>
  <si>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</si>
  <si>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</si>
  <si>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</si>
  <si>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</si>
  <si>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</si>
  <si>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</si>
  <si>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</si>
  <si>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</si>
  <si>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</si>
  <si>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</si>
  <si>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</si>
  <si>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</si>
  <si>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</si>
  <si>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</si>
  <si>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</si>
  <si>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</si>
  <si>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</si>
  <si>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</si>
  <si>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</si>
  <si>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</si>
  <si>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</si>
  <si>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</si>
  <si>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</si>
  <si>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</si>
  <si>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</si>
  <si>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</si>
  <si>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</si>
  <si>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</si>
  <si>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</si>
  <si>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</si>
  <si>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</si>
  <si>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</si>
  <si>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</si>
  <si>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</si>
  <si>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</si>
  <si>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</si>
  <si>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</si>
  <si>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</si>
  <si>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</si>
  <si>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</si>
  <si>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</si>
  <si>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</si>
  <si>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</si>
  <si>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</si>
  <si>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</si>
  <si>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</si>
  <si>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</si>
  <si>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</si>
  <si>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</si>
  <si>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</si>
  <si>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</si>
  <si>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</si>
  <si>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</si>
  <si>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</si>
  <si>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</si>
  <si>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</si>
  <si>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</si>
  <si>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</si>
  <si>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</si>
  <si>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</si>
  <si>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</si>
  <si>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</si>
  <si>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</si>
  <si>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</si>
  <si>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</si>
  <si>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</si>
  <si>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</si>
  <si>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</si>
  <si>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</si>
  <si>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</si>
  <si>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</si>
  <si>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</si>
  <si>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</si>
  <si>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</si>
  <si>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</si>
  <si>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</si>
  <si>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</si>
  <si>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</si>
  <si>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</si>
  <si>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</si>
  <si>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</si>
  <si>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</si>
  <si>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</si>
  <si>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</si>
  <si>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</si>
  <si>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</si>
  <si>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</si>
  <si>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</si>
  <si>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</si>
  <si>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</si>
  <si>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</si>
  <si>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</si>
  <si>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</si>
  <si>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</si>
  <si>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</si>
  <si>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</si>
  <si>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</si>
  <si>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</si>
  <si>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</si>
  <si>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</si>
  <si>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</si>
  <si>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</si>
  <si>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</si>
  <si>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</si>
  <si>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</si>
  <si>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</si>
  <si>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</si>
  <si>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</si>
  <si>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</si>
  <si>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</si>
  <si>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</si>
  <si>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</si>
  <si>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</si>
  <si>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</si>
  <si>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</si>
  <si>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</si>
  <si>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</si>
  <si>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</si>
  <si>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</si>
  <si>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</si>
  <si>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</si>
  <si>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</si>
  <si>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</si>
  <si>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</si>
  <si>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</si>
  <si>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</si>
  <si>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</si>
  <si>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</si>
  <si>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</si>
  <si>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</si>
  <si>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</si>
  <si>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</si>
  <si>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</si>
  <si>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</si>
  <si>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</si>
  <si>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</si>
  <si>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</si>
  <si>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</si>
  <si>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</si>
  <si>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</si>
  <si>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</si>
  <si>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</si>
  <si>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</si>
  <si>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</si>
  <si>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</si>
  <si>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</si>
  <si>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</si>
  <si>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</si>
  <si>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</si>
  <si>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</si>
  <si>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</si>
  <si>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</si>
  <si>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</si>
  <si>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</si>
  <si>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</si>
  <si>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</si>
  <si>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</si>
  <si>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</si>
  <si>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</si>
  <si>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</si>
  <si>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</si>
  <si>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</si>
  <si>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</si>
  <si>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</si>
  <si>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</si>
  <si>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</si>
  <si>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</si>
  <si>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</si>
  <si>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</si>
  <si>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</si>
  <si>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</si>
  <si>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</si>
  <si>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</si>
  <si>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</si>
  <si>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</si>
  <si>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</si>
  <si>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</si>
  <si>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</si>
  <si>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</si>
  <si>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</si>
  <si>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</si>
  <si>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</si>
  <si>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</si>
  <si>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</si>
  <si>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</si>
  <si>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</si>
  <si>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</si>
  <si>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</si>
  <si>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</si>
  <si>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</si>
  <si>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</si>
  <si>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</si>
  <si>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</si>
  <si>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</si>
  <si>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</si>
  <si>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</si>
  <si>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</si>
  <si>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</si>
  <si>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</si>
  <si>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</si>
  <si>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</si>
  <si>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</si>
  <si>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</si>
  <si>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</si>
  <si>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</si>
  <si>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</si>
  <si>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</si>
  <si>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</si>
  <si>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</si>
  <si>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</si>
  <si>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</si>
  <si>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</si>
  <si>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</si>
  <si>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RGYAS</t>
  </si>
  <si>
    <t>ad</t>
  </si>
  <si>
    <t>Alş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</si>
</sst>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" fontId="0" fillId="0" borderId="0" xfId="0" applyNumberFormat="1" applyFont="1" applyAlignment="1">
      <alignment horizontal="right" wrapText="1"/>
    </xf>
    <xf numFmtId="1" fontId="20" fillId="0" borderId="0" xfId="2" applyNumberFormat="1" applyBorder="1" applyProtection="1"/>
    <xf numFmtId="2" fontId="0" fillId="0" borderId="0" xfId="0" applyNumberFormat="1" applyFont="1" applyAlignment="1">
      <alignment horizontal="right" wrapText="1"/>
    </xf>
    <xf numFmtId="2" fontId="20" fillId="0" borderId="0" xfId="2" applyNumberFormat="1" applyBorder="1" applyProtection="1"/>
    <xf numFmtId="2" fontId="0" fillId="14" borderId="0" xfId="0" applyNumberFormat="1" applyFont="1" applyFill="1"/>
    <xf numFmtId="2" fontId="0" fillId="9" borderId="0" xfId="0" applyNumberFormat="1" applyFill="1"/>
    <xf numFmtId="0" fontId="0" fillId="0" borderId="0" xfId="0" applyFill="1"/>
    <xf numFmtId="2" fontId="0" fillId="0" borderId="0" xfId="0" applyNumberForma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tabSelected="1" zoomScale="160" zoomScaleNormal="160" workbookViewId="0">
      <selection activeCell="A20" sqref="A20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6.14062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45406</v>
      </c>
      <c r="K2" s="14">
        <f>SUM(K5:K6)</f>
        <v>267432.02890700003</v>
      </c>
    </row>
    <row r="3" spans="1:15">
      <c r="B3" s="2">
        <v>43803</v>
      </c>
      <c r="C3" s="3">
        <f>B2-B3</f>
        <v>1603</v>
      </c>
      <c r="D3" s="3">
        <f>K2/C3</f>
        <v>166.83220767747974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280452.61908000003</v>
      </c>
      <c r="F5" s="26"/>
      <c r="G5" s="27"/>
      <c r="H5" s="28"/>
      <c r="I5" s="29">
        <f>SUM(I11:I25)</f>
        <v>541285.12060000002</v>
      </c>
      <c r="J5" s="27"/>
      <c r="K5" s="25">
        <f>SUBTOTAL(109,K10:K26)</f>
        <v>248931.85152</v>
      </c>
      <c r="L5" s="30">
        <f>K5/E5</f>
        <v>0.88760751223004752</v>
      </c>
      <c r="M5" s="31">
        <f>SUBTOTAL(101,M10:M16)</f>
        <v>-6.0158457847721745E-2</v>
      </c>
      <c r="N5" s="31">
        <f>SUBTOTAL(101,N10:N16)</f>
        <v>0.45291889710066274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248931.85152000003</v>
      </c>
    </row>
    <row r="14" spans="1:15">
      <c r="A14" s="1" t="s">
        <v>234</v>
      </c>
      <c r="B14" s="2">
        <v>45404</v>
      </c>
      <c r="C14" s="46">
        <v>10</v>
      </c>
      <c r="D14" s="47">
        <v>135</v>
      </c>
      <c r="E14" s="61">
        <f>Sayfa2!$D14*Sayfa2!$C14</f>
        <v>1350</v>
      </c>
      <c r="F14" s="62">
        <f>$B$2</f>
        <v>45406</v>
      </c>
      <c r="G14" s="63">
        <f>Tablo2[[#This Row],[adet]]</f>
        <v>10</v>
      </c>
      <c r="H14" s="64">
        <f>Sayfa4!W5</f>
        <v>148.5</v>
      </c>
      <c r="I14" s="51">
        <f>Sayfa2!$H14*Sayfa2!$G14</f>
        <v>1485</v>
      </c>
      <c r="J14" s="46">
        <f>H14-D14</f>
        <v>13.5</v>
      </c>
      <c r="K14" s="65">
        <f>Sayfa2!$J14*Sayfa2!$C14</f>
        <v>135</v>
      </c>
      <c r="L14" s="66">
        <f>F14-B14</f>
        <v>2</v>
      </c>
      <c r="M14" s="67">
        <f>K14/E14</f>
        <v>0.1</v>
      </c>
      <c r="N14" s="67">
        <f>M14/L14*30</f>
        <v>1.5</v>
      </c>
      <c r="O14" s="68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1">
        <f>Sayfa2!$D15*Sayfa2!$C15</f>
        <v>79832.625</v>
      </c>
      <c r="F15" s="62">
        <f>$B$2</f>
        <v>45406</v>
      </c>
      <c r="G15" s="63">
        <f>Tablo2[[#This Row],[adet]]</f>
        <v>75000</v>
      </c>
      <c r="H15" s="64">
        <f>Sayfa4!I5</f>
        <v>0.88805999999999996</v>
      </c>
      <c r="I15" s="51">
        <f>Sayfa2!$H15*Sayfa2!$G15</f>
        <v>66604.5</v>
      </c>
      <c r="J15" s="46">
        <f>H15-D15</f>
        <v>-0.17637500000000006</v>
      </c>
      <c r="K15" s="65">
        <f>Sayfa2!$J15*Sayfa2!$C15</f>
        <v>-13228.125000000004</v>
      </c>
      <c r="L15" s="66">
        <f>F15-B15</f>
        <v>58</v>
      </c>
      <c r="M15" s="67">
        <f>K15/E15</f>
        <v>-0.16569823427452127</v>
      </c>
      <c r="N15" s="67">
        <f>M15/L15*30</f>
        <v>-8.5705983245442041E-2</v>
      </c>
      <c r="O15" s="68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1">
        <f>Sayfa2!$D16*Sayfa2!$C16</f>
        <v>50160.249999999993</v>
      </c>
      <c r="F16" s="62">
        <f>$B$2</f>
        <v>45406</v>
      </c>
      <c r="G16" s="63">
        <f>Tablo2[[#This Row],[adet]]</f>
        <v>50000</v>
      </c>
      <c r="H16" s="64">
        <f>H15</f>
        <v>0.88805999999999996</v>
      </c>
      <c r="I16" s="51">
        <f>Sayfa2!$H16*Sayfa2!$G16</f>
        <v>44403</v>
      </c>
      <c r="J16" s="46">
        <f>H16-D16</f>
        <v>-0.11514499999999994</v>
      </c>
      <c r="K16" s="65">
        <f>Sayfa2!$J16*Sayfa2!$C16</f>
        <v>-5757.2499999999973</v>
      </c>
      <c r="L16" s="66">
        <f>F16-B16</f>
        <v>62</v>
      </c>
      <c r="M16" s="67">
        <f>K16/E16</f>
        <v>-0.11477713926864395</v>
      </c>
      <c r="N16" s="67">
        <f>M16/L16*30</f>
        <v>-5.5537325452569654E-2</v>
      </c>
      <c r="O16" s="69">
        <f>SUM(K13:K16)</f>
        <v>-18850.375</v>
      </c>
    </row>
    <row r="17" spans="1:20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1">
        <f>Sayfa2!$D18*Sayfa2!$C18</f>
        <v>82193.850000000006</v>
      </c>
      <c r="F18" s="62">
        <f t="shared" ref="F18:F25" si="0">$B$2</f>
        <v>45406</v>
      </c>
      <c r="G18" s="63">
        <v>50</v>
      </c>
      <c r="H18" s="64">
        <f>Sayfa4!G10</f>
        <v>2380.13</v>
      </c>
      <c r="I18" s="51">
        <f>Sayfa2!$H18*Sayfa2!$G18</f>
        <v>119006.5</v>
      </c>
      <c r="J18" s="46">
        <f t="shared" ref="J18:J25" si="1">H18-D18</f>
        <v>553.60000000000014</v>
      </c>
      <c r="K18" s="65">
        <f>Sayfa2!$J18*Sayfa2!$C18</f>
        <v>24912.000000000007</v>
      </c>
      <c r="L18" s="66">
        <f t="shared" ref="L18:L25" si="2">F18-B18</f>
        <v>187</v>
      </c>
      <c r="M18" s="67">
        <f t="shared" ref="M18:M25" si="3">K18/E18</f>
        <v>0.30308836975029163</v>
      </c>
      <c r="N18" s="67">
        <f t="shared" ref="N18:N25" si="4">M18/L18*30</f>
        <v>4.8623802633736626E-2</v>
      </c>
      <c r="O18" s="68"/>
      <c r="P18" s="6">
        <f>Tablo2[[#This Row],[Tutar3]]</f>
        <v>119006.5</v>
      </c>
      <c r="Q18" s="1">
        <v>2000</v>
      </c>
      <c r="R18" s="1">
        <f>P18/Q18</f>
        <v>59.503250000000001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1">
        <f>Sayfa2!$D19*Sayfa2!$C19</f>
        <v>4423.1000000000004</v>
      </c>
      <c r="F19" s="62">
        <f t="shared" si="0"/>
        <v>45406</v>
      </c>
      <c r="G19" s="63">
        <v>11</v>
      </c>
      <c r="H19" s="64">
        <f>H18</f>
        <v>2380.13</v>
      </c>
      <c r="I19" s="51">
        <f>Sayfa2!$H19*Sayfa2!$G19</f>
        <v>26181.43</v>
      </c>
      <c r="J19" s="46">
        <f t="shared" si="1"/>
        <v>1978.0300000000002</v>
      </c>
      <c r="K19" s="65">
        <f>Sayfa2!$J19*Sayfa2!$C19</f>
        <v>21758.33</v>
      </c>
      <c r="L19" s="66">
        <f t="shared" si="2"/>
        <v>1162</v>
      </c>
      <c r="M19" s="67">
        <f t="shared" si="3"/>
        <v>4.9192489430489932</v>
      </c>
      <c r="N19" s="67">
        <f t="shared" si="4"/>
        <v>0.12700298476030103</v>
      </c>
      <c r="O19" s="68"/>
      <c r="P19" s="6">
        <f>Tablo2[[#This Row],[Tutar3]]</f>
        <v>26181.43</v>
      </c>
      <c r="Q19" s="1">
        <v>2000</v>
      </c>
      <c r="R19" s="1">
        <f>P19/Q19</f>
        <v>13.090714999999999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1">
        <f>Sayfa2!$D20*Sayfa2!$C20</f>
        <v>23443</v>
      </c>
      <c r="F20" s="62">
        <f t="shared" si="0"/>
        <v>45406</v>
      </c>
      <c r="G20" s="63">
        <v>50</v>
      </c>
      <c r="H20" s="64">
        <f>H19</f>
        <v>2380.13</v>
      </c>
      <c r="I20" s="51">
        <f>Sayfa2!$H20*Sayfa2!$G20</f>
        <v>119006.5</v>
      </c>
      <c r="J20" s="46">
        <f t="shared" si="1"/>
        <v>1911.27</v>
      </c>
      <c r="K20" s="65">
        <f>Sayfa2!$J20*Sayfa2!$C20</f>
        <v>95563.5</v>
      </c>
      <c r="L20" s="66">
        <f t="shared" si="2"/>
        <v>1322</v>
      </c>
      <c r="M20" s="67">
        <f t="shared" si="3"/>
        <v>4.076419400247409</v>
      </c>
      <c r="N20" s="67">
        <f t="shared" si="4"/>
        <v>9.2505735255236213E-2</v>
      </c>
      <c r="O20" s="68"/>
      <c r="P20" s="6">
        <f>Tablo2[[#This Row],[Tutar3]]</f>
        <v>119006.5</v>
      </c>
      <c r="Q20" s="1">
        <v>2000</v>
      </c>
      <c r="R20" s="1">
        <f>P20/Q20</f>
        <v>59.503250000000001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1">
        <f>Sayfa2!$D21*Sayfa2!$C21</f>
        <v>9996.75</v>
      </c>
      <c r="F21" s="62">
        <f t="shared" si="0"/>
        <v>45406</v>
      </c>
      <c r="G21" s="63">
        <f>Tablo2[[#This Row],[adet]]</f>
        <v>25</v>
      </c>
      <c r="H21" s="64">
        <f>H20</f>
        <v>2380.13</v>
      </c>
      <c r="I21" s="51">
        <f>Sayfa2!$H21*Sayfa2!$G21</f>
        <v>59503.25</v>
      </c>
      <c r="J21" s="46">
        <f t="shared" si="1"/>
        <v>1980.2600000000002</v>
      </c>
      <c r="K21" s="65">
        <f>Sayfa2!$J21*Sayfa2!$C21</f>
        <v>49506.500000000007</v>
      </c>
      <c r="L21" s="66">
        <f t="shared" si="2"/>
        <v>1386</v>
      </c>
      <c r="M21" s="67">
        <f t="shared" si="3"/>
        <v>4.9522594843324086</v>
      </c>
      <c r="N21" s="67">
        <f t="shared" si="4"/>
        <v>0.10719176373013871</v>
      </c>
      <c r="O21" s="68"/>
      <c r="R21" s="1">
        <f>SUM(R18:R20)</f>
        <v>132.09721500000001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1">
        <f>Sayfa2!$D22*Sayfa2!$C22</f>
        <v>6571.4400000000005</v>
      </c>
      <c r="F22" s="62">
        <f t="shared" si="0"/>
        <v>45406</v>
      </c>
      <c r="G22" s="63">
        <f>Tablo2[[#This Row],[adet]]</f>
        <v>24</v>
      </c>
      <c r="H22" s="64">
        <f>H21</f>
        <v>2380.13</v>
      </c>
      <c r="I22" s="51">
        <f>Sayfa2!$H22*Sayfa2!$G22</f>
        <v>57123.12</v>
      </c>
      <c r="J22" s="46">
        <f t="shared" si="1"/>
        <v>2106.3200000000002</v>
      </c>
      <c r="K22" s="65">
        <f>Sayfa2!$J22*Sayfa2!$C22</f>
        <v>50551.680000000008</v>
      </c>
      <c r="L22" s="66">
        <f t="shared" si="2"/>
        <v>1603</v>
      </c>
      <c r="M22" s="67">
        <f t="shared" si="3"/>
        <v>7.6926335780285608</v>
      </c>
      <c r="N22" s="67">
        <f t="shared" si="4"/>
        <v>0.14396694157258691</v>
      </c>
      <c r="O22" s="68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1">
        <f>Sayfa2!$D23*Sayfa2!$C23</f>
        <v>237.59</v>
      </c>
      <c r="F23" s="62">
        <f t="shared" si="0"/>
        <v>45406</v>
      </c>
      <c r="G23" s="63">
        <f>Tablo2[[#This Row],[adet]]</f>
        <v>1</v>
      </c>
      <c r="H23" s="64">
        <f>H22</f>
        <v>2380.13</v>
      </c>
      <c r="I23" s="51">
        <f>Sayfa2!$H23*Sayfa2!$G23</f>
        <v>2380.13</v>
      </c>
      <c r="J23" s="46">
        <f t="shared" si="1"/>
        <v>2142.54</v>
      </c>
      <c r="K23" s="65">
        <f>Sayfa2!$J23*Sayfa2!$C23</f>
        <v>2142.54</v>
      </c>
      <c r="L23" s="66">
        <f t="shared" si="2"/>
        <v>1603</v>
      </c>
      <c r="M23" s="67">
        <f t="shared" si="3"/>
        <v>9.0178037796203547</v>
      </c>
      <c r="N23" s="67">
        <f t="shared" si="4"/>
        <v>0.16876738202658179</v>
      </c>
      <c r="O23" s="68"/>
      <c r="P23" s="6">
        <f>SUM(P18:P22)</f>
        <v>264194.43</v>
      </c>
      <c r="R23" s="1">
        <f>P23/2220.32</f>
        <v>118.98934838221517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1">
        <f>Sayfa2!$D24*Sayfa2!$C24</f>
        <v>5594.0140799999999</v>
      </c>
      <c r="F24" s="62">
        <f t="shared" si="0"/>
        <v>45406</v>
      </c>
      <c r="G24" s="63">
        <f>Tablo2[[#This Row],[adet]]</f>
        <v>298.8</v>
      </c>
      <c r="H24" s="64">
        <f>Sayfa4!E5</f>
        <v>33.972000000000001</v>
      </c>
      <c r="I24" s="51">
        <f>Sayfa2!$H24*Sayfa2!$G24</f>
        <v>10150.8336</v>
      </c>
      <c r="J24" s="46">
        <f t="shared" si="1"/>
        <v>15.250400000000003</v>
      </c>
      <c r="K24" s="65">
        <f>Sayfa2!$J24*Sayfa2!$C24</f>
        <v>4556.8195200000009</v>
      </c>
      <c r="L24" s="66">
        <f t="shared" si="2"/>
        <v>622</v>
      </c>
      <c r="M24" s="67">
        <f t="shared" si="3"/>
        <v>0.81458849670968314</v>
      </c>
      <c r="N24" s="67">
        <f t="shared" si="4"/>
        <v>3.9288834246447739E-2</v>
      </c>
      <c r="O24" s="68"/>
      <c r="P24" s="1">
        <f>P23*Q24</f>
        <v>26419.442999999999</v>
      </c>
      <c r="Q24" s="74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1">
        <f>Sayfa2!$D25*Sayfa2!$C25</f>
        <v>16650</v>
      </c>
      <c r="F25" s="62">
        <f t="shared" si="0"/>
        <v>45406</v>
      </c>
      <c r="G25" s="63">
        <f>Tablo2[[#This Row],[adet]]</f>
        <v>1110</v>
      </c>
      <c r="H25" s="64">
        <f>Sayfa4!C5</f>
        <v>31.928699999999999</v>
      </c>
      <c r="I25" s="51">
        <f>Sayfa2!$H25*Sayfa2!$G25</f>
        <v>35440.856999999996</v>
      </c>
      <c r="J25" s="46">
        <f t="shared" si="1"/>
        <v>16.928699999999999</v>
      </c>
      <c r="K25" s="65">
        <f>Sayfa2!$J25*Sayfa2!$C25</f>
        <v>18790.857</v>
      </c>
      <c r="L25" s="66">
        <f t="shared" si="2"/>
        <v>632</v>
      </c>
      <c r="M25" s="67">
        <f t="shared" si="3"/>
        <v>1.1285799999999999</v>
      </c>
      <c r="N25" s="67">
        <f t="shared" si="4"/>
        <v>5.3571835443037966E-2</v>
      </c>
      <c r="O25" s="69">
        <f>SUM(K18:K25)</f>
        <v>267782.22652000003</v>
      </c>
      <c r="P25" s="6">
        <f>SUM(P23:P24)</f>
        <v>290613.87300000002</v>
      </c>
      <c r="R25" s="1">
        <f>P25/2000</f>
        <v>145.30693650000001</v>
      </c>
      <c r="T25" s="1">
        <f>P23/T24</f>
        <v>114.86714347826087</v>
      </c>
    </row>
    <row r="26" spans="1:20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>
        <f>1-(R25/R23)</f>
        <v>-0.22117600000000004</v>
      </c>
    </row>
    <row r="27" spans="1:20">
      <c r="E27" s="78"/>
      <c r="F27" s="79"/>
      <c r="G27" s="80"/>
      <c r="H27" s="81"/>
      <c r="M27" s="67"/>
    </row>
    <row r="28" spans="1:20">
      <c r="C28" s="52"/>
      <c r="E28" s="78"/>
      <c r="F28" s="79"/>
      <c r="G28" s="80"/>
      <c r="H28" s="81"/>
      <c r="M28" s="67"/>
      <c r="N28" s="67"/>
      <c r="R28" s="1">
        <f>R25*2220.32</f>
        <v>322627.89724968001</v>
      </c>
    </row>
    <row r="29" spans="1:20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>
        <f>SUM(O31:O75)</f>
        <v>18500.177387000014</v>
      </c>
    </row>
    <row r="30" spans="1:20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1">
        <f>Sayfa2!$D31*Sayfa2!$C31</f>
        <v>434.15390400000001</v>
      </c>
      <c r="F31" s="2">
        <v>45350</v>
      </c>
      <c r="G31" s="90">
        <v>23.19</v>
      </c>
      <c r="H31" s="91">
        <v>33.222900000000003</v>
      </c>
      <c r="I31" s="51">
        <f>Sayfa2!$H31*Sayfa2!$G31</f>
        <v>770.43905100000006</v>
      </c>
      <c r="J31" s="46">
        <f>H31-D31</f>
        <v>14.501300000000004</v>
      </c>
      <c r="K31" s="65">
        <f>Sayfa2!$J31*Sayfa2!$C31</f>
        <v>336.28514700000011</v>
      </c>
      <c r="L31" s="66">
        <f>F31-B31</f>
        <v>566</v>
      </c>
      <c r="M31" s="67">
        <f>K31/E31</f>
        <v>0.77457589094949175</v>
      </c>
      <c r="N31" s="67">
        <f>M31/L31*30</f>
        <v>4.1055259237605571E-2</v>
      </c>
      <c r="O31" s="68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1">
        <f>Sayfa2!$D32*Sayfa2!$C32</f>
        <v>337.176016</v>
      </c>
      <c r="F32" s="2">
        <v>45341</v>
      </c>
      <c r="G32" s="49">
        <v>18.010000000000002</v>
      </c>
      <c r="H32" s="92">
        <v>32.381999999999998</v>
      </c>
      <c r="I32" s="51">
        <f>Sayfa2!$H32*Sayfa2!$G32</f>
        <v>583.19982000000005</v>
      </c>
      <c r="J32" s="46">
        <f>H32-D32</f>
        <v>13.660399999999999</v>
      </c>
      <c r="K32" s="65">
        <f>Sayfa2!$J32*Sayfa2!$C32</f>
        <v>246.02380400000001</v>
      </c>
      <c r="L32" s="66">
        <f>F32-B32</f>
        <v>557</v>
      </c>
      <c r="M32" s="67">
        <f>K32/E32</f>
        <v>0.72965985813178369</v>
      </c>
      <c r="N32" s="67">
        <f>M32/L32*30</f>
        <v>3.9299453759342032E-2</v>
      </c>
      <c r="O32" s="69">
        <f>SUM(K31:K32)</f>
        <v>582.30895100000009</v>
      </c>
    </row>
    <row r="33" spans="1:15">
      <c r="A33" s="41"/>
      <c r="O33" s="68"/>
    </row>
    <row r="34" spans="1:15">
      <c r="A34" s="1" t="s">
        <v>24</v>
      </c>
      <c r="B34" s="2">
        <v>45219</v>
      </c>
      <c r="C34" s="46">
        <v>5</v>
      </c>
      <c r="D34" s="47">
        <v>1826.53</v>
      </c>
      <c r="E34" s="61">
        <f>Sayfa2!$D34*Sayfa2!$C34</f>
        <v>9132.65</v>
      </c>
      <c r="F34" s="62">
        <v>45384</v>
      </c>
      <c r="G34" s="63">
        <v>5</v>
      </c>
      <c r="H34" s="64">
        <v>2282.83</v>
      </c>
      <c r="I34" s="51">
        <f>Sayfa2!$H34*Sayfa2!$G34</f>
        <v>11414.15</v>
      </c>
      <c r="J34" s="46">
        <f>H34-D34</f>
        <v>456.29999999999995</v>
      </c>
      <c r="K34" s="65">
        <f>Sayfa2!$J34*Sayfa2!$C34</f>
        <v>2281.5</v>
      </c>
      <c r="L34" s="66">
        <f>F34-B34</f>
        <v>165</v>
      </c>
      <c r="M34" s="67">
        <f>K34/E34</f>
        <v>0.24981796083283606</v>
      </c>
      <c r="N34" s="67">
        <f>M34/L34*30</f>
        <v>4.5421447424152009E-2</v>
      </c>
      <c r="O34" s="93">
        <f>Tablo2[[#This Row],[Tutar2]]</f>
        <v>2281.5</v>
      </c>
    </row>
    <row r="35" spans="1:15">
      <c r="A35" s="41"/>
      <c r="O35" s="68"/>
    </row>
    <row r="36" spans="1:15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2">
        <v>45370</v>
      </c>
      <c r="G36" s="63">
        <v>68</v>
      </c>
      <c r="H36" s="64">
        <v>19.690000000000001</v>
      </c>
      <c r="I36" s="51">
        <f>Sayfa2!$H36*Sayfa2!$G36</f>
        <v>1338.92</v>
      </c>
      <c r="J36" s="46">
        <f>H36-D36</f>
        <v>8.3600000000000012</v>
      </c>
      <c r="K36" s="65">
        <f>Sayfa2!$J36*Sayfa2!$C36</f>
        <v>568.48000000000013</v>
      </c>
      <c r="L36" s="66">
        <f>F36-B36</f>
        <v>20</v>
      </c>
      <c r="M36" s="67">
        <f>K36/E36</f>
        <v>0.73786407766990303</v>
      </c>
      <c r="N36" s="67">
        <f>M36/L36*30</f>
        <v>1.1067961165048545</v>
      </c>
      <c r="O36" s="68"/>
    </row>
    <row r="37" spans="1:15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>
        <v>-2.81</v>
      </c>
      <c r="L37" s="66"/>
      <c r="M37" s="67"/>
      <c r="N37" s="67"/>
      <c r="O37" s="68"/>
    </row>
    <row r="38" spans="1:15">
      <c r="A38" s="9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95">
        <v>45362</v>
      </c>
      <c r="G38" s="96">
        <v>15</v>
      </c>
      <c r="H38" s="9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98">
        <f>F38-B38</f>
        <v>18</v>
      </c>
      <c r="M38" s="99">
        <f>K38/E38</f>
        <v>0.41692150866462785</v>
      </c>
      <c r="N38" s="99">
        <f>M38/L38*30</f>
        <v>0.69486918110771312</v>
      </c>
      <c r="O38" s="100"/>
    </row>
    <row r="39" spans="1:15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>
        <v>-1.75</v>
      </c>
      <c r="L39" s="98"/>
      <c r="M39" s="101"/>
      <c r="N39" s="99"/>
      <c r="O39" s="100"/>
    </row>
    <row r="40" spans="1:15">
      <c r="A40" s="9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95">
        <v>45364</v>
      </c>
      <c r="G40" s="96">
        <v>12</v>
      </c>
      <c r="H40" s="9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98">
        <f>F40-B40</f>
        <v>20</v>
      </c>
      <c r="M40" s="99">
        <f>K40/E40</f>
        <v>1.3506426735218511</v>
      </c>
      <c r="N40" s="99">
        <f>M40/L40*30</f>
        <v>2.0259640102827765</v>
      </c>
      <c r="O40" s="68"/>
    </row>
    <row r="41" spans="1:15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-1.1599999999999999</v>
      </c>
      <c r="L41" s="98"/>
      <c r="M41" s="101"/>
      <c r="N41" s="99"/>
      <c r="O41" s="68"/>
    </row>
    <row r="42" spans="1:15">
      <c r="A42" s="41" t="s">
        <v>35</v>
      </c>
      <c r="B42" s="2">
        <v>45341</v>
      </c>
      <c r="C42" s="46">
        <v>36</v>
      </c>
      <c r="D42" s="47">
        <v>16.2</v>
      </c>
      <c r="E42" s="61">
        <f>Sayfa2!$D42*Sayfa2!$C42</f>
        <v>583.19999999999993</v>
      </c>
      <c r="F42" s="2">
        <v>45356</v>
      </c>
      <c r="G42" s="49">
        <v>36</v>
      </c>
      <c r="H42" s="92">
        <v>38</v>
      </c>
      <c r="I42" s="51">
        <f>Sayfa2!$H42*Sayfa2!$G42</f>
        <v>1368</v>
      </c>
      <c r="J42" s="46">
        <f>H42-D42</f>
        <v>21.8</v>
      </c>
      <c r="K42" s="102">
        <f>Sayfa2!$J42*Sayfa2!$C42</f>
        <v>784.80000000000007</v>
      </c>
      <c r="L42" s="66">
        <f>F42-B42</f>
        <v>15</v>
      </c>
      <c r="M42" s="67">
        <f>K42/E42</f>
        <v>1.3456790123456792</v>
      </c>
      <c r="N42" s="67">
        <f>M42/L42*30</f>
        <v>2.6913580246913584</v>
      </c>
      <c r="O42" s="103"/>
    </row>
    <row r="43" spans="1:15">
      <c r="A43" s="41" t="s">
        <v>36</v>
      </c>
      <c r="C43" s="46"/>
      <c r="D43" s="47"/>
      <c r="E43" s="61"/>
      <c r="G43" s="49"/>
      <c r="H43" s="92"/>
      <c r="I43" s="51"/>
      <c r="J43" s="46"/>
      <c r="K43" s="102">
        <v>-2.88</v>
      </c>
      <c r="L43" s="66"/>
      <c r="M43" s="67"/>
      <c r="N43" s="67"/>
      <c r="O43" s="103"/>
    </row>
    <row r="44" spans="1:15">
      <c r="A44" s="41" t="s">
        <v>37</v>
      </c>
      <c r="B44" s="2">
        <v>45222</v>
      </c>
      <c r="C44" s="3">
        <v>9</v>
      </c>
      <c r="D44" s="1">
        <v>130</v>
      </c>
      <c r="E44" s="61">
        <f>Sayfa2!$D44*Sayfa2!$C44</f>
        <v>1170</v>
      </c>
      <c r="F44" s="104">
        <v>45334</v>
      </c>
      <c r="G44" s="46">
        <v>9</v>
      </c>
      <c r="H44" s="105">
        <v>145.5</v>
      </c>
      <c r="I44" s="51">
        <f>Sayfa2!$H44*Sayfa2!$G44</f>
        <v>1309.5</v>
      </c>
      <c r="J44" s="106">
        <f>H44-D44</f>
        <v>15.5</v>
      </c>
      <c r="K44" s="65">
        <f>Sayfa2!$J44*Sayfa2!$G44</f>
        <v>139.5</v>
      </c>
      <c r="L44" s="66">
        <f>F44-B44</f>
        <v>112</v>
      </c>
      <c r="M44" s="67">
        <f>K44/E44</f>
        <v>0.11923076923076924</v>
      </c>
      <c r="N44" s="67">
        <f>K44/E44</f>
        <v>0.11923076923076924</v>
      </c>
      <c r="O44" s="103"/>
    </row>
    <row r="45" spans="1:15">
      <c r="A45" s="41" t="s">
        <v>37</v>
      </c>
      <c r="B45" s="2">
        <v>45271</v>
      </c>
      <c r="C45" s="3">
        <v>10</v>
      </c>
      <c r="D45" s="1">
        <v>144.001</v>
      </c>
      <c r="E45" s="61">
        <f>Sayfa2!$D45*Sayfa2!$C45</f>
        <v>1440.01</v>
      </c>
      <c r="F45" s="104">
        <v>45334</v>
      </c>
      <c r="G45" s="46">
        <v>10</v>
      </c>
      <c r="H45" s="105">
        <v>145.5</v>
      </c>
      <c r="I45" s="51">
        <f>Sayfa2!$H45*Sayfa2!$G45</f>
        <v>1455</v>
      </c>
      <c r="J45" s="106">
        <f>H45-D45</f>
        <v>1.4989999999999952</v>
      </c>
      <c r="K45" s="65">
        <f>Sayfa2!$J45*Sayfa2!$G45</f>
        <v>14.989999999999952</v>
      </c>
      <c r="L45" s="66">
        <f>F45-B45</f>
        <v>63</v>
      </c>
      <c r="M45" s="67">
        <f>K45/E45</f>
        <v>1.0409649932986544E-2</v>
      </c>
      <c r="N45" s="67">
        <f>K45/E45</f>
        <v>1.0409649932986544E-2</v>
      </c>
      <c r="O45" s="103"/>
    </row>
    <row r="46" spans="1:15">
      <c r="A46" s="41" t="s">
        <v>37</v>
      </c>
      <c r="B46" s="2">
        <v>45288</v>
      </c>
      <c r="C46" s="3">
        <v>20</v>
      </c>
      <c r="D46" s="1">
        <v>115.34</v>
      </c>
      <c r="E46" s="61">
        <f>Sayfa2!$D46*Sayfa2!$C46</f>
        <v>2306.8000000000002</v>
      </c>
      <c r="F46" s="104">
        <v>45334</v>
      </c>
      <c r="G46" s="46">
        <v>20</v>
      </c>
      <c r="H46" s="105">
        <v>145.5</v>
      </c>
      <c r="I46" s="51">
        <f>Sayfa2!$H46*Sayfa2!$G46</f>
        <v>2910</v>
      </c>
      <c r="J46" s="106">
        <f>H46-D46</f>
        <v>30.159999999999997</v>
      </c>
      <c r="K46" s="65">
        <f>Sayfa2!$J46*Sayfa2!$G46</f>
        <v>603.19999999999993</v>
      </c>
      <c r="L46" s="66">
        <f>F46-B46</f>
        <v>46</v>
      </c>
      <c r="M46" s="67">
        <f>K46/E46</f>
        <v>0.26148777527310557</v>
      </c>
      <c r="N46" s="67">
        <f>K46/E46</f>
        <v>0.26148777527310557</v>
      </c>
      <c r="O46" s="103"/>
    </row>
    <row r="47" spans="1:15">
      <c r="A47" s="41" t="s">
        <v>38</v>
      </c>
      <c r="B47" s="2">
        <v>45335</v>
      </c>
      <c r="C47" s="3">
        <v>313</v>
      </c>
      <c r="D47" s="3">
        <v>190.8</v>
      </c>
      <c r="E47" s="61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5">
        <f>Sayfa2!$J47*Sayfa2!$G47</f>
        <v>3912.5</v>
      </c>
      <c r="L47" s="66">
        <f>F47-B47</f>
        <v>2</v>
      </c>
      <c r="M47" s="67">
        <f>K47/E47</f>
        <v>6.5513626834381555E-2</v>
      </c>
      <c r="N47" s="67">
        <f>M47/L47*30</f>
        <v>0.98270440251572333</v>
      </c>
      <c r="O47" s="103"/>
    </row>
    <row r="48" spans="1:15">
      <c r="A48" s="41" t="s">
        <v>39</v>
      </c>
      <c r="E48" s="61">
        <f>Sayfa2!$D48*Sayfa2!$C48</f>
        <v>0</v>
      </c>
      <c r="F48" s="48"/>
      <c r="I48" s="51">
        <f>Sayfa2!$H48*Sayfa2!$G48</f>
        <v>0</v>
      </c>
      <c r="J48" s="3">
        <v>-133.63</v>
      </c>
      <c r="K48" s="65">
        <f>Sayfa2!$J48*Sayfa2!$G48</f>
        <v>0</v>
      </c>
      <c r="M48" s="67"/>
      <c r="N48" s="67"/>
      <c r="O48" s="10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1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5">
        <f>Sayfa2!$J49*Sayfa2!$G49</f>
        <v>28.200000000000003</v>
      </c>
      <c r="L49" s="66">
        <f>F49-B49</f>
        <v>60</v>
      </c>
      <c r="M49" s="67">
        <f>K49/E49</f>
        <v>5.7340382269215132E-2</v>
      </c>
      <c r="N49" s="67">
        <f>M49/L49*30</f>
        <v>2.8670191134607566E-2</v>
      </c>
      <c r="O49" s="10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1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5">
        <f>Sayfa2!$J50*Sayfa2!$G50</f>
        <v>172.9</v>
      </c>
      <c r="L50" s="107">
        <f>F50-B50</f>
        <v>46</v>
      </c>
      <c r="M50" s="67">
        <f>K50/E50</f>
        <v>0.46996466431095402</v>
      </c>
      <c r="N50" s="67">
        <f>M50/L50*30</f>
        <v>0.30649869411583958</v>
      </c>
      <c r="O50" s="103"/>
      <c r="P50" s="3"/>
    </row>
    <row r="51" spans="1:16">
      <c r="A51" s="108" t="s">
        <v>42</v>
      </c>
      <c r="B51" s="109">
        <v>45273</v>
      </c>
      <c r="C51" s="110">
        <v>26</v>
      </c>
      <c r="D51" s="111">
        <v>55.08</v>
      </c>
      <c r="E51" s="61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06">
        <f>H51-D51</f>
        <v>-3.6799999999999997</v>
      </c>
      <c r="K51" s="65">
        <f>Sayfa2!$J51*Sayfa2!$G51</f>
        <v>-95.679999999999993</v>
      </c>
      <c r="L51" s="55"/>
      <c r="M51" s="67">
        <f>K51/E51</f>
        <v>-6.6811909949164847E-2</v>
      </c>
      <c r="N51" s="67"/>
      <c r="O51" s="10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1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06">
        <f>H52-D52</f>
        <v>11.899999999999999</v>
      </c>
      <c r="K52" s="65">
        <f>Sayfa2!$J52*Sayfa2!$G52</f>
        <v>1189.9999999999998</v>
      </c>
      <c r="L52" s="107">
        <f>F52-B52</f>
        <v>25</v>
      </c>
      <c r="M52" s="67">
        <f>K52/E52</f>
        <v>0.30126582278481007</v>
      </c>
      <c r="N52" s="67">
        <f>M52/L52*30</f>
        <v>0.36151898734177207</v>
      </c>
      <c r="O52" s="69">
        <f>SUM(K36:K52)</f>
        <v>7870.9299999999994</v>
      </c>
    </row>
    <row r="53" spans="1:16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spans="1:16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1">
        <f>Sayfa2!$D55*Sayfa2!$C55</f>
        <v>6853.2627360000006</v>
      </c>
      <c r="F55" s="2">
        <v>45357</v>
      </c>
      <c r="G55" s="49">
        <v>12</v>
      </c>
      <c r="H55" s="92">
        <v>580.05924800000003</v>
      </c>
      <c r="I55" s="51">
        <f>Sayfa2!$H55*Sayfa2!$G55</f>
        <v>6960.7109760000003</v>
      </c>
      <c r="J55" s="46">
        <f t="shared" ref="J55:J73" si="5">H55-D55</f>
        <v>8.9540200000000141</v>
      </c>
      <c r="K55" s="65">
        <f>Sayfa2!$J55*Sayfa2!$C55</f>
        <v>107.44824000000017</v>
      </c>
      <c r="L55" s="66">
        <f t="shared" ref="L55:L73" si="6">F55-B55</f>
        <v>13</v>
      </c>
      <c r="M55" s="67">
        <f t="shared" ref="M55:M74" si="7">K55/E55</f>
        <v>1.5678406642076849E-2</v>
      </c>
      <c r="N55" s="67">
        <f t="shared" ref="N55:N67" si="8">M55/L55*30</f>
        <v>3.618093840479273E-2</v>
      </c>
      <c r="O55" s="10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1">
        <f>Sayfa2!$D56*Sayfa2!$C56</f>
        <v>12564.315016</v>
      </c>
      <c r="F56" s="2">
        <v>45357</v>
      </c>
      <c r="G56" s="49">
        <v>10</v>
      </c>
      <c r="H56" s="92">
        <v>580.05924800000003</v>
      </c>
      <c r="I56" s="51">
        <f>Sayfa2!$H56*Sayfa2!$G56</f>
        <v>5800.5924800000003</v>
      </c>
      <c r="J56" s="46">
        <f t="shared" si="5"/>
        <v>8.9540200000000141</v>
      </c>
      <c r="K56" s="65">
        <f>Sayfa2!$J56*Sayfa2!$C56</f>
        <v>196.98844000000031</v>
      </c>
      <c r="L56" s="66">
        <f t="shared" si="6"/>
        <v>13</v>
      </c>
      <c r="M56" s="67">
        <f t="shared" si="7"/>
        <v>1.5678406642076849E-2</v>
      </c>
      <c r="N56" s="67">
        <f t="shared" si="8"/>
        <v>3.618093840479273E-2</v>
      </c>
      <c r="O56" s="10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1">
        <f>Sayfa2!$D57*Sayfa2!$C57</f>
        <v>6282.1575080000002</v>
      </c>
      <c r="F57" s="2">
        <v>45356</v>
      </c>
      <c r="G57" s="49">
        <v>11</v>
      </c>
      <c r="H57" s="92">
        <v>580.05924800000003</v>
      </c>
      <c r="I57" s="51">
        <f>Sayfa2!$H57*Sayfa2!$G57</f>
        <v>6380.6517280000007</v>
      </c>
      <c r="J57" s="46">
        <f t="shared" si="5"/>
        <v>8.9540200000000141</v>
      </c>
      <c r="K57" s="65">
        <f>Sayfa2!$J57*Sayfa2!$C57</f>
        <v>98.494220000000155</v>
      </c>
      <c r="L57" s="66">
        <f t="shared" si="6"/>
        <v>12</v>
      </c>
      <c r="M57" s="67">
        <f t="shared" si="7"/>
        <v>1.5678406642076849E-2</v>
      </c>
      <c r="N57" s="67">
        <f t="shared" si="8"/>
        <v>3.9196016605192119E-2</v>
      </c>
      <c r="O57" s="10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1">
        <f>Sayfa2!$D58*Sayfa2!$C58</f>
        <v>34719.636180000001</v>
      </c>
      <c r="F58" s="2">
        <v>45356</v>
      </c>
      <c r="G58" s="49">
        <v>60</v>
      </c>
      <c r="H58" s="92">
        <v>580.05924800000003</v>
      </c>
      <c r="I58" s="51">
        <f>Sayfa2!$H58*Sayfa2!$G58</f>
        <v>34803.554880000003</v>
      </c>
      <c r="J58" s="46">
        <f t="shared" si="5"/>
        <v>1.3986449999999877</v>
      </c>
      <c r="K58" s="65">
        <f>Sayfa2!$J58*Sayfa2!$C58</f>
        <v>83.918699999999262</v>
      </c>
      <c r="L58" s="66">
        <f t="shared" si="6"/>
        <v>1</v>
      </c>
      <c r="M58" s="67">
        <f t="shared" si="7"/>
        <v>2.4170385762377323E-3</v>
      </c>
      <c r="N58" s="67">
        <f t="shared" si="8"/>
        <v>7.2511157287131964E-2</v>
      </c>
      <c r="O58" s="10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1">
        <f>Sayfa2!$D59*Sayfa2!$C59</f>
        <v>13805.168496000002</v>
      </c>
      <c r="F59" s="2">
        <v>45356</v>
      </c>
      <c r="G59" s="49">
        <v>24</v>
      </c>
      <c r="H59" s="92">
        <v>580.05924800000003</v>
      </c>
      <c r="I59" s="51">
        <f>Sayfa2!$H59*Sayfa2!$G59</f>
        <v>13921.421952000001</v>
      </c>
      <c r="J59" s="46">
        <f t="shared" si="5"/>
        <v>4.8438939999999775</v>
      </c>
      <c r="K59" s="65">
        <f>Sayfa2!$J59*Sayfa2!$C59</f>
        <v>116.25345599999946</v>
      </c>
      <c r="L59" s="66">
        <f t="shared" si="6"/>
        <v>6</v>
      </c>
      <c r="M59" s="67">
        <f t="shared" si="7"/>
        <v>8.4210095685310522E-3</v>
      </c>
      <c r="N59" s="67">
        <f t="shared" si="8"/>
        <v>4.2105047842655258E-2</v>
      </c>
      <c r="O59" s="10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1">
        <f>Sayfa2!$D60*Sayfa2!$C60</f>
        <v>1142.210456</v>
      </c>
      <c r="F60" s="2">
        <v>45347</v>
      </c>
      <c r="G60" s="49">
        <v>2</v>
      </c>
      <c r="H60" s="92">
        <v>573.835914</v>
      </c>
      <c r="I60" s="51">
        <f>Sayfa2!$H60*Sayfa2!$G60</f>
        <v>1147.671828</v>
      </c>
      <c r="J60" s="46">
        <f t="shared" si="5"/>
        <v>2.7306859999999915</v>
      </c>
      <c r="K60" s="102">
        <f>Sayfa2!$J60*Sayfa2!$G60</f>
        <v>5.461371999999983</v>
      </c>
      <c r="L60" s="66">
        <f t="shared" si="6"/>
        <v>3</v>
      </c>
      <c r="M60" s="67">
        <f t="shared" si="7"/>
        <v>4.7814060634023678E-3</v>
      </c>
      <c r="N60" s="67">
        <f t="shared" si="8"/>
        <v>4.7814060634023672E-2</v>
      </c>
      <c r="O60" s="10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1">
        <f>Sayfa2!$D61*Sayfa2!$C61</f>
        <v>571.10522800000001</v>
      </c>
      <c r="F61" s="2">
        <v>45350</v>
      </c>
      <c r="G61" s="49">
        <v>1</v>
      </c>
      <c r="H61" s="92">
        <v>573.835914</v>
      </c>
      <c r="I61" s="51">
        <f>Sayfa2!$H61*Sayfa2!$G61</f>
        <v>573.835914</v>
      </c>
      <c r="J61" s="46">
        <f t="shared" si="5"/>
        <v>2.7306859999999915</v>
      </c>
      <c r="K61" s="102">
        <f>Sayfa2!$J61*Sayfa2!$G61</f>
        <v>2.7306859999999915</v>
      </c>
      <c r="L61" s="66">
        <f t="shared" si="6"/>
        <v>6</v>
      </c>
      <c r="M61" s="67">
        <f t="shared" si="7"/>
        <v>4.7814060634023678E-3</v>
      </c>
      <c r="N61" s="67">
        <f t="shared" si="8"/>
        <v>2.3907030317011836E-2</v>
      </c>
      <c r="O61" s="10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1">
        <f>Sayfa2!$D62*Sayfa2!$C62</f>
        <v>25128.630032000001</v>
      </c>
      <c r="F62" s="2">
        <v>45350</v>
      </c>
      <c r="G62" s="49">
        <v>44</v>
      </c>
      <c r="H62" s="92">
        <v>573.835914</v>
      </c>
      <c r="I62" s="51">
        <f>Sayfa2!$H62*Sayfa2!$G62</f>
        <v>25248.780215999999</v>
      </c>
      <c r="J62" s="46">
        <f t="shared" si="5"/>
        <v>2.7306859999999915</v>
      </c>
      <c r="K62" s="102">
        <f>Sayfa2!$J62*Sayfa2!$G62</f>
        <v>120.15018399999963</v>
      </c>
      <c r="L62" s="66">
        <f t="shared" si="6"/>
        <v>6</v>
      </c>
      <c r="M62" s="67">
        <f t="shared" si="7"/>
        <v>4.7814060634023669E-3</v>
      </c>
      <c r="N62" s="67">
        <f t="shared" si="8"/>
        <v>2.3907030317011836E-2</v>
      </c>
      <c r="O62" s="10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1">
        <f>Sayfa2!$D63*Sayfa2!$C63</f>
        <v>60323.813903999995</v>
      </c>
      <c r="F63" s="2">
        <v>45350</v>
      </c>
      <c r="G63" s="49">
        <v>106</v>
      </c>
      <c r="H63" s="92">
        <v>573.835914</v>
      </c>
      <c r="I63" s="51">
        <f>Sayfa2!$H63*Sayfa2!$G63</f>
        <v>60826.606884000001</v>
      </c>
      <c r="J63" s="46">
        <f t="shared" si="5"/>
        <v>4.7433300000000145</v>
      </c>
      <c r="K63" s="102">
        <f>Sayfa2!$J63*Sayfa2!$G63</f>
        <v>502.79298000000153</v>
      </c>
      <c r="L63" s="66">
        <f t="shared" si="6"/>
        <v>9</v>
      </c>
      <c r="M63" s="67">
        <f t="shared" si="7"/>
        <v>8.3349003894241831E-3</v>
      </c>
      <c r="N63" s="67">
        <f t="shared" si="8"/>
        <v>2.778300129808061E-2</v>
      </c>
      <c r="O63" s="10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1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5"/>
        <v>4.022876999999994</v>
      </c>
      <c r="K64" s="102">
        <f>Sayfa2!$J64*Sayfa2!$G64</f>
        <v>257.46412799999962</v>
      </c>
      <c r="L64" s="66">
        <f t="shared" si="6"/>
        <v>6</v>
      </c>
      <c r="M64" s="67">
        <f t="shared" si="7"/>
        <v>7.0939908337933691E-3</v>
      </c>
      <c r="N64" s="67">
        <f t="shared" si="8"/>
        <v>3.5469954168966845E-2</v>
      </c>
      <c r="O64" s="10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1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28.670726000000059</v>
      </c>
      <c r="K65" s="102">
        <f>Sayfa2!$J65*Sayfa2!$G65</f>
        <v>1433.5363000000029</v>
      </c>
      <c r="L65" s="66">
        <f t="shared" si="6"/>
        <v>45</v>
      </c>
      <c r="M65" s="67">
        <f t="shared" si="7"/>
        <v>5.2855645970690972E-2</v>
      </c>
      <c r="N65" s="67">
        <f t="shared" si="8"/>
        <v>3.5237097313793986E-2</v>
      </c>
      <c r="O65" s="10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1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5"/>
        <v>15.155121000000008</v>
      </c>
      <c r="K66" s="102">
        <f>Sayfa2!$J66*Sayfa2!$G66</f>
        <v>757.75605000000041</v>
      </c>
      <c r="L66" s="66">
        <f t="shared" si="6"/>
        <v>23</v>
      </c>
      <c r="M66" s="67">
        <f t="shared" si="7"/>
        <v>2.7259858050535473E-2</v>
      </c>
      <c r="N66" s="67">
        <f t="shared" si="8"/>
        <v>3.5556336587654967E-2</v>
      </c>
      <c r="O66" s="10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1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5"/>
        <v>15.155121000000008</v>
      </c>
      <c r="K67" s="102">
        <f>Sayfa2!$J67*Sayfa2!$G67</f>
        <v>242.48193600000013</v>
      </c>
      <c r="L67" s="66">
        <f t="shared" si="6"/>
        <v>22</v>
      </c>
      <c r="M67" s="67">
        <f t="shared" si="7"/>
        <v>2.7259858050535473E-2</v>
      </c>
      <c r="N67" s="67">
        <f t="shared" si="8"/>
        <v>3.7172533705275651E-2</v>
      </c>
      <c r="O67" s="10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1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06">
        <f t="shared" si="5"/>
        <v>24.51172100000008</v>
      </c>
      <c r="K68" s="65">
        <f>Sayfa2!$J68*Sayfa2!$G68</f>
        <v>2696.2893100000088</v>
      </c>
      <c r="L68" s="66">
        <f t="shared" si="6"/>
        <v>39</v>
      </c>
      <c r="M68" s="67">
        <f t="shared" si="7"/>
        <v>4.5341603332415076E-2</v>
      </c>
      <c r="N68" s="67">
        <f>K68/E68</f>
        <v>4.5341603332415076E-2</v>
      </c>
      <c r="O68" s="10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1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06">
        <f t="shared" si="5"/>
        <v>8.4999910000000227</v>
      </c>
      <c r="K69" s="65">
        <f>Sayfa2!$J69*Sayfa2!$G69</f>
        <v>84.999910000000227</v>
      </c>
      <c r="L69" s="66">
        <f t="shared" si="6"/>
        <v>12</v>
      </c>
      <c r="M69" s="67">
        <f t="shared" si="7"/>
        <v>1.5289125576155384E-2</v>
      </c>
      <c r="N69" s="67">
        <f t="shared" ref="N69:N74" si="9">M69/L69*30</f>
        <v>3.8222813940388463E-2</v>
      </c>
      <c r="O69" s="10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1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5"/>
        <v>3.8837499999999636</v>
      </c>
      <c r="K70" s="65">
        <f>Sayfa2!$J70*Sayfa2!$G70</f>
        <v>178.65249999999833</v>
      </c>
      <c r="L70" s="66">
        <f t="shared" si="6"/>
        <v>5</v>
      </c>
      <c r="M70" s="67">
        <f t="shared" si="7"/>
        <v>6.9857887445284065E-3</v>
      </c>
      <c r="N70" s="67">
        <f t="shared" si="9"/>
        <v>4.1914732467170444E-2</v>
      </c>
      <c r="O70" s="10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1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06">
        <f t="shared" si="5"/>
        <v>0.41840300000000141</v>
      </c>
      <c r="K71" s="65">
        <f>Sayfa2!$J71*Sayfa2!$G71</f>
        <v>125.52090000000042</v>
      </c>
      <c r="L71" s="1">
        <f t="shared" si="6"/>
        <v>21</v>
      </c>
      <c r="M71" s="67">
        <f t="shared" si="7"/>
        <v>2.2979885384798907E-2</v>
      </c>
      <c r="N71" s="67">
        <f t="shared" si="9"/>
        <v>3.2828407692569866E-2</v>
      </c>
      <c r="O71" s="10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1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06">
        <f t="shared" si="5"/>
        <v>14.89983600000005</v>
      </c>
      <c r="K72" s="65">
        <f>Sayfa2!$J72*Sayfa2!$G72</f>
        <v>148.9983600000005</v>
      </c>
      <c r="L72" s="1">
        <f t="shared" si="6"/>
        <v>26</v>
      </c>
      <c r="M72" s="67">
        <f t="shared" si="7"/>
        <v>2.8440778920881354E-2</v>
      </c>
      <c r="N72" s="67">
        <f t="shared" si="9"/>
        <v>3.2816283370247716E-2</v>
      </c>
      <c r="O72" s="10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1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06">
        <f t="shared" si="5"/>
        <v>11.57746700000007</v>
      </c>
      <c r="K73" s="65">
        <f>Sayfa2!$J73*Sayfa2!$G73</f>
        <v>324.16907600000195</v>
      </c>
      <c r="L73" s="1">
        <f t="shared" si="6"/>
        <v>20</v>
      </c>
      <c r="M73" s="67">
        <f t="shared" si="7"/>
        <v>2.1959784165860925E-2</v>
      </c>
      <c r="N73" s="67">
        <f t="shared" si="9"/>
        <v>3.2939676248791384E-2</v>
      </c>
      <c r="O73" s="10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1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06">
        <f>H74-D73</f>
        <v>12.787804000000051</v>
      </c>
      <c r="K74" s="65">
        <f>Sayfa2!$J74*Sayfa2!$G74</f>
        <v>281.33168800000112</v>
      </c>
      <c r="L74" s="1">
        <f>F74-B73</f>
        <v>22</v>
      </c>
      <c r="M74" s="67">
        <f t="shared" si="7"/>
        <v>2.4255514249821006E-2</v>
      </c>
      <c r="N74" s="67">
        <f t="shared" si="9"/>
        <v>3.3075701249755916E-2</v>
      </c>
      <c r="O74" s="69">
        <f>SUM(K55:K74)</f>
        <v>7765.4384360000149</v>
      </c>
    </row>
    <row r="75" spans="1:15">
      <c r="E75" s="53"/>
      <c r="F75" s="48"/>
      <c r="G75" s="52"/>
      <c r="I75" s="113"/>
      <c r="K75" s="55"/>
      <c r="L75" s="55"/>
    </row>
    <row r="76" spans="1:15">
      <c r="E76" s="53"/>
      <c r="F76" s="48"/>
      <c r="G76" s="52"/>
      <c r="I76" s="113"/>
      <c r="K76" s="55"/>
      <c r="L76" s="55"/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G55"/>
  <sheetViews>
    <sheetView zoomScale="130" zoomScaleNormal="130" workbookViewId="0">
      <pane xSplit="1" topLeftCell="B1" activePane="topRight" state="frozen"/>
      <selection pane="topRight" activeCell="W15" sqref="W15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9" max="11" width="9.42578125" customWidth="1"/>
    <col min="12" max="12" width="11.140625" style="115" customWidth="1"/>
    <col min="14" max="14" width="10.5703125" customWidth="1"/>
    <col min="15" max="15" width="9" customWidth="1"/>
    <col min="16" max="16" width="14.5703125" customWidth="1"/>
    <col min="17" max="17" width="9.28515625" customWidth="1"/>
    <col min="18" max="18" width="11.7109375" style="116" customWidth="1"/>
    <col min="22" max="22" width="3.28515625" style="114" customWidth="1"/>
    <col min="23" max="23" width="8.7109375" style="119"/>
    <col min="24" max="24" width="3" customWidth="1"/>
    <col min="25" max="25" width="8.5703125" customWidth="1"/>
    <col min="26" max="26" width="3" customWidth="1"/>
    <col min="27" max="27" width="11.5703125" customWidth="1"/>
    <col min="28" max="28" width="3" customWidth="1"/>
    <col min="29" max="29" width="10.7109375" customWidth="1"/>
    <col min="30" max="30" width="3" customWidth="1"/>
    <col min="32" max="32" width="3" customWidth="1"/>
    <col min="33" max="33" width="9.5703125" customWidth="1"/>
    <col min="35" max="35" width="2.7109375" customWidth="1"/>
    <col min="36" max="36" width="7.5703125" customWidth="1"/>
    <col min="37" max="37" width="4.42578125" customWidth="1"/>
    <col min="39" max="39" width="4.42578125" customWidth="1"/>
  </cols>
  <sheetData>
    <row r="4" spans="1:33">
      <c r="L4" s="117"/>
    </row>
    <row r="5" spans="1:33">
      <c r="A5" s="118">
        <f>A10</f>
        <v>45406</v>
      </c>
      <c r="C5">
        <f>C10</f>
        <v>31.928699999999999</v>
      </c>
      <c r="E5">
        <f>E10</f>
        <v>33.972000000000001</v>
      </c>
      <c r="G5">
        <f>G10</f>
        <v>2380.13</v>
      </c>
      <c r="I5">
        <f>I10</f>
        <v>0.88805999999999996</v>
      </c>
      <c r="K5">
        <f>I10</f>
        <v>0.88805999999999996</v>
      </c>
      <c r="M5" s="119">
        <f>Sayfa2!D3</f>
        <v>166.83220767747974</v>
      </c>
      <c r="N5" s="120">
        <f>Sayfa2!K2</f>
        <v>267432.02890700003</v>
      </c>
      <c r="W5" s="119">
        <f>W10</f>
        <v>148.5</v>
      </c>
      <c r="Y5">
        <f>Y10</f>
        <v>0</v>
      </c>
      <c r="AA5">
        <f>AA10</f>
        <v>0</v>
      </c>
      <c r="AC5">
        <f>AC10</f>
        <v>0</v>
      </c>
      <c r="AE5">
        <f>AE10</f>
        <v>0</v>
      </c>
      <c r="AG5">
        <f>AG30</f>
        <v>19.690000000000001</v>
      </c>
    </row>
    <row r="6" spans="1:33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97"/>
      <c r="W6" s="199" t="s">
        <v>234</v>
      </c>
      <c r="X6" s="122"/>
      <c r="Y6" s="122" t="s">
        <v>59</v>
      </c>
      <c r="Z6" s="122"/>
      <c r="AA6" s="122">
        <v>801</v>
      </c>
      <c r="AB6" s="122"/>
      <c r="AC6" s="122" t="s">
        <v>60</v>
      </c>
      <c r="AD6" s="122"/>
      <c r="AE6" s="122" t="s">
        <v>61</v>
      </c>
      <c r="AF6" s="122"/>
      <c r="AG6" s="122" t="s">
        <v>62</v>
      </c>
    </row>
    <row r="9" spans="1:33">
      <c r="L9" s="130"/>
    </row>
    <row r="10" spans="1:33">
      <c r="A10" s="118">
        <v>45406</v>
      </c>
      <c r="B10">
        <f>B42</f>
        <v>1110</v>
      </c>
      <c r="C10">
        <v>31.928699999999999</v>
      </c>
      <c r="D10">
        <f>D42</f>
        <v>321.99</v>
      </c>
      <c r="E10">
        <v>33.972000000000001</v>
      </c>
      <c r="F10" s="114">
        <v>156</v>
      </c>
      <c r="G10">
        <v>2380.13</v>
      </c>
      <c r="H10">
        <f>H42</f>
        <v>50000</v>
      </c>
      <c r="I10">
        <v>0.88805999999999996</v>
      </c>
      <c r="J10">
        <f>J42</f>
        <v>75000</v>
      </c>
      <c r="K10" s="121">
        <f t="shared" ref="K10:K30" si="0">I10</f>
        <v>0.88805999999999996</v>
      </c>
      <c r="L10" s="115">
        <f t="shared" ref="L10:L47" si="1">(F10*G10)+(B10*C10)+(D10*E10)+(H10*I10)+(J10*K10)</f>
        <v>528687.28128</v>
      </c>
      <c r="M10">
        <v>166.96</v>
      </c>
      <c r="N10">
        <v>267307.03000000003</v>
      </c>
      <c r="O10" s="119">
        <v>9720</v>
      </c>
      <c r="P10" s="127">
        <f>(1-(O13/O10))</f>
        <v>4.1358024691359185E-3</v>
      </c>
      <c r="Q10" s="117">
        <f>(L10/$L$36)-1</f>
        <v>-3.3134128688740994E-3</v>
      </c>
      <c r="R10" s="116">
        <f>(A10-$A$36)</f>
        <v>44</v>
      </c>
      <c r="S10" s="117">
        <f>((L10/$L$36)-1)/R10*30</f>
        <v>-2.259145137868704E-3</v>
      </c>
      <c r="T10" s="117"/>
      <c r="U10" s="117"/>
      <c r="V10" s="203">
        <v>10</v>
      </c>
      <c r="W10" s="204">
        <v>148.5</v>
      </c>
    </row>
    <row r="11" spans="1:33">
      <c r="A11" s="118">
        <v>45404</v>
      </c>
      <c r="B11">
        <f>B43</f>
        <v>1110</v>
      </c>
      <c r="C11">
        <v>31.928699999999999</v>
      </c>
      <c r="D11">
        <f>D43</f>
        <v>321.99</v>
      </c>
      <c r="E11">
        <v>33.972000000000001</v>
      </c>
      <c r="F11" s="114">
        <v>156</v>
      </c>
      <c r="G11">
        <v>2380.13</v>
      </c>
      <c r="H11">
        <f>H43</f>
        <v>50000</v>
      </c>
      <c r="I11">
        <v>0.88805999999999996</v>
      </c>
      <c r="J11">
        <f>J43</f>
        <v>75000</v>
      </c>
      <c r="K11" s="121">
        <f t="shared" ref="K11" si="2">I11</f>
        <v>0.88805999999999996</v>
      </c>
      <c r="L11" s="130">
        <f t="shared" ref="L11" si="3">(F11*G11)+(B11*C11)+(D11*E11)+(H11*I11)+(J11*K11)</f>
        <v>528687.28128</v>
      </c>
      <c r="M11">
        <v>166.96</v>
      </c>
      <c r="N11">
        <v>267307.03000000003</v>
      </c>
      <c r="O11" s="119">
        <v>9720</v>
      </c>
      <c r="P11" s="127">
        <f>(1-(O14/O11))</f>
        <v>-9.6872427983538678E-3</v>
      </c>
      <c r="Q11" s="117">
        <f>(L11/$L$36)-1</f>
        <v>-3.3134128688740994E-3</v>
      </c>
      <c r="R11" s="116">
        <f>(A11-$A$36)</f>
        <v>42</v>
      </c>
      <c r="S11" s="117">
        <f>((L11/$L$36)-1)/R11*30</f>
        <v>-2.3667234777672141E-3</v>
      </c>
      <c r="T11" s="117"/>
      <c r="U11" s="117"/>
      <c r="V11">
        <v>10</v>
      </c>
      <c r="W11" s="202">
        <v>135</v>
      </c>
    </row>
    <row r="12" spans="1:33">
      <c r="A12" s="118">
        <v>45401</v>
      </c>
      <c r="B12">
        <f>B43</f>
        <v>1110</v>
      </c>
      <c r="C12">
        <v>31.803999999999998</v>
      </c>
      <c r="D12">
        <f>D43</f>
        <v>321.99</v>
      </c>
      <c r="E12">
        <v>33.928400000000003</v>
      </c>
      <c r="F12" s="114">
        <v>156</v>
      </c>
      <c r="G12">
        <v>2427.62</v>
      </c>
      <c r="H12">
        <f>H43</f>
        <v>50000</v>
      </c>
      <c r="I12">
        <v>0.87351800000000002</v>
      </c>
      <c r="J12">
        <f>J43</f>
        <v>75000</v>
      </c>
      <c r="K12" s="121">
        <f t="shared" ref="K12" si="4">I12</f>
        <v>0.87351800000000002</v>
      </c>
      <c r="L12" s="130">
        <f t="shared" ref="L12" si="5">(F12*G12)+(B12*C12)+(D12*E12)+(H12*I12)+(J12*K12)</f>
        <v>534125.51551599998</v>
      </c>
      <c r="M12">
        <v>170.57</v>
      </c>
      <c r="N12">
        <v>272736.27</v>
      </c>
      <c r="O12" s="119">
        <v>9693.4599999999991</v>
      </c>
      <c r="P12" s="127">
        <f>(1-(O14/O12))</f>
        <v>-1.24516942350823E-2</v>
      </c>
      <c r="Q12" s="117">
        <f t="shared" ref="Q12" si="6">(L12/$L$36)-1</f>
        <v>6.9388010818296486E-3</v>
      </c>
      <c r="R12" s="116">
        <f t="shared" ref="R12" si="7">(A12-$A$36)</f>
        <v>39</v>
      </c>
      <c r="S12" s="117">
        <f>((L12/$L$36)-1)/R12*30</f>
        <v>5.3375392937151144E-3</v>
      </c>
      <c r="T12" s="117"/>
      <c r="U12" s="117"/>
      <c r="V12" t="s">
        <v>235</v>
      </c>
      <c r="W12" s="132" t="s">
        <v>64</v>
      </c>
    </row>
    <row r="13" spans="1:33">
      <c r="A13" s="118">
        <v>45397</v>
      </c>
      <c r="B13">
        <f>B43</f>
        <v>1110</v>
      </c>
      <c r="C13">
        <v>31.863399999999999</v>
      </c>
      <c r="D13">
        <f>D43</f>
        <v>321.99</v>
      </c>
      <c r="E13">
        <v>33.963099999999997</v>
      </c>
      <c r="F13" s="114">
        <v>156</v>
      </c>
      <c r="G13">
        <v>2387.5100000000002</v>
      </c>
      <c r="H13">
        <f>H43</f>
        <v>50000</v>
      </c>
      <c r="I13">
        <v>0.89791399999999999</v>
      </c>
      <c r="J13">
        <f>J43</f>
        <v>75000</v>
      </c>
      <c r="K13" s="121">
        <f t="shared" ref="K13" si="8">I13</f>
        <v>0.89791399999999999</v>
      </c>
      <c r="L13" s="130">
        <f t="shared" ref="L13" si="9">(F13*G13)+(B13*C13)+(D13*E13)+(H13*I13)+(J13*K13)</f>
        <v>530994.96256900008</v>
      </c>
      <c r="M13">
        <v>169.14</v>
      </c>
      <c r="N13">
        <v>269604.92</v>
      </c>
      <c r="O13" s="119">
        <v>9679.7999999999993</v>
      </c>
      <c r="P13" s="127">
        <f>(1-(O14/O13))</f>
        <v>-1.3880452075456073E-2</v>
      </c>
      <c r="Q13" s="117">
        <f>(L13/$L$36)-1</f>
        <v>1.0370511380362046E-3</v>
      </c>
      <c r="R13" s="116">
        <f>(A13-$A$36)</f>
        <v>35</v>
      </c>
      <c r="S13" s="117">
        <f>((L13/$L$36)-1)/R13*30</f>
        <v>8.8890097545960402E-4</v>
      </c>
      <c r="T13" s="117"/>
      <c r="U13" s="117"/>
      <c r="V13"/>
      <c r="W13" s="134" t="s">
        <v>63</v>
      </c>
    </row>
    <row r="14" spans="1:33">
      <c r="A14" s="118">
        <v>45391</v>
      </c>
      <c r="B14">
        <f>B43</f>
        <v>1110</v>
      </c>
      <c r="C14">
        <v>31.412299999999998</v>
      </c>
      <c r="D14">
        <f>D43</f>
        <v>321.99</v>
      </c>
      <c r="E14">
        <v>34.091799999999999</v>
      </c>
      <c r="F14" s="114">
        <v>156</v>
      </c>
      <c r="G14">
        <v>2352.21</v>
      </c>
      <c r="H14">
        <f>H43</f>
        <v>50000</v>
      </c>
      <c r="I14">
        <v>0.89529800000000004</v>
      </c>
      <c r="J14">
        <f>J43</f>
        <v>75000</v>
      </c>
      <c r="K14" s="121">
        <f t="shared" si="0"/>
        <v>0.89529800000000004</v>
      </c>
      <c r="L14" s="115">
        <f t="shared" si="1"/>
        <v>524701.88168200001</v>
      </c>
      <c r="M14">
        <v>165.81</v>
      </c>
      <c r="N14">
        <v>263308.84999999998</v>
      </c>
      <c r="O14" s="119">
        <v>9814.16</v>
      </c>
      <c r="P14" s="127">
        <f>(1-(O15/O14))</f>
        <v>5.8558246452063978E-3</v>
      </c>
      <c r="Q14" s="117">
        <f>(L14/$L$36)-1</f>
        <v>-1.0826728328378388E-2</v>
      </c>
      <c r="R14" s="116">
        <f>(A14-$A$36)</f>
        <v>29</v>
      </c>
      <c r="S14" s="117">
        <f>((L14/$L$36)-1)/R14*30</f>
        <v>-1.1200063787977641E-2</v>
      </c>
      <c r="T14" s="117"/>
      <c r="U14" s="117"/>
      <c r="V14" t="s">
        <v>65</v>
      </c>
      <c r="W14" s="201">
        <v>135</v>
      </c>
    </row>
    <row r="15" spans="1:33">
      <c r="A15" s="118">
        <v>45390</v>
      </c>
      <c r="B15">
        <f>B43</f>
        <v>1110</v>
      </c>
      <c r="C15">
        <v>31.5198</v>
      </c>
      <c r="D15">
        <f>D43</f>
        <v>321.99</v>
      </c>
      <c r="E15">
        <v>34.154899999999998</v>
      </c>
      <c r="F15" s="114">
        <v>156</v>
      </c>
      <c r="G15">
        <v>2344.37</v>
      </c>
      <c r="H15">
        <f>H43</f>
        <v>50000</v>
      </c>
      <c r="I15">
        <v>0.818581</v>
      </c>
      <c r="J15">
        <f>J43</f>
        <v>75000</v>
      </c>
      <c r="K15" s="121">
        <f t="shared" si="0"/>
        <v>0.818581</v>
      </c>
      <c r="L15" s="115">
        <f t="shared" si="1"/>
        <v>514028.85925099999</v>
      </c>
      <c r="M15">
        <v>159.19</v>
      </c>
      <c r="N15">
        <v>252634.37</v>
      </c>
      <c r="O15" s="119">
        <v>9756.69</v>
      </c>
      <c r="P15" s="127">
        <f t="shared" ref="P15:P47" si="10">(1-(O16/O15))</f>
        <v>1.4129791968382821E-2</v>
      </c>
      <c r="Q15" s="117">
        <f>(L15/$L$36)-1</f>
        <v>-3.0947617704367603E-2</v>
      </c>
      <c r="R15" s="116">
        <f>(A15-$A$36)</f>
        <v>28</v>
      </c>
      <c r="S15" s="117">
        <f>((L15/$L$36)-1)/R15*30</f>
        <v>-3.3158161826108146E-2</v>
      </c>
      <c r="T15" s="117"/>
      <c r="U15" s="117"/>
      <c r="V15"/>
      <c r="W15" s="117">
        <f>Sayfa2!K4</f>
        <v>0</v>
      </c>
    </row>
    <row r="16" spans="1:33">
      <c r="A16" s="118">
        <v>45387</v>
      </c>
      <c r="B16">
        <f>B43</f>
        <v>1110</v>
      </c>
      <c r="C16">
        <v>31.407</v>
      </c>
      <c r="D16">
        <f>D43</f>
        <v>321.99</v>
      </c>
      <c r="E16">
        <v>34.038899999999998</v>
      </c>
      <c r="F16" s="114">
        <v>156</v>
      </c>
      <c r="G16">
        <v>2289.27</v>
      </c>
      <c r="H16">
        <f>H43</f>
        <v>50000</v>
      </c>
      <c r="I16">
        <v>0.82424600000000003</v>
      </c>
      <c r="J16">
        <f>J43</f>
        <v>75000</v>
      </c>
      <c r="K16" s="121">
        <f t="shared" si="0"/>
        <v>0.82424600000000003</v>
      </c>
      <c r="L16" s="115">
        <f t="shared" si="1"/>
        <v>505978.825411</v>
      </c>
      <c r="M16">
        <v>154.41</v>
      </c>
      <c r="N16">
        <v>244587.02</v>
      </c>
      <c r="O16" s="119">
        <v>9618.83</v>
      </c>
      <c r="P16" s="127">
        <f t="shared" si="10"/>
        <v>5.0921993631241946E-2</v>
      </c>
      <c r="Q16" s="117">
        <f>(L16/$L$36)-1</f>
        <v>-4.6123622572225242E-2</v>
      </c>
      <c r="R16" s="116">
        <f>(A16-$A$36)</f>
        <v>25</v>
      </c>
      <c r="S16" s="117">
        <f>((L16/$L$36)-1)/R16*30</f>
        <v>-5.5348347086670288E-2</v>
      </c>
      <c r="T16" s="117"/>
      <c r="U16" s="117"/>
      <c r="V16" t="s">
        <v>236</v>
      </c>
      <c r="W16">
        <f>W14*V11</f>
        <v>1350</v>
      </c>
    </row>
    <row r="17" spans="1:33">
      <c r="A17" s="118">
        <v>45386</v>
      </c>
      <c r="B17">
        <f>B43</f>
        <v>1110</v>
      </c>
      <c r="C17">
        <v>31.399799999999999</v>
      </c>
      <c r="D17">
        <f>D43</f>
        <v>321.99</v>
      </c>
      <c r="E17">
        <v>34.053100000000001</v>
      </c>
      <c r="F17" s="114">
        <v>156</v>
      </c>
      <c r="G17">
        <v>2292.5700000000002</v>
      </c>
      <c r="H17">
        <f>H43</f>
        <v>50000</v>
      </c>
      <c r="I17">
        <v>0.82913899999999996</v>
      </c>
      <c r="J17">
        <f>J43</f>
        <v>75000</v>
      </c>
      <c r="K17" s="121">
        <f t="shared" si="0"/>
        <v>0.82913899999999996</v>
      </c>
      <c r="L17" s="115">
        <f t="shared" si="1"/>
        <v>507101.83066900005</v>
      </c>
      <c r="M17">
        <v>155.22</v>
      </c>
      <c r="N17">
        <v>245709.7</v>
      </c>
      <c r="O17" s="119">
        <v>9129.02</v>
      </c>
      <c r="P17" s="127">
        <f t="shared" si="10"/>
        <v>2.0070062284889389E-2</v>
      </c>
      <c r="Q17" s="117">
        <f>(L17/$L$36)-1</f>
        <v>-4.4006521749946126E-2</v>
      </c>
      <c r="R17" s="116">
        <f>(A17-$A$36)</f>
        <v>24</v>
      </c>
      <c r="S17" s="117">
        <f>((L17/$L$36)-1)/R17*30</f>
        <v>-5.5008152187432657E-2</v>
      </c>
      <c r="T17" s="117"/>
      <c r="U17" s="117"/>
      <c r="V17" s="135" t="s">
        <v>66</v>
      </c>
      <c r="W17" s="135">
        <f>(V10*W5)-(V10*W14)</f>
        <v>135</v>
      </c>
    </row>
    <row r="18" spans="1:33">
      <c r="A18" s="118">
        <v>45385</v>
      </c>
      <c r="B18">
        <f>B43</f>
        <v>1110</v>
      </c>
      <c r="C18">
        <v>31.399799999999999</v>
      </c>
      <c r="D18">
        <f>D43</f>
        <v>321.99</v>
      </c>
      <c r="E18">
        <v>34.053100000000001</v>
      </c>
      <c r="F18" s="114">
        <v>156</v>
      </c>
      <c r="G18">
        <v>2292.5700000000002</v>
      </c>
      <c r="H18">
        <f>H43</f>
        <v>50000</v>
      </c>
      <c r="I18">
        <v>0.82913899999999996</v>
      </c>
      <c r="J18">
        <f>J43</f>
        <v>75000</v>
      </c>
      <c r="K18" s="121">
        <f t="shared" si="0"/>
        <v>0.82913899999999996</v>
      </c>
      <c r="L18" s="115">
        <f t="shared" si="1"/>
        <v>507101.83066900005</v>
      </c>
      <c r="M18">
        <v>155.22</v>
      </c>
      <c r="N18">
        <v>245709.7</v>
      </c>
      <c r="O18" s="119">
        <v>8945.7999999999993</v>
      </c>
      <c r="P18" s="127">
        <f t="shared" si="10"/>
        <v>-1.0627333497283731E-2</v>
      </c>
      <c r="Q18" s="117">
        <f>(L18/$L$36)-1</f>
        <v>-4.4006521749946126E-2</v>
      </c>
      <c r="R18" s="116">
        <f>(A18-$A$36)</f>
        <v>23</v>
      </c>
      <c r="S18" s="117">
        <f>((L18/$L$36)-1)/R18*30</f>
        <v>-5.7399810978190594E-2</v>
      </c>
      <c r="T18" s="117"/>
      <c r="U18" s="117"/>
      <c r="V18" s="198"/>
      <c r="W18" s="200"/>
    </row>
    <row r="19" spans="1:33">
      <c r="A19" s="118">
        <v>45384</v>
      </c>
      <c r="B19">
        <f>B43</f>
        <v>1110</v>
      </c>
      <c r="C19">
        <v>31.536899999999999</v>
      </c>
      <c r="D19">
        <f>D43</f>
        <v>321.99</v>
      </c>
      <c r="E19">
        <v>33.958799999999997</v>
      </c>
      <c r="F19" s="114">
        <v>156</v>
      </c>
      <c r="G19">
        <v>2287.73</v>
      </c>
      <c r="H19">
        <f>H43</f>
        <v>50000</v>
      </c>
      <c r="I19">
        <v>0.85561100000000001</v>
      </c>
      <c r="J19">
        <f>J43</f>
        <v>75000</v>
      </c>
      <c r="K19" s="121">
        <f t="shared" si="0"/>
        <v>0.85561100000000001</v>
      </c>
      <c r="L19" s="115">
        <f t="shared" si="1"/>
        <v>509777.60801200004</v>
      </c>
      <c r="M19">
        <v>157.11000000000001</v>
      </c>
      <c r="N19">
        <v>248387.66</v>
      </c>
      <c r="O19" s="119">
        <v>9040.8700000000008</v>
      </c>
      <c r="P19" s="127">
        <f t="shared" si="10"/>
        <v>-1.2904731513670775E-2</v>
      </c>
      <c r="Q19" s="117">
        <f>(L19/$L$36)-1</f>
        <v>-3.8962119354903346E-2</v>
      </c>
      <c r="R19" s="116">
        <f>(A19-$A$36)</f>
        <v>22</v>
      </c>
      <c r="S19" s="117">
        <f>((L19/$L$36)-1)/R19*30</f>
        <v>-5.3130162756686382E-2</v>
      </c>
      <c r="T19" s="117"/>
      <c r="U19" s="117"/>
      <c r="V19" s="198"/>
      <c r="W19" s="200"/>
    </row>
    <row r="20" spans="1:33">
      <c r="A20" s="118">
        <v>45383</v>
      </c>
      <c r="B20">
        <f>B43</f>
        <v>1110</v>
      </c>
      <c r="C20">
        <v>31.879300000000001</v>
      </c>
      <c r="D20">
        <f>D43</f>
        <v>321.99</v>
      </c>
      <c r="E20">
        <v>34.391399999999997</v>
      </c>
      <c r="F20" s="114">
        <v>161</v>
      </c>
      <c r="G20">
        <v>2308.4299999999998</v>
      </c>
      <c r="H20">
        <f>H43</f>
        <v>50000</v>
      </c>
      <c r="I20">
        <v>0.88097599999999998</v>
      </c>
      <c r="J20">
        <f>J43</f>
        <v>75000</v>
      </c>
      <c r="K20" s="121">
        <f t="shared" si="0"/>
        <v>0.88097599999999998</v>
      </c>
      <c r="L20" s="115">
        <f t="shared" si="1"/>
        <v>528238.93988599989</v>
      </c>
      <c r="M20">
        <v>161.66</v>
      </c>
      <c r="N20">
        <v>255424.81</v>
      </c>
      <c r="O20" s="119">
        <v>9157.5400000000009</v>
      </c>
      <c r="P20" s="127">
        <f t="shared" si="10"/>
        <v>1.6532824317448958E-3</v>
      </c>
      <c r="Q20" s="117">
        <f>(L20/$L$36)-1</f>
        <v>-4.1586305801336598E-3</v>
      </c>
      <c r="R20" s="116">
        <f>(A20-$A$36)</f>
        <v>21</v>
      </c>
      <c r="S20" s="117">
        <f>((L20/$L$36)-1)/R20*30</f>
        <v>-5.9409008287623711E-3</v>
      </c>
      <c r="T20" s="117"/>
      <c r="U20" s="117"/>
      <c r="V20" s="198"/>
      <c r="W20" s="200"/>
    </row>
    <row r="21" spans="1:33">
      <c r="A21" s="118">
        <v>45381</v>
      </c>
      <c r="B21">
        <f>B43</f>
        <v>1110</v>
      </c>
      <c r="C21">
        <v>31.879300000000001</v>
      </c>
      <c r="D21">
        <f>D43</f>
        <v>321.99</v>
      </c>
      <c r="E21">
        <v>34.391399999999997</v>
      </c>
      <c r="F21" s="114">
        <v>161</v>
      </c>
      <c r="G21">
        <v>2308.4299999999998</v>
      </c>
      <c r="H21">
        <f>H43</f>
        <v>50000</v>
      </c>
      <c r="I21">
        <v>0.88097599999999998</v>
      </c>
      <c r="J21">
        <f>J43</f>
        <v>75000</v>
      </c>
      <c r="K21" s="121">
        <f t="shared" si="0"/>
        <v>0.88097599999999998</v>
      </c>
      <c r="L21" s="115">
        <f t="shared" si="1"/>
        <v>528238.93988599989</v>
      </c>
      <c r="M21">
        <v>161.66</v>
      </c>
      <c r="N21">
        <v>255424.81</v>
      </c>
      <c r="O21" s="119">
        <v>9142.4</v>
      </c>
      <c r="P21" s="127">
        <f t="shared" si="10"/>
        <v>0</v>
      </c>
      <c r="Q21" s="117">
        <f>(L21/$L$36)-1</f>
        <v>-4.1586305801336598E-3</v>
      </c>
      <c r="R21" s="116">
        <f>(A21-$A$36)</f>
        <v>19</v>
      </c>
      <c r="S21" s="117">
        <f>((L21/$L$36)-1)/R21*30</f>
        <v>-6.5662588107373576E-3</v>
      </c>
      <c r="T21" s="117"/>
      <c r="U21" s="117"/>
      <c r="V21" s="198"/>
      <c r="W21" s="200"/>
    </row>
    <row r="22" spans="1:33">
      <c r="A22" s="118">
        <v>45380</v>
      </c>
      <c r="B22">
        <f>B43</f>
        <v>1110</v>
      </c>
      <c r="C22">
        <v>31.8308</v>
      </c>
      <c r="D22">
        <f>D43</f>
        <v>321.99</v>
      </c>
      <c r="E22">
        <v>34.369900000000001</v>
      </c>
      <c r="F22" s="114">
        <v>161</v>
      </c>
      <c r="G22">
        <v>2273.3200000000002</v>
      </c>
      <c r="H22">
        <f>H43</f>
        <v>50000</v>
      </c>
      <c r="I22">
        <v>0.85243100000000005</v>
      </c>
      <c r="J22">
        <f>J43</f>
        <v>75000</v>
      </c>
      <c r="K22" s="121">
        <f t="shared" si="0"/>
        <v>0.85243100000000005</v>
      </c>
      <c r="L22" s="115">
        <f t="shared" si="1"/>
        <v>518957.34710100002</v>
      </c>
      <c r="M22">
        <v>156.08000000000001</v>
      </c>
      <c r="N22">
        <v>246143.72</v>
      </c>
      <c r="O22" s="119">
        <v>9142.4</v>
      </c>
      <c r="P22" s="127">
        <f t="shared" si="10"/>
        <v>6.8286226811340445E-3</v>
      </c>
      <c r="Q22" s="117">
        <f>(L22/$L$36)-1</f>
        <v>-2.165638277425741E-2</v>
      </c>
      <c r="R22" s="116">
        <f>(A22-$A$36)</f>
        <v>18</v>
      </c>
      <c r="S22" s="117">
        <f>((L22/$L$36)-1)/R22*30</f>
        <v>-3.6093971290429017E-2</v>
      </c>
      <c r="T22" s="117"/>
      <c r="U22" s="117"/>
      <c r="V22" s="198"/>
      <c r="W22" s="200"/>
    </row>
    <row r="23" spans="1:33">
      <c r="A23" s="118">
        <v>45379</v>
      </c>
      <c r="B23">
        <f>B43</f>
        <v>1110</v>
      </c>
      <c r="C23">
        <v>31.870699999999999</v>
      </c>
      <c r="D23">
        <f>D43</f>
        <v>321.99</v>
      </c>
      <c r="E23">
        <v>34.480800000000002</v>
      </c>
      <c r="F23" s="114">
        <v>161</v>
      </c>
      <c r="G23">
        <v>2240.09</v>
      </c>
      <c r="H23">
        <f>H43</f>
        <v>50000</v>
      </c>
      <c r="I23">
        <v>0.86473199999999995</v>
      </c>
      <c r="J23">
        <f>J43</f>
        <v>75000</v>
      </c>
      <c r="K23" s="121">
        <f t="shared" si="0"/>
        <v>0.86473199999999995</v>
      </c>
      <c r="L23" s="115">
        <f t="shared" si="1"/>
        <v>515224.93979199999</v>
      </c>
      <c r="M23">
        <v>153.81</v>
      </c>
      <c r="N23">
        <v>242408.74</v>
      </c>
      <c r="O23" s="119">
        <v>9079.9699999999993</v>
      </c>
      <c r="P23" s="127">
        <f t="shared" si="10"/>
        <v>3.0093711763364839E-2</v>
      </c>
      <c r="Q23" s="117">
        <f>(L23/$L$36)-1</f>
        <v>-2.8692754622628658E-2</v>
      </c>
      <c r="R23" s="116">
        <f>(A23-$A$36)</f>
        <v>17</v>
      </c>
      <c r="S23" s="117">
        <f>((L23/$L$36)-1)/R23*30</f>
        <v>-5.0634272863462337E-2</v>
      </c>
      <c r="T23" s="117"/>
      <c r="U23" s="117"/>
      <c r="V23" s="198"/>
      <c r="W23" s="200"/>
    </row>
    <row r="24" spans="1:33">
      <c r="A24" s="118">
        <v>45378</v>
      </c>
      <c r="B24">
        <f>B43</f>
        <v>1110</v>
      </c>
      <c r="C24">
        <v>31.821999999999999</v>
      </c>
      <c r="D24">
        <f>D43</f>
        <v>321.99</v>
      </c>
      <c r="E24">
        <v>34.5045</v>
      </c>
      <c r="F24" s="114">
        <v>161</v>
      </c>
      <c r="G24">
        <v>2227.25</v>
      </c>
      <c r="H24">
        <f>H43</f>
        <v>50000</v>
      </c>
      <c r="I24">
        <v>0.85899999999999999</v>
      </c>
      <c r="J24">
        <f>J43</f>
        <v>75000</v>
      </c>
      <c r="K24" s="121">
        <f t="shared" si="0"/>
        <v>0.85899999999999999</v>
      </c>
      <c r="L24" s="115">
        <f t="shared" si="1"/>
        <v>512394.77395499998</v>
      </c>
      <c r="M24">
        <v>154.24</v>
      </c>
      <c r="N24">
        <v>242616.68</v>
      </c>
      <c r="O24" s="119">
        <v>8806.7199999999993</v>
      </c>
      <c r="P24" s="127">
        <f t="shared" si="10"/>
        <v>-7.4942770974972817E-5</v>
      </c>
      <c r="Q24" s="117">
        <f>(L24/$L$36)-1</f>
        <v>-3.4028211761422011E-2</v>
      </c>
      <c r="R24" s="116">
        <f>(A24-$A$36)</f>
        <v>16</v>
      </c>
      <c r="S24" s="117">
        <f>((L24/$L$36)-1)/R24*30</f>
        <v>-6.3802897052666271E-2</v>
      </c>
      <c r="T24" s="117"/>
      <c r="U24" s="117"/>
      <c r="V24" s="198"/>
      <c r="W24" s="200"/>
    </row>
    <row r="25" spans="1:33">
      <c r="A25" s="118">
        <v>45377</v>
      </c>
      <c r="B25">
        <f>B44</f>
        <v>1110</v>
      </c>
      <c r="C25">
        <v>31.530999999999999</v>
      </c>
      <c r="D25">
        <f>D44</f>
        <v>321.99</v>
      </c>
      <c r="E25">
        <v>34.125900000000001</v>
      </c>
      <c r="F25" s="114">
        <v>161</v>
      </c>
      <c r="G25">
        <v>2227.25</v>
      </c>
      <c r="H25">
        <f>H44</f>
        <v>50000</v>
      </c>
      <c r="I25">
        <v>0.890316</v>
      </c>
      <c r="J25">
        <f>J44</f>
        <v>75000</v>
      </c>
      <c r="K25" s="121">
        <f t="shared" si="0"/>
        <v>0.890316</v>
      </c>
      <c r="L25" s="115">
        <f t="shared" si="1"/>
        <v>515864.35854099999</v>
      </c>
      <c r="M25">
        <v>154.24</v>
      </c>
      <c r="N25">
        <v>242616.68</v>
      </c>
      <c r="O25" s="119">
        <v>8807.3799999999992</v>
      </c>
      <c r="P25" s="127">
        <f t="shared" si="10"/>
        <v>-2.5206133946758191E-2</v>
      </c>
      <c r="Q25" s="117">
        <f>(L25/$L$36)-1</f>
        <v>-2.7487315957364089E-2</v>
      </c>
      <c r="R25" s="116">
        <f>(A25-$A$36)</f>
        <v>15</v>
      </c>
      <c r="S25" s="117">
        <f>((L25/$L$36)-1)/R25*30</f>
        <v>-5.4974631914728178E-2</v>
      </c>
      <c r="T25" s="117"/>
      <c r="U25" s="117"/>
      <c r="V25" s="198"/>
      <c r="W25" s="200"/>
    </row>
    <row r="26" spans="1:33">
      <c r="A26" s="118">
        <v>45376</v>
      </c>
      <c r="B26">
        <f>B43</f>
        <v>1110</v>
      </c>
      <c r="C26">
        <v>31.786200000000001</v>
      </c>
      <c r="D26">
        <f>D43</f>
        <v>321.99</v>
      </c>
      <c r="E26">
        <v>34.386299999999999</v>
      </c>
      <c r="F26" s="114">
        <v>161</v>
      </c>
      <c r="G26">
        <v>2214.31</v>
      </c>
      <c r="H26">
        <f>H43</f>
        <v>50000</v>
      </c>
      <c r="I26">
        <v>0.91889100000000001</v>
      </c>
      <c r="J26">
        <f>J43</f>
        <v>75000</v>
      </c>
      <c r="K26" s="121">
        <f t="shared" si="0"/>
        <v>0.91889100000000001</v>
      </c>
      <c r="L26" s="115">
        <f t="shared" si="1"/>
        <v>517720.01173699996</v>
      </c>
      <c r="M26">
        <v>155.99</v>
      </c>
      <c r="N26">
        <v>244906</v>
      </c>
      <c r="O26" s="119">
        <v>9029.3799999999992</v>
      </c>
      <c r="P26" s="127">
        <f t="shared" si="10"/>
        <v>-9.0947551216142841E-3</v>
      </c>
      <c r="Q26" s="117">
        <f>(L26/$L$36)-1</f>
        <v>-2.3989019863797534E-2</v>
      </c>
      <c r="R26" s="116">
        <f>(A26-$A$36)</f>
        <v>14</v>
      </c>
      <c r="S26" s="117">
        <f>((L26/$L$36)-1)/R26*30</f>
        <v>-5.1405042565280425E-2</v>
      </c>
      <c r="T26" s="117"/>
      <c r="U26" s="117"/>
      <c r="V26" s="198"/>
      <c r="W26" s="200"/>
    </row>
    <row r="27" spans="1:33">
      <c r="A27" s="118">
        <v>45373</v>
      </c>
      <c r="B27">
        <f>B43</f>
        <v>1110</v>
      </c>
      <c r="C27">
        <v>31.710699999999999</v>
      </c>
      <c r="D27">
        <f>D43</f>
        <v>321.99</v>
      </c>
      <c r="E27">
        <v>34.336300000000001</v>
      </c>
      <c r="F27" s="114">
        <v>161</v>
      </c>
      <c r="G27">
        <v>2212.11</v>
      </c>
      <c r="H27">
        <f>H43</f>
        <v>50000</v>
      </c>
      <c r="I27">
        <v>0.93062100000000003</v>
      </c>
      <c r="J27">
        <f>J43</f>
        <v>75000</v>
      </c>
      <c r="K27" s="121">
        <f t="shared" si="0"/>
        <v>0.93062100000000003</v>
      </c>
      <c r="L27" s="115">
        <f t="shared" si="1"/>
        <v>518732.15723700001</v>
      </c>
      <c r="M27">
        <v>156.63999999999999</v>
      </c>
      <c r="N27">
        <v>245919.31</v>
      </c>
      <c r="O27">
        <v>9111.5</v>
      </c>
      <c r="P27" s="127">
        <f t="shared" si="10"/>
        <v>-3.2047412610438641E-3</v>
      </c>
      <c r="Q27" s="117">
        <f>(L27/$L$36)-1</f>
        <v>-2.2080912973779676E-2</v>
      </c>
      <c r="R27" s="116">
        <f>(A27-$A$36)</f>
        <v>11</v>
      </c>
      <c r="S27" s="117">
        <f>((L27/$L$36)-1)/R27*30</f>
        <v>-6.0220671746671839E-2</v>
      </c>
      <c r="T27" s="117"/>
      <c r="U27" s="117"/>
      <c r="V27" s="198"/>
      <c r="W27" s="200"/>
    </row>
    <row r="28" spans="1:33">
      <c r="A28" s="118">
        <v>45372</v>
      </c>
      <c r="B28">
        <f>B43</f>
        <v>1110</v>
      </c>
      <c r="C28">
        <v>32.063899999999997</v>
      </c>
      <c r="D28">
        <f>D43</f>
        <v>321.99</v>
      </c>
      <c r="E28">
        <v>35.065100000000001</v>
      </c>
      <c r="F28" s="114">
        <v>161</v>
      </c>
      <c r="G28">
        <v>2267.61</v>
      </c>
      <c r="H28">
        <f>H43</f>
        <v>50000</v>
      </c>
      <c r="I28">
        <v>0.94166499999999997</v>
      </c>
      <c r="J28">
        <f>J43</f>
        <v>75000</v>
      </c>
      <c r="K28" s="121">
        <f t="shared" si="0"/>
        <v>0.94166499999999997</v>
      </c>
      <c r="L28" s="115">
        <f t="shared" si="1"/>
        <v>529674.87554899999</v>
      </c>
      <c r="M28">
        <v>163.91</v>
      </c>
      <c r="N28">
        <v>256845.12</v>
      </c>
      <c r="O28" s="119">
        <v>9140.7000000000007</v>
      </c>
      <c r="P28" s="127">
        <f t="shared" si="10"/>
        <v>2.0302602645311585E-2</v>
      </c>
      <c r="Q28" s="117">
        <f>(L28/$L$36)-1</f>
        <v>-1.4515902067954167E-3</v>
      </c>
      <c r="R28" s="116">
        <f>(A28-$A$36)</f>
        <v>10</v>
      </c>
      <c r="S28" s="117">
        <f>((L28/$L$36)-1)/R28*30</f>
        <v>-4.3547706203862502E-3</v>
      </c>
      <c r="T28" s="117"/>
      <c r="U28" s="117"/>
      <c r="V28" s="198"/>
      <c r="W28" s="200"/>
    </row>
    <row r="29" spans="1:33">
      <c r="A29" s="118">
        <v>45371</v>
      </c>
      <c r="B29">
        <f>B43</f>
        <v>1110</v>
      </c>
      <c r="C29">
        <v>32.028799999999997</v>
      </c>
      <c r="D29">
        <f>D43</f>
        <v>321.99</v>
      </c>
      <c r="E29">
        <v>34.808799999999998</v>
      </c>
      <c r="F29" s="114">
        <v>161</v>
      </c>
      <c r="G29">
        <v>2220.92</v>
      </c>
      <c r="H29">
        <f>H43</f>
        <v>50000</v>
      </c>
      <c r="I29">
        <v>0.93470600000000004</v>
      </c>
      <c r="J29">
        <f>J43</f>
        <v>75000</v>
      </c>
      <c r="K29" s="121">
        <f t="shared" si="0"/>
        <v>0.93470600000000004</v>
      </c>
      <c r="L29" s="115">
        <f t="shared" si="1"/>
        <v>521166.42351200001</v>
      </c>
      <c r="M29">
        <v>158.47999999999999</v>
      </c>
      <c r="N29">
        <v>248342.62</v>
      </c>
      <c r="O29" s="119">
        <v>8955.1200000000008</v>
      </c>
      <c r="P29" s="127">
        <f t="shared" si="10"/>
        <v>2.8184993612594411E-3</v>
      </c>
      <c r="Q29" s="117">
        <f>(L29/$L$36)-1</f>
        <v>-1.7491809676412506E-2</v>
      </c>
      <c r="R29" s="116">
        <f>(A29-$A$36)</f>
        <v>9</v>
      </c>
      <c r="S29" s="117">
        <f>((L29/$L$36)-1)/R29*30</f>
        <v>-5.8306032254708352E-2</v>
      </c>
      <c r="T29" s="117"/>
      <c r="U29" s="117"/>
      <c r="V29" s="198"/>
      <c r="W29" s="200"/>
    </row>
    <row r="30" spans="1:33">
      <c r="A30" s="118">
        <v>45370</v>
      </c>
      <c r="B30">
        <f>B43</f>
        <v>1110</v>
      </c>
      <c r="C30">
        <v>32.087800000000001</v>
      </c>
      <c r="D30">
        <f>D43</f>
        <v>321.99</v>
      </c>
      <c r="E30">
        <v>34.799100000000003</v>
      </c>
      <c r="F30" s="114">
        <v>161</v>
      </c>
      <c r="G30">
        <v>2219.02</v>
      </c>
      <c r="H30">
        <f>H43</f>
        <v>50000</v>
      </c>
      <c r="I30">
        <v>0.90033600000000003</v>
      </c>
      <c r="J30">
        <f>J43</f>
        <v>75000</v>
      </c>
      <c r="K30" s="121">
        <f t="shared" si="0"/>
        <v>0.90033600000000003</v>
      </c>
      <c r="L30" s="115">
        <f t="shared" si="1"/>
        <v>516626.64020899998</v>
      </c>
      <c r="M30">
        <v>155.59</v>
      </c>
      <c r="N30">
        <v>243803.06</v>
      </c>
      <c r="O30" s="119">
        <v>8929.8799999999992</v>
      </c>
      <c r="P30" s="127">
        <f t="shared" si="10"/>
        <v>2.3714764364134666E-2</v>
      </c>
      <c r="Q30" s="117">
        <f>(L30/$L$36)-1</f>
        <v>-2.6050254879836254E-2</v>
      </c>
      <c r="R30" s="116">
        <f>(A30-$A$36)</f>
        <v>8</v>
      </c>
      <c r="S30" s="117">
        <f>((L30/$L$36)-1)/R30*30</f>
        <v>-9.7688455799385954E-2</v>
      </c>
      <c r="T30" s="117"/>
      <c r="U30" s="117"/>
      <c r="V30" s="198"/>
      <c r="W30" s="200"/>
      <c r="AF30">
        <v>68</v>
      </c>
      <c r="AG30">
        <v>19.690000000000001</v>
      </c>
    </row>
    <row r="31" spans="1:33">
      <c r="A31" s="118">
        <v>45369</v>
      </c>
      <c r="B31">
        <f>B43</f>
        <v>1110</v>
      </c>
      <c r="C31">
        <v>31.9499</v>
      </c>
      <c r="D31">
        <f>D43</f>
        <v>321.99</v>
      </c>
      <c r="E31">
        <v>34.8125</v>
      </c>
      <c r="F31" s="114">
        <v>161</v>
      </c>
      <c r="G31">
        <v>2212.35</v>
      </c>
      <c r="H31">
        <f>H43</f>
        <v>50000</v>
      </c>
      <c r="I31">
        <v>0.93887900000000002</v>
      </c>
      <c r="J31">
        <f>J43</f>
        <v>75000</v>
      </c>
      <c r="K31">
        <v>0.93887900000000002</v>
      </c>
      <c r="L31" s="115">
        <f t="shared" si="1"/>
        <v>520221.89087499998</v>
      </c>
      <c r="M31">
        <v>155.44</v>
      </c>
      <c r="N31">
        <v>247623.17</v>
      </c>
      <c r="O31" s="119">
        <v>8718.11</v>
      </c>
      <c r="P31" s="127">
        <f t="shared" si="10"/>
        <v>-1.2685088855267868E-2</v>
      </c>
      <c r="Q31" s="117">
        <f>(L31/$L$36)-1</f>
        <v>-1.9272452116166794E-2</v>
      </c>
      <c r="R31" s="116">
        <f>(A31-$A$36)</f>
        <v>7</v>
      </c>
      <c r="S31" s="117">
        <f>((L31/$L$36)-1)/R31*30</f>
        <v>-8.2596223355000553E-2</v>
      </c>
      <c r="T31" s="117"/>
      <c r="U31" s="117"/>
      <c r="V31" s="198"/>
      <c r="W31" s="200"/>
      <c r="AF31">
        <v>68</v>
      </c>
      <c r="AG31">
        <v>22.96</v>
      </c>
    </row>
    <row r="32" spans="1:33">
      <c r="A32" s="118">
        <v>45366</v>
      </c>
      <c r="B32">
        <f>B43</f>
        <v>1110</v>
      </c>
      <c r="C32">
        <v>31.796299999999999</v>
      </c>
      <c r="D32">
        <f>D43</f>
        <v>321.99</v>
      </c>
      <c r="E32">
        <v>34.619700000000002</v>
      </c>
      <c r="F32" s="114">
        <v>161</v>
      </c>
      <c r="G32">
        <v>2213.54</v>
      </c>
      <c r="H32">
        <f>H43</f>
        <v>50000</v>
      </c>
      <c r="I32">
        <v>0.94838599999999995</v>
      </c>
      <c r="J32">
        <f>J43</f>
        <v>75000</v>
      </c>
      <c r="K32">
        <v>0.94838599999999995</v>
      </c>
      <c r="L32" s="115">
        <f t="shared" si="1"/>
        <v>521369.280203</v>
      </c>
      <c r="M32">
        <v>156.13</v>
      </c>
      <c r="N32">
        <v>248712.47</v>
      </c>
      <c r="O32" s="119">
        <v>8828.7000000000007</v>
      </c>
      <c r="P32" s="127">
        <f t="shared" si="10"/>
        <v>-6.2092946866469934E-3</v>
      </c>
      <c r="Q32" s="117">
        <f>(L32/$L$36)-1</f>
        <v>-1.7109382199549383E-2</v>
      </c>
      <c r="R32" s="116">
        <f>(A32-$A$36)</f>
        <v>4</v>
      </c>
      <c r="S32" s="117">
        <f>((L32/$L$36)-1)/R32*30</f>
        <v>-0.12832036649662037</v>
      </c>
      <c r="T32" s="117"/>
      <c r="U32" s="117"/>
      <c r="V32" s="198"/>
      <c r="W32" s="200"/>
      <c r="AF32">
        <v>68</v>
      </c>
      <c r="AG32">
        <v>22.04</v>
      </c>
    </row>
    <row r="33" spans="1:33">
      <c r="A33" s="118">
        <v>45365</v>
      </c>
      <c r="B33">
        <f>B43</f>
        <v>1110</v>
      </c>
      <c r="C33">
        <v>31.775700000000001</v>
      </c>
      <c r="D33">
        <f>D43</f>
        <v>321.99</v>
      </c>
      <c r="E33">
        <v>34.762500000000003</v>
      </c>
      <c r="F33" s="114">
        <v>161</v>
      </c>
      <c r="G33">
        <v>2222.88</v>
      </c>
      <c r="H33">
        <f>H43</f>
        <v>50000</v>
      </c>
      <c r="I33">
        <v>0.95100700000000005</v>
      </c>
      <c r="J33">
        <f>J43</f>
        <v>75000</v>
      </c>
      <c r="K33">
        <v>0.95100700000000005</v>
      </c>
      <c r="L33" s="115">
        <f t="shared" si="1"/>
        <v>523223.75937500002</v>
      </c>
      <c r="M33">
        <v>157.21</v>
      </c>
      <c r="N33">
        <v>250427.64</v>
      </c>
      <c r="O33" s="119">
        <v>8883.52</v>
      </c>
      <c r="P33" s="127">
        <f t="shared" si="10"/>
        <v>-3.0066910413888426E-3</v>
      </c>
      <c r="Q33" s="117">
        <f>(L33/$L$36)-1</f>
        <v>-1.3613299387851274E-2</v>
      </c>
      <c r="R33" s="116">
        <f>(A33-$A$36)</f>
        <v>3</v>
      </c>
      <c r="S33" s="117">
        <f>((L33/$L$36)-1)/R33*30</f>
        <v>-0.13613299387851274</v>
      </c>
      <c r="T33" s="117"/>
      <c r="U33" s="117"/>
      <c r="V33" s="198"/>
      <c r="W33" s="200"/>
      <c r="AF33">
        <v>68</v>
      </c>
      <c r="AG33">
        <v>20.399999999999999</v>
      </c>
    </row>
    <row r="34" spans="1:33">
      <c r="A34" s="118">
        <v>45364</v>
      </c>
      <c r="B34">
        <f>B43</f>
        <v>1110</v>
      </c>
      <c r="C34">
        <v>32</v>
      </c>
      <c r="D34">
        <f>D43</f>
        <v>321.99</v>
      </c>
      <c r="E34">
        <v>35</v>
      </c>
      <c r="F34" s="114">
        <v>161</v>
      </c>
      <c r="G34">
        <v>2220.3200000000002</v>
      </c>
      <c r="H34">
        <f>H43</f>
        <v>50000</v>
      </c>
      <c r="I34">
        <v>0.957233</v>
      </c>
      <c r="J34">
        <f>J43</f>
        <v>75000</v>
      </c>
      <c r="K34">
        <v>0.957233</v>
      </c>
      <c r="L34" s="115">
        <f t="shared" si="1"/>
        <v>523915.29500000004</v>
      </c>
      <c r="M34">
        <v>160.79</v>
      </c>
      <c r="N34">
        <v>250989.9</v>
      </c>
      <c r="O34" s="119">
        <v>8910.23</v>
      </c>
      <c r="P34" s="127">
        <f t="shared" si="10"/>
        <v>-1.7822211098927898E-2</v>
      </c>
      <c r="Q34" s="117">
        <f>(L34/$L$36)-1</f>
        <v>-1.2309609463077242E-2</v>
      </c>
      <c r="R34" s="116">
        <f>(A34-$A$36)</f>
        <v>2</v>
      </c>
      <c r="S34" s="117">
        <f>((L34/$L$36)-1)/R34*30</f>
        <v>-0.18464414194615864</v>
      </c>
      <c r="T34" s="117"/>
      <c r="U34" s="117"/>
      <c r="V34" s="198"/>
      <c r="W34" s="200"/>
      <c r="AF34">
        <v>68</v>
      </c>
      <c r="AG34">
        <v>18.22</v>
      </c>
    </row>
    <row r="35" spans="1:33">
      <c r="A35" s="118">
        <v>45363</v>
      </c>
      <c r="B35">
        <f>B43</f>
        <v>1110</v>
      </c>
      <c r="C35">
        <v>31.516400000000001</v>
      </c>
      <c r="D35">
        <f>D43</f>
        <v>321.99</v>
      </c>
      <c r="E35">
        <v>34.463200000000001</v>
      </c>
      <c r="F35" s="114">
        <v>161</v>
      </c>
      <c r="G35">
        <v>2220.3200000000002</v>
      </c>
      <c r="H35">
        <f>H43</f>
        <v>50000</v>
      </c>
      <c r="I35">
        <v>0.979213</v>
      </c>
      <c r="J35">
        <f>J43</f>
        <v>75000</v>
      </c>
      <c r="K35">
        <v>0.979213</v>
      </c>
      <c r="L35" s="115">
        <f t="shared" si="1"/>
        <v>525953.15476800012</v>
      </c>
      <c r="M35">
        <v>161.94999999999999</v>
      </c>
      <c r="N35">
        <v>252645.61</v>
      </c>
      <c r="O35" s="119">
        <v>9069.0300000000007</v>
      </c>
      <c r="P35" s="127">
        <f t="shared" si="10"/>
        <v>-6.8684302510850781E-3</v>
      </c>
      <c r="Q35" s="117">
        <f>(L35/$L$36)-1</f>
        <v>-8.4678157049555836E-3</v>
      </c>
      <c r="R35" s="116">
        <f>(A35-$A$36)</f>
        <v>1</v>
      </c>
      <c r="S35" s="117">
        <f>((L35/$L$36)-1)/R35*30</f>
        <v>-0.25403447114866751</v>
      </c>
      <c r="T35" s="117"/>
      <c r="U35" s="117"/>
      <c r="V35" s="198"/>
      <c r="W35" s="200"/>
      <c r="AF35">
        <v>68</v>
      </c>
      <c r="AG35">
        <v>16.57</v>
      </c>
    </row>
    <row r="36" spans="1:33">
      <c r="A36" s="118">
        <v>45362</v>
      </c>
      <c r="B36">
        <f>B43</f>
        <v>1110</v>
      </c>
      <c r="C36">
        <v>31.571400000000001</v>
      </c>
      <c r="D36">
        <f>D43</f>
        <v>321.99</v>
      </c>
      <c r="E36">
        <v>34.558100000000003</v>
      </c>
      <c r="F36" s="114">
        <v>161</v>
      </c>
      <c r="G36">
        <v>2232.66</v>
      </c>
      <c r="H36">
        <f>H43</f>
        <v>50000</v>
      </c>
      <c r="I36">
        <v>0.99851990000000002</v>
      </c>
      <c r="J36">
        <f>J43</f>
        <v>75000</v>
      </c>
      <c r="K36">
        <v>0.99851990000000002</v>
      </c>
      <c r="L36" s="128">
        <f t="shared" si="1"/>
        <v>530444.86411900003</v>
      </c>
      <c r="M36">
        <v>164.91</v>
      </c>
      <c r="N36">
        <v>257088.48</v>
      </c>
      <c r="O36" s="119">
        <v>9131.32</v>
      </c>
      <c r="P36" s="127">
        <f t="shared" si="10"/>
        <v>-2.6283166070184549E-3</v>
      </c>
      <c r="Q36" s="117">
        <f>(L36/$L$36)-1</f>
        <v>0</v>
      </c>
      <c r="R36" s="116">
        <f>(A36-$A$36)</f>
        <v>0</v>
      </c>
      <c r="S36" s="117"/>
      <c r="T36" s="117"/>
      <c r="U36" s="117"/>
      <c r="V36" s="198"/>
      <c r="W36" s="200"/>
      <c r="AB36">
        <v>12</v>
      </c>
      <c r="AC36">
        <v>41.58</v>
      </c>
      <c r="AD36">
        <f>AD43</f>
        <v>15</v>
      </c>
      <c r="AE36">
        <v>55.55</v>
      </c>
      <c r="AF36">
        <v>68</v>
      </c>
      <c r="AG36">
        <v>15.07</v>
      </c>
    </row>
    <row r="37" spans="1:33">
      <c r="A37" s="118">
        <v>45359</v>
      </c>
      <c r="B37">
        <f>B43</f>
        <v>1110</v>
      </c>
      <c r="C37">
        <v>31.402999999999999</v>
      </c>
      <c r="D37">
        <f>D43</f>
        <v>321.99</v>
      </c>
      <c r="E37">
        <v>34.3643</v>
      </c>
      <c r="F37" s="114">
        <v>161</v>
      </c>
      <c r="G37">
        <v>2198.16</v>
      </c>
      <c r="H37">
        <f>H43</f>
        <v>50000</v>
      </c>
      <c r="I37">
        <v>0.99115900000000001</v>
      </c>
      <c r="J37">
        <f>J43</f>
        <v>75000</v>
      </c>
      <c r="K37">
        <v>0.99115900000000001</v>
      </c>
      <c r="L37" s="115">
        <f t="shared" si="1"/>
        <v>523720.92595699994</v>
      </c>
      <c r="M37">
        <v>160.9</v>
      </c>
      <c r="O37" s="119">
        <v>9155.32</v>
      </c>
      <c r="P37" s="127">
        <f t="shared" si="10"/>
        <v>1.1047128882442081E-2</v>
      </c>
      <c r="Q37" s="117"/>
      <c r="S37" s="117"/>
      <c r="T37" s="117"/>
      <c r="U37" s="117"/>
      <c r="V37" s="198"/>
      <c r="W37" s="200"/>
      <c r="AB37">
        <v>12</v>
      </c>
      <c r="AC37">
        <v>37.799999999999997</v>
      </c>
      <c r="AD37">
        <f>AD43</f>
        <v>15</v>
      </c>
      <c r="AE37">
        <v>57.75</v>
      </c>
      <c r="AF37">
        <v>68</v>
      </c>
      <c r="AG37">
        <v>13.7</v>
      </c>
    </row>
    <row r="38" spans="1:33">
      <c r="A38" s="118">
        <v>45358</v>
      </c>
      <c r="B38">
        <f>B43</f>
        <v>1110</v>
      </c>
      <c r="C38">
        <v>31.297000000000001</v>
      </c>
      <c r="D38">
        <f>D43</f>
        <v>321.99</v>
      </c>
      <c r="E38">
        <v>34.110599999999998</v>
      </c>
      <c r="F38" s="114">
        <v>161</v>
      </c>
      <c r="G38">
        <v>2184.79</v>
      </c>
      <c r="H38">
        <f>H43</f>
        <v>50000</v>
      </c>
      <c r="I38">
        <v>0.945214</v>
      </c>
      <c r="J38">
        <f>J43</f>
        <v>75000</v>
      </c>
      <c r="K38">
        <v>0.945214</v>
      </c>
      <c r="L38" s="115">
        <f t="shared" si="1"/>
        <v>515625.882094</v>
      </c>
      <c r="M38">
        <v>155.75</v>
      </c>
      <c r="O38" s="119">
        <v>9054.18</v>
      </c>
      <c r="P38" s="127">
        <f t="shared" si="10"/>
        <v>3.4194151209717583E-2</v>
      </c>
      <c r="Q38" s="117"/>
      <c r="S38" s="117"/>
      <c r="T38" s="117"/>
      <c r="U38" s="117"/>
      <c r="V38" s="198"/>
      <c r="W38" s="200"/>
      <c r="AB38">
        <v>12</v>
      </c>
      <c r="AC38">
        <v>34.380000000000003</v>
      </c>
      <c r="AD38">
        <f>AD43</f>
        <v>15</v>
      </c>
      <c r="AE38">
        <v>63.1</v>
      </c>
      <c r="AF38">
        <v>68</v>
      </c>
      <c r="AG38">
        <v>12.46</v>
      </c>
    </row>
    <row r="39" spans="1:33">
      <c r="A39" s="118">
        <v>45357</v>
      </c>
      <c r="B39">
        <f>B43</f>
        <v>1110</v>
      </c>
      <c r="C39">
        <v>31.293399999999998</v>
      </c>
      <c r="D39">
        <f>D43</f>
        <v>321.99</v>
      </c>
      <c r="E39">
        <v>34.006500000000003</v>
      </c>
      <c r="F39" s="114">
        <v>161</v>
      </c>
      <c r="G39">
        <v>2150.9</v>
      </c>
      <c r="H39">
        <f>H43</f>
        <v>50000</v>
      </c>
      <c r="I39">
        <v>0.99397100000000005</v>
      </c>
      <c r="J39">
        <f>J43</f>
        <v>75000</v>
      </c>
      <c r="K39">
        <v>0.99397100000000005</v>
      </c>
      <c r="L39" s="115">
        <f t="shared" si="1"/>
        <v>516226.70193500002</v>
      </c>
      <c r="M39">
        <v>156.16</v>
      </c>
      <c r="O39" s="119">
        <v>8744.58</v>
      </c>
      <c r="P39" s="127">
        <f t="shared" si="10"/>
        <v>-1.3258498407013208E-2</v>
      </c>
      <c r="Q39" s="117"/>
      <c r="S39" s="117"/>
      <c r="T39" s="117"/>
      <c r="U39" s="117"/>
      <c r="V39" s="198"/>
      <c r="W39" s="200"/>
      <c r="Z39">
        <f>Z43</f>
        <v>57</v>
      </c>
      <c r="AA39">
        <v>580.05924800000003</v>
      </c>
      <c r="AB39">
        <v>12</v>
      </c>
      <c r="AC39">
        <v>31.26</v>
      </c>
      <c r="AD39">
        <f>AD43</f>
        <v>15</v>
      </c>
      <c r="AE39">
        <v>57.4</v>
      </c>
      <c r="AF39">
        <v>68</v>
      </c>
      <c r="AG39">
        <v>11.33</v>
      </c>
    </row>
    <row r="40" spans="1:33">
      <c r="A40" s="118">
        <v>45356</v>
      </c>
      <c r="B40">
        <f>B43</f>
        <v>1110</v>
      </c>
      <c r="C40">
        <v>31.079899999999999</v>
      </c>
      <c r="D40">
        <f>D43</f>
        <v>321.99</v>
      </c>
      <c r="E40">
        <v>33.721699999999998</v>
      </c>
      <c r="F40" s="114">
        <v>161</v>
      </c>
      <c r="G40">
        <v>2116.34</v>
      </c>
      <c r="H40">
        <f>H43</f>
        <v>50000</v>
      </c>
      <c r="I40">
        <v>1.0160309999999999</v>
      </c>
      <c r="J40">
        <f>J43</f>
        <v>75000</v>
      </c>
      <c r="K40">
        <v>1.0160309999999999</v>
      </c>
      <c r="L40" s="115">
        <f t="shared" si="1"/>
        <v>513091.35418300005</v>
      </c>
      <c r="M40">
        <v>154.22999999999999</v>
      </c>
      <c r="O40" s="119">
        <v>8860.52</v>
      </c>
      <c r="P40" s="127">
        <f t="shared" si="10"/>
        <v>-5.319100910555985E-3</v>
      </c>
      <c r="Q40" s="117"/>
      <c r="S40" s="117"/>
      <c r="T40" s="117"/>
      <c r="U40" s="117"/>
      <c r="V40" s="198"/>
      <c r="W40" s="200"/>
      <c r="X40">
        <f>X43</f>
        <v>36</v>
      </c>
      <c r="Y40" s="129">
        <v>38.15</v>
      </c>
      <c r="Z40">
        <f>Z43</f>
        <v>57</v>
      </c>
      <c r="AA40">
        <v>579.361718</v>
      </c>
      <c r="AB40">
        <f>AB43</f>
        <v>12</v>
      </c>
      <c r="AC40">
        <v>28.42</v>
      </c>
      <c r="AD40">
        <f>AD43</f>
        <v>15</v>
      </c>
      <c r="AE40">
        <v>52.2</v>
      </c>
      <c r="AF40">
        <v>68</v>
      </c>
      <c r="AG40">
        <v>11.33</v>
      </c>
    </row>
    <row r="41" spans="1:33">
      <c r="A41" s="118">
        <v>45355</v>
      </c>
      <c r="B41">
        <f>B43</f>
        <v>1110</v>
      </c>
      <c r="C41">
        <v>30.905999999999999</v>
      </c>
      <c r="D41">
        <f>D43</f>
        <v>321.99</v>
      </c>
      <c r="E41">
        <v>33.542299999999997</v>
      </c>
      <c r="F41" s="114">
        <v>161</v>
      </c>
      <c r="G41">
        <v>2072.52</v>
      </c>
      <c r="H41">
        <f>H43</f>
        <v>50000</v>
      </c>
      <c r="I41">
        <v>1.041954</v>
      </c>
      <c r="J41">
        <f>J43</f>
        <v>75000</v>
      </c>
      <c r="K41">
        <v>1.041954</v>
      </c>
      <c r="L41" s="115">
        <f t="shared" si="1"/>
        <v>509025.91517699993</v>
      </c>
      <c r="O41" s="119">
        <v>8907.65</v>
      </c>
      <c r="P41" s="127">
        <f t="shared" si="10"/>
        <v>-2.1273848882702007E-2</v>
      </c>
      <c r="Q41" s="117"/>
      <c r="S41" s="117"/>
      <c r="T41" s="117"/>
      <c r="U41" s="117"/>
      <c r="V41" s="198"/>
      <c r="W41" s="200"/>
      <c r="X41">
        <f>X43</f>
        <v>36</v>
      </c>
      <c r="Y41">
        <v>34.659999999999997</v>
      </c>
      <c r="Z41">
        <f>Z43</f>
        <v>57</v>
      </c>
      <c r="AA41">
        <v>578.66060300000004</v>
      </c>
      <c r="AB41">
        <f>AB43</f>
        <v>12</v>
      </c>
      <c r="AC41">
        <v>25.84</v>
      </c>
      <c r="AD41">
        <f>AD43</f>
        <v>15</v>
      </c>
      <c r="AE41">
        <v>47.46</v>
      </c>
      <c r="AF41">
        <v>68</v>
      </c>
      <c r="AG41">
        <v>11.33</v>
      </c>
    </row>
    <row r="42" spans="1:33">
      <c r="A42" s="118">
        <v>45352</v>
      </c>
      <c r="B42">
        <f>B43</f>
        <v>1110</v>
      </c>
      <c r="C42">
        <v>30.7361</v>
      </c>
      <c r="D42">
        <f>D43</f>
        <v>321.99</v>
      </c>
      <c r="E42">
        <v>33.225700000000003</v>
      </c>
      <c r="F42" s="114">
        <v>161</v>
      </c>
      <c r="G42">
        <v>2018.91</v>
      </c>
      <c r="H42">
        <f>H43</f>
        <v>50000</v>
      </c>
      <c r="I42">
        <v>1.034036</v>
      </c>
      <c r="J42">
        <f>J43</f>
        <v>75000</v>
      </c>
      <c r="K42">
        <v>1.034036</v>
      </c>
      <c r="L42" s="130">
        <f t="shared" si="1"/>
        <v>499114.42414299998</v>
      </c>
      <c r="O42" s="119">
        <v>9097.15</v>
      </c>
      <c r="P42" s="127">
        <f t="shared" si="10"/>
        <v>-1.0612114783201454E-2</v>
      </c>
      <c r="Q42" s="117"/>
      <c r="S42" s="117"/>
      <c r="T42" s="117"/>
      <c r="U42" s="117"/>
      <c r="V42" s="198"/>
      <c r="W42" s="200"/>
      <c r="X42">
        <f>X43</f>
        <v>36</v>
      </c>
      <c r="Y42">
        <v>31.52</v>
      </c>
      <c r="Z42">
        <f>Z43</f>
        <v>57</v>
      </c>
      <c r="AA42">
        <v>576.58807100000001</v>
      </c>
      <c r="AB42">
        <f>AB43</f>
        <v>12</v>
      </c>
      <c r="AC42">
        <v>23.5</v>
      </c>
      <c r="AD42">
        <f>AD43</f>
        <v>15</v>
      </c>
      <c r="AE42">
        <v>43.16</v>
      </c>
      <c r="AF42">
        <v>68</v>
      </c>
      <c r="AG42">
        <v>11.33</v>
      </c>
    </row>
    <row r="43" spans="1:33">
      <c r="A43" s="118">
        <v>45351</v>
      </c>
      <c r="B43">
        <f>B44</f>
        <v>1110</v>
      </c>
      <c r="C43">
        <v>30.7361</v>
      </c>
      <c r="D43">
        <f>D44</f>
        <v>321.99</v>
      </c>
      <c r="E43">
        <v>33.225700000000003</v>
      </c>
      <c r="F43" s="114">
        <v>161</v>
      </c>
      <c r="G43">
        <v>2018.91</v>
      </c>
      <c r="H43">
        <f>H44</f>
        <v>50000</v>
      </c>
      <c r="I43">
        <v>1.010337</v>
      </c>
      <c r="J43">
        <f>J44</f>
        <v>75000</v>
      </c>
      <c r="K43">
        <v>1.010337</v>
      </c>
      <c r="L43" s="115">
        <f t="shared" si="1"/>
        <v>496152.04914299998</v>
      </c>
      <c r="O43" s="119">
        <v>9193.69</v>
      </c>
      <c r="P43" s="127">
        <f t="shared" si="10"/>
        <v>1.428479750785594E-2</v>
      </c>
      <c r="Q43" s="127"/>
      <c r="X43">
        <f>X44</f>
        <v>36</v>
      </c>
      <c r="Y43">
        <v>28.66</v>
      </c>
      <c r="Z43">
        <f>Z44</f>
        <v>57</v>
      </c>
      <c r="AA43">
        <v>576.58807100000001</v>
      </c>
      <c r="AB43">
        <f>AB44</f>
        <v>12</v>
      </c>
      <c r="AC43">
        <v>21.38</v>
      </c>
      <c r="AD43">
        <v>15</v>
      </c>
      <c r="AE43">
        <v>39.24</v>
      </c>
      <c r="AG43" s="132">
        <f>AG42</f>
        <v>11.33</v>
      </c>
    </row>
    <row r="44" spans="1:33">
      <c r="A44" s="118">
        <v>45350</v>
      </c>
      <c r="B44">
        <v>1110</v>
      </c>
      <c r="C44">
        <v>30.7361</v>
      </c>
      <c r="D44">
        <v>321.99</v>
      </c>
      <c r="E44">
        <v>33.225700000000003</v>
      </c>
      <c r="F44" s="114">
        <v>161</v>
      </c>
      <c r="G44">
        <v>2018.91</v>
      </c>
      <c r="H44">
        <f>H45</f>
        <v>50000</v>
      </c>
      <c r="I44">
        <v>1.067704</v>
      </c>
      <c r="J44">
        <f>J45</f>
        <v>75000</v>
      </c>
      <c r="K44">
        <v>1.067704</v>
      </c>
      <c r="L44" s="115">
        <f t="shared" si="1"/>
        <v>503322.92414299998</v>
      </c>
      <c r="O44" s="119">
        <v>9062.36</v>
      </c>
      <c r="P44" s="127">
        <f t="shared" si="10"/>
        <v>-1.292378585710563E-2</v>
      </c>
      <c r="Q44" s="127"/>
      <c r="X44">
        <f>X45</f>
        <v>36</v>
      </c>
      <c r="Y44">
        <v>26.06</v>
      </c>
      <c r="Z44">
        <v>57</v>
      </c>
      <c r="AA44">
        <v>576.58807100000001</v>
      </c>
      <c r="AB44">
        <v>12</v>
      </c>
      <c r="AC44">
        <v>19.45</v>
      </c>
      <c r="AE44" s="132">
        <f>AE43</f>
        <v>39.24</v>
      </c>
      <c r="AG44" s="132" t="s">
        <v>63</v>
      </c>
    </row>
    <row r="45" spans="1:33">
      <c r="A45" s="118">
        <v>45349</v>
      </c>
      <c r="B45">
        <v>1110</v>
      </c>
      <c r="C45">
        <v>30.7361</v>
      </c>
      <c r="D45">
        <v>321.99</v>
      </c>
      <c r="E45">
        <v>33.225700000000003</v>
      </c>
      <c r="F45" s="114">
        <v>161</v>
      </c>
      <c r="G45">
        <v>2018.91</v>
      </c>
      <c r="H45">
        <f>H46</f>
        <v>50000</v>
      </c>
      <c r="I45">
        <v>1.064435</v>
      </c>
      <c r="J45">
        <v>75000</v>
      </c>
      <c r="K45">
        <v>1.064435</v>
      </c>
      <c r="L45" s="131">
        <f t="shared" si="1"/>
        <v>502914.29914299998</v>
      </c>
      <c r="O45" s="119">
        <v>9179.48</v>
      </c>
      <c r="P45" s="127">
        <f t="shared" si="10"/>
        <v>-1.6847359545420826E-2</v>
      </c>
      <c r="Q45" s="127"/>
      <c r="X45">
        <v>36</v>
      </c>
      <c r="Y45">
        <v>23.7</v>
      </c>
      <c r="Z45">
        <v>57</v>
      </c>
      <c r="AA45">
        <v>576.58807100000001</v>
      </c>
      <c r="AC45" s="132">
        <f>AC44</f>
        <v>19.45</v>
      </c>
      <c r="AE45" s="132" t="s">
        <v>63</v>
      </c>
      <c r="AG45" s="134" t="s">
        <v>64</v>
      </c>
    </row>
    <row r="46" spans="1:33">
      <c r="A46" s="118">
        <v>45348</v>
      </c>
      <c r="B46">
        <v>1110</v>
      </c>
      <c r="C46">
        <v>30.7361</v>
      </c>
      <c r="D46">
        <v>321.99</v>
      </c>
      <c r="E46">
        <v>33.225700000000003</v>
      </c>
      <c r="F46" s="114">
        <v>161</v>
      </c>
      <c r="G46">
        <v>2018.91</v>
      </c>
      <c r="H46">
        <f>H47</f>
        <v>50000</v>
      </c>
      <c r="I46">
        <v>1.0192399999999999</v>
      </c>
      <c r="K46">
        <v>1.0192399999999999</v>
      </c>
      <c r="L46" s="115">
        <f t="shared" si="1"/>
        <v>420821.92414299998</v>
      </c>
      <c r="O46" s="119">
        <v>9334.1299999999992</v>
      </c>
      <c r="P46" s="127">
        <f t="shared" si="10"/>
        <v>-4.2928478604864484E-3</v>
      </c>
      <c r="Q46" s="127"/>
      <c r="X46">
        <v>36</v>
      </c>
      <c r="Y46">
        <v>21.56</v>
      </c>
      <c r="Z46">
        <v>57</v>
      </c>
      <c r="AA46">
        <v>576.58807100000001</v>
      </c>
      <c r="AC46" s="132" t="s">
        <v>63</v>
      </c>
      <c r="AE46" s="134" t="s">
        <v>64</v>
      </c>
      <c r="AG46" s="134">
        <f>AG5</f>
        <v>19.690000000000001</v>
      </c>
    </row>
    <row r="47" spans="1:33">
      <c r="A47" s="118">
        <v>45345</v>
      </c>
      <c r="B47">
        <v>1110</v>
      </c>
      <c r="C47">
        <v>30.7361</v>
      </c>
      <c r="D47">
        <v>321.99</v>
      </c>
      <c r="E47">
        <v>33.225700000000003</v>
      </c>
      <c r="F47" s="114">
        <v>161</v>
      </c>
      <c r="G47">
        <v>2018.91</v>
      </c>
      <c r="H47">
        <v>50000</v>
      </c>
      <c r="I47">
        <v>1.0032049999999999</v>
      </c>
      <c r="K47">
        <v>1.0032049999999999</v>
      </c>
      <c r="L47" s="115">
        <f t="shared" si="1"/>
        <v>420020.17414299998</v>
      </c>
      <c r="O47" s="119">
        <v>9374.2000000000007</v>
      </c>
      <c r="P47" s="127">
        <f t="shared" si="10"/>
        <v>2.8834460540633211E-3</v>
      </c>
      <c r="Q47" s="127"/>
      <c r="X47">
        <v>36</v>
      </c>
      <c r="Y47">
        <v>19.600000000000001</v>
      </c>
      <c r="Z47">
        <v>57</v>
      </c>
      <c r="AA47">
        <v>576.58807100000001</v>
      </c>
      <c r="AC47" s="134" t="s">
        <v>64</v>
      </c>
      <c r="AE47" s="134">
        <v>55.5</v>
      </c>
      <c r="AG47" s="117">
        <f>(AG46-AG42)/AG42</f>
        <v>0.73786407766990303</v>
      </c>
    </row>
    <row r="48" spans="1:33">
      <c r="I48">
        <v>0.97160999999999997</v>
      </c>
      <c r="K48">
        <v>0.97160999999999997</v>
      </c>
      <c r="O48" s="119">
        <v>9347.17</v>
      </c>
      <c r="X48">
        <v>36</v>
      </c>
      <c r="Y48">
        <v>17.82</v>
      </c>
      <c r="AC48" s="134">
        <v>45.72</v>
      </c>
      <c r="AE48" s="117">
        <f>(AE47-AE43)/AE43</f>
        <v>0.41437308868501521</v>
      </c>
    </row>
    <row r="49" spans="9:33">
      <c r="I49">
        <v>0.93849000000000005</v>
      </c>
      <c r="K49">
        <v>0.93849000000000005</v>
      </c>
      <c r="X49">
        <v>36</v>
      </c>
      <c r="Y49" s="132">
        <v>15.3</v>
      </c>
      <c r="AC49" s="117">
        <f>(AC48-AC44)/AC44</f>
        <v>1.3506426735218509</v>
      </c>
      <c r="AG49" s="135">
        <f>(AF42*AG46)-(AF30*AG42)</f>
        <v>568.48</v>
      </c>
    </row>
    <row r="50" spans="9:33">
      <c r="I50">
        <v>0.91198999999999997</v>
      </c>
      <c r="K50">
        <v>0.91198999999999997</v>
      </c>
      <c r="P50" s="133">
        <f>SUM(P10:P49)</f>
        <v>1.2054865892826117E-2</v>
      </c>
      <c r="Q50" s="133"/>
      <c r="Y50" s="132" t="s">
        <v>63</v>
      </c>
      <c r="AD50" s="135" t="s">
        <v>66</v>
      </c>
      <c r="AE50" s="135">
        <f>(AD43*AE47)-(AD10*AE43)</f>
        <v>832.5</v>
      </c>
    </row>
    <row r="51" spans="9:33">
      <c r="I51">
        <v>0.90268000000000004</v>
      </c>
      <c r="K51">
        <v>0.90268000000000004</v>
      </c>
      <c r="Y51" s="134" t="s">
        <v>64</v>
      </c>
      <c r="AB51" s="135" t="s">
        <v>66</v>
      </c>
      <c r="AC51" s="135">
        <f>(AB44*AC48)-(AB10*AC44)</f>
        <v>548.64</v>
      </c>
    </row>
    <row r="52" spans="9:33">
      <c r="I52">
        <v>0.89847999999999995</v>
      </c>
      <c r="K52">
        <v>0.89847999999999995</v>
      </c>
      <c r="X52" t="s">
        <v>65</v>
      </c>
      <c r="Y52" s="134">
        <v>38</v>
      </c>
    </row>
    <row r="53" spans="9:33">
      <c r="I53">
        <v>0.88783999999999996</v>
      </c>
      <c r="K53">
        <v>0.88783999999999996</v>
      </c>
      <c r="Y53" s="117">
        <f>Sayfa2!M42</f>
        <v>1.3456790123456792</v>
      </c>
    </row>
    <row r="54" spans="9:33">
      <c r="I54">
        <v>0.86724999999999997</v>
      </c>
      <c r="K54">
        <v>0.86724999999999997</v>
      </c>
    </row>
    <row r="55" spans="9:33">
      <c r="X55" s="135" t="s">
        <v>66</v>
      </c>
      <c r="Y55" s="135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>
        <f>SUM(K8:K9)</f>
        <v>132.80000000000018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6903.13</v>
      </c>
      <c r="J7" s="49">
        <f>I7-E7</f>
        <v>135.60999999999967</v>
      </c>
      <c r="K7" s="38">
        <f>SUM(K8:K9)</f>
        <v>132.80000000000018</v>
      </c>
      <c r="L7" s="44">
        <f>K7/E7</f>
        <v>1.9623141121119726E-2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1.0294573643410867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5564.21</v>
      </c>
      <c r="J8" s="49">
        <f t="shared" ref="J8:J9" si="0">I8-E8</f>
        <v>-432.86999999999989</v>
      </c>
      <c r="K8" s="138">
        <f>SUBTOTAL(109,K13:K20)</f>
        <v>-432.87</v>
      </c>
      <c r="L8" s="44">
        <f>K8/E8</f>
        <v>-7.2180127662128904E-2</v>
      </c>
      <c r="M8" s="67">
        <f>SUBTOTAL(101,M13:M19)</f>
        <v>-5.7467425172162044E-2</v>
      </c>
      <c r="N8" s="67">
        <f>SUBTOTAL(101,N13:N19)</f>
        <v>-2.1380649669939827E-2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-432.87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>
        <f>Sayfa4!K10</f>
        <v>0.88805999999999996</v>
      </c>
      <c r="I18" s="51">
        <f>Tablo23[[#This Row],[Fiyat]]*Tablo23[[#This Row],[Miktar]]</f>
        <v>3108.21</v>
      </c>
      <c r="J18" s="46">
        <f>H18-D18</f>
        <v>-8.1940000000000013E-2</v>
      </c>
      <c r="K18" s="65">
        <f>Tablo23[[#This Row],[Miktar3]]*Tablo23[[#This Row],[adet]]</f>
        <v>-286.79000000000002</v>
      </c>
      <c r="L18" s="66">
        <f>F18-B18</f>
        <v>58</v>
      </c>
      <c r="M18" s="67">
        <f>K18/E18</f>
        <v>-8.4474226804123712E-2</v>
      </c>
      <c r="N18" s="67">
        <f>M18/L18*30</f>
        <v>-4.3693565588339853E-2</v>
      </c>
      <c r="O18" s="69">
        <f>SUM(K15:K18)</f>
        <v>-432.87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2024-04-23T10:26:26Z</dcterms:modified>
  <dc:language>tr-TR</dc:language>
</cp:coreProperties>
</file>