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next\"/>
    </mc:Choice>
  </mc:AlternateContent>
  <xr:revisionPtr revIDLastSave="0" documentId="13_ncr:1_{C301398F-69C5-4693-A6C6-D0263E0F278B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7" i="2" l="1"/>
  <c r="K7" i="2"/>
  <c r="J7" i="2"/>
  <c r="H7" i="2"/>
  <c r="D7" i="2"/>
  <c r="B7" i="2"/>
  <c r="L7" i="2" s="1"/>
  <c r="P8" i="2"/>
  <c r="K8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9" i="2"/>
  <c r="P10" i="2"/>
  <c r="P11" i="2"/>
  <c r="P12" i="2"/>
  <c r="P13" i="2"/>
  <c r="P14" i="2"/>
  <c r="P15" i="2"/>
  <c r="P6" i="2"/>
  <c r="O52" i="1"/>
  <c r="O29" i="1"/>
  <c r="J34" i="1"/>
  <c r="K34" i="1" s="1"/>
  <c r="O34" i="1" s="1"/>
  <c r="L34" i="1"/>
  <c r="E34" i="1"/>
  <c r="K9" i="2"/>
  <c r="K10" i="2"/>
  <c r="K11" i="2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O29" i="3"/>
  <c r="O21" i="3" s="1"/>
  <c r="M27" i="3"/>
  <c r="N27" i="3" s="1"/>
  <c r="L27" i="3"/>
  <c r="K27" i="3"/>
  <c r="J27" i="3"/>
  <c r="I27" i="3"/>
  <c r="E27" i="3"/>
  <c r="F18" i="3"/>
  <c r="L18" i="3" s="1"/>
  <c r="E18" i="3"/>
  <c r="J17" i="3"/>
  <c r="K17" i="3" s="1"/>
  <c r="M17" i="3" s="1"/>
  <c r="I17" i="3"/>
  <c r="F17" i="3"/>
  <c r="L17" i="3" s="1"/>
  <c r="E17" i="3"/>
  <c r="E8" i="3" s="1"/>
  <c r="J16" i="3"/>
  <c r="K16" i="3" s="1"/>
  <c r="I16" i="3"/>
  <c r="F16" i="3"/>
  <c r="L16" i="3" s="1"/>
  <c r="E16" i="3"/>
  <c r="K9" i="3"/>
  <c r="L9" i="3" s="1"/>
  <c r="N9" i="3" s="1"/>
  <c r="I9" i="3"/>
  <c r="E9" i="3"/>
  <c r="B7" i="3"/>
  <c r="Y44" i="2"/>
  <c r="W44" i="2"/>
  <c r="S44" i="2"/>
  <c r="Y42" i="2"/>
  <c r="W42" i="2"/>
  <c r="AA38" i="2"/>
  <c r="Y38" i="2"/>
  <c r="W38" i="2"/>
  <c r="P36" i="2"/>
  <c r="L36" i="2"/>
  <c r="P35" i="2"/>
  <c r="H35" i="2"/>
  <c r="L35" i="2" s="1"/>
  <c r="P34" i="2"/>
  <c r="H34" i="2"/>
  <c r="H33" i="2" s="1"/>
  <c r="R33" i="2"/>
  <c r="R32" i="2" s="1"/>
  <c r="P33" i="2"/>
  <c r="J33" i="2"/>
  <c r="J14" i="2" s="1"/>
  <c r="V32" i="2"/>
  <c r="V30" i="2" s="1"/>
  <c r="T32" i="2"/>
  <c r="T30" i="2" s="1"/>
  <c r="P32" i="2"/>
  <c r="J32" i="2"/>
  <c r="J24" i="2" s="1"/>
  <c r="D32" i="2"/>
  <c r="D28" i="2" s="1"/>
  <c r="B32" i="2"/>
  <c r="B28" i="2" s="1"/>
  <c r="X31" i="2"/>
  <c r="P31" i="2"/>
  <c r="X30" i="2"/>
  <c r="P30" i="2"/>
  <c r="X29" i="2"/>
  <c r="P29" i="2"/>
  <c r="X28" i="2"/>
  <c r="X27" i="2"/>
  <c r="X26" i="2"/>
  <c r="X25" i="2"/>
  <c r="K19" i="2"/>
  <c r="K18" i="2"/>
  <c r="K17" i="2"/>
  <c r="K16" i="2"/>
  <c r="K15" i="2"/>
  <c r="K14" i="2"/>
  <c r="D14" i="2"/>
  <c r="B14" i="2"/>
  <c r="K13" i="2"/>
  <c r="K12" i="2"/>
  <c r="K6" i="2"/>
  <c r="H18" i="3" s="1"/>
  <c r="AA2" i="2"/>
  <c r="AA41" i="2" s="1"/>
  <c r="Y2" i="2"/>
  <c r="W2" i="2"/>
  <c r="U2" i="2"/>
  <c r="S2" i="2"/>
  <c r="K2" i="2"/>
  <c r="I2" i="2"/>
  <c r="H15" i="1" s="1"/>
  <c r="J15" i="1" s="1"/>
  <c r="K15" i="1" s="1"/>
  <c r="E2" i="2"/>
  <c r="H24" i="1" s="1"/>
  <c r="J24" i="1" s="1"/>
  <c r="K24" i="1" s="1"/>
  <c r="C2" i="2"/>
  <c r="H25" i="1" s="1"/>
  <c r="G2" i="2"/>
  <c r="A2" i="2"/>
  <c r="L74" i="1"/>
  <c r="J74" i="1"/>
  <c r="K74" i="1" s="1"/>
  <c r="I74" i="1"/>
  <c r="E74" i="1"/>
  <c r="L73" i="1"/>
  <c r="H73" i="1"/>
  <c r="I73" i="1" s="1"/>
  <c r="E73" i="1"/>
  <c r="L72" i="1"/>
  <c r="J72" i="1"/>
  <c r="K72" i="1" s="1"/>
  <c r="I72" i="1"/>
  <c r="E72" i="1"/>
  <c r="L71" i="1"/>
  <c r="J71" i="1"/>
  <c r="K71" i="1" s="1"/>
  <c r="I71" i="1"/>
  <c r="E71" i="1"/>
  <c r="L70" i="1"/>
  <c r="J70" i="1"/>
  <c r="K70" i="1" s="1"/>
  <c r="I70" i="1"/>
  <c r="E70" i="1"/>
  <c r="L69" i="1"/>
  <c r="J69" i="1"/>
  <c r="K69" i="1" s="1"/>
  <c r="I69" i="1"/>
  <c r="E69" i="1"/>
  <c r="L68" i="1"/>
  <c r="J68" i="1"/>
  <c r="K68" i="1" s="1"/>
  <c r="I68" i="1"/>
  <c r="E68" i="1"/>
  <c r="L67" i="1"/>
  <c r="J67" i="1"/>
  <c r="K67" i="1" s="1"/>
  <c r="I67" i="1"/>
  <c r="E67" i="1"/>
  <c r="L66" i="1"/>
  <c r="J66" i="1"/>
  <c r="K66" i="1" s="1"/>
  <c r="I66" i="1"/>
  <c r="E66" i="1"/>
  <c r="L65" i="1"/>
  <c r="J65" i="1"/>
  <c r="K65" i="1" s="1"/>
  <c r="I65" i="1"/>
  <c r="E65" i="1"/>
  <c r="L64" i="1"/>
  <c r="J64" i="1"/>
  <c r="K64" i="1" s="1"/>
  <c r="M64" i="1" s="1"/>
  <c r="N64" i="1" s="1"/>
  <c r="I64" i="1"/>
  <c r="E64" i="1"/>
  <c r="L63" i="1"/>
  <c r="J63" i="1"/>
  <c r="K63" i="1" s="1"/>
  <c r="I63" i="1"/>
  <c r="E63" i="1"/>
  <c r="L62" i="1"/>
  <c r="J62" i="1"/>
  <c r="K62" i="1" s="1"/>
  <c r="I62" i="1"/>
  <c r="E62" i="1"/>
  <c r="L61" i="1"/>
  <c r="J61" i="1"/>
  <c r="K61" i="1" s="1"/>
  <c r="I61" i="1"/>
  <c r="E61" i="1"/>
  <c r="L60" i="1"/>
  <c r="J60" i="1"/>
  <c r="K60" i="1" s="1"/>
  <c r="I60" i="1"/>
  <c r="E60" i="1"/>
  <c r="L59" i="1"/>
  <c r="J59" i="1"/>
  <c r="K59" i="1" s="1"/>
  <c r="I59" i="1"/>
  <c r="E59" i="1"/>
  <c r="L58" i="1"/>
  <c r="J58" i="1"/>
  <c r="K58" i="1" s="1"/>
  <c r="I58" i="1"/>
  <c r="E58" i="1"/>
  <c r="L57" i="1"/>
  <c r="J57" i="1"/>
  <c r="K57" i="1" s="1"/>
  <c r="I57" i="1"/>
  <c r="E57" i="1"/>
  <c r="L56" i="1"/>
  <c r="J56" i="1"/>
  <c r="K56" i="1" s="1"/>
  <c r="I56" i="1"/>
  <c r="E56" i="1"/>
  <c r="L55" i="1"/>
  <c r="J55" i="1"/>
  <c r="K55" i="1" s="1"/>
  <c r="I55" i="1"/>
  <c r="E55" i="1"/>
  <c r="L52" i="1"/>
  <c r="J52" i="1"/>
  <c r="K52" i="1" s="1"/>
  <c r="I52" i="1"/>
  <c r="E52" i="1"/>
  <c r="J51" i="1"/>
  <c r="K51" i="1" s="1"/>
  <c r="I51" i="1"/>
  <c r="E51" i="1"/>
  <c r="L50" i="1"/>
  <c r="J50" i="1"/>
  <c r="K50" i="1" s="1"/>
  <c r="I50" i="1"/>
  <c r="E50" i="1"/>
  <c r="L49" i="1"/>
  <c r="J49" i="1"/>
  <c r="K49" i="1" s="1"/>
  <c r="I49" i="1"/>
  <c r="E49" i="1"/>
  <c r="K48" i="1"/>
  <c r="I48" i="1"/>
  <c r="E48" i="1"/>
  <c r="L47" i="1"/>
  <c r="J47" i="1"/>
  <c r="K47" i="1" s="1"/>
  <c r="I47" i="1"/>
  <c r="E47" i="1"/>
  <c r="L46" i="1"/>
  <c r="J46" i="1"/>
  <c r="K46" i="1" s="1"/>
  <c r="I46" i="1"/>
  <c r="E46" i="1"/>
  <c r="L45" i="1"/>
  <c r="J45" i="1"/>
  <c r="K45" i="1" s="1"/>
  <c r="I45" i="1"/>
  <c r="E45" i="1"/>
  <c r="L44" i="1"/>
  <c r="J44" i="1"/>
  <c r="K44" i="1" s="1"/>
  <c r="I44" i="1"/>
  <c r="E44" i="1"/>
  <c r="L42" i="1"/>
  <c r="J42" i="1"/>
  <c r="K42" i="1" s="1"/>
  <c r="I42" i="1"/>
  <c r="E42" i="1"/>
  <c r="L40" i="1"/>
  <c r="J40" i="1"/>
  <c r="K40" i="1" s="1"/>
  <c r="I40" i="1"/>
  <c r="E40" i="1"/>
  <c r="L38" i="1"/>
  <c r="J38" i="1"/>
  <c r="K38" i="1" s="1"/>
  <c r="I38" i="1"/>
  <c r="E38" i="1"/>
  <c r="L36" i="1"/>
  <c r="J36" i="1"/>
  <c r="K36" i="1" s="1"/>
  <c r="I36" i="1"/>
  <c r="E36" i="1"/>
  <c r="L32" i="1"/>
  <c r="J32" i="1"/>
  <c r="K32" i="1" s="1"/>
  <c r="I32" i="1"/>
  <c r="E32" i="1"/>
  <c r="L31" i="1"/>
  <c r="J31" i="1"/>
  <c r="K31" i="1" s="1"/>
  <c r="I31" i="1"/>
  <c r="E31" i="1"/>
  <c r="G25" i="1"/>
  <c r="F25" i="1"/>
  <c r="L25" i="1" s="1"/>
  <c r="E25" i="1"/>
  <c r="G24" i="1"/>
  <c r="F24" i="1"/>
  <c r="L24" i="1" s="1"/>
  <c r="E24" i="1"/>
  <c r="G23" i="1"/>
  <c r="F23" i="1"/>
  <c r="L23" i="1" s="1"/>
  <c r="E23" i="1"/>
  <c r="G22" i="1"/>
  <c r="F22" i="1"/>
  <c r="L22" i="1" s="1"/>
  <c r="E22" i="1"/>
  <c r="G21" i="1"/>
  <c r="F21" i="1"/>
  <c r="L21" i="1" s="1"/>
  <c r="E21" i="1"/>
  <c r="F20" i="1"/>
  <c r="L20" i="1" s="1"/>
  <c r="E20" i="1"/>
  <c r="F19" i="1"/>
  <c r="L19" i="1" s="1"/>
  <c r="E19" i="1"/>
  <c r="H18" i="1"/>
  <c r="J18" i="1" s="1"/>
  <c r="K18" i="1" s="1"/>
  <c r="F18" i="1"/>
  <c r="L18" i="1" s="1"/>
  <c r="E18" i="1"/>
  <c r="G16" i="1"/>
  <c r="F16" i="1"/>
  <c r="L16" i="1" s="1"/>
  <c r="E16" i="1"/>
  <c r="G15" i="1"/>
  <c r="F15" i="1"/>
  <c r="L15" i="1" s="1"/>
  <c r="E15" i="1"/>
  <c r="C3" i="1"/>
  <c r="B8" i="2" l="1"/>
  <c r="P39" i="2"/>
  <c r="J8" i="2"/>
  <c r="V31" i="2"/>
  <c r="D8" i="2"/>
  <c r="D9" i="2"/>
  <c r="J9" i="2"/>
  <c r="B9" i="2"/>
  <c r="T31" i="2"/>
  <c r="M32" i="1"/>
  <c r="N32" i="1" s="1"/>
  <c r="M50" i="1"/>
  <c r="N50" i="1" s="1"/>
  <c r="M66" i="1"/>
  <c r="N66" i="1" s="1"/>
  <c r="M59" i="1"/>
  <c r="N59" i="1" s="1"/>
  <c r="M40" i="1"/>
  <c r="N40" i="1" s="1"/>
  <c r="M63" i="1"/>
  <c r="N63" i="1" s="1"/>
  <c r="M24" i="1"/>
  <c r="E6" i="1"/>
  <c r="M55" i="1"/>
  <c r="N55" i="1" s="1"/>
  <c r="M34" i="1"/>
  <c r="N34" i="1"/>
  <c r="I34" i="1"/>
  <c r="I6" i="1" s="1"/>
  <c r="N46" i="1"/>
  <c r="M46" i="1"/>
  <c r="J73" i="1"/>
  <c r="K73" i="1" s="1"/>
  <c r="M73" i="1" s="1"/>
  <c r="N73" i="1" s="1"/>
  <c r="M71" i="1"/>
  <c r="N71" i="1" s="1"/>
  <c r="M60" i="1"/>
  <c r="N60" i="1" s="1"/>
  <c r="M52" i="1"/>
  <c r="N52" i="1" s="1"/>
  <c r="M36" i="1"/>
  <c r="N36" i="1" s="1"/>
  <c r="M49" i="1"/>
  <c r="N49" i="1" s="1"/>
  <c r="M57" i="1"/>
  <c r="N57" i="1" s="1"/>
  <c r="M74" i="1"/>
  <c r="N74" i="1" s="1"/>
  <c r="M51" i="1"/>
  <c r="M65" i="1"/>
  <c r="N65" i="1" s="1"/>
  <c r="M47" i="1"/>
  <c r="N47" i="1" s="1"/>
  <c r="E5" i="1"/>
  <c r="M62" i="1"/>
  <c r="N62" i="1" s="1"/>
  <c r="M70" i="1"/>
  <c r="N70" i="1" s="1"/>
  <c r="M72" i="1"/>
  <c r="N72" i="1" s="1"/>
  <c r="M61" i="1"/>
  <c r="N61" i="1" s="1"/>
  <c r="M69" i="1"/>
  <c r="N69" i="1" s="1"/>
  <c r="M38" i="1"/>
  <c r="N38" i="1" s="1"/>
  <c r="M67" i="1"/>
  <c r="N67" i="1" s="1"/>
  <c r="M58" i="1"/>
  <c r="N58" i="1" s="1"/>
  <c r="B10" i="2"/>
  <c r="D10" i="2"/>
  <c r="J10" i="2"/>
  <c r="J31" i="2"/>
  <c r="J6" i="2" s="1"/>
  <c r="D25" i="2"/>
  <c r="D23" i="2"/>
  <c r="J25" i="2"/>
  <c r="B25" i="2"/>
  <c r="D18" i="2"/>
  <c r="J12" i="2"/>
  <c r="V29" i="2"/>
  <c r="D11" i="2"/>
  <c r="B19" i="2"/>
  <c r="B11" i="2"/>
  <c r="D26" i="2"/>
  <c r="D12" i="2"/>
  <c r="J19" i="2"/>
  <c r="J11" i="2"/>
  <c r="B26" i="2"/>
  <c r="J26" i="2"/>
  <c r="J18" i="2"/>
  <c r="B31" i="2"/>
  <c r="B6" i="2" s="1"/>
  <c r="J17" i="2"/>
  <c r="B18" i="2"/>
  <c r="B12" i="2"/>
  <c r="D19" i="2"/>
  <c r="D31" i="2"/>
  <c r="D6" i="2" s="1"/>
  <c r="T28" i="2"/>
  <c r="D15" i="2"/>
  <c r="B22" i="2"/>
  <c r="B29" i="2"/>
  <c r="B21" i="2"/>
  <c r="J21" i="2"/>
  <c r="B15" i="2"/>
  <c r="J15" i="2"/>
  <c r="D22" i="2"/>
  <c r="D29" i="2"/>
  <c r="J28" i="2"/>
  <c r="J22" i="2"/>
  <c r="J29" i="2"/>
  <c r="H19" i="1"/>
  <c r="H20" i="1" s="1"/>
  <c r="I20" i="1" s="1"/>
  <c r="P20" i="1" s="1"/>
  <c r="R20" i="1" s="1"/>
  <c r="H16" i="1"/>
  <c r="J16" i="1" s="1"/>
  <c r="K16" i="1" s="1"/>
  <c r="M16" i="1" s="1"/>
  <c r="N16" i="1" s="1"/>
  <c r="D21" i="2"/>
  <c r="B23" i="2"/>
  <c r="T29" i="2"/>
  <c r="M42" i="1"/>
  <c r="N24" i="1"/>
  <c r="M15" i="1"/>
  <c r="AA44" i="2"/>
  <c r="AA42" i="2"/>
  <c r="N44" i="1"/>
  <c r="M44" i="1"/>
  <c r="M16" i="3"/>
  <c r="J25" i="1"/>
  <c r="K25" i="1" s="1"/>
  <c r="M25" i="1" s="1"/>
  <c r="N25" i="1" s="1"/>
  <c r="I25" i="1"/>
  <c r="R30" i="2"/>
  <c r="R31" i="2"/>
  <c r="R29" i="2"/>
  <c r="J18" i="3"/>
  <c r="K18" i="3" s="1"/>
  <c r="M18" i="3" s="1"/>
  <c r="N18" i="3" s="1"/>
  <c r="I18" i="3"/>
  <c r="I8" i="3" s="1"/>
  <c r="M68" i="1"/>
  <c r="N68" i="1"/>
  <c r="L33" i="2"/>
  <c r="H14" i="2"/>
  <c r="L14" i="2" s="1"/>
  <c r="H32" i="2"/>
  <c r="H8" i="2" s="1"/>
  <c r="M56" i="1"/>
  <c r="N56" i="1" s="1"/>
  <c r="N45" i="1"/>
  <c r="M45" i="1"/>
  <c r="M18" i="1"/>
  <c r="N18" i="1" s="1"/>
  <c r="K6" i="1"/>
  <c r="L6" i="1" s="1"/>
  <c r="O32" i="1"/>
  <c r="M31" i="1"/>
  <c r="N31" i="1" s="1"/>
  <c r="N17" i="3"/>
  <c r="L34" i="2"/>
  <c r="B16" i="2"/>
  <c r="B27" i="2"/>
  <c r="I24" i="1"/>
  <c r="D16" i="2"/>
  <c r="J23" i="2"/>
  <c r="D27" i="2"/>
  <c r="B30" i="2"/>
  <c r="D30" i="2"/>
  <c r="J16" i="2"/>
  <c r="I18" i="1"/>
  <c r="P18" i="1" s="1"/>
  <c r="B13" i="2"/>
  <c r="D13" i="2"/>
  <c r="B20" i="2"/>
  <c r="B24" i="2"/>
  <c r="J30" i="2"/>
  <c r="D20" i="2"/>
  <c r="D24" i="2"/>
  <c r="J27" i="2"/>
  <c r="I15" i="1"/>
  <c r="J13" i="2"/>
  <c r="B17" i="2"/>
  <c r="J20" i="2"/>
  <c r="D17" i="2"/>
  <c r="L8" i="2" l="1"/>
  <c r="H10" i="2"/>
  <c r="L10" i="2" s="1"/>
  <c r="H9" i="2"/>
  <c r="L9" i="2" s="1"/>
  <c r="O74" i="1"/>
  <c r="O16" i="1"/>
  <c r="I19" i="1"/>
  <c r="P19" i="1" s="1"/>
  <c r="R19" i="1" s="1"/>
  <c r="J19" i="1"/>
  <c r="K19" i="1" s="1"/>
  <c r="M19" i="1" s="1"/>
  <c r="N19" i="1" s="1"/>
  <c r="L32" i="2"/>
  <c r="H11" i="2"/>
  <c r="L11" i="2"/>
  <c r="I16" i="1"/>
  <c r="K8" i="3"/>
  <c r="K7" i="3" s="1"/>
  <c r="O18" i="3"/>
  <c r="O14" i="3" s="1"/>
  <c r="H21" i="1"/>
  <c r="J21" i="1" s="1"/>
  <c r="K21" i="1" s="1"/>
  <c r="J20" i="1"/>
  <c r="K20" i="1" s="1"/>
  <c r="M20" i="1" s="1"/>
  <c r="N20" i="1" s="1"/>
  <c r="R18" i="1"/>
  <c r="H28" i="2"/>
  <c r="L28" i="2" s="1"/>
  <c r="H17" i="2"/>
  <c r="L17" i="2" s="1"/>
  <c r="H30" i="2"/>
  <c r="L30" i="2" s="1"/>
  <c r="H15" i="2"/>
  <c r="L15" i="2" s="1"/>
  <c r="H22" i="2"/>
  <c r="L22" i="2" s="1"/>
  <c r="H21" i="2"/>
  <c r="L21" i="2" s="1"/>
  <c r="H24" i="2"/>
  <c r="L24" i="2" s="1"/>
  <c r="H20" i="2"/>
  <c r="L20" i="2" s="1"/>
  <c r="H31" i="2"/>
  <c r="H13" i="2"/>
  <c r="L13" i="2" s="1"/>
  <c r="H19" i="2"/>
  <c r="L19" i="2" s="1"/>
  <c r="H26" i="2"/>
  <c r="L26" i="2" s="1"/>
  <c r="H16" i="2"/>
  <c r="L16" i="2" s="1"/>
  <c r="H29" i="2"/>
  <c r="L29" i="2" s="1"/>
  <c r="H27" i="2"/>
  <c r="L27" i="2" s="1"/>
  <c r="H18" i="2"/>
  <c r="L18" i="2" s="1"/>
  <c r="H23" i="2"/>
  <c r="L23" i="2" s="1"/>
  <c r="H12" i="2"/>
  <c r="L12" i="2" s="1"/>
  <c r="H25" i="2"/>
  <c r="L25" i="2" s="1"/>
  <c r="N15" i="1"/>
  <c r="N5" i="1" s="1"/>
  <c r="M5" i="1"/>
  <c r="N16" i="3"/>
  <c r="N8" i="3" s="1"/>
  <c r="M8" i="3"/>
  <c r="N42" i="1"/>
  <c r="S42" i="2"/>
  <c r="L8" i="3" l="1"/>
  <c r="K5" i="3"/>
  <c r="B8" i="3" s="1"/>
  <c r="P23" i="1"/>
  <c r="T25" i="1" s="1"/>
  <c r="R21" i="1"/>
  <c r="H22" i="1"/>
  <c r="H23" i="1" s="1"/>
  <c r="I21" i="1"/>
  <c r="H6" i="2"/>
  <c r="L6" i="2" s="1"/>
  <c r="L31" i="2"/>
  <c r="M21" i="1"/>
  <c r="N21" i="1" s="1"/>
  <c r="I22" i="1" l="1"/>
  <c r="R23" i="1"/>
  <c r="P24" i="1"/>
  <c r="P25" i="1" s="1"/>
  <c r="R25" i="1" s="1"/>
  <c r="R26" i="1" s="1"/>
  <c r="J22" i="1"/>
  <c r="K22" i="1" s="1"/>
  <c r="M22" i="1" s="1"/>
  <c r="N22" i="1" s="1"/>
  <c r="I23" i="1"/>
  <c r="J23" i="1"/>
  <c r="K23" i="1" s="1"/>
  <c r="I5" i="1" l="1"/>
  <c r="R28" i="1"/>
  <c r="M23" i="1"/>
  <c r="N23" i="1" s="1"/>
  <c r="K5" i="1"/>
  <c r="O25" i="1"/>
  <c r="O11" i="1" s="1"/>
  <c r="L5" i="1" l="1"/>
  <c r="K2" i="1"/>
  <c r="D3" i="1" l="1"/>
  <c r="M2" i="2" s="1"/>
  <c r="N2" i="2"/>
  <c r="I7" i="3" l="1"/>
  <c r="E7" i="3"/>
  <c r="L7" i="3"/>
</calcChain>
</file>

<file path=xl/sharedStrings.xml><?xml version="1.0" encoding="utf-8"?>
<sst xmlns="http://schemas.openxmlformats.org/spreadsheetml/2006/main" count="452" uniqueCount="231">
  <si>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</si>
  <si>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</si>
  <si>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</si>
  <si>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</si>
  <si>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</si>
  <si>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</si>
  <si>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</si>
  <si>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</si>
  <si>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</si>
  <si>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</si>
  <si>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</si>
  <si>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</si>
  <si>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</si>
  <si>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</si>
  <si>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</si>
  <si>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</si>
  <si>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</si>
  <si>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</si>
  <si>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</si>
  <si>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</si>
  <si>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</si>
  <si>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</si>
  <si>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</si>
  <si>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TTE Fon</t>
  </si>
  <si>
    <t>XAU</t>
  </si>
  <si>
    <t xml:space="preserve">Euro 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</si>
  <si>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</si>
  <si>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</si>
  <si>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</si>
  <si>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</si>
  <si>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</si>
  <si>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</si>
  <si>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</si>
  <si>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</si>
  <si>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</si>
  <si>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</si>
  <si>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</si>
  <si>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</si>
  <si>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</si>
  <si>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</si>
  <si>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</si>
  <si>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</si>
  <si>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</si>
  <si>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</si>
  <si>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</si>
  <si>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</si>
  <si>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</si>
  <si>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</si>
  <si>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</si>
  <si>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</si>
  <si>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</si>
  <si>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GAU</t>
  </si>
  <si>
    <t>EUR</t>
  </si>
  <si>
    <t>TTE</t>
  </si>
  <si>
    <t>TPL</t>
  </si>
  <si>
    <t>XU100</t>
  </si>
  <si>
    <t>LMKDC</t>
  </si>
  <si>
    <t>ALVES</t>
  </si>
  <si>
    <t>OBAMS</t>
  </si>
  <si>
    <t>MOGAN</t>
  </si>
  <si>
    <t>alış</t>
  </si>
  <si>
    <t>satış</t>
  </si>
  <si>
    <t>TL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</si>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</sst>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dd/mmm"/>
    <numFmt numFmtId="173" formatCode="%0.0000"/>
    <numFmt numFmtId="174" formatCode="0.000000"/>
    <numFmt numFmtId="175" formatCode="dd/mm/yyyy"/>
    <numFmt numFmtId="176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2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0">
    <xf numFmtId="0" fontId="0" fillId="0" borderId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2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1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1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1" applyNumberFormat="1" applyFont="1" applyFill="1" applyBorder="1" applyAlignment="1" applyProtection="1"/>
    <xf numFmtId="168" fontId="20" fillId="12" borderId="0" xfId="1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1" applyNumberFormat="1" applyFont="1" applyFill="1" applyBorder="1" applyAlignment="1" applyProtection="1"/>
    <xf numFmtId="167" fontId="17" fillId="13" borderId="0" xfId="1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1" applyNumberFormat="1" applyFont="1" applyBorder="1" applyAlignment="1" applyProtection="1"/>
    <xf numFmtId="167" fontId="17" fillId="0" borderId="0" xfId="1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0" fontId="0" fillId="0" borderId="0" xfId="0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1" applyBorder="1" applyProtection="1"/>
    <xf numFmtId="0" fontId="0" fillId="16" borderId="0" xfId="0" applyFill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8" fontId="0" fillId="0" borderId="0" xfId="0" applyNumberFormat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164" fontId="0" fillId="0" borderId="0" xfId="0" applyNumberFormat="1" applyBorder="1"/>
    <xf numFmtId="2" fontId="0" fillId="0" borderId="0" xfId="0" applyNumberFormat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166" fontId="0" fillId="0" borderId="0" xfId="0" applyNumberFormat="1" applyBorder="1"/>
    <xf numFmtId="168" fontId="20" fillId="0" borderId="0" xfId="1" applyBorder="1" applyProtection="1"/>
    <xf numFmtId="167" fontId="0" fillId="0" borderId="0" xfId="0" applyNumberFormat="1" applyBorder="1"/>
    <xf numFmtId="2" fontId="0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1" applyFill="1" applyBorder="1" applyProtection="1"/>
    <xf numFmtId="168" fontId="14" fillId="13" borderId="2" xfId="1" applyFont="1" applyFill="1" applyBorder="1" applyProtection="1"/>
    <xf numFmtId="2" fontId="14" fillId="13" borderId="2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1" applyFont="1" applyBorder="1" applyProtection="1"/>
    <xf numFmtId="0" fontId="0" fillId="16" borderId="0" xfId="0" applyFont="1" applyFill="1" applyBorder="1"/>
    <xf numFmtId="167" fontId="0" fillId="0" borderId="0" xfId="1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1" fontId="0" fillId="0" borderId="0" xfId="0" applyNumberFormat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1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172" fontId="0" fillId="0" borderId="0" xfId="0" applyNumberFormat="1"/>
    <xf numFmtId="2" fontId="0" fillId="0" borderId="0" xfId="0" applyNumberFormat="1"/>
    <xf numFmtId="4" fontId="0" fillId="0" borderId="0" xfId="0" applyNumberFormat="1"/>
    <xf numFmtId="0" fontId="0" fillId="17" borderId="0" xfId="0" applyFill="1"/>
    <xf numFmtId="1" fontId="0" fillId="17" borderId="0" xfId="0" applyNumberFormat="1" applyFill="1"/>
    <xf numFmtId="0" fontId="0" fillId="17" borderId="0" xfId="0" applyFont="1" applyFill="1" applyAlignment="1">
      <alignment horizontal="center"/>
    </xf>
    <xf numFmtId="166" fontId="0" fillId="17" borderId="0" xfId="0" applyNumberFormat="1" applyFont="1" applyFill="1" applyAlignment="1">
      <alignment horizontal="center"/>
    </xf>
    <xf numFmtId="173" fontId="20" fillId="0" borderId="0" xfId="1" applyNumberFormat="1" applyBorder="1" applyProtection="1"/>
    <xf numFmtId="0" fontId="0" fillId="13" borderId="0" xfId="0" applyFill="1"/>
    <xf numFmtId="0" fontId="0" fillId="9" borderId="0" xfId="0" applyFill="1"/>
    <xf numFmtId="173" fontId="0" fillId="0" borderId="0" xfId="0" applyNumberFormat="1"/>
    <xf numFmtId="0" fontId="0" fillId="14" borderId="0" xfId="0" applyFont="1" applyFill="1"/>
    <xf numFmtId="170" fontId="20" fillId="0" borderId="0" xfId="1" applyNumberFormat="1" applyBorder="1" applyProtection="1"/>
    <xf numFmtId="0" fontId="0" fillId="15" borderId="0" xfId="0" applyFont="1" applyFill="1"/>
    <xf numFmtId="174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1" applyNumberFormat="1" applyFont="1" applyFill="1" applyBorder="1" applyAlignment="1" applyProtection="1"/>
    <xf numFmtId="167" fontId="17" fillId="15" borderId="0" xfId="1" applyNumberFormat="1" applyFont="1" applyFill="1" applyBorder="1" applyAlignment="1" applyProtection="1"/>
    <xf numFmtId="168" fontId="20" fillId="17" borderId="0" xfId="1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1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5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1" applyNumberFormat="1" applyBorder="1" applyProtection="1"/>
    <xf numFmtId="0" fontId="19" fillId="0" borderId="0" xfId="0" applyFont="1"/>
    <xf numFmtId="174" fontId="19" fillId="0" borderId="0" xfId="0" applyNumberFormat="1" applyFont="1"/>
    <xf numFmtId="176" fontId="19" fillId="0" borderId="0" xfId="0" applyNumberFormat="1" applyFont="1"/>
    <xf numFmtId="4" fontId="19" fillId="0" borderId="0" xfId="0" applyNumberFormat="1" applyFont="1"/>
    <xf numFmtId="175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4" fontId="19" fillId="19" borderId="0" xfId="0" applyNumberFormat="1" applyFont="1" applyFill="1"/>
    <xf numFmtId="176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4" fontId="19" fillId="20" borderId="0" xfId="0" applyNumberFormat="1" applyFont="1" applyFill="1"/>
    <xf numFmtId="176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4" fontId="19" fillId="21" borderId="0" xfId="0" applyNumberFormat="1" applyFont="1" applyFill="1"/>
    <xf numFmtId="176" fontId="19" fillId="21" borderId="0" xfId="0" applyNumberFormat="1" applyFont="1" applyFill="1"/>
    <xf numFmtId="0" fontId="19" fillId="12" borderId="0" xfId="0" applyFont="1" applyFill="1"/>
    <xf numFmtId="174" fontId="19" fillId="12" borderId="0" xfId="0" applyNumberFormat="1" applyFont="1" applyFill="1"/>
    <xf numFmtId="176" fontId="19" fillId="12" borderId="0" xfId="0" applyNumberFormat="1" applyFont="1" applyFill="1"/>
    <xf numFmtId="4" fontId="19" fillId="12" borderId="0" xfId="0" applyNumberFormat="1" applyFont="1" applyFill="1"/>
    <xf numFmtId="174" fontId="19" fillId="13" borderId="0" xfId="0" applyNumberFormat="1" applyFont="1" applyFill="1"/>
    <xf numFmtId="176" fontId="19" fillId="13" borderId="0" xfId="0" applyNumberFormat="1" applyFont="1" applyFill="1"/>
    <xf numFmtId="174" fontId="19" fillId="18" borderId="0" xfId="0" applyNumberFormat="1" applyFont="1" applyFill="1"/>
    <xf numFmtId="176" fontId="19" fillId="18" borderId="0" xfId="0" applyNumberFormat="1" applyFont="1" applyFill="1"/>
    <xf numFmtId="4" fontId="0" fillId="16" borderId="0" xfId="0" applyNumberFormat="1" applyFill="1" applyBorder="1"/>
  </cellXfs>
  <cellStyles count="20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582180</xdr:colOff>
      <xdr:row>20</xdr:row>
      <xdr:rowOff>54720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7760" y="1702800"/>
          <a:ext cx="280476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575640</xdr:colOff>
      <xdr:row>20</xdr:row>
      <xdr:rowOff>74160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9240" y="1855440"/>
          <a:ext cx="3248280" cy="145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561960</xdr:colOff>
      <xdr:row>20</xdr:row>
      <xdr:rowOff>100080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9320" y="1738440"/>
          <a:ext cx="3133800" cy="160020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77" totalsRowShown="0">
  <autoFilter ref="A9:M77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85"/>
  <sheetViews>
    <sheetView zoomScale="160" zoomScaleNormal="160" workbookViewId="0">
      <selection activeCell="B3" sqref="B3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4" width="5.7109375" style="7" customWidth="1"/>
    <col min="15" max="15" width="10" style="1" customWidth="1"/>
    <col min="16" max="16" width="11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45386</v>
      </c>
      <c r="K2" s="14">
        <f>SUM(K5:K6)</f>
        <v>245709.69758700003</v>
      </c>
    </row>
    <row r="3" spans="1:15">
      <c r="B3" s="2">
        <v>43803</v>
      </c>
      <c r="C3" s="3">
        <f>B2-B3</f>
        <v>1583</v>
      </c>
      <c r="D3" s="3">
        <f>K2/C3</f>
        <v>155.21774958117501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SUBTOTAL(109,E10:E26)</f>
        <v>279102.61908000003</v>
      </c>
      <c r="F5" s="26"/>
      <c r="G5" s="27"/>
      <c r="H5" s="28"/>
      <c r="I5" s="29">
        <f>SUM(I11:I25)</f>
        <v>517774.98928000004</v>
      </c>
      <c r="J5" s="27"/>
      <c r="K5" s="25">
        <f>SUBTOTAL(109,K10:K26)</f>
        <v>227209.52020000003</v>
      </c>
      <c r="L5" s="30">
        <f>K5/E5</f>
        <v>0.8140716161996111</v>
      </c>
      <c r="M5" s="31">
        <f>SUBTOTAL(101,M10:M16)</f>
        <v>-0.19728119200516098</v>
      </c>
      <c r="N5" s="31">
        <f>SUBTOTAL(101,N10:N16)</f>
        <v>-0.14922538087745646</v>
      </c>
      <c r="O5" s="32"/>
    </row>
    <row r="6" spans="1:15">
      <c r="B6" s="3"/>
      <c r="D6" s="33" t="s">
        <v>4</v>
      </c>
      <c r="E6" s="34">
        <f>SUBTOTAL(109,E29:E76)</f>
        <v>472117.65808399994</v>
      </c>
      <c r="F6" s="35"/>
      <c r="G6" s="36"/>
      <c r="H6" s="37"/>
      <c r="I6" s="34">
        <f>SUBTOTAL(109,I29:I76)</f>
        <v>483665.72449500003</v>
      </c>
      <c r="J6" s="36"/>
      <c r="K6" s="38">
        <f>SUBTOTAL(109,K29:K75)</f>
        <v>18500.177387000018</v>
      </c>
      <c r="L6" s="39">
        <f>K6/E6</f>
        <v>3.918552307930926E-2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SUM(O12:O26)</f>
        <v>227209.52020000003</v>
      </c>
    </row>
    <row r="12" spans="1:15">
      <c r="O12" s="61"/>
    </row>
    <row r="15" spans="1:15">
      <c r="A15" s="1" t="s">
        <v>23</v>
      </c>
      <c r="B15" s="2">
        <v>45348</v>
      </c>
      <c r="C15" s="46">
        <v>75000</v>
      </c>
      <c r="D15" s="47">
        <v>1.064435</v>
      </c>
      <c r="E15" s="62">
        <f>Sayfa2!$D15*Sayfa2!$C15</f>
        <v>79832.625</v>
      </c>
      <c r="F15" s="63">
        <f>$B$2</f>
        <v>45386</v>
      </c>
      <c r="G15" s="64">
        <f>Tablo2[[#This Row],[adet]]</f>
        <v>75000</v>
      </c>
      <c r="H15" s="65">
        <f>Sayfa4!I2</f>
        <v>0.82913899999999996</v>
      </c>
      <c r="I15" s="51">
        <f>Sayfa2!$H15*Sayfa2!$G15</f>
        <v>62185.424999999996</v>
      </c>
      <c r="J15" s="46">
        <f>H15-D15</f>
        <v>-0.23529600000000006</v>
      </c>
      <c r="K15" s="66">
        <f>Sayfa2!$J15*Sayfa2!$C15</f>
        <v>-17647.200000000004</v>
      </c>
      <c r="L15" s="67">
        <f>F15-B15</f>
        <v>38</v>
      </c>
      <c r="M15" s="68">
        <f>K15/E15</f>
        <v>-0.22105248324228352</v>
      </c>
      <c r="N15" s="68">
        <f>M15/L15*30</f>
        <v>-0.17451511834917119</v>
      </c>
      <c r="O15" s="69"/>
    </row>
    <row r="16" spans="1:15">
      <c r="A16" s="1" t="s">
        <v>23</v>
      </c>
      <c r="B16" s="2">
        <v>45344</v>
      </c>
      <c r="C16" s="46">
        <v>50000</v>
      </c>
      <c r="D16" s="47">
        <v>1.0032049999999999</v>
      </c>
      <c r="E16" s="62">
        <f>Sayfa2!$D16*Sayfa2!$C16</f>
        <v>50160.249999999993</v>
      </c>
      <c r="F16" s="63">
        <f>$B$2</f>
        <v>45386</v>
      </c>
      <c r="G16" s="64">
        <f>Tablo2[[#This Row],[adet]]</f>
        <v>50000</v>
      </c>
      <c r="H16" s="65">
        <f>H15</f>
        <v>0.82913899999999996</v>
      </c>
      <c r="I16" s="51">
        <f>Sayfa2!$H16*Sayfa2!$G16</f>
        <v>41456.949999999997</v>
      </c>
      <c r="J16" s="46">
        <f>H16-D16</f>
        <v>-0.17406599999999994</v>
      </c>
      <c r="K16" s="66">
        <f>Sayfa2!$J16*Sayfa2!$C16</f>
        <v>-8703.2999999999975</v>
      </c>
      <c r="L16" s="67">
        <f>F16-B16</f>
        <v>42</v>
      </c>
      <c r="M16" s="68">
        <f>K16/E16</f>
        <v>-0.17350990076803841</v>
      </c>
      <c r="N16" s="68">
        <f>M16/L16*30</f>
        <v>-0.1239356434057417</v>
      </c>
      <c r="O16" s="70">
        <f>SUM(K13:K16)</f>
        <v>-26350.5</v>
      </c>
    </row>
    <row r="17" spans="1:20">
      <c r="A17" s="32"/>
      <c r="B17" s="26"/>
      <c r="C17" s="71"/>
      <c r="D17" s="72"/>
      <c r="E17" s="58"/>
      <c r="F17" s="26"/>
      <c r="G17" s="27"/>
      <c r="H17" s="28"/>
      <c r="I17" s="29"/>
      <c r="J17" s="71"/>
      <c r="K17" s="73"/>
      <c r="L17" s="74"/>
      <c r="M17" s="31"/>
      <c r="N17" s="31"/>
      <c r="O17" s="32"/>
    </row>
    <row r="18" spans="1:20">
      <c r="A18" s="1" t="s">
        <v>24</v>
      </c>
      <c r="B18" s="2">
        <v>45219</v>
      </c>
      <c r="C18" s="46">
        <v>45</v>
      </c>
      <c r="D18" s="47">
        <v>1826.53</v>
      </c>
      <c r="E18" s="62">
        <f>Sayfa2!$D18*Sayfa2!$C18</f>
        <v>82193.850000000006</v>
      </c>
      <c r="F18" s="63">
        <f t="shared" ref="F18:F25" si="0">$B$2</f>
        <v>45386</v>
      </c>
      <c r="G18" s="64">
        <v>50</v>
      </c>
      <c r="H18" s="65">
        <f>Sayfa4!G6</f>
        <v>2292.5700000000002</v>
      </c>
      <c r="I18" s="51">
        <f>Sayfa2!$H18*Sayfa2!$G18</f>
        <v>114628.50000000001</v>
      </c>
      <c r="J18" s="46">
        <f t="shared" ref="J18:J25" si="1">H18-D18</f>
        <v>466.04000000000019</v>
      </c>
      <c r="K18" s="66">
        <f>Sayfa2!$J18*Sayfa2!$C18</f>
        <v>20971.80000000001</v>
      </c>
      <c r="L18" s="67">
        <f t="shared" ref="L18:L25" si="2">F18-B18</f>
        <v>167</v>
      </c>
      <c r="M18" s="68">
        <f t="shared" ref="M18:M25" si="3">K18/E18</f>
        <v>0.25515047658675205</v>
      </c>
      <c r="N18" s="68">
        <f t="shared" ref="N18:N25" si="4">M18/L18*30</f>
        <v>4.5835414955703965E-2</v>
      </c>
      <c r="O18" s="69"/>
      <c r="P18" s="6">
        <f>Tablo2[[#This Row],[Tutar3]]</f>
        <v>114628.50000000001</v>
      </c>
      <c r="Q18" s="1">
        <v>2000</v>
      </c>
      <c r="R18" s="1">
        <f>P18/Q18</f>
        <v>57.314250000000008</v>
      </c>
    </row>
    <row r="19" spans="1:20">
      <c r="A19" s="1" t="s">
        <v>24</v>
      </c>
      <c r="B19" s="2">
        <v>44244</v>
      </c>
      <c r="C19" s="46">
        <v>11</v>
      </c>
      <c r="D19" s="47">
        <v>402.1</v>
      </c>
      <c r="E19" s="62">
        <f>Sayfa2!$D19*Sayfa2!$C19</f>
        <v>4423.1000000000004</v>
      </c>
      <c r="F19" s="63">
        <f t="shared" si="0"/>
        <v>45386</v>
      </c>
      <c r="G19" s="64">
        <v>11</v>
      </c>
      <c r="H19" s="65">
        <f>H18</f>
        <v>2292.5700000000002</v>
      </c>
      <c r="I19" s="51">
        <f>Sayfa2!$H19*Sayfa2!$G19</f>
        <v>25218.27</v>
      </c>
      <c r="J19" s="46">
        <f t="shared" si="1"/>
        <v>1890.4700000000003</v>
      </c>
      <c r="K19" s="66">
        <f>Sayfa2!$J19*Sayfa2!$C19</f>
        <v>20795.170000000002</v>
      </c>
      <c r="L19" s="67">
        <f t="shared" si="2"/>
        <v>1142</v>
      </c>
      <c r="M19" s="68">
        <f t="shared" si="3"/>
        <v>4.7014921661278288</v>
      </c>
      <c r="N19" s="68">
        <f t="shared" si="4"/>
        <v>0.12350679946045083</v>
      </c>
      <c r="O19" s="69"/>
      <c r="P19" s="6">
        <f>Tablo2[[#This Row],[Tutar3]]</f>
        <v>25218.27</v>
      </c>
      <c r="Q19" s="1">
        <v>2000</v>
      </c>
      <c r="R19" s="1">
        <f>P19/Q19</f>
        <v>12.609135</v>
      </c>
    </row>
    <row r="20" spans="1:20">
      <c r="A20" s="1" t="s">
        <v>24</v>
      </c>
      <c r="B20" s="2">
        <v>44084</v>
      </c>
      <c r="C20" s="46">
        <v>50</v>
      </c>
      <c r="D20" s="47">
        <v>468.86</v>
      </c>
      <c r="E20" s="62">
        <f>Sayfa2!$D20*Sayfa2!$C20</f>
        <v>23443</v>
      </c>
      <c r="F20" s="63">
        <f t="shared" si="0"/>
        <v>45386</v>
      </c>
      <c r="G20" s="64">
        <v>50</v>
      </c>
      <c r="H20" s="65">
        <f>H19</f>
        <v>2292.5700000000002</v>
      </c>
      <c r="I20" s="51">
        <f>Sayfa2!$H20*Sayfa2!$G20</f>
        <v>114628.50000000001</v>
      </c>
      <c r="J20" s="46">
        <f t="shared" si="1"/>
        <v>1823.71</v>
      </c>
      <c r="K20" s="66">
        <f>Sayfa2!$J20*Sayfa2!$C20</f>
        <v>91185.5</v>
      </c>
      <c r="L20" s="67">
        <f t="shared" si="2"/>
        <v>1302</v>
      </c>
      <c r="M20" s="68">
        <f t="shared" si="3"/>
        <v>3.8896685577784411</v>
      </c>
      <c r="N20" s="68">
        <f t="shared" si="4"/>
        <v>8.9623699487982517E-2</v>
      </c>
      <c r="O20" s="69"/>
      <c r="P20" s="6">
        <f>Tablo2[[#This Row],[Tutar3]]</f>
        <v>114628.50000000001</v>
      </c>
      <c r="Q20" s="1">
        <v>2000</v>
      </c>
      <c r="R20" s="1">
        <f>P20/Q20</f>
        <v>57.314250000000008</v>
      </c>
    </row>
    <row r="21" spans="1:20">
      <c r="A21" s="1" t="s">
        <v>24</v>
      </c>
      <c r="B21" s="2">
        <v>44020</v>
      </c>
      <c r="C21" s="46">
        <v>25</v>
      </c>
      <c r="D21" s="47">
        <v>399.87</v>
      </c>
      <c r="E21" s="62">
        <f>Sayfa2!$D21*Sayfa2!$C21</f>
        <v>9996.75</v>
      </c>
      <c r="F21" s="63">
        <f t="shared" si="0"/>
        <v>45386</v>
      </c>
      <c r="G21" s="64">
        <f>Tablo2[[#This Row],[adet]]</f>
        <v>25</v>
      </c>
      <c r="H21" s="65">
        <f>H20</f>
        <v>2292.5700000000002</v>
      </c>
      <c r="I21" s="51">
        <f>Sayfa2!$H21*Sayfa2!$G21</f>
        <v>57314.250000000007</v>
      </c>
      <c r="J21" s="46">
        <f t="shared" si="1"/>
        <v>1892.7000000000003</v>
      </c>
      <c r="K21" s="66">
        <f>Sayfa2!$J21*Sayfa2!$C21</f>
        <v>47317.500000000007</v>
      </c>
      <c r="L21" s="67">
        <f t="shared" si="2"/>
        <v>1366</v>
      </c>
      <c r="M21" s="68">
        <f t="shared" si="3"/>
        <v>4.733288318703579</v>
      </c>
      <c r="N21" s="68">
        <f t="shared" si="4"/>
        <v>0.10395215926874625</v>
      </c>
      <c r="O21" s="69"/>
      <c r="R21" s="1">
        <f>SUM(R18:R20)</f>
        <v>127.23763500000001</v>
      </c>
    </row>
    <row r="22" spans="1:20">
      <c r="A22" s="1" t="s">
        <v>24</v>
      </c>
      <c r="B22" s="2">
        <v>43803</v>
      </c>
      <c r="C22" s="46">
        <v>24</v>
      </c>
      <c r="D22" s="47">
        <v>273.81</v>
      </c>
      <c r="E22" s="62">
        <f>Sayfa2!$D22*Sayfa2!$C22</f>
        <v>6571.4400000000005</v>
      </c>
      <c r="F22" s="63">
        <f t="shared" si="0"/>
        <v>45386</v>
      </c>
      <c r="G22" s="64">
        <f>Tablo2[[#This Row],[adet]]</f>
        <v>24</v>
      </c>
      <c r="H22" s="65">
        <f>H21</f>
        <v>2292.5700000000002</v>
      </c>
      <c r="I22" s="51">
        <f>Sayfa2!$H22*Sayfa2!$G22</f>
        <v>55021.680000000008</v>
      </c>
      <c r="J22" s="46">
        <f t="shared" si="1"/>
        <v>2018.7600000000002</v>
      </c>
      <c r="K22" s="66">
        <f>Sayfa2!$J22*Sayfa2!$C22</f>
        <v>48450.240000000005</v>
      </c>
      <c r="L22" s="67">
        <f t="shared" si="2"/>
        <v>1583</v>
      </c>
      <c r="M22" s="68">
        <f t="shared" si="3"/>
        <v>7.3728497863481977</v>
      </c>
      <c r="N22" s="68">
        <f t="shared" si="4"/>
        <v>0.13972551711335812</v>
      </c>
      <c r="O22" s="69"/>
    </row>
    <row r="23" spans="1:20">
      <c r="A23" s="1" t="s">
        <v>24</v>
      </c>
      <c r="B23" s="2">
        <v>43803</v>
      </c>
      <c r="C23" s="46">
        <v>1</v>
      </c>
      <c r="D23" s="47">
        <v>237.59</v>
      </c>
      <c r="E23" s="62">
        <f>Sayfa2!$D23*Sayfa2!$C23</f>
        <v>237.59</v>
      </c>
      <c r="F23" s="63">
        <f t="shared" si="0"/>
        <v>45386</v>
      </c>
      <c r="G23" s="64">
        <f>Tablo2[[#This Row],[adet]]</f>
        <v>1</v>
      </c>
      <c r="H23" s="65">
        <f>H22</f>
        <v>2292.5700000000002</v>
      </c>
      <c r="I23" s="51">
        <f>Sayfa2!$H23*Sayfa2!$G23</f>
        <v>2292.5700000000002</v>
      </c>
      <c r="J23" s="46">
        <f t="shared" si="1"/>
        <v>2054.98</v>
      </c>
      <c r="K23" s="66">
        <f>Sayfa2!$J23*Sayfa2!$C23</f>
        <v>2054.98</v>
      </c>
      <c r="L23" s="67">
        <f t="shared" si="2"/>
        <v>1583</v>
      </c>
      <c r="M23" s="68">
        <f t="shared" si="3"/>
        <v>8.6492697504103706</v>
      </c>
      <c r="N23" s="68">
        <f t="shared" si="4"/>
        <v>0.16391540904125781</v>
      </c>
      <c r="O23" s="69"/>
      <c r="P23" s="6">
        <f>SUM(P18:P22)</f>
        <v>254475.27000000002</v>
      </c>
      <c r="R23" s="1">
        <f>P23/2220.32</f>
        <v>114.6119793543273</v>
      </c>
    </row>
    <row r="24" spans="1:20">
      <c r="A24" s="1" t="s">
        <v>25</v>
      </c>
      <c r="B24" s="2">
        <v>44784</v>
      </c>
      <c r="C24" s="46">
        <v>298.8</v>
      </c>
      <c r="D24" s="47">
        <v>18.721599999999999</v>
      </c>
      <c r="E24" s="62">
        <f>Sayfa2!$D24*Sayfa2!$C24</f>
        <v>5594.0140799999999</v>
      </c>
      <c r="F24" s="63">
        <f t="shared" si="0"/>
        <v>45386</v>
      </c>
      <c r="G24" s="64">
        <f>Tablo2[[#This Row],[adet]]</f>
        <v>298.8</v>
      </c>
      <c r="H24" s="65">
        <f>Sayfa4!E2</f>
        <v>34.053100000000001</v>
      </c>
      <c r="I24" s="51">
        <f>Sayfa2!$H24*Sayfa2!$G24</f>
        <v>10175.066280000001</v>
      </c>
      <c r="J24" s="46">
        <f t="shared" si="1"/>
        <v>15.331500000000002</v>
      </c>
      <c r="K24" s="66">
        <f>Sayfa2!$J24*Sayfa2!$C24</f>
        <v>4581.052200000001</v>
      </c>
      <c r="L24" s="67">
        <f t="shared" si="2"/>
        <v>602</v>
      </c>
      <c r="M24" s="68">
        <f t="shared" si="3"/>
        <v>0.81892039141953699</v>
      </c>
      <c r="N24" s="68">
        <f t="shared" si="4"/>
        <v>4.0809986283365629E-2</v>
      </c>
      <c r="O24" s="69"/>
      <c r="P24" s="1">
        <f>P23*Q24</f>
        <v>25447.527000000002</v>
      </c>
      <c r="Q24" s="75">
        <v>0.1</v>
      </c>
      <c r="T24" s="1">
        <v>2300</v>
      </c>
    </row>
    <row r="25" spans="1:20">
      <c r="A25" s="1" t="s">
        <v>26</v>
      </c>
      <c r="B25" s="2">
        <v>44774</v>
      </c>
      <c r="C25" s="46">
        <v>1110</v>
      </c>
      <c r="D25" s="47">
        <v>15</v>
      </c>
      <c r="E25" s="62">
        <f>Sayfa2!$D25*Sayfa2!$C25</f>
        <v>16650</v>
      </c>
      <c r="F25" s="63">
        <f t="shared" si="0"/>
        <v>45386</v>
      </c>
      <c r="G25" s="64">
        <f>Tablo2[[#This Row],[adet]]</f>
        <v>1110</v>
      </c>
      <c r="H25" s="65">
        <f>Sayfa4!C2</f>
        <v>31.399799999999999</v>
      </c>
      <c r="I25" s="51">
        <f>Sayfa2!$H25*Sayfa2!$G25</f>
        <v>34853.777999999998</v>
      </c>
      <c r="J25" s="46">
        <f t="shared" si="1"/>
        <v>16.399799999999999</v>
      </c>
      <c r="K25" s="66">
        <f>Sayfa2!$J25*Sayfa2!$C25</f>
        <v>18203.777999999998</v>
      </c>
      <c r="L25" s="67">
        <f t="shared" si="2"/>
        <v>612</v>
      </c>
      <c r="M25" s="68">
        <f t="shared" si="3"/>
        <v>1.0933199999999998</v>
      </c>
      <c r="N25" s="68">
        <f t="shared" si="4"/>
        <v>5.359411764705882E-2</v>
      </c>
      <c r="O25" s="70">
        <f>SUM(K18:K25)</f>
        <v>253560.02020000003</v>
      </c>
      <c r="P25" s="6">
        <f>SUM(P23:P24)</f>
        <v>279922.79700000002</v>
      </c>
      <c r="R25" s="1">
        <f>P25/2000</f>
        <v>139.9613985</v>
      </c>
      <c r="T25" s="1">
        <f>P23/T24</f>
        <v>110.64142173913044</v>
      </c>
    </row>
    <row r="26" spans="1:20">
      <c r="A26" s="32"/>
      <c r="B26" s="26"/>
      <c r="C26" s="71"/>
      <c r="D26" s="72"/>
      <c r="E26" s="73"/>
      <c r="F26" s="76"/>
      <c r="G26" s="77"/>
      <c r="H26" s="78"/>
      <c r="I26" s="29"/>
      <c r="J26" s="71"/>
      <c r="K26" s="32"/>
      <c r="L26" s="32"/>
      <c r="M26" s="31"/>
      <c r="N26" s="31"/>
      <c r="O26" s="32"/>
      <c r="R26" s="68">
        <f>1-(R25/R23)</f>
        <v>-0.22117600000000004</v>
      </c>
    </row>
    <row r="27" spans="1:20">
      <c r="A27" s="61"/>
      <c r="B27" s="79"/>
      <c r="C27" s="80"/>
      <c r="D27" s="61"/>
      <c r="E27" s="81"/>
      <c r="F27" s="82"/>
      <c r="G27" s="83"/>
      <c r="H27" s="84"/>
      <c r="I27" s="85"/>
      <c r="J27" s="80"/>
      <c r="K27" s="61"/>
      <c r="L27" s="61"/>
      <c r="M27" s="86"/>
      <c r="N27" s="87"/>
      <c r="O27" s="61"/>
      <c r="P27" s="61"/>
    </row>
    <row r="28" spans="1:20">
      <c r="A28" s="61"/>
      <c r="B28" s="79"/>
      <c r="C28" s="88"/>
      <c r="D28" s="61"/>
      <c r="E28" s="81"/>
      <c r="F28" s="82"/>
      <c r="G28" s="83"/>
      <c r="H28" s="84"/>
      <c r="I28" s="85"/>
      <c r="J28" s="80"/>
      <c r="K28" s="61"/>
      <c r="L28" s="61"/>
      <c r="M28" s="86"/>
      <c r="N28" s="86"/>
      <c r="O28" s="61"/>
      <c r="P28" s="61"/>
      <c r="R28" s="1">
        <f>R25*2220.32</f>
        <v>310759.09231752</v>
      </c>
    </row>
    <row r="29" spans="1:20">
      <c r="A29" s="33" t="s">
        <v>4</v>
      </c>
      <c r="B29" s="35"/>
      <c r="C29" s="89"/>
      <c r="D29" s="41"/>
      <c r="E29" s="90"/>
      <c r="F29" s="91"/>
      <c r="G29" s="92"/>
      <c r="H29" s="93"/>
      <c r="I29" s="34"/>
      <c r="J29" s="36"/>
      <c r="K29" s="34"/>
      <c r="L29" s="41"/>
      <c r="M29" s="94"/>
      <c r="N29" s="95" t="s">
        <v>27</v>
      </c>
      <c r="O29" s="96">
        <f>SUM(O31:O75)</f>
        <v>18500.177387000014</v>
      </c>
    </row>
    <row r="30" spans="1:20">
      <c r="A30" s="41"/>
      <c r="C30" s="52"/>
      <c r="E30" s="97"/>
      <c r="F30" s="98"/>
      <c r="G30" s="99"/>
      <c r="H30" s="100"/>
      <c r="K30" s="6"/>
      <c r="M30" s="68"/>
      <c r="N30" s="68"/>
      <c r="O30" s="69"/>
    </row>
    <row r="31" spans="1:20">
      <c r="A31" s="41" t="s">
        <v>28</v>
      </c>
      <c r="B31" s="2">
        <v>44784</v>
      </c>
      <c r="C31" s="46">
        <v>23.19</v>
      </c>
      <c r="D31" s="47">
        <v>18.721599999999999</v>
      </c>
      <c r="E31" s="62">
        <f>Sayfa2!$D31*Sayfa2!$C31</f>
        <v>434.15390400000001</v>
      </c>
      <c r="F31" s="2">
        <v>45350</v>
      </c>
      <c r="G31" s="101">
        <v>23.19</v>
      </c>
      <c r="H31" s="102">
        <v>33.222900000000003</v>
      </c>
      <c r="I31" s="51">
        <f>Sayfa2!$H31*Sayfa2!$G31</f>
        <v>770.43905100000006</v>
      </c>
      <c r="J31" s="46">
        <f>H31-D31</f>
        <v>14.501300000000004</v>
      </c>
      <c r="K31" s="66">
        <f>Sayfa2!$J31*Sayfa2!$C31</f>
        <v>336.28514700000011</v>
      </c>
      <c r="L31" s="67">
        <f>F31-B31</f>
        <v>566</v>
      </c>
      <c r="M31" s="68">
        <f>K31/E31</f>
        <v>0.77457589094949175</v>
      </c>
      <c r="N31" s="68">
        <f>M31/L31*30</f>
        <v>4.1055259237605571E-2</v>
      </c>
      <c r="O31" s="69"/>
    </row>
    <row r="32" spans="1:20">
      <c r="A32" s="41" t="s">
        <v>29</v>
      </c>
      <c r="B32" s="2">
        <v>44784</v>
      </c>
      <c r="C32" s="46">
        <v>18.010000000000002</v>
      </c>
      <c r="D32" s="47">
        <v>18.721599999999999</v>
      </c>
      <c r="E32" s="62">
        <f>Sayfa2!$D32*Sayfa2!$C32</f>
        <v>337.176016</v>
      </c>
      <c r="F32" s="2">
        <v>45341</v>
      </c>
      <c r="G32" s="49">
        <v>18.010000000000002</v>
      </c>
      <c r="H32" s="103">
        <v>32.381999999999998</v>
      </c>
      <c r="I32" s="51">
        <f>Sayfa2!$H32*Sayfa2!$G32</f>
        <v>583.19982000000005</v>
      </c>
      <c r="J32" s="46">
        <f>H32-D32</f>
        <v>13.660399999999999</v>
      </c>
      <c r="K32" s="66">
        <f>Sayfa2!$J32*Sayfa2!$C32</f>
        <v>246.02380400000001</v>
      </c>
      <c r="L32" s="67">
        <f>F32-B32</f>
        <v>557</v>
      </c>
      <c r="M32" s="68">
        <f>K32/E32</f>
        <v>0.72965985813178369</v>
      </c>
      <c r="N32" s="68">
        <f>M32/L32*30</f>
        <v>3.9299453759342032E-2</v>
      </c>
      <c r="O32" s="70">
        <f>SUM(K31:K32)</f>
        <v>582.30895100000009</v>
      </c>
    </row>
    <row r="33" spans="1:1024">
      <c r="A33" s="41"/>
      <c r="O33" s="69"/>
    </row>
    <row r="34" spans="1:1024">
      <c r="A34" s="61" t="s">
        <v>24</v>
      </c>
      <c r="B34" s="79">
        <v>45219</v>
      </c>
      <c r="C34" s="46">
        <v>5</v>
      </c>
      <c r="D34" s="47">
        <v>1826.53</v>
      </c>
      <c r="E34" s="62">
        <f>Sayfa2!$D34*Sayfa2!$C34</f>
        <v>9132.65</v>
      </c>
      <c r="F34" s="63">
        <v>45384</v>
      </c>
      <c r="G34" s="64">
        <v>5</v>
      </c>
      <c r="H34" s="65">
        <v>2282.83</v>
      </c>
      <c r="I34" s="51">
        <f>Sayfa2!$H34*Sayfa2!$G34</f>
        <v>11414.15</v>
      </c>
      <c r="J34" s="46">
        <f t="shared" ref="J34" si="5">H34-D34</f>
        <v>456.29999999999995</v>
      </c>
      <c r="K34" s="66">
        <f>Sayfa2!$J34*Sayfa2!$C34</f>
        <v>2281.5</v>
      </c>
      <c r="L34" s="67">
        <f t="shared" ref="L34" si="6">F34-B34</f>
        <v>165</v>
      </c>
      <c r="M34" s="86">
        <f t="shared" ref="M34" si="7">K34/E34</f>
        <v>0.24981796083283606</v>
      </c>
      <c r="N34" s="86">
        <f t="shared" ref="N34" si="8">M34/L34*30</f>
        <v>4.5421447424152009E-2</v>
      </c>
      <c r="O34" s="201">
        <f>Tablo2[[#This Row],[Tutar2]]</f>
        <v>2281.5</v>
      </c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  <c r="JL34" s="61"/>
      <c r="JM34" s="61"/>
      <c r="JN34" s="61"/>
      <c r="JO34" s="61"/>
      <c r="JP34" s="61"/>
      <c r="JQ34" s="61"/>
      <c r="JR34" s="61"/>
      <c r="JS34" s="61"/>
      <c r="JT34" s="61"/>
      <c r="JU34" s="61"/>
      <c r="JV34" s="61"/>
      <c r="JW34" s="61"/>
      <c r="JX34" s="61"/>
      <c r="JY34" s="61"/>
      <c r="JZ34" s="61"/>
      <c r="KA34" s="61"/>
      <c r="KB34" s="61"/>
      <c r="KC34" s="61"/>
      <c r="KD34" s="61"/>
      <c r="KE34" s="61"/>
      <c r="KF34" s="61"/>
      <c r="KG34" s="61"/>
      <c r="KH34" s="61"/>
      <c r="KI34" s="61"/>
      <c r="KJ34" s="61"/>
      <c r="KK34" s="61"/>
      <c r="KL34" s="61"/>
      <c r="KM34" s="61"/>
      <c r="KN34" s="61"/>
      <c r="KO34" s="61"/>
      <c r="KP34" s="61"/>
      <c r="KQ34" s="61"/>
      <c r="KR34" s="61"/>
      <c r="KS34" s="61"/>
      <c r="KT34" s="61"/>
      <c r="KU34" s="61"/>
      <c r="KV34" s="61"/>
      <c r="KW34" s="61"/>
      <c r="KX34" s="61"/>
      <c r="KY34" s="61"/>
      <c r="KZ34" s="61"/>
      <c r="LA34" s="61"/>
      <c r="LB34" s="61"/>
      <c r="LC34" s="61"/>
      <c r="LD34" s="61"/>
      <c r="LE34" s="61"/>
      <c r="LF34" s="61"/>
      <c r="LG34" s="61"/>
      <c r="LH34" s="61"/>
      <c r="LI34" s="61"/>
      <c r="LJ34" s="61"/>
      <c r="LK34" s="61"/>
      <c r="LL34" s="61"/>
      <c r="LM34" s="61"/>
      <c r="LN34" s="61"/>
      <c r="LO34" s="61"/>
      <c r="LP34" s="61"/>
      <c r="LQ34" s="61"/>
      <c r="LR34" s="61"/>
      <c r="LS34" s="61"/>
      <c r="LT34" s="61"/>
      <c r="LU34" s="61"/>
      <c r="LV34" s="61"/>
      <c r="LW34" s="61"/>
      <c r="LX34" s="61"/>
      <c r="LY34" s="61"/>
      <c r="LZ34" s="61"/>
      <c r="MA34" s="61"/>
      <c r="MB34" s="61"/>
      <c r="MC34" s="61"/>
      <c r="MD34" s="61"/>
      <c r="ME34" s="61"/>
      <c r="MF34" s="61"/>
      <c r="MG34" s="61"/>
      <c r="MH34" s="61"/>
      <c r="MI34" s="61"/>
      <c r="MJ34" s="61"/>
      <c r="MK34" s="61"/>
      <c r="ML34" s="61"/>
      <c r="MM34" s="61"/>
      <c r="MN34" s="61"/>
      <c r="MO34" s="61"/>
      <c r="MP34" s="61"/>
      <c r="MQ34" s="61"/>
      <c r="MR34" s="61"/>
      <c r="MS34" s="61"/>
      <c r="MT34" s="61"/>
      <c r="MU34" s="61"/>
      <c r="MV34" s="61"/>
      <c r="MW34" s="61"/>
      <c r="MX34" s="61"/>
      <c r="MY34" s="61"/>
      <c r="MZ34" s="61"/>
      <c r="NA34" s="61"/>
      <c r="NB34" s="61"/>
      <c r="NC34" s="61"/>
      <c r="ND34" s="61"/>
      <c r="NE34" s="61"/>
      <c r="NF34" s="61"/>
      <c r="NG34" s="61"/>
      <c r="NH34" s="61"/>
      <c r="NI34" s="61"/>
      <c r="NJ34" s="61"/>
      <c r="NK34" s="61"/>
      <c r="NL34" s="61"/>
      <c r="NM34" s="61"/>
      <c r="NN34" s="61"/>
      <c r="NO34" s="61"/>
      <c r="NP34" s="61"/>
      <c r="NQ34" s="61"/>
      <c r="NR34" s="61"/>
      <c r="NS34" s="61"/>
      <c r="NT34" s="61"/>
      <c r="NU34" s="61"/>
      <c r="NV34" s="61"/>
      <c r="NW34" s="61"/>
      <c r="NX34" s="61"/>
      <c r="NY34" s="61"/>
      <c r="NZ34" s="61"/>
      <c r="OA34" s="61"/>
      <c r="OB34" s="61"/>
      <c r="OC34" s="61"/>
      <c r="OD34" s="61"/>
      <c r="OE34" s="61"/>
      <c r="OF34" s="61"/>
      <c r="OG34" s="61"/>
      <c r="OH34" s="61"/>
      <c r="OI34" s="61"/>
      <c r="OJ34" s="61"/>
      <c r="OK34" s="61"/>
      <c r="OL34" s="61"/>
      <c r="OM34" s="61"/>
      <c r="ON34" s="61"/>
      <c r="OO34" s="61"/>
      <c r="OP34" s="61"/>
      <c r="OQ34" s="61"/>
      <c r="OR34" s="61"/>
      <c r="OS34" s="61"/>
      <c r="OT34" s="61"/>
      <c r="OU34" s="61"/>
      <c r="OV34" s="61"/>
      <c r="OW34" s="61"/>
      <c r="OX34" s="61"/>
      <c r="OY34" s="61"/>
      <c r="OZ34" s="61"/>
      <c r="PA34" s="61"/>
      <c r="PB34" s="61"/>
      <c r="PC34" s="61"/>
      <c r="PD34" s="61"/>
      <c r="PE34" s="61"/>
      <c r="PF34" s="61"/>
      <c r="PG34" s="61"/>
      <c r="PH34" s="61"/>
      <c r="PI34" s="61"/>
      <c r="PJ34" s="61"/>
      <c r="PK34" s="61"/>
      <c r="PL34" s="61"/>
      <c r="PM34" s="61"/>
      <c r="PN34" s="61"/>
      <c r="PO34" s="61"/>
      <c r="PP34" s="61"/>
      <c r="PQ34" s="61"/>
      <c r="PR34" s="61"/>
      <c r="PS34" s="61"/>
      <c r="PT34" s="61"/>
      <c r="PU34" s="61"/>
      <c r="PV34" s="61"/>
      <c r="PW34" s="61"/>
      <c r="PX34" s="61"/>
      <c r="PY34" s="61"/>
      <c r="PZ34" s="61"/>
      <c r="QA34" s="61"/>
      <c r="QB34" s="61"/>
      <c r="QC34" s="61"/>
      <c r="QD34" s="61"/>
      <c r="QE34" s="61"/>
      <c r="QF34" s="61"/>
      <c r="QG34" s="61"/>
      <c r="QH34" s="61"/>
      <c r="QI34" s="61"/>
      <c r="QJ34" s="61"/>
      <c r="QK34" s="61"/>
      <c r="QL34" s="61"/>
      <c r="QM34" s="61"/>
      <c r="QN34" s="61"/>
      <c r="QO34" s="61"/>
      <c r="QP34" s="61"/>
      <c r="QQ34" s="61"/>
      <c r="QR34" s="61"/>
      <c r="QS34" s="61"/>
      <c r="QT34" s="61"/>
      <c r="QU34" s="61"/>
      <c r="QV34" s="61"/>
      <c r="QW34" s="61"/>
      <c r="QX34" s="61"/>
      <c r="QY34" s="61"/>
      <c r="QZ34" s="61"/>
      <c r="RA34" s="61"/>
      <c r="RB34" s="61"/>
      <c r="RC34" s="61"/>
      <c r="RD34" s="61"/>
      <c r="RE34" s="61"/>
      <c r="RF34" s="61"/>
      <c r="RG34" s="61"/>
      <c r="RH34" s="61"/>
      <c r="RI34" s="61"/>
      <c r="RJ34" s="61"/>
      <c r="RK34" s="61"/>
      <c r="RL34" s="61"/>
      <c r="RM34" s="61"/>
      <c r="RN34" s="61"/>
      <c r="RO34" s="61"/>
      <c r="RP34" s="61"/>
      <c r="RQ34" s="61"/>
      <c r="RR34" s="61"/>
      <c r="RS34" s="61"/>
      <c r="RT34" s="61"/>
      <c r="RU34" s="61"/>
      <c r="RV34" s="61"/>
      <c r="RW34" s="61"/>
      <c r="RX34" s="61"/>
      <c r="RY34" s="61"/>
      <c r="RZ34" s="61"/>
      <c r="SA34" s="61"/>
      <c r="SB34" s="61"/>
      <c r="SC34" s="61"/>
      <c r="SD34" s="61"/>
      <c r="SE34" s="61"/>
      <c r="SF34" s="61"/>
      <c r="SG34" s="61"/>
      <c r="SH34" s="61"/>
      <c r="SI34" s="61"/>
      <c r="SJ34" s="61"/>
      <c r="SK34" s="61"/>
      <c r="SL34" s="61"/>
      <c r="SM34" s="61"/>
      <c r="SN34" s="61"/>
      <c r="SO34" s="61"/>
      <c r="SP34" s="61"/>
      <c r="SQ34" s="61"/>
      <c r="SR34" s="61"/>
      <c r="SS34" s="61"/>
      <c r="ST34" s="61"/>
      <c r="SU34" s="61"/>
      <c r="SV34" s="61"/>
      <c r="SW34" s="61"/>
      <c r="SX34" s="61"/>
      <c r="SY34" s="61"/>
      <c r="SZ34" s="61"/>
      <c r="TA34" s="61"/>
      <c r="TB34" s="61"/>
      <c r="TC34" s="61"/>
      <c r="TD34" s="61"/>
      <c r="TE34" s="61"/>
      <c r="TF34" s="61"/>
      <c r="TG34" s="61"/>
      <c r="TH34" s="61"/>
      <c r="TI34" s="61"/>
      <c r="TJ34" s="61"/>
      <c r="TK34" s="61"/>
      <c r="TL34" s="61"/>
      <c r="TM34" s="61"/>
      <c r="TN34" s="61"/>
      <c r="TO34" s="61"/>
      <c r="TP34" s="61"/>
      <c r="TQ34" s="61"/>
      <c r="TR34" s="61"/>
      <c r="TS34" s="61"/>
      <c r="TT34" s="61"/>
      <c r="TU34" s="61"/>
      <c r="TV34" s="61"/>
      <c r="TW34" s="61"/>
      <c r="TX34" s="61"/>
      <c r="TY34" s="61"/>
      <c r="TZ34" s="61"/>
      <c r="UA34" s="61"/>
      <c r="UB34" s="61"/>
      <c r="UC34" s="61"/>
      <c r="UD34" s="61"/>
      <c r="UE34" s="61"/>
      <c r="UF34" s="61"/>
      <c r="UG34" s="61"/>
      <c r="UH34" s="61"/>
      <c r="UI34" s="61"/>
      <c r="UJ34" s="61"/>
      <c r="UK34" s="61"/>
      <c r="UL34" s="61"/>
      <c r="UM34" s="61"/>
      <c r="UN34" s="61"/>
      <c r="UO34" s="61"/>
      <c r="UP34" s="61"/>
      <c r="UQ34" s="61"/>
      <c r="UR34" s="61"/>
      <c r="US34" s="61"/>
      <c r="UT34" s="61"/>
      <c r="UU34" s="61"/>
      <c r="UV34" s="61"/>
      <c r="UW34" s="61"/>
      <c r="UX34" s="61"/>
      <c r="UY34" s="61"/>
      <c r="UZ34" s="61"/>
      <c r="VA34" s="61"/>
      <c r="VB34" s="61"/>
      <c r="VC34" s="61"/>
      <c r="VD34" s="61"/>
      <c r="VE34" s="61"/>
      <c r="VF34" s="61"/>
      <c r="VG34" s="61"/>
      <c r="VH34" s="61"/>
      <c r="VI34" s="61"/>
      <c r="VJ34" s="61"/>
      <c r="VK34" s="61"/>
      <c r="VL34" s="61"/>
      <c r="VM34" s="61"/>
      <c r="VN34" s="61"/>
      <c r="VO34" s="61"/>
      <c r="VP34" s="61"/>
      <c r="VQ34" s="61"/>
      <c r="VR34" s="61"/>
      <c r="VS34" s="61"/>
      <c r="VT34" s="61"/>
      <c r="VU34" s="61"/>
      <c r="VV34" s="61"/>
      <c r="VW34" s="61"/>
      <c r="VX34" s="61"/>
      <c r="VY34" s="61"/>
      <c r="VZ34" s="61"/>
      <c r="WA34" s="61"/>
      <c r="WB34" s="61"/>
      <c r="WC34" s="61"/>
      <c r="WD34" s="61"/>
      <c r="WE34" s="61"/>
      <c r="WF34" s="61"/>
      <c r="WG34" s="61"/>
      <c r="WH34" s="61"/>
      <c r="WI34" s="61"/>
      <c r="WJ34" s="61"/>
      <c r="WK34" s="61"/>
      <c r="WL34" s="61"/>
      <c r="WM34" s="61"/>
      <c r="WN34" s="61"/>
      <c r="WO34" s="61"/>
      <c r="WP34" s="61"/>
      <c r="WQ34" s="61"/>
      <c r="WR34" s="61"/>
      <c r="WS34" s="61"/>
      <c r="WT34" s="61"/>
      <c r="WU34" s="61"/>
      <c r="WV34" s="61"/>
      <c r="WW34" s="61"/>
      <c r="WX34" s="61"/>
      <c r="WY34" s="61"/>
      <c r="WZ34" s="61"/>
      <c r="XA34" s="61"/>
      <c r="XB34" s="61"/>
      <c r="XC34" s="61"/>
      <c r="XD34" s="61"/>
      <c r="XE34" s="61"/>
      <c r="XF34" s="61"/>
      <c r="XG34" s="61"/>
      <c r="XH34" s="61"/>
      <c r="XI34" s="61"/>
      <c r="XJ34" s="61"/>
      <c r="XK34" s="61"/>
      <c r="XL34" s="61"/>
      <c r="XM34" s="61"/>
      <c r="XN34" s="61"/>
      <c r="XO34" s="61"/>
      <c r="XP34" s="61"/>
      <c r="XQ34" s="61"/>
      <c r="XR34" s="61"/>
      <c r="XS34" s="61"/>
      <c r="XT34" s="61"/>
      <c r="XU34" s="61"/>
      <c r="XV34" s="61"/>
      <c r="XW34" s="61"/>
      <c r="XX34" s="61"/>
      <c r="XY34" s="61"/>
      <c r="XZ34" s="61"/>
      <c r="YA34" s="61"/>
      <c r="YB34" s="61"/>
      <c r="YC34" s="61"/>
      <c r="YD34" s="61"/>
      <c r="YE34" s="61"/>
      <c r="YF34" s="61"/>
      <c r="YG34" s="61"/>
      <c r="YH34" s="61"/>
      <c r="YI34" s="61"/>
      <c r="YJ34" s="61"/>
      <c r="YK34" s="61"/>
      <c r="YL34" s="61"/>
      <c r="YM34" s="61"/>
      <c r="YN34" s="61"/>
      <c r="YO34" s="61"/>
      <c r="YP34" s="61"/>
      <c r="YQ34" s="61"/>
      <c r="YR34" s="61"/>
      <c r="YS34" s="61"/>
      <c r="YT34" s="61"/>
      <c r="YU34" s="61"/>
      <c r="YV34" s="61"/>
      <c r="YW34" s="61"/>
      <c r="YX34" s="61"/>
      <c r="YY34" s="61"/>
      <c r="YZ34" s="61"/>
      <c r="ZA34" s="61"/>
      <c r="ZB34" s="61"/>
      <c r="ZC34" s="61"/>
      <c r="ZD34" s="61"/>
      <c r="ZE34" s="61"/>
      <c r="ZF34" s="61"/>
      <c r="ZG34" s="61"/>
      <c r="ZH34" s="61"/>
      <c r="ZI34" s="61"/>
      <c r="ZJ34" s="61"/>
      <c r="ZK34" s="61"/>
      <c r="ZL34" s="61"/>
      <c r="ZM34" s="61"/>
      <c r="ZN34" s="61"/>
      <c r="ZO34" s="61"/>
      <c r="ZP34" s="61"/>
      <c r="ZQ34" s="61"/>
      <c r="ZR34" s="61"/>
      <c r="ZS34" s="61"/>
      <c r="ZT34" s="61"/>
      <c r="ZU34" s="61"/>
      <c r="ZV34" s="61"/>
      <c r="ZW34" s="61"/>
      <c r="ZX34" s="61"/>
      <c r="ZY34" s="61"/>
      <c r="ZZ34" s="61"/>
      <c r="AAA34" s="61"/>
      <c r="AAB34" s="61"/>
      <c r="AAC34" s="61"/>
      <c r="AAD34" s="61"/>
      <c r="AAE34" s="61"/>
      <c r="AAF34" s="61"/>
      <c r="AAG34" s="61"/>
      <c r="AAH34" s="61"/>
      <c r="AAI34" s="61"/>
      <c r="AAJ34" s="61"/>
      <c r="AAK34" s="61"/>
      <c r="AAL34" s="61"/>
      <c r="AAM34" s="61"/>
      <c r="AAN34" s="61"/>
      <c r="AAO34" s="61"/>
      <c r="AAP34" s="61"/>
      <c r="AAQ34" s="61"/>
      <c r="AAR34" s="61"/>
      <c r="AAS34" s="61"/>
      <c r="AAT34" s="61"/>
      <c r="AAU34" s="61"/>
      <c r="AAV34" s="61"/>
      <c r="AAW34" s="61"/>
      <c r="AAX34" s="61"/>
      <c r="AAY34" s="61"/>
      <c r="AAZ34" s="61"/>
      <c r="ABA34" s="61"/>
      <c r="ABB34" s="61"/>
      <c r="ABC34" s="61"/>
      <c r="ABD34" s="61"/>
      <c r="ABE34" s="61"/>
      <c r="ABF34" s="61"/>
      <c r="ABG34" s="61"/>
      <c r="ABH34" s="61"/>
      <c r="ABI34" s="61"/>
      <c r="ABJ34" s="61"/>
      <c r="ABK34" s="61"/>
      <c r="ABL34" s="61"/>
      <c r="ABM34" s="61"/>
      <c r="ABN34" s="61"/>
      <c r="ABO34" s="61"/>
      <c r="ABP34" s="61"/>
      <c r="ABQ34" s="61"/>
      <c r="ABR34" s="61"/>
      <c r="ABS34" s="61"/>
      <c r="ABT34" s="61"/>
      <c r="ABU34" s="61"/>
      <c r="ABV34" s="61"/>
      <c r="ABW34" s="61"/>
      <c r="ABX34" s="61"/>
      <c r="ABY34" s="61"/>
      <c r="ABZ34" s="61"/>
      <c r="ACA34" s="61"/>
      <c r="ACB34" s="61"/>
      <c r="ACC34" s="61"/>
      <c r="ACD34" s="61"/>
      <c r="ACE34" s="61"/>
      <c r="ACF34" s="61"/>
      <c r="ACG34" s="61"/>
      <c r="ACH34" s="61"/>
      <c r="ACI34" s="61"/>
      <c r="ACJ34" s="61"/>
      <c r="ACK34" s="61"/>
      <c r="ACL34" s="61"/>
      <c r="ACM34" s="61"/>
      <c r="ACN34" s="61"/>
      <c r="ACO34" s="61"/>
      <c r="ACP34" s="61"/>
      <c r="ACQ34" s="61"/>
      <c r="ACR34" s="61"/>
      <c r="ACS34" s="61"/>
      <c r="ACT34" s="61"/>
      <c r="ACU34" s="61"/>
      <c r="ACV34" s="61"/>
      <c r="ACW34" s="61"/>
      <c r="ACX34" s="61"/>
      <c r="ACY34" s="61"/>
      <c r="ACZ34" s="61"/>
      <c r="ADA34" s="61"/>
      <c r="ADB34" s="61"/>
      <c r="ADC34" s="61"/>
      <c r="ADD34" s="61"/>
      <c r="ADE34" s="61"/>
      <c r="ADF34" s="61"/>
      <c r="ADG34" s="61"/>
      <c r="ADH34" s="61"/>
      <c r="ADI34" s="61"/>
      <c r="ADJ34" s="61"/>
      <c r="ADK34" s="61"/>
      <c r="ADL34" s="61"/>
      <c r="ADM34" s="61"/>
      <c r="ADN34" s="61"/>
      <c r="ADO34" s="61"/>
      <c r="ADP34" s="61"/>
      <c r="ADQ34" s="61"/>
      <c r="ADR34" s="61"/>
      <c r="ADS34" s="61"/>
      <c r="ADT34" s="61"/>
      <c r="ADU34" s="61"/>
      <c r="ADV34" s="61"/>
      <c r="ADW34" s="61"/>
      <c r="ADX34" s="61"/>
      <c r="ADY34" s="61"/>
      <c r="ADZ34" s="61"/>
      <c r="AEA34" s="61"/>
      <c r="AEB34" s="61"/>
      <c r="AEC34" s="61"/>
      <c r="AED34" s="61"/>
      <c r="AEE34" s="61"/>
      <c r="AEF34" s="61"/>
      <c r="AEG34" s="61"/>
      <c r="AEH34" s="61"/>
      <c r="AEI34" s="61"/>
      <c r="AEJ34" s="61"/>
      <c r="AEK34" s="61"/>
      <c r="AEL34" s="61"/>
      <c r="AEM34" s="61"/>
      <c r="AEN34" s="61"/>
      <c r="AEO34" s="61"/>
      <c r="AEP34" s="61"/>
      <c r="AEQ34" s="61"/>
      <c r="AER34" s="61"/>
      <c r="AES34" s="61"/>
      <c r="AET34" s="61"/>
      <c r="AEU34" s="61"/>
      <c r="AEV34" s="61"/>
      <c r="AEW34" s="61"/>
      <c r="AEX34" s="61"/>
      <c r="AEY34" s="61"/>
      <c r="AEZ34" s="61"/>
      <c r="AFA34" s="61"/>
      <c r="AFB34" s="61"/>
      <c r="AFC34" s="61"/>
      <c r="AFD34" s="61"/>
      <c r="AFE34" s="61"/>
      <c r="AFF34" s="61"/>
      <c r="AFG34" s="61"/>
      <c r="AFH34" s="61"/>
      <c r="AFI34" s="61"/>
      <c r="AFJ34" s="61"/>
      <c r="AFK34" s="61"/>
      <c r="AFL34" s="61"/>
      <c r="AFM34" s="61"/>
      <c r="AFN34" s="61"/>
      <c r="AFO34" s="61"/>
      <c r="AFP34" s="61"/>
      <c r="AFQ34" s="61"/>
      <c r="AFR34" s="61"/>
      <c r="AFS34" s="61"/>
      <c r="AFT34" s="61"/>
      <c r="AFU34" s="61"/>
      <c r="AFV34" s="61"/>
      <c r="AFW34" s="61"/>
      <c r="AFX34" s="61"/>
      <c r="AFY34" s="61"/>
      <c r="AFZ34" s="61"/>
      <c r="AGA34" s="61"/>
      <c r="AGB34" s="61"/>
      <c r="AGC34" s="61"/>
      <c r="AGD34" s="61"/>
      <c r="AGE34" s="61"/>
      <c r="AGF34" s="61"/>
      <c r="AGG34" s="61"/>
      <c r="AGH34" s="61"/>
      <c r="AGI34" s="61"/>
      <c r="AGJ34" s="61"/>
      <c r="AGK34" s="61"/>
      <c r="AGL34" s="61"/>
      <c r="AGM34" s="61"/>
      <c r="AGN34" s="61"/>
      <c r="AGO34" s="61"/>
      <c r="AGP34" s="61"/>
      <c r="AGQ34" s="61"/>
      <c r="AGR34" s="61"/>
      <c r="AGS34" s="61"/>
      <c r="AGT34" s="61"/>
      <c r="AGU34" s="61"/>
      <c r="AGV34" s="61"/>
      <c r="AGW34" s="61"/>
      <c r="AGX34" s="61"/>
      <c r="AGY34" s="61"/>
      <c r="AGZ34" s="61"/>
      <c r="AHA34" s="61"/>
      <c r="AHB34" s="61"/>
      <c r="AHC34" s="61"/>
      <c r="AHD34" s="61"/>
      <c r="AHE34" s="61"/>
      <c r="AHF34" s="61"/>
      <c r="AHG34" s="61"/>
      <c r="AHH34" s="61"/>
      <c r="AHI34" s="61"/>
      <c r="AHJ34" s="61"/>
      <c r="AHK34" s="61"/>
      <c r="AHL34" s="61"/>
      <c r="AHM34" s="61"/>
      <c r="AHN34" s="61"/>
      <c r="AHO34" s="61"/>
      <c r="AHP34" s="61"/>
      <c r="AHQ34" s="61"/>
      <c r="AHR34" s="61"/>
      <c r="AHS34" s="61"/>
      <c r="AHT34" s="61"/>
      <c r="AHU34" s="61"/>
      <c r="AHV34" s="61"/>
      <c r="AHW34" s="61"/>
      <c r="AHX34" s="61"/>
      <c r="AHY34" s="61"/>
      <c r="AHZ34" s="61"/>
      <c r="AIA34" s="61"/>
      <c r="AIB34" s="61"/>
      <c r="AIC34" s="61"/>
      <c r="AID34" s="61"/>
      <c r="AIE34" s="61"/>
      <c r="AIF34" s="61"/>
      <c r="AIG34" s="61"/>
      <c r="AIH34" s="61"/>
      <c r="AII34" s="61"/>
      <c r="AIJ34" s="61"/>
      <c r="AIK34" s="61"/>
      <c r="AIL34" s="61"/>
      <c r="AIM34" s="61"/>
      <c r="AIN34" s="61"/>
      <c r="AIO34" s="61"/>
      <c r="AIP34" s="61"/>
      <c r="AIQ34" s="61"/>
      <c r="AIR34" s="61"/>
      <c r="AIS34" s="61"/>
      <c r="AIT34" s="61"/>
      <c r="AIU34" s="61"/>
      <c r="AIV34" s="61"/>
      <c r="AIW34" s="61"/>
      <c r="AIX34" s="61"/>
      <c r="AIY34" s="61"/>
      <c r="AIZ34" s="61"/>
      <c r="AJA34" s="61"/>
      <c r="AJB34" s="61"/>
      <c r="AJC34" s="61"/>
      <c r="AJD34" s="61"/>
      <c r="AJE34" s="61"/>
      <c r="AJF34" s="61"/>
      <c r="AJG34" s="61"/>
      <c r="AJH34" s="61"/>
      <c r="AJI34" s="61"/>
      <c r="AJJ34" s="61"/>
      <c r="AJK34" s="61"/>
      <c r="AJL34" s="61"/>
      <c r="AJM34" s="61"/>
      <c r="AJN34" s="61"/>
      <c r="AJO34" s="61"/>
      <c r="AJP34" s="61"/>
      <c r="AJQ34" s="61"/>
      <c r="AJR34" s="61"/>
      <c r="AJS34" s="61"/>
      <c r="AJT34" s="61"/>
      <c r="AJU34" s="61"/>
      <c r="AJV34" s="61"/>
      <c r="AJW34" s="61"/>
      <c r="AJX34" s="61"/>
      <c r="AJY34" s="61"/>
      <c r="AJZ34" s="61"/>
      <c r="AKA34" s="61"/>
      <c r="AKB34" s="61"/>
      <c r="AKC34" s="61"/>
      <c r="AKD34" s="61"/>
      <c r="AKE34" s="61"/>
      <c r="AKF34" s="61"/>
      <c r="AKG34" s="61"/>
      <c r="AKH34" s="61"/>
      <c r="AKI34" s="61"/>
      <c r="AKJ34" s="61"/>
      <c r="AKK34" s="61"/>
      <c r="AKL34" s="61"/>
      <c r="AKM34" s="61"/>
      <c r="AKN34" s="61"/>
      <c r="AKO34" s="61"/>
      <c r="AKP34" s="61"/>
      <c r="AKQ34" s="61"/>
      <c r="AKR34" s="61"/>
      <c r="AKS34" s="61"/>
      <c r="AKT34" s="61"/>
      <c r="AKU34" s="61"/>
      <c r="AKV34" s="61"/>
      <c r="AKW34" s="61"/>
      <c r="AKX34" s="61"/>
      <c r="AKY34" s="61"/>
      <c r="AKZ34" s="61"/>
      <c r="ALA34" s="61"/>
      <c r="ALB34" s="61"/>
      <c r="ALC34" s="61"/>
      <c r="ALD34" s="61"/>
      <c r="ALE34" s="61"/>
      <c r="ALF34" s="61"/>
      <c r="ALG34" s="61"/>
      <c r="ALH34" s="61"/>
      <c r="ALI34" s="61"/>
      <c r="ALJ34" s="61"/>
      <c r="ALK34" s="61"/>
      <c r="ALL34" s="61"/>
      <c r="ALM34" s="61"/>
      <c r="ALN34" s="61"/>
      <c r="ALO34" s="61"/>
      <c r="ALP34" s="61"/>
      <c r="ALQ34" s="61"/>
      <c r="ALR34" s="61"/>
      <c r="ALS34" s="61"/>
      <c r="ALT34" s="61"/>
      <c r="ALU34" s="61"/>
      <c r="ALV34" s="61"/>
      <c r="ALW34" s="61"/>
      <c r="ALX34" s="61"/>
      <c r="ALY34" s="61"/>
      <c r="ALZ34" s="61"/>
      <c r="AMA34" s="61"/>
      <c r="AMB34" s="61"/>
      <c r="AMC34" s="61"/>
      <c r="AMD34" s="61"/>
      <c r="AME34" s="61"/>
      <c r="AMF34" s="61"/>
      <c r="AMG34" s="61"/>
      <c r="AMH34" s="61"/>
      <c r="AMI34" s="61"/>
      <c r="AMJ34" s="61"/>
    </row>
    <row r="35" spans="1:1024">
      <c r="A35" s="41"/>
      <c r="O35" s="69"/>
    </row>
    <row r="36" spans="1:1024">
      <c r="A36" s="41" t="s">
        <v>30</v>
      </c>
      <c r="B36" s="2">
        <v>45350</v>
      </c>
      <c r="C36" s="46">
        <v>68</v>
      </c>
      <c r="D36" s="47">
        <v>11.33</v>
      </c>
      <c r="E36" s="56">
        <f>Sayfa2!$D36*Sayfa2!$C36</f>
        <v>770.44</v>
      </c>
      <c r="F36" s="63">
        <v>45370</v>
      </c>
      <c r="G36" s="64">
        <v>68</v>
      </c>
      <c r="H36" s="65">
        <v>19.690000000000001</v>
      </c>
      <c r="I36" s="51">
        <f>Sayfa2!$H36*Sayfa2!$G36</f>
        <v>1338.92</v>
      </c>
      <c r="J36" s="46">
        <f>H36-D36</f>
        <v>8.3600000000000012</v>
      </c>
      <c r="K36" s="66">
        <f>Sayfa2!$J36*Sayfa2!$C36</f>
        <v>568.48000000000013</v>
      </c>
      <c r="L36" s="67">
        <f>F36-B36</f>
        <v>20</v>
      </c>
      <c r="M36" s="68">
        <f>K36/E36</f>
        <v>0.73786407766990303</v>
      </c>
      <c r="N36" s="68">
        <f>M36/L36*30</f>
        <v>1.1067961165048545</v>
      </c>
      <c r="O36" s="69"/>
    </row>
    <row r="37" spans="1:1024">
      <c r="A37" s="41" t="s">
        <v>30</v>
      </c>
      <c r="C37" s="46"/>
      <c r="D37" s="47"/>
      <c r="E37" s="56"/>
      <c r="F37" s="63"/>
      <c r="G37" s="64"/>
      <c r="H37" s="65"/>
      <c r="I37" s="51"/>
      <c r="J37" s="46"/>
      <c r="K37" s="66">
        <v>-2.81</v>
      </c>
      <c r="L37" s="67"/>
      <c r="M37" s="68"/>
      <c r="N37" s="68"/>
      <c r="O37" s="69"/>
    </row>
    <row r="38" spans="1:1024">
      <c r="A38" s="104" t="s">
        <v>31</v>
      </c>
      <c r="B38" s="48">
        <v>45344</v>
      </c>
      <c r="C38" s="46">
        <v>15</v>
      </c>
      <c r="D38" s="47">
        <v>39.24</v>
      </c>
      <c r="E38" s="56">
        <f>Sayfa2!$D38*Sayfa2!$C38</f>
        <v>588.6</v>
      </c>
      <c r="F38" s="105">
        <v>45362</v>
      </c>
      <c r="G38" s="106">
        <v>15</v>
      </c>
      <c r="H38" s="107">
        <v>55.6</v>
      </c>
      <c r="I38" s="51">
        <f>Sayfa2!$H38*Sayfa2!$G38</f>
        <v>834</v>
      </c>
      <c r="J38" s="46">
        <f>H38-D38</f>
        <v>16.36</v>
      </c>
      <c r="K38" s="56">
        <f>Sayfa2!$J38*Sayfa2!$C38</f>
        <v>245.39999999999998</v>
      </c>
      <c r="L38" s="108">
        <f>F38-B38</f>
        <v>18</v>
      </c>
      <c r="M38" s="109">
        <f>K38/E38</f>
        <v>0.41692150866462785</v>
      </c>
      <c r="N38" s="109">
        <f>M38/L38*30</f>
        <v>0.69486918110771312</v>
      </c>
      <c r="O38" s="110"/>
    </row>
    <row r="39" spans="1:1024">
      <c r="A39" s="104" t="s">
        <v>32</v>
      </c>
      <c r="B39" s="48"/>
      <c r="C39" s="46"/>
      <c r="D39" s="47"/>
      <c r="E39" s="56"/>
      <c r="F39" s="105"/>
      <c r="G39" s="106"/>
      <c r="H39" s="107"/>
      <c r="I39" s="51"/>
      <c r="J39" s="46"/>
      <c r="K39" s="56">
        <v>-1.75</v>
      </c>
      <c r="L39" s="108"/>
      <c r="M39" s="111"/>
      <c r="N39" s="109"/>
      <c r="O39" s="110"/>
    </row>
    <row r="40" spans="1:1024">
      <c r="A40" s="104" t="s">
        <v>33</v>
      </c>
      <c r="B40" s="48">
        <v>45344</v>
      </c>
      <c r="C40" s="46">
        <v>12</v>
      </c>
      <c r="D40" s="47">
        <v>19.45</v>
      </c>
      <c r="E40" s="56">
        <f>Sayfa2!$D40*Sayfa2!$C40</f>
        <v>233.39999999999998</v>
      </c>
      <c r="F40" s="105">
        <v>45364</v>
      </c>
      <c r="G40" s="106">
        <v>12</v>
      </c>
      <c r="H40" s="107">
        <v>45.72</v>
      </c>
      <c r="I40" s="51">
        <f>Sayfa2!$H40*Sayfa2!$G40</f>
        <v>548.64</v>
      </c>
      <c r="J40" s="46">
        <f>H40-D40</f>
        <v>26.27</v>
      </c>
      <c r="K40" s="56">
        <f>Sayfa2!$J40*Sayfa2!$C40</f>
        <v>315.24</v>
      </c>
      <c r="L40" s="108">
        <f>F40-B40</f>
        <v>20</v>
      </c>
      <c r="M40" s="109">
        <f>K40/E40</f>
        <v>1.3506426735218511</v>
      </c>
      <c r="N40" s="109">
        <f>M40/L40*30</f>
        <v>2.0259640102827765</v>
      </c>
      <c r="O40" s="69"/>
    </row>
    <row r="41" spans="1:1024">
      <c r="A41" s="104" t="s">
        <v>34</v>
      </c>
      <c r="B41" s="48"/>
      <c r="C41" s="46"/>
      <c r="D41" s="47"/>
      <c r="E41" s="56"/>
      <c r="F41" s="105"/>
      <c r="G41" s="106"/>
      <c r="H41" s="107"/>
      <c r="I41" s="51"/>
      <c r="J41" s="46"/>
      <c r="K41" s="56">
        <v>-1.1599999999999999</v>
      </c>
      <c r="L41" s="108"/>
      <c r="M41" s="111"/>
      <c r="N41" s="109"/>
      <c r="O41" s="69"/>
    </row>
    <row r="42" spans="1:1024">
      <c r="A42" s="41" t="s">
        <v>35</v>
      </c>
      <c r="B42" s="2">
        <v>45341</v>
      </c>
      <c r="C42" s="46">
        <v>36</v>
      </c>
      <c r="D42" s="47">
        <v>16.2</v>
      </c>
      <c r="E42" s="62">
        <f>Sayfa2!$D42*Sayfa2!$C42</f>
        <v>583.19999999999993</v>
      </c>
      <c r="F42" s="2">
        <v>45356</v>
      </c>
      <c r="G42" s="49">
        <v>36</v>
      </c>
      <c r="H42" s="103">
        <v>38</v>
      </c>
      <c r="I42" s="51">
        <f>Sayfa2!$H42*Sayfa2!$G42</f>
        <v>1368</v>
      </c>
      <c r="J42" s="46">
        <f>H42-D42</f>
        <v>21.8</v>
      </c>
      <c r="K42" s="112">
        <f>Sayfa2!$J42*Sayfa2!$C42</f>
        <v>784.80000000000007</v>
      </c>
      <c r="L42" s="67">
        <f>F42-B42</f>
        <v>15</v>
      </c>
      <c r="M42" s="68">
        <f>K42/E42</f>
        <v>1.3456790123456792</v>
      </c>
      <c r="N42" s="68">
        <f>M42/L42*30</f>
        <v>2.6913580246913584</v>
      </c>
      <c r="O42" s="113"/>
    </row>
    <row r="43" spans="1:1024">
      <c r="A43" s="41" t="s">
        <v>36</v>
      </c>
      <c r="C43" s="46"/>
      <c r="D43" s="47"/>
      <c r="E43" s="62"/>
      <c r="G43" s="49"/>
      <c r="H43" s="103"/>
      <c r="I43" s="51"/>
      <c r="J43" s="46"/>
      <c r="K43" s="112">
        <v>-2.88</v>
      </c>
      <c r="L43" s="67"/>
      <c r="M43" s="68"/>
      <c r="N43" s="68"/>
      <c r="O43" s="113"/>
    </row>
    <row r="44" spans="1:1024">
      <c r="A44" s="41" t="s">
        <v>37</v>
      </c>
      <c r="B44" s="2">
        <v>45222</v>
      </c>
      <c r="C44" s="3">
        <v>9</v>
      </c>
      <c r="D44" s="1">
        <v>130</v>
      </c>
      <c r="E44" s="62">
        <f>Sayfa2!$D44*Sayfa2!$C44</f>
        <v>1170</v>
      </c>
      <c r="F44" s="114">
        <v>45334</v>
      </c>
      <c r="G44" s="46">
        <v>9</v>
      </c>
      <c r="H44" s="115">
        <v>145.5</v>
      </c>
      <c r="I44" s="51">
        <f>Sayfa2!$H44*Sayfa2!$G44</f>
        <v>1309.5</v>
      </c>
      <c r="J44" s="116">
        <f>H44-D44</f>
        <v>15.5</v>
      </c>
      <c r="K44" s="66">
        <f>Sayfa2!$J44*Sayfa2!$G44</f>
        <v>139.5</v>
      </c>
      <c r="L44" s="67">
        <f>F44-B44</f>
        <v>112</v>
      </c>
      <c r="M44" s="68">
        <f>K44/E44</f>
        <v>0.11923076923076924</v>
      </c>
      <c r="N44" s="68">
        <f>K44/E44</f>
        <v>0.11923076923076924</v>
      </c>
      <c r="O44" s="113"/>
    </row>
    <row r="45" spans="1:1024">
      <c r="A45" s="41" t="s">
        <v>37</v>
      </c>
      <c r="B45" s="2">
        <v>45271</v>
      </c>
      <c r="C45" s="3">
        <v>10</v>
      </c>
      <c r="D45" s="1">
        <v>144.001</v>
      </c>
      <c r="E45" s="62">
        <f>Sayfa2!$D45*Sayfa2!$C45</f>
        <v>1440.01</v>
      </c>
      <c r="F45" s="114">
        <v>45334</v>
      </c>
      <c r="G45" s="46">
        <v>10</v>
      </c>
      <c r="H45" s="115">
        <v>145.5</v>
      </c>
      <c r="I45" s="51">
        <f>Sayfa2!$H45*Sayfa2!$G45</f>
        <v>1455</v>
      </c>
      <c r="J45" s="116">
        <f>H45-D45</f>
        <v>1.4989999999999952</v>
      </c>
      <c r="K45" s="66">
        <f>Sayfa2!$J45*Sayfa2!$G45</f>
        <v>14.989999999999952</v>
      </c>
      <c r="L45" s="67">
        <f>F45-B45</f>
        <v>63</v>
      </c>
      <c r="M45" s="68">
        <f>K45/E45</f>
        <v>1.0409649932986544E-2</v>
      </c>
      <c r="N45" s="68">
        <f>K45/E45</f>
        <v>1.0409649932986544E-2</v>
      </c>
      <c r="O45" s="113"/>
    </row>
    <row r="46" spans="1:1024">
      <c r="A46" s="41" t="s">
        <v>37</v>
      </c>
      <c r="B46" s="2">
        <v>45288</v>
      </c>
      <c r="C46" s="3">
        <v>20</v>
      </c>
      <c r="D46" s="1">
        <v>115.34</v>
      </c>
      <c r="E46" s="62">
        <f>Sayfa2!$D46*Sayfa2!$C46</f>
        <v>2306.8000000000002</v>
      </c>
      <c r="F46" s="114">
        <v>45334</v>
      </c>
      <c r="G46" s="46">
        <v>20</v>
      </c>
      <c r="H46" s="115">
        <v>145.5</v>
      </c>
      <c r="I46" s="51">
        <f>Sayfa2!$H46*Sayfa2!$G46</f>
        <v>2910</v>
      </c>
      <c r="J46" s="116">
        <f>H46-D46</f>
        <v>30.159999999999997</v>
      </c>
      <c r="K46" s="66">
        <f>Sayfa2!$J46*Sayfa2!$G46</f>
        <v>603.19999999999993</v>
      </c>
      <c r="L46" s="67">
        <f>F46-B46</f>
        <v>46</v>
      </c>
      <c r="M46" s="68">
        <f>K46/E46</f>
        <v>0.26148777527310557</v>
      </c>
      <c r="N46" s="68">
        <f>K46/E46</f>
        <v>0.26148777527310557</v>
      </c>
      <c r="O46" s="113"/>
    </row>
    <row r="47" spans="1:1024">
      <c r="A47" s="41" t="s">
        <v>38</v>
      </c>
      <c r="B47" s="2">
        <v>45335</v>
      </c>
      <c r="C47" s="3">
        <v>313</v>
      </c>
      <c r="D47" s="3">
        <v>190.8</v>
      </c>
      <c r="E47" s="62">
        <f>Sayfa2!$D47*Sayfa2!$C47</f>
        <v>59720.4</v>
      </c>
      <c r="F47" s="2">
        <v>45337</v>
      </c>
      <c r="G47" s="46">
        <v>313</v>
      </c>
      <c r="H47" s="1">
        <v>203.3</v>
      </c>
      <c r="I47" s="51">
        <f>Sayfa2!$H47*Sayfa2!$G47</f>
        <v>63632.9</v>
      </c>
      <c r="J47" s="46">
        <f>H47-D47</f>
        <v>12.5</v>
      </c>
      <c r="K47" s="66">
        <f>Sayfa2!$J47*Sayfa2!$G47</f>
        <v>3912.5</v>
      </c>
      <c r="L47" s="67">
        <f>F47-B47</f>
        <v>2</v>
      </c>
      <c r="M47" s="68">
        <f>K47/E47</f>
        <v>6.5513626834381555E-2</v>
      </c>
      <c r="N47" s="68">
        <f>M47/L47*30</f>
        <v>0.98270440251572333</v>
      </c>
      <c r="O47" s="113"/>
    </row>
    <row r="48" spans="1:1024">
      <c r="A48" s="41" t="s">
        <v>39</v>
      </c>
      <c r="E48" s="62">
        <f>Sayfa2!$D48*Sayfa2!$C48</f>
        <v>0</v>
      </c>
      <c r="F48" s="48"/>
      <c r="I48" s="51">
        <f>Sayfa2!$H48*Sayfa2!$G48</f>
        <v>0</v>
      </c>
      <c r="J48" s="3">
        <v>-133.63</v>
      </c>
      <c r="K48" s="66">
        <f>Sayfa2!$J48*Sayfa2!$G48</f>
        <v>0</v>
      </c>
      <c r="M48" s="68"/>
      <c r="N48" s="68"/>
      <c r="O48" s="113"/>
    </row>
    <row r="49" spans="1:16">
      <c r="A49" s="41" t="s">
        <v>40</v>
      </c>
      <c r="B49" s="48">
        <v>45267</v>
      </c>
      <c r="C49" s="52">
        <v>10</v>
      </c>
      <c r="D49" s="1">
        <v>49.18</v>
      </c>
      <c r="E49" s="62">
        <f>Sayfa2!$D49*Sayfa2!$C49</f>
        <v>491.8</v>
      </c>
      <c r="F49" s="48">
        <v>45327</v>
      </c>
      <c r="G49" s="52">
        <v>10</v>
      </c>
      <c r="H49" s="55">
        <v>52</v>
      </c>
      <c r="I49" s="51">
        <f>Sayfa2!$H49*Sayfa2!$G49</f>
        <v>520</v>
      </c>
      <c r="J49" s="6">
        <f>H49-D49</f>
        <v>2.8200000000000003</v>
      </c>
      <c r="K49" s="66">
        <f>Sayfa2!$J49*Sayfa2!$G49</f>
        <v>28.200000000000003</v>
      </c>
      <c r="L49" s="67">
        <f>F49-B49</f>
        <v>60</v>
      </c>
      <c r="M49" s="68">
        <f>K49/E49</f>
        <v>5.7340382269215132E-2</v>
      </c>
      <c r="N49" s="68">
        <f>M49/L49*30</f>
        <v>2.8670191134607566E-2</v>
      </c>
      <c r="O49" s="113"/>
      <c r="P49" s="3"/>
    </row>
    <row r="50" spans="1:16">
      <c r="A50" s="41" t="s">
        <v>41</v>
      </c>
      <c r="B50" s="2">
        <v>45267</v>
      </c>
      <c r="C50" s="3">
        <v>13</v>
      </c>
      <c r="D50" s="1">
        <v>28.3</v>
      </c>
      <c r="E50" s="62">
        <f>Sayfa2!$D50*Sayfa2!$C50</f>
        <v>367.90000000000003</v>
      </c>
      <c r="F50" s="2">
        <v>45313</v>
      </c>
      <c r="G50" s="46">
        <v>13</v>
      </c>
      <c r="H50" s="1">
        <v>41.6</v>
      </c>
      <c r="I50" s="51">
        <f>Sayfa2!$H50*Sayfa2!$G50</f>
        <v>540.80000000000007</v>
      </c>
      <c r="J50" s="6">
        <f>H50-D50</f>
        <v>13.3</v>
      </c>
      <c r="K50" s="66">
        <f>Sayfa2!$J50*Sayfa2!$G50</f>
        <v>172.9</v>
      </c>
      <c r="L50" s="117">
        <f>F50-B50</f>
        <v>46</v>
      </c>
      <c r="M50" s="68">
        <f>K50/E50</f>
        <v>0.46996466431095402</v>
      </c>
      <c r="N50" s="68">
        <f>M50/L50*30</f>
        <v>0.30649869411583958</v>
      </c>
      <c r="O50" s="113"/>
      <c r="P50" s="3"/>
    </row>
    <row r="51" spans="1:16">
      <c r="A51" s="118" t="s">
        <v>42</v>
      </c>
      <c r="B51" s="119">
        <v>45273</v>
      </c>
      <c r="C51" s="120">
        <v>26</v>
      </c>
      <c r="D51" s="121">
        <v>55.08</v>
      </c>
      <c r="E51" s="62">
        <f>Sayfa2!$D51*Sayfa2!$C51</f>
        <v>1432.08</v>
      </c>
      <c r="F51" s="2">
        <v>45313</v>
      </c>
      <c r="G51" s="46">
        <v>26</v>
      </c>
      <c r="H51" s="1">
        <v>51.4</v>
      </c>
      <c r="I51" s="51">
        <f>Sayfa2!$H51*Sayfa2!$G51</f>
        <v>1336.3999999999999</v>
      </c>
      <c r="J51" s="116">
        <f>H51-D51</f>
        <v>-3.6799999999999997</v>
      </c>
      <c r="K51" s="66">
        <f>Sayfa2!$J51*Sayfa2!$G51</f>
        <v>-95.679999999999993</v>
      </c>
      <c r="L51" s="55"/>
      <c r="M51" s="68">
        <f>K51/E51</f>
        <v>-6.6811909949164847E-2</v>
      </c>
      <c r="N51" s="68"/>
      <c r="O51" s="113"/>
      <c r="P51" s="3"/>
    </row>
    <row r="52" spans="1:16">
      <c r="A52" s="41" t="s">
        <v>43</v>
      </c>
      <c r="B52" s="2">
        <v>45288</v>
      </c>
      <c r="C52" s="3">
        <v>100</v>
      </c>
      <c r="D52" s="1">
        <v>39.5</v>
      </c>
      <c r="E52" s="62">
        <f>Sayfa2!$D52*Sayfa2!$C52</f>
        <v>3950</v>
      </c>
      <c r="F52" s="2">
        <v>45313</v>
      </c>
      <c r="G52" s="46">
        <v>100</v>
      </c>
      <c r="H52" s="1">
        <v>51.4</v>
      </c>
      <c r="I52" s="51">
        <f>Sayfa2!$H52*Sayfa2!$G52</f>
        <v>5140</v>
      </c>
      <c r="J52" s="116">
        <f>H52-D52</f>
        <v>11.899999999999999</v>
      </c>
      <c r="K52" s="66">
        <f>Sayfa2!$J52*Sayfa2!$G52</f>
        <v>1189.9999999999998</v>
      </c>
      <c r="L52" s="117">
        <f>F52-B52</f>
        <v>25</v>
      </c>
      <c r="M52" s="68">
        <f>K52/E52</f>
        <v>0.30126582278481007</v>
      </c>
      <c r="N52" s="68">
        <f>M52/L52*30</f>
        <v>0.36151898734177207</v>
      </c>
      <c r="O52" s="70">
        <f>SUM(K36:K52)</f>
        <v>7870.9299999999994</v>
      </c>
    </row>
    <row r="53" spans="1:16">
      <c r="A53" s="41"/>
      <c r="E53" s="62"/>
      <c r="G53" s="46"/>
      <c r="H53" s="1"/>
      <c r="I53" s="51"/>
      <c r="J53" s="116"/>
      <c r="K53" s="66"/>
      <c r="L53" s="117"/>
      <c r="M53" s="122"/>
      <c r="N53" s="68"/>
      <c r="O53" s="113"/>
    </row>
    <row r="54" spans="1:16">
      <c r="A54" s="41"/>
      <c r="E54" s="62"/>
      <c r="G54" s="46"/>
      <c r="H54" s="1"/>
      <c r="I54" s="51"/>
      <c r="J54" s="116"/>
      <c r="K54" s="66"/>
      <c r="L54" s="117"/>
      <c r="M54" s="122"/>
      <c r="N54" s="68"/>
      <c r="O54" s="113"/>
    </row>
    <row r="55" spans="1:16">
      <c r="A55" s="41" t="s">
        <v>44</v>
      </c>
      <c r="B55" s="2">
        <v>45344</v>
      </c>
      <c r="C55" s="46">
        <v>12</v>
      </c>
      <c r="D55" s="47">
        <v>571.10522800000001</v>
      </c>
      <c r="E55" s="62">
        <f>Sayfa2!$D55*Sayfa2!$C55</f>
        <v>6853.2627360000006</v>
      </c>
      <c r="F55" s="2">
        <v>45357</v>
      </c>
      <c r="G55" s="49">
        <v>12</v>
      </c>
      <c r="H55" s="103">
        <v>580.05924800000003</v>
      </c>
      <c r="I55" s="51">
        <f>Sayfa2!$H55*Sayfa2!$G55</f>
        <v>6960.7109760000003</v>
      </c>
      <c r="J55" s="46">
        <f t="shared" ref="J55:J73" si="9">H55-D55</f>
        <v>8.9540200000000141</v>
      </c>
      <c r="K55" s="66">
        <f>Sayfa2!$J55*Sayfa2!$C55</f>
        <v>107.44824000000017</v>
      </c>
      <c r="L55" s="67">
        <f t="shared" ref="L55:L73" si="10">F55-B55</f>
        <v>13</v>
      </c>
      <c r="M55" s="68">
        <f t="shared" ref="M55:M74" si="11">K55/E55</f>
        <v>1.5678406642076849E-2</v>
      </c>
      <c r="N55" s="68">
        <f t="shared" ref="N55:N67" si="12">M55/L55*30</f>
        <v>3.618093840479273E-2</v>
      </c>
      <c r="O55" s="113"/>
    </row>
    <row r="56" spans="1:16">
      <c r="A56" s="41" t="s">
        <v>44</v>
      </c>
      <c r="B56" s="2">
        <v>45344</v>
      </c>
      <c r="C56" s="46">
        <v>22</v>
      </c>
      <c r="D56" s="47">
        <v>571.10522800000001</v>
      </c>
      <c r="E56" s="62">
        <f>Sayfa2!$D56*Sayfa2!$C56</f>
        <v>12564.315016</v>
      </c>
      <c r="F56" s="2">
        <v>45357</v>
      </c>
      <c r="G56" s="49">
        <v>10</v>
      </c>
      <c r="H56" s="103">
        <v>580.05924800000003</v>
      </c>
      <c r="I56" s="51">
        <f>Sayfa2!$H56*Sayfa2!$G56</f>
        <v>5800.5924800000003</v>
      </c>
      <c r="J56" s="46">
        <f t="shared" si="9"/>
        <v>8.9540200000000141</v>
      </c>
      <c r="K56" s="66">
        <f>Sayfa2!$J56*Sayfa2!$C56</f>
        <v>196.98844000000031</v>
      </c>
      <c r="L56" s="67">
        <f t="shared" si="10"/>
        <v>13</v>
      </c>
      <c r="M56" s="68">
        <f t="shared" si="11"/>
        <v>1.5678406642076849E-2</v>
      </c>
      <c r="N56" s="68">
        <f t="shared" si="12"/>
        <v>3.618093840479273E-2</v>
      </c>
      <c r="O56" s="113"/>
    </row>
    <row r="57" spans="1:16">
      <c r="A57" s="41" t="s">
        <v>44</v>
      </c>
      <c r="B57" s="2">
        <v>45344</v>
      </c>
      <c r="C57" s="46">
        <v>11</v>
      </c>
      <c r="D57" s="47">
        <v>571.10522800000001</v>
      </c>
      <c r="E57" s="62">
        <f>Sayfa2!$D57*Sayfa2!$C57</f>
        <v>6282.1575080000002</v>
      </c>
      <c r="F57" s="2">
        <v>45356</v>
      </c>
      <c r="G57" s="49">
        <v>11</v>
      </c>
      <c r="H57" s="103">
        <v>580.05924800000003</v>
      </c>
      <c r="I57" s="51">
        <f>Sayfa2!$H57*Sayfa2!$G57</f>
        <v>6380.6517280000007</v>
      </c>
      <c r="J57" s="46">
        <f t="shared" si="9"/>
        <v>8.9540200000000141</v>
      </c>
      <c r="K57" s="66">
        <f>Sayfa2!$J57*Sayfa2!$C57</f>
        <v>98.494220000000155</v>
      </c>
      <c r="L57" s="67">
        <f t="shared" si="10"/>
        <v>12</v>
      </c>
      <c r="M57" s="68">
        <f t="shared" si="11"/>
        <v>1.5678406642076849E-2</v>
      </c>
      <c r="N57" s="68">
        <f t="shared" si="12"/>
        <v>3.9196016605192119E-2</v>
      </c>
      <c r="O57" s="113"/>
    </row>
    <row r="58" spans="1:16">
      <c r="A58" s="41" t="s">
        <v>44</v>
      </c>
      <c r="B58" s="2">
        <v>45355</v>
      </c>
      <c r="C58" s="46">
        <v>60</v>
      </c>
      <c r="D58" s="47">
        <v>578.66060300000004</v>
      </c>
      <c r="E58" s="62">
        <f>Sayfa2!$D58*Sayfa2!$C58</f>
        <v>34719.636180000001</v>
      </c>
      <c r="F58" s="2">
        <v>45356</v>
      </c>
      <c r="G58" s="49">
        <v>60</v>
      </c>
      <c r="H58" s="103">
        <v>580.05924800000003</v>
      </c>
      <c r="I58" s="51">
        <f>Sayfa2!$H58*Sayfa2!$G58</f>
        <v>34803.554880000003</v>
      </c>
      <c r="J58" s="46">
        <f t="shared" si="9"/>
        <v>1.3986449999999877</v>
      </c>
      <c r="K58" s="66">
        <f>Sayfa2!$J58*Sayfa2!$C58</f>
        <v>83.918699999999262</v>
      </c>
      <c r="L58" s="67">
        <f t="shared" si="10"/>
        <v>1</v>
      </c>
      <c r="M58" s="68">
        <f t="shared" si="11"/>
        <v>2.4170385762377323E-3</v>
      </c>
      <c r="N58" s="68">
        <f t="shared" si="12"/>
        <v>7.2511157287131964E-2</v>
      </c>
      <c r="O58" s="113"/>
    </row>
    <row r="59" spans="1:16">
      <c r="A59" s="41" t="s">
        <v>44</v>
      </c>
      <c r="B59" s="2">
        <v>45350</v>
      </c>
      <c r="C59" s="46">
        <v>24</v>
      </c>
      <c r="D59" s="47">
        <v>575.21535400000005</v>
      </c>
      <c r="E59" s="62">
        <f>Sayfa2!$D59*Sayfa2!$C59</f>
        <v>13805.168496000002</v>
      </c>
      <c r="F59" s="2">
        <v>45356</v>
      </c>
      <c r="G59" s="49">
        <v>24</v>
      </c>
      <c r="H59" s="103">
        <v>580.05924800000003</v>
      </c>
      <c r="I59" s="51">
        <f>Sayfa2!$H59*Sayfa2!$G59</f>
        <v>13921.421952000001</v>
      </c>
      <c r="J59" s="46">
        <f t="shared" si="9"/>
        <v>4.8438939999999775</v>
      </c>
      <c r="K59" s="66">
        <f>Sayfa2!$J59*Sayfa2!$C59</f>
        <v>116.25345599999946</v>
      </c>
      <c r="L59" s="67">
        <f t="shared" si="10"/>
        <v>6</v>
      </c>
      <c r="M59" s="68">
        <f t="shared" si="11"/>
        <v>8.4210095685310522E-3</v>
      </c>
      <c r="N59" s="68">
        <f t="shared" si="12"/>
        <v>4.2105047842655258E-2</v>
      </c>
      <c r="O59" s="113"/>
    </row>
    <row r="60" spans="1:16">
      <c r="A60" s="41" t="s">
        <v>45</v>
      </c>
      <c r="B60" s="2">
        <v>45344</v>
      </c>
      <c r="C60" s="46">
        <v>2</v>
      </c>
      <c r="D60" s="47">
        <v>571.10522800000001</v>
      </c>
      <c r="E60" s="62">
        <f>Sayfa2!$D60*Sayfa2!$C60</f>
        <v>1142.210456</v>
      </c>
      <c r="F60" s="2">
        <v>45347</v>
      </c>
      <c r="G60" s="49">
        <v>2</v>
      </c>
      <c r="H60" s="103">
        <v>573.835914</v>
      </c>
      <c r="I60" s="51">
        <f>Sayfa2!$H60*Sayfa2!$G60</f>
        <v>1147.671828</v>
      </c>
      <c r="J60" s="46">
        <f t="shared" si="9"/>
        <v>2.7306859999999915</v>
      </c>
      <c r="K60" s="112">
        <f>Sayfa2!$J60*Sayfa2!$G60</f>
        <v>5.461371999999983</v>
      </c>
      <c r="L60" s="67">
        <f t="shared" si="10"/>
        <v>3</v>
      </c>
      <c r="M60" s="68">
        <f t="shared" si="11"/>
        <v>4.7814060634023678E-3</v>
      </c>
      <c r="N60" s="68">
        <f t="shared" si="12"/>
        <v>4.7814060634023672E-2</v>
      </c>
      <c r="O60" s="113"/>
    </row>
    <row r="61" spans="1:16">
      <c r="A61" s="41" t="s">
        <v>46</v>
      </c>
      <c r="B61" s="2">
        <v>45344</v>
      </c>
      <c r="C61" s="46">
        <v>1</v>
      </c>
      <c r="D61" s="47">
        <v>571.10522800000001</v>
      </c>
      <c r="E61" s="62">
        <f>Sayfa2!$D61*Sayfa2!$C61</f>
        <v>571.10522800000001</v>
      </c>
      <c r="F61" s="2">
        <v>45350</v>
      </c>
      <c r="G61" s="49">
        <v>1</v>
      </c>
      <c r="H61" s="103">
        <v>573.835914</v>
      </c>
      <c r="I61" s="51">
        <f>Sayfa2!$H61*Sayfa2!$G61</f>
        <v>573.835914</v>
      </c>
      <c r="J61" s="46">
        <f t="shared" si="9"/>
        <v>2.7306859999999915</v>
      </c>
      <c r="K61" s="112">
        <f>Sayfa2!$J61*Sayfa2!$G61</f>
        <v>2.7306859999999915</v>
      </c>
      <c r="L61" s="67">
        <f t="shared" si="10"/>
        <v>6</v>
      </c>
      <c r="M61" s="68">
        <f t="shared" si="11"/>
        <v>4.7814060634023678E-3</v>
      </c>
      <c r="N61" s="68">
        <f t="shared" si="12"/>
        <v>2.3907030317011836E-2</v>
      </c>
      <c r="O61" s="113"/>
    </row>
    <row r="62" spans="1:16">
      <c r="A62" s="41" t="s">
        <v>47</v>
      </c>
      <c r="B62" s="2">
        <v>45344</v>
      </c>
      <c r="C62" s="46">
        <v>44</v>
      </c>
      <c r="D62" s="47">
        <v>571.10522800000001</v>
      </c>
      <c r="E62" s="62">
        <f>Sayfa2!$D62*Sayfa2!$C62</f>
        <v>25128.630032000001</v>
      </c>
      <c r="F62" s="2">
        <v>45350</v>
      </c>
      <c r="G62" s="49">
        <v>44</v>
      </c>
      <c r="H62" s="103">
        <v>573.835914</v>
      </c>
      <c r="I62" s="51">
        <f>Sayfa2!$H62*Sayfa2!$G62</f>
        <v>25248.780215999999</v>
      </c>
      <c r="J62" s="46">
        <f t="shared" si="9"/>
        <v>2.7306859999999915</v>
      </c>
      <c r="K62" s="112">
        <f>Sayfa2!$J62*Sayfa2!$G62</f>
        <v>120.15018399999963</v>
      </c>
      <c r="L62" s="67">
        <f t="shared" si="10"/>
        <v>6</v>
      </c>
      <c r="M62" s="68">
        <f t="shared" si="11"/>
        <v>4.7814060634023669E-3</v>
      </c>
      <c r="N62" s="68">
        <f t="shared" si="12"/>
        <v>2.3907030317011836E-2</v>
      </c>
      <c r="O62" s="113"/>
    </row>
    <row r="63" spans="1:16">
      <c r="A63" s="41" t="s">
        <v>47</v>
      </c>
      <c r="B63" s="2">
        <v>45341</v>
      </c>
      <c r="C63" s="46">
        <v>106</v>
      </c>
      <c r="D63" s="47">
        <v>569.09258399999999</v>
      </c>
      <c r="E63" s="62">
        <f>Sayfa2!$D63*Sayfa2!$C63</f>
        <v>60323.813903999995</v>
      </c>
      <c r="F63" s="2">
        <v>45350</v>
      </c>
      <c r="G63" s="49">
        <v>106</v>
      </c>
      <c r="H63" s="103">
        <v>573.835914</v>
      </c>
      <c r="I63" s="51">
        <f>Sayfa2!$H63*Sayfa2!$G63</f>
        <v>60826.606884000001</v>
      </c>
      <c r="J63" s="46">
        <f t="shared" si="9"/>
        <v>4.7433300000000145</v>
      </c>
      <c r="K63" s="112">
        <f>Sayfa2!$J63*Sayfa2!$G63</f>
        <v>502.79298000000153</v>
      </c>
      <c r="L63" s="67">
        <f t="shared" si="10"/>
        <v>9</v>
      </c>
      <c r="M63" s="68">
        <f t="shared" si="11"/>
        <v>8.3349003894241831E-3</v>
      </c>
      <c r="N63" s="68">
        <f t="shared" si="12"/>
        <v>2.778300129808061E-2</v>
      </c>
      <c r="O63" s="113"/>
    </row>
    <row r="64" spans="1:16">
      <c r="A64" s="41" t="s">
        <v>48</v>
      </c>
      <c r="B64" s="2">
        <v>45338</v>
      </c>
      <c r="C64" s="3">
        <v>64</v>
      </c>
      <c r="D64" s="1">
        <v>567.08235100000002</v>
      </c>
      <c r="E64" s="62">
        <f>Sayfa2!$D64*Sayfa2!$C64</f>
        <v>36293.270464000001</v>
      </c>
      <c r="F64" s="2">
        <v>45344</v>
      </c>
      <c r="G64" s="46">
        <v>64</v>
      </c>
      <c r="H64" s="1">
        <v>571.10522800000001</v>
      </c>
      <c r="I64" s="51">
        <f>Sayfa2!$H64*Sayfa2!$G64</f>
        <v>36550.734592000001</v>
      </c>
      <c r="J64" s="46">
        <f t="shared" si="9"/>
        <v>4.022876999999994</v>
      </c>
      <c r="K64" s="112">
        <f>Sayfa2!$J64*Sayfa2!$G64</f>
        <v>257.46412799999962</v>
      </c>
      <c r="L64" s="67">
        <f t="shared" si="10"/>
        <v>6</v>
      </c>
      <c r="M64" s="68">
        <f t="shared" si="11"/>
        <v>7.0939908337933691E-3</v>
      </c>
      <c r="N64" s="68">
        <f t="shared" si="12"/>
        <v>3.5469954168966845E-2</v>
      </c>
      <c r="O64" s="113"/>
    </row>
    <row r="65" spans="1:15">
      <c r="A65" s="41" t="s">
        <v>44</v>
      </c>
      <c r="B65" s="2">
        <v>45299</v>
      </c>
      <c r="C65" s="3">
        <v>50</v>
      </c>
      <c r="D65" s="1">
        <v>542.43450199999995</v>
      </c>
      <c r="E65" s="62">
        <f>Sayfa2!$D65*Sayfa2!$C65</f>
        <v>27121.725099999996</v>
      </c>
      <c r="F65" s="2">
        <v>45344</v>
      </c>
      <c r="G65" s="46">
        <v>50</v>
      </c>
      <c r="H65" s="1">
        <v>571.10522800000001</v>
      </c>
      <c r="I65" s="51">
        <f>Sayfa2!$H65*Sayfa2!$G65</f>
        <v>28555.261399999999</v>
      </c>
      <c r="J65" s="46">
        <f t="shared" si="9"/>
        <v>28.670726000000059</v>
      </c>
      <c r="K65" s="112">
        <f>Sayfa2!$J65*Sayfa2!$G65</f>
        <v>1433.5363000000029</v>
      </c>
      <c r="L65" s="67">
        <f t="shared" si="10"/>
        <v>45</v>
      </c>
      <c r="M65" s="68">
        <f t="shared" si="11"/>
        <v>5.2855645970690972E-2</v>
      </c>
      <c r="N65" s="68">
        <f t="shared" si="12"/>
        <v>3.5237097313793986E-2</v>
      </c>
      <c r="O65" s="113"/>
    </row>
    <row r="66" spans="1:15">
      <c r="A66" s="41" t="s">
        <v>44</v>
      </c>
      <c r="B66" s="2">
        <v>45321</v>
      </c>
      <c r="C66" s="3">
        <v>50</v>
      </c>
      <c r="D66" s="1">
        <v>555.950107</v>
      </c>
      <c r="E66" s="62">
        <f>Sayfa2!$D66*Sayfa2!$C66</f>
        <v>27797.505349999999</v>
      </c>
      <c r="F66" s="2">
        <v>45344</v>
      </c>
      <c r="G66" s="46">
        <v>50</v>
      </c>
      <c r="H66" s="1">
        <v>571.10522800000001</v>
      </c>
      <c r="I66" s="51">
        <f>Sayfa2!$H66*Sayfa2!$G66</f>
        <v>28555.261399999999</v>
      </c>
      <c r="J66" s="46">
        <f t="shared" si="9"/>
        <v>15.155121000000008</v>
      </c>
      <c r="K66" s="112">
        <f>Sayfa2!$J66*Sayfa2!$G66</f>
        <v>757.75605000000041</v>
      </c>
      <c r="L66" s="67">
        <f t="shared" si="10"/>
        <v>23</v>
      </c>
      <c r="M66" s="68">
        <f t="shared" si="11"/>
        <v>2.7259858050535473E-2</v>
      </c>
      <c r="N66" s="68">
        <f t="shared" si="12"/>
        <v>3.5556336587654967E-2</v>
      </c>
      <c r="O66" s="113"/>
    </row>
    <row r="67" spans="1:15">
      <c r="A67" s="41" t="s">
        <v>44</v>
      </c>
      <c r="B67" s="2">
        <v>45322</v>
      </c>
      <c r="C67" s="3">
        <v>16</v>
      </c>
      <c r="D67" s="1">
        <v>555.950107</v>
      </c>
      <c r="E67" s="62">
        <f>Sayfa2!$D67*Sayfa2!$C67</f>
        <v>8895.201712</v>
      </c>
      <c r="F67" s="2">
        <v>45344</v>
      </c>
      <c r="G67" s="46">
        <v>16</v>
      </c>
      <c r="H67" s="1">
        <v>571.10522800000001</v>
      </c>
      <c r="I67" s="51">
        <f>Sayfa2!$H67*Sayfa2!$G67</f>
        <v>9137.6836480000002</v>
      </c>
      <c r="J67" s="46">
        <f t="shared" si="9"/>
        <v>15.155121000000008</v>
      </c>
      <c r="K67" s="112">
        <f>Sayfa2!$J67*Sayfa2!$G67</f>
        <v>242.48193600000013</v>
      </c>
      <c r="L67" s="67">
        <f t="shared" si="10"/>
        <v>22</v>
      </c>
      <c r="M67" s="68">
        <f t="shared" si="11"/>
        <v>2.7259858050535473E-2</v>
      </c>
      <c r="N67" s="68">
        <f t="shared" si="12"/>
        <v>3.7172533705275651E-2</v>
      </c>
      <c r="O67" s="113"/>
    </row>
    <row r="68" spans="1:15">
      <c r="A68" s="41" t="s">
        <v>44</v>
      </c>
      <c r="B68" s="2">
        <v>45296</v>
      </c>
      <c r="C68" s="3">
        <v>110</v>
      </c>
      <c r="D68" s="1">
        <v>540.60110799999995</v>
      </c>
      <c r="E68" s="62">
        <f>Sayfa2!$D68*Sayfa2!$C68</f>
        <v>59466.121879999992</v>
      </c>
      <c r="F68" s="2">
        <v>45335</v>
      </c>
      <c r="G68" s="46">
        <v>110</v>
      </c>
      <c r="H68" s="1">
        <v>565.11282900000003</v>
      </c>
      <c r="I68" s="51">
        <f>Sayfa2!$H68*Sayfa2!$G68</f>
        <v>62162.411190000006</v>
      </c>
      <c r="J68" s="116">
        <f t="shared" si="9"/>
        <v>24.51172100000008</v>
      </c>
      <c r="K68" s="66">
        <f>Sayfa2!$J68*Sayfa2!$G68</f>
        <v>2696.2893100000088</v>
      </c>
      <c r="L68" s="67">
        <f t="shared" si="10"/>
        <v>39</v>
      </c>
      <c r="M68" s="68">
        <f t="shared" si="11"/>
        <v>4.5341603332415076E-2</v>
      </c>
      <c r="N68" s="68">
        <f>K68/E68</f>
        <v>4.5341603332415076E-2</v>
      </c>
      <c r="O68" s="113"/>
    </row>
    <row r="69" spans="1:15">
      <c r="A69" s="41" t="s">
        <v>44</v>
      </c>
      <c r="B69" s="2">
        <v>45322</v>
      </c>
      <c r="C69" s="3">
        <v>10</v>
      </c>
      <c r="D69" s="1">
        <v>555.950107</v>
      </c>
      <c r="E69" s="62">
        <f>Sayfa2!$D69*Sayfa2!$C69</f>
        <v>5559.5010700000003</v>
      </c>
      <c r="F69" s="2">
        <v>45334</v>
      </c>
      <c r="G69" s="46">
        <v>10</v>
      </c>
      <c r="H69" s="1">
        <v>564.45009800000003</v>
      </c>
      <c r="I69" s="51">
        <f>Sayfa2!$H69*Sayfa2!$G69</f>
        <v>5644.5009800000007</v>
      </c>
      <c r="J69" s="116">
        <f t="shared" si="9"/>
        <v>8.4999910000000227</v>
      </c>
      <c r="K69" s="66">
        <f>Sayfa2!$J69*Sayfa2!$G69</f>
        <v>84.999910000000227</v>
      </c>
      <c r="L69" s="67">
        <f t="shared" si="10"/>
        <v>12</v>
      </c>
      <c r="M69" s="68">
        <f t="shared" si="11"/>
        <v>1.5289125576155384E-2</v>
      </c>
      <c r="N69" s="68">
        <f t="shared" ref="N69:N74" si="13">M69/L69*30</f>
        <v>3.8222813940388463E-2</v>
      </c>
      <c r="O69" s="113"/>
    </row>
    <row r="70" spans="1:15">
      <c r="A70" s="41" t="s">
        <v>44</v>
      </c>
      <c r="B70" s="48">
        <v>45322</v>
      </c>
      <c r="C70" s="52">
        <v>46</v>
      </c>
      <c r="D70" s="1">
        <v>555.950107</v>
      </c>
      <c r="E70" s="62">
        <f>Sayfa2!$D70*Sayfa2!$C70</f>
        <v>25573.704922000001</v>
      </c>
      <c r="F70" s="48">
        <v>45327</v>
      </c>
      <c r="G70" s="52">
        <v>46</v>
      </c>
      <c r="H70" s="1">
        <v>559.83385699999997</v>
      </c>
      <c r="I70" s="51">
        <f>Sayfa2!$H70*Sayfa2!$G70</f>
        <v>25752.357421999997</v>
      </c>
      <c r="J70" s="6">
        <f t="shared" si="9"/>
        <v>3.8837499999999636</v>
      </c>
      <c r="K70" s="66">
        <f>Sayfa2!$J70*Sayfa2!$G70</f>
        <v>178.65249999999833</v>
      </c>
      <c r="L70" s="67">
        <f t="shared" si="10"/>
        <v>5</v>
      </c>
      <c r="M70" s="68">
        <f t="shared" si="11"/>
        <v>6.9857887445284065E-3</v>
      </c>
      <c r="N70" s="68">
        <f t="shared" si="13"/>
        <v>4.1914732467170444E-2</v>
      </c>
      <c r="O70" s="113"/>
    </row>
    <row r="71" spans="1:15">
      <c r="A71" s="41" t="s">
        <v>49</v>
      </c>
      <c r="B71" s="2">
        <v>45267</v>
      </c>
      <c r="C71" s="3">
        <v>300</v>
      </c>
      <c r="D71" s="1">
        <v>18.207357999999999</v>
      </c>
      <c r="E71" s="62">
        <f>Sayfa2!$D71*Sayfa2!$C71</f>
        <v>5462.2073999999993</v>
      </c>
      <c r="F71" s="2">
        <v>45288</v>
      </c>
      <c r="G71" s="46">
        <v>300</v>
      </c>
      <c r="H71" s="1">
        <v>18.625761000000001</v>
      </c>
      <c r="I71" s="51">
        <f>Sayfa2!$H71*Sayfa2!$G71</f>
        <v>5587.7282999999998</v>
      </c>
      <c r="J71" s="116">
        <f t="shared" si="9"/>
        <v>0.41840300000000141</v>
      </c>
      <c r="K71" s="66">
        <f>Sayfa2!$J71*Sayfa2!$G71</f>
        <v>125.52090000000042</v>
      </c>
      <c r="L71" s="1">
        <f t="shared" si="10"/>
        <v>21</v>
      </c>
      <c r="M71" s="68">
        <f t="shared" si="11"/>
        <v>2.2979885384798907E-2</v>
      </c>
      <c r="N71" s="68">
        <f t="shared" si="13"/>
        <v>3.2828407692569866E-2</v>
      </c>
      <c r="O71" s="113"/>
    </row>
    <row r="72" spans="1:15">
      <c r="A72" s="41" t="s">
        <v>44</v>
      </c>
      <c r="B72" s="2">
        <v>45267</v>
      </c>
      <c r="C72" s="3">
        <v>10</v>
      </c>
      <c r="D72" s="1">
        <v>523.88987099999997</v>
      </c>
      <c r="E72" s="62">
        <f>Sayfa2!$D72*Sayfa2!$C72</f>
        <v>5238.8987099999995</v>
      </c>
      <c r="F72" s="2">
        <v>45293</v>
      </c>
      <c r="G72" s="46">
        <v>10</v>
      </c>
      <c r="H72" s="1">
        <v>538.78970700000002</v>
      </c>
      <c r="I72" s="51">
        <f>Sayfa2!$H72*Sayfa2!$G72</f>
        <v>5387.89707</v>
      </c>
      <c r="J72" s="116">
        <f t="shared" si="9"/>
        <v>14.89983600000005</v>
      </c>
      <c r="K72" s="66">
        <f>Sayfa2!$J72*Sayfa2!$G72</f>
        <v>148.9983600000005</v>
      </c>
      <c r="L72" s="1">
        <f t="shared" si="10"/>
        <v>26</v>
      </c>
      <c r="M72" s="68">
        <f t="shared" si="11"/>
        <v>2.8440778920881354E-2</v>
      </c>
      <c r="N72" s="68">
        <f t="shared" si="13"/>
        <v>3.2816283370247716E-2</v>
      </c>
      <c r="O72" s="113"/>
    </row>
    <row r="73" spans="1:15">
      <c r="A73" s="41" t="s">
        <v>44</v>
      </c>
      <c r="B73" s="2">
        <v>45273</v>
      </c>
      <c r="C73" s="3">
        <v>28</v>
      </c>
      <c r="D73" s="1">
        <v>527.21223999999995</v>
      </c>
      <c r="E73" s="62">
        <f>Sayfa2!$D73*Sayfa2!$C73</f>
        <v>14761.942719999999</v>
      </c>
      <c r="F73" s="2">
        <v>45293</v>
      </c>
      <c r="G73" s="46">
        <v>28</v>
      </c>
      <c r="H73" s="1">
        <f>H72</f>
        <v>538.78970700000002</v>
      </c>
      <c r="I73" s="51">
        <f>Sayfa2!$H73*Sayfa2!$G73</f>
        <v>15086.111796000001</v>
      </c>
      <c r="J73" s="116">
        <f t="shared" si="9"/>
        <v>11.57746700000007</v>
      </c>
      <c r="K73" s="66">
        <f>Sayfa2!$J73*Sayfa2!$G73</f>
        <v>324.16907600000195</v>
      </c>
      <c r="L73" s="1">
        <f t="shared" si="10"/>
        <v>20</v>
      </c>
      <c r="M73" s="68">
        <f t="shared" si="11"/>
        <v>2.1959784165860925E-2</v>
      </c>
      <c r="N73" s="68">
        <f t="shared" si="13"/>
        <v>3.2939676248791384E-2</v>
      </c>
      <c r="O73" s="113"/>
    </row>
    <row r="74" spans="1:15">
      <c r="A74" s="41" t="s">
        <v>50</v>
      </c>
      <c r="B74" s="2">
        <v>45273</v>
      </c>
      <c r="C74" s="3">
        <v>22</v>
      </c>
      <c r="D74" s="1">
        <v>527.21223999999995</v>
      </c>
      <c r="E74" s="62">
        <f>Sayfa2!$D74*Sayfa2!$C74</f>
        <v>11598.669279999998</v>
      </c>
      <c r="F74" s="2">
        <v>45295</v>
      </c>
      <c r="G74" s="46">
        <v>22</v>
      </c>
      <c r="H74" s="1">
        <v>540.000044</v>
      </c>
      <c r="I74" s="51">
        <f>Sayfa2!$H74*Sayfa2!$G74</f>
        <v>11880.000968</v>
      </c>
      <c r="J74" s="116">
        <f>H74-D73</f>
        <v>12.787804000000051</v>
      </c>
      <c r="K74" s="66">
        <f>Sayfa2!$J74*Sayfa2!$G74</f>
        <v>281.33168800000112</v>
      </c>
      <c r="L74" s="1">
        <f>F74-B73</f>
        <v>22</v>
      </c>
      <c r="M74" s="68">
        <f t="shared" si="11"/>
        <v>2.4255514249821006E-2</v>
      </c>
      <c r="N74" s="68">
        <f t="shared" si="13"/>
        <v>3.3075701249755916E-2</v>
      </c>
      <c r="O74" s="70">
        <f>SUM(K55:K74)</f>
        <v>7765.4384360000149</v>
      </c>
    </row>
    <row r="75" spans="1:15">
      <c r="E75" s="53"/>
      <c r="F75" s="48"/>
      <c r="G75" s="52"/>
      <c r="I75" s="123"/>
      <c r="K75" s="55"/>
      <c r="L75" s="55"/>
    </row>
    <row r="76" spans="1:15">
      <c r="E76" s="53"/>
      <c r="F76" s="48"/>
      <c r="G76" s="52"/>
      <c r="I76" s="123"/>
      <c r="K76" s="55"/>
      <c r="L76" s="55"/>
    </row>
    <row r="77" spans="1:15">
      <c r="E77" s="53"/>
      <c r="F77" s="48"/>
      <c r="G77" s="52"/>
      <c r="I77" s="123"/>
      <c r="K77" s="55"/>
      <c r="L77" s="55"/>
    </row>
    <row r="78" spans="1:15">
      <c r="E78" s="53"/>
      <c r="F78" s="48"/>
      <c r="G78" s="52"/>
      <c r="I78" s="123"/>
      <c r="K78" s="55"/>
      <c r="L78" s="55"/>
    </row>
    <row r="79" spans="1:15">
      <c r="E79" s="53"/>
      <c r="F79" s="48"/>
      <c r="G79" s="52"/>
      <c r="I79" s="123"/>
      <c r="K79" s="55"/>
      <c r="L79" s="55"/>
    </row>
    <row r="80" spans="1:15">
      <c r="E80" s="53"/>
      <c r="F80" s="48"/>
      <c r="G80" s="52"/>
      <c r="I80" s="123"/>
      <c r="K80" s="55"/>
      <c r="L80" s="55"/>
    </row>
    <row r="81" spans="5:12">
      <c r="E81" s="53"/>
      <c r="F81" s="48"/>
      <c r="G81" s="52"/>
      <c r="I81" s="123"/>
      <c r="K81" s="55"/>
      <c r="L81" s="55"/>
    </row>
    <row r="82" spans="5:12">
      <c r="E82" s="53"/>
      <c r="F82" s="48"/>
      <c r="G82" s="52"/>
    </row>
    <row r="83" spans="5:12">
      <c r="E83" s="53"/>
      <c r="F83" s="48"/>
      <c r="G83" s="52"/>
    </row>
    <row r="84" spans="5:12">
      <c r="E84" s="53"/>
      <c r="F84" s="48"/>
      <c r="G84" s="52"/>
    </row>
    <row r="85" spans="5:12">
      <c r="E85" s="53"/>
      <c r="F85" s="48"/>
      <c r="G85" s="52"/>
    </row>
  </sheetData>
  <pageMargins left="0.25" right="0.25" top="0.75" bottom="0.75" header="0.511811023622047" footer="0.511811023622047"/>
  <pageSetup paperSize="9" orientation="landscape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N44 N49 L51 N74 I75:L75 I76:I81 K76:L81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A44"/>
  <sheetViews>
    <sheetView zoomScale="145" zoomScaleNormal="145" workbookViewId="0">
      <pane xSplit="1" topLeftCell="B1" activePane="topRight" state="frozen"/>
      <selection pane="topRight" activeCell="A7" sqref="A7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24" customWidth="1"/>
    <col min="7" max="7" width="8.42578125" customWidth="1"/>
    <col min="9" max="11" width="9.42578125" customWidth="1"/>
    <col min="12" max="12" width="11.140625" style="125" customWidth="1"/>
    <col min="14" max="14" width="10.5703125" customWidth="1"/>
    <col min="16" max="16" width="14.5703125" customWidth="1"/>
    <col min="18" max="18" width="3" customWidth="1"/>
    <col min="19" max="19" width="8.5703125" customWidth="1"/>
    <col min="20" max="20" width="3" customWidth="1"/>
    <col min="21" max="21" width="11.5703125" customWidth="1"/>
    <col min="22" max="22" width="3" customWidth="1"/>
    <col min="23" max="23" width="10.7109375" customWidth="1"/>
    <col min="24" max="24" width="3" customWidth="1"/>
    <col min="26" max="26" width="3" customWidth="1"/>
    <col min="27" max="27" width="9.5703125" customWidth="1"/>
    <col min="29" max="29" width="2.7109375" customWidth="1"/>
    <col min="30" max="30" width="7.5703125" customWidth="1"/>
    <col min="31" max="31" width="4.42578125" customWidth="1"/>
    <col min="33" max="33" width="4.42578125" customWidth="1"/>
    <col min="1023" max="1024" width="11.28515625" customWidth="1"/>
  </cols>
  <sheetData>
    <row r="2" spans="1:27">
      <c r="A2" s="126">
        <f>A6</f>
        <v>45386</v>
      </c>
      <c r="C2">
        <f>C6</f>
        <v>31.399799999999999</v>
      </c>
      <c r="E2">
        <f>E6</f>
        <v>34.053100000000001</v>
      </c>
      <c r="G2">
        <f>G6</f>
        <v>2292.5700000000002</v>
      </c>
      <c r="I2">
        <f>I6</f>
        <v>0.82913899999999996</v>
      </c>
      <c r="K2">
        <f>I6</f>
        <v>0.82913899999999996</v>
      </c>
      <c r="M2" s="127">
        <f>Sayfa2!D3</f>
        <v>155.21774958117501</v>
      </c>
      <c r="N2" s="128">
        <f>Sayfa2!K2</f>
        <v>245709.69758700003</v>
      </c>
      <c r="S2">
        <f>S6</f>
        <v>0</v>
      </c>
      <c r="U2">
        <f>U6</f>
        <v>0</v>
      </c>
      <c r="W2">
        <f>W6</f>
        <v>0</v>
      </c>
      <c r="Y2">
        <f>Y6</f>
        <v>0</v>
      </c>
      <c r="AA2">
        <f>AA19</f>
        <v>19.690000000000001</v>
      </c>
    </row>
    <row r="3" spans="1:27">
      <c r="A3" s="129"/>
      <c r="B3" s="131"/>
      <c r="C3" s="131" t="s">
        <v>26</v>
      </c>
      <c r="D3" s="131"/>
      <c r="E3" s="131" t="s">
        <v>52</v>
      </c>
      <c r="F3" s="130"/>
      <c r="G3" s="131" t="s">
        <v>51</v>
      </c>
      <c r="H3" s="131"/>
      <c r="I3" s="131" t="s">
        <v>53</v>
      </c>
      <c r="J3" s="131"/>
      <c r="K3" s="131" t="s">
        <v>53</v>
      </c>
      <c r="L3" s="132" t="s">
        <v>54</v>
      </c>
      <c r="O3" s="131" t="s">
        <v>55</v>
      </c>
      <c r="P3" s="131"/>
      <c r="Q3" s="131"/>
      <c r="R3" s="131"/>
      <c r="S3" s="131" t="s">
        <v>56</v>
      </c>
      <c r="T3" s="131"/>
      <c r="U3" s="131">
        <v>801</v>
      </c>
      <c r="V3" s="131"/>
      <c r="W3" s="131" t="s">
        <v>57</v>
      </c>
      <c r="X3" s="131"/>
      <c r="Y3" s="131" t="s">
        <v>58</v>
      </c>
      <c r="Z3" s="131"/>
      <c r="AA3" s="131" t="s">
        <v>59</v>
      </c>
    </row>
    <row r="6" spans="1:27">
      <c r="A6" s="126">
        <v>45386</v>
      </c>
      <c r="B6">
        <f>B31</f>
        <v>1110</v>
      </c>
      <c r="C6">
        <v>31.399799999999999</v>
      </c>
      <c r="D6">
        <f>D31</f>
        <v>321.99</v>
      </c>
      <c r="E6">
        <v>34.053100000000001</v>
      </c>
      <c r="F6" s="124">
        <v>156</v>
      </c>
      <c r="G6">
        <v>2292.5700000000002</v>
      </c>
      <c r="H6">
        <f>H31</f>
        <v>50000</v>
      </c>
      <c r="I6">
        <v>0.82913899999999996</v>
      </c>
      <c r="J6">
        <f>J31</f>
        <v>75000</v>
      </c>
      <c r="K6" s="129">
        <f t="shared" ref="K6:K19" si="0">I6</f>
        <v>0.82913899999999996</v>
      </c>
      <c r="L6" s="125">
        <f>(F6*G6)+(B6*C6)+(D6*E6)+(H6*I6)+(Z19*AA19)+(J6*K6)</f>
        <v>508440.75066900003</v>
      </c>
      <c r="M6">
        <v>155.22</v>
      </c>
      <c r="N6">
        <v>245709.7</v>
      </c>
      <c r="O6" s="127">
        <v>8945.7999999999993</v>
      </c>
      <c r="P6" s="133">
        <f>(1-(O9/O6))</f>
        <v>-2.3669207896443112E-2</v>
      </c>
    </row>
    <row r="7" spans="1:27">
      <c r="A7" s="126">
        <v>45385</v>
      </c>
      <c r="B7">
        <f>B32</f>
        <v>1110</v>
      </c>
      <c r="C7">
        <v>31.399799999999999</v>
      </c>
      <c r="D7">
        <f>D32</f>
        <v>321.99</v>
      </c>
      <c r="E7">
        <v>34.053100000000001</v>
      </c>
      <c r="F7" s="124">
        <v>156</v>
      </c>
      <c r="G7">
        <v>2292.5700000000002</v>
      </c>
      <c r="H7">
        <f>H32</f>
        <v>50000</v>
      </c>
      <c r="I7">
        <v>0.82913899999999996</v>
      </c>
      <c r="J7">
        <f>J32</f>
        <v>75000</v>
      </c>
      <c r="K7" s="129">
        <f t="shared" ref="K7" si="1">I7</f>
        <v>0.82913899999999996</v>
      </c>
      <c r="L7" s="125">
        <f>(F7*G7)+(B7*C7)+(D7*E7)+(H7*I7)+(Z20*AA20)+(J7*K7)</f>
        <v>508663.11066900007</v>
      </c>
      <c r="M7">
        <v>155.22</v>
      </c>
      <c r="N7">
        <v>245709.7</v>
      </c>
      <c r="O7" s="127">
        <v>8945.7999999999993</v>
      </c>
      <c r="P7" s="133">
        <f>(1-(O10/O7))</f>
        <v>-2.1976793579109755E-2</v>
      </c>
    </row>
    <row r="8" spans="1:27">
      <c r="A8" s="126">
        <v>45384</v>
      </c>
      <c r="B8">
        <f>B32</f>
        <v>1110</v>
      </c>
      <c r="C8">
        <v>31.536899999999999</v>
      </c>
      <c r="D8">
        <f>D32</f>
        <v>321.99</v>
      </c>
      <c r="E8">
        <v>33.958799999999997</v>
      </c>
      <c r="F8" s="124">
        <v>156</v>
      </c>
      <c r="G8">
        <v>2287.73</v>
      </c>
      <c r="H8">
        <f>H32</f>
        <v>50000</v>
      </c>
      <c r="I8">
        <v>0.85561100000000001</v>
      </c>
      <c r="J8">
        <f>J32</f>
        <v>75000</v>
      </c>
      <c r="K8" s="129">
        <f t="shared" ref="K8" si="2">I8</f>
        <v>0.85561100000000001</v>
      </c>
      <c r="L8" s="125">
        <f>(F8*G8)+(B8*C8)+(D8*E8)+(H8*I8)+(Z20*AA20)+(J8*K8)</f>
        <v>511338.88801200007</v>
      </c>
      <c r="M8">
        <v>157.11000000000001</v>
      </c>
      <c r="N8">
        <v>248387.66</v>
      </c>
      <c r="O8" s="127">
        <v>9040.8700000000008</v>
      </c>
      <c r="P8" s="133">
        <f>(1-(O10/O8))</f>
        <v>-1.1230113916027795E-2</v>
      </c>
    </row>
    <row r="9" spans="1:27">
      <c r="A9" s="126">
        <v>45383</v>
      </c>
      <c r="B9">
        <f>B32</f>
        <v>1110</v>
      </c>
      <c r="C9">
        <v>31.879300000000001</v>
      </c>
      <c r="D9">
        <f>D32</f>
        <v>321.99</v>
      </c>
      <c r="E9">
        <v>34.391399999999997</v>
      </c>
      <c r="F9" s="124">
        <v>161</v>
      </c>
      <c r="G9">
        <v>2308.4299999999998</v>
      </c>
      <c r="H9">
        <f>H32</f>
        <v>50000</v>
      </c>
      <c r="I9">
        <v>0.88097599999999998</v>
      </c>
      <c r="J9">
        <f>J32</f>
        <v>75000</v>
      </c>
      <c r="K9" s="129">
        <f t="shared" ref="K9" si="3">I9</f>
        <v>0.88097599999999998</v>
      </c>
      <c r="L9" s="125">
        <f>(F9*G9)+(B9*C9)+(D9*E9)+(H9*I9)+(Z20*AA20)+(J9*K9)</f>
        <v>529800.21988599992</v>
      </c>
      <c r="M9">
        <v>161.66</v>
      </c>
      <c r="N9">
        <v>255424.81</v>
      </c>
      <c r="O9" s="127">
        <v>9157.5400000000009</v>
      </c>
      <c r="P9" s="133">
        <f t="shared" ref="P9:P28" si="4">(1-(O10/O9))</f>
        <v>1.6532824317448958E-3</v>
      </c>
    </row>
    <row r="10" spans="1:27">
      <c r="A10" s="126">
        <v>45381</v>
      </c>
      <c r="B10">
        <f>B32</f>
        <v>1110</v>
      </c>
      <c r="C10">
        <v>31.879300000000001</v>
      </c>
      <c r="D10">
        <f>D32</f>
        <v>321.99</v>
      </c>
      <c r="E10">
        <v>34.391399999999997</v>
      </c>
      <c r="F10" s="124">
        <v>161</v>
      </c>
      <c r="G10">
        <v>2308.4299999999998</v>
      </c>
      <c r="H10">
        <f>H32</f>
        <v>50000</v>
      </c>
      <c r="I10">
        <v>0.88097599999999998</v>
      </c>
      <c r="J10">
        <f>J32</f>
        <v>75000</v>
      </c>
      <c r="K10" s="129">
        <f t="shared" ref="K10" si="5">I10</f>
        <v>0.88097599999999998</v>
      </c>
      <c r="L10" s="125">
        <f>(F10*G10)+(B10*C10)+(D10*E10)+(H10*I10)+(Z20*AA20)+(J10*K10)</f>
        <v>529800.21988599992</v>
      </c>
      <c r="M10">
        <v>161.66</v>
      </c>
      <c r="N10">
        <v>255424.81</v>
      </c>
      <c r="O10" s="127">
        <v>9142.4</v>
      </c>
      <c r="P10" s="133">
        <f t="shared" si="4"/>
        <v>0</v>
      </c>
    </row>
    <row r="11" spans="1:27">
      <c r="A11" s="126">
        <v>45380</v>
      </c>
      <c r="B11">
        <f>B32</f>
        <v>1110</v>
      </c>
      <c r="C11">
        <v>31.8308</v>
      </c>
      <c r="D11">
        <f>D32</f>
        <v>321.99</v>
      </c>
      <c r="E11">
        <v>34.369900000000001</v>
      </c>
      <c r="F11" s="124">
        <v>161</v>
      </c>
      <c r="G11">
        <v>2273.3200000000002</v>
      </c>
      <c r="H11">
        <f>H32</f>
        <v>50000</v>
      </c>
      <c r="I11">
        <v>0.85243100000000005</v>
      </c>
      <c r="J11">
        <f>J32</f>
        <v>75000</v>
      </c>
      <c r="K11" s="129">
        <f t="shared" ref="K11" si="6">I11</f>
        <v>0.85243100000000005</v>
      </c>
      <c r="L11" s="125">
        <f>(F11*G11)+(B11*C11)+(D11*E11)+(H11*I11)+(Z20*AA20)+(J11*K11)</f>
        <v>520518.62710100005</v>
      </c>
      <c r="M11">
        <v>156.08000000000001</v>
      </c>
      <c r="N11">
        <v>246143.72</v>
      </c>
      <c r="O11" s="127">
        <v>9142.4</v>
      </c>
      <c r="P11" s="133">
        <f t="shared" si="4"/>
        <v>6.8286226811340445E-3</v>
      </c>
    </row>
    <row r="12" spans="1:27">
      <c r="A12" s="126">
        <v>45379</v>
      </c>
      <c r="B12">
        <f>B32</f>
        <v>1110</v>
      </c>
      <c r="C12">
        <v>31.870699999999999</v>
      </c>
      <c r="D12">
        <f>D32</f>
        <v>321.99</v>
      </c>
      <c r="E12">
        <v>34.480800000000002</v>
      </c>
      <c r="F12" s="124">
        <v>161</v>
      </c>
      <c r="G12">
        <v>2240.09</v>
      </c>
      <c r="H12">
        <f>H32</f>
        <v>50000</v>
      </c>
      <c r="I12">
        <v>0.86473199999999995</v>
      </c>
      <c r="J12">
        <f>J32</f>
        <v>75000</v>
      </c>
      <c r="K12" s="129">
        <f t="shared" si="0"/>
        <v>0.86473199999999995</v>
      </c>
      <c r="L12" s="125">
        <f>(F12*G12)+(B12*C12)+(D12*E12)+(T12*U12)+(H12*I12)+(R12*S12)+(V12*W12)+(X12*Y12)+(Z20*AA20)+(J12*K12)</f>
        <v>516786.21979200002</v>
      </c>
      <c r="M12">
        <v>153.81</v>
      </c>
      <c r="N12">
        <v>242408.74</v>
      </c>
      <c r="O12" s="127">
        <v>9079.9699999999993</v>
      </c>
      <c r="P12" s="133">
        <f t="shared" si="4"/>
        <v>3.0093711763364839E-2</v>
      </c>
    </row>
    <row r="13" spans="1:27">
      <c r="A13" s="126">
        <v>45378</v>
      </c>
      <c r="B13">
        <f>B32</f>
        <v>1110</v>
      </c>
      <c r="C13">
        <v>31.821999999999999</v>
      </c>
      <c r="D13">
        <f>D32</f>
        <v>321.99</v>
      </c>
      <c r="E13">
        <v>34.5045</v>
      </c>
      <c r="F13" s="124">
        <v>161</v>
      </c>
      <c r="G13">
        <v>2227.25</v>
      </c>
      <c r="H13">
        <f>H32</f>
        <v>50000</v>
      </c>
      <c r="I13">
        <v>0.85899999999999999</v>
      </c>
      <c r="J13">
        <f>J32</f>
        <v>75000</v>
      </c>
      <c r="K13" s="129">
        <f t="shared" si="0"/>
        <v>0.85899999999999999</v>
      </c>
      <c r="L13" s="125">
        <f>(F13*G13)+(B13*C13)+(D13*E13)+(T13*U13)+(H13*I13)+(R13*S13)+(V13*W13)+(X13*Y13)+(Z20*AA20)+(J13*K13)</f>
        <v>513956.05395500001</v>
      </c>
      <c r="M13">
        <v>154.24</v>
      </c>
      <c r="N13">
        <v>242616.68</v>
      </c>
      <c r="O13" s="127">
        <v>8806.7199999999993</v>
      </c>
      <c r="P13" s="133">
        <f t="shared" si="4"/>
        <v>-7.4942770974972817E-5</v>
      </c>
    </row>
    <row r="14" spans="1:27">
      <c r="A14" s="126">
        <v>45377</v>
      </c>
      <c r="B14">
        <f>B33</f>
        <v>1110</v>
      </c>
      <c r="C14">
        <v>31.530999999999999</v>
      </c>
      <c r="D14">
        <f>D33</f>
        <v>321.99</v>
      </c>
      <c r="E14">
        <v>34.125900000000001</v>
      </c>
      <c r="F14" s="124">
        <v>161</v>
      </c>
      <c r="G14">
        <v>2227.25</v>
      </c>
      <c r="H14">
        <f>H33</f>
        <v>50000</v>
      </c>
      <c r="I14">
        <v>0.890316</v>
      </c>
      <c r="J14">
        <f>J33</f>
        <v>75000</v>
      </c>
      <c r="K14" s="129">
        <f t="shared" si="0"/>
        <v>0.890316</v>
      </c>
      <c r="L14" s="125">
        <f>(F14*G14)+(B14*C14)+(D14*E14)+(T14*U14)+(H14*I14)+(R14*S14)+(V14*W14)+(X14*Y14)+(Z21*AA21)+(J14*K14)</f>
        <v>517363.07854099997</v>
      </c>
      <c r="M14">
        <v>154.24</v>
      </c>
      <c r="N14">
        <v>242616.68</v>
      </c>
      <c r="O14" s="127">
        <v>8807.3799999999992</v>
      </c>
      <c r="P14" s="133">
        <f t="shared" si="4"/>
        <v>-2.5206133946758191E-2</v>
      </c>
    </row>
    <row r="15" spans="1:27">
      <c r="A15" s="126">
        <v>45376</v>
      </c>
      <c r="B15">
        <f>B32</f>
        <v>1110</v>
      </c>
      <c r="C15">
        <v>31.786200000000001</v>
      </c>
      <c r="D15">
        <f>D32</f>
        <v>321.99</v>
      </c>
      <c r="E15">
        <v>34.386299999999999</v>
      </c>
      <c r="F15" s="124">
        <v>161</v>
      </c>
      <c r="G15">
        <v>2214.31</v>
      </c>
      <c r="H15">
        <f>H32</f>
        <v>50000</v>
      </c>
      <c r="I15">
        <v>0.91889100000000001</v>
      </c>
      <c r="J15">
        <f>J32</f>
        <v>75000</v>
      </c>
      <c r="K15" s="129">
        <f t="shared" si="0"/>
        <v>0.91889100000000001</v>
      </c>
      <c r="L15" s="125">
        <f>(F15*G15)+(B15*C15)+(D15*E15)+(T15*U15)+(H15*I15)+(R15*S15)+(V15*W15)+(X15*Y15)+(Z20*AA20)+(J15*K15)</f>
        <v>519281.29173699999</v>
      </c>
      <c r="M15">
        <v>155.99</v>
      </c>
      <c r="N15">
        <v>244906</v>
      </c>
      <c r="O15" s="127">
        <v>9029.3799999999992</v>
      </c>
      <c r="P15" s="133">
        <f t="shared" si="4"/>
        <v>-9.0947551216142841E-3</v>
      </c>
    </row>
    <row r="16" spans="1:27">
      <c r="A16" s="126">
        <v>45373</v>
      </c>
      <c r="B16">
        <f>B32</f>
        <v>1110</v>
      </c>
      <c r="C16">
        <v>31.710699999999999</v>
      </c>
      <c r="D16">
        <f>D32</f>
        <v>321.99</v>
      </c>
      <c r="E16">
        <v>34.336300000000001</v>
      </c>
      <c r="F16" s="124">
        <v>161</v>
      </c>
      <c r="G16">
        <v>2212.11</v>
      </c>
      <c r="H16">
        <f>H32</f>
        <v>50000</v>
      </c>
      <c r="I16">
        <v>0.93062100000000003</v>
      </c>
      <c r="J16">
        <f>J32</f>
        <v>75000</v>
      </c>
      <c r="K16" s="129">
        <f t="shared" si="0"/>
        <v>0.93062100000000003</v>
      </c>
      <c r="L16" s="125">
        <f>(F16*G16)+(B16*C16)+(D16*E16)+(T16*U16)+(H16*I16)+(R16*S16)+(V16*W16)+(X16*Y16)+(Z20*AA20)+(J16*K16)</f>
        <v>520293.43723700003</v>
      </c>
      <c r="M16">
        <v>156.63999999999999</v>
      </c>
      <c r="N16">
        <v>245919.31</v>
      </c>
      <c r="O16">
        <v>9111.5</v>
      </c>
      <c r="P16" s="133">
        <f t="shared" si="4"/>
        <v>-3.2047412610438641E-3</v>
      </c>
    </row>
    <row r="17" spans="1:27">
      <c r="A17" s="126">
        <v>45372</v>
      </c>
      <c r="B17">
        <f>B32</f>
        <v>1110</v>
      </c>
      <c r="C17">
        <v>32.063899999999997</v>
      </c>
      <c r="D17">
        <f>D32</f>
        <v>321.99</v>
      </c>
      <c r="E17">
        <v>35.065100000000001</v>
      </c>
      <c r="F17" s="124">
        <v>161</v>
      </c>
      <c r="G17">
        <v>2267.61</v>
      </c>
      <c r="H17">
        <f>H32</f>
        <v>50000</v>
      </c>
      <c r="I17">
        <v>0.94166499999999997</v>
      </c>
      <c r="J17">
        <f>J32</f>
        <v>75000</v>
      </c>
      <c r="K17" s="129">
        <f t="shared" si="0"/>
        <v>0.94166499999999997</v>
      </c>
      <c r="L17" s="125">
        <f>(F17*G17)+(B17*C17)+(D17*E17)+(T17*U17)+(H17*I17)+(R17*S17)+(V17*W17)+(X17*Y17)+(Z20*AA20)+(J17*K17)</f>
        <v>531236.15554900002</v>
      </c>
      <c r="M17">
        <v>163.91</v>
      </c>
      <c r="N17">
        <v>256845.12</v>
      </c>
      <c r="O17" s="127">
        <v>9140.7000000000007</v>
      </c>
      <c r="P17" s="133">
        <f t="shared" si="4"/>
        <v>2.0302602645311585E-2</v>
      </c>
    </row>
    <row r="18" spans="1:27">
      <c r="A18" s="126">
        <v>45371</v>
      </c>
      <c r="B18">
        <f>B32</f>
        <v>1110</v>
      </c>
      <c r="C18">
        <v>32.028799999999997</v>
      </c>
      <c r="D18">
        <f>D32</f>
        <v>321.99</v>
      </c>
      <c r="E18">
        <v>34.808799999999998</v>
      </c>
      <c r="F18" s="124">
        <v>161</v>
      </c>
      <c r="G18">
        <v>2220.92</v>
      </c>
      <c r="H18">
        <f>H32</f>
        <v>50000</v>
      </c>
      <c r="I18">
        <v>0.93470600000000004</v>
      </c>
      <c r="J18">
        <f>J32</f>
        <v>75000</v>
      </c>
      <c r="K18" s="129">
        <f t="shared" si="0"/>
        <v>0.93470600000000004</v>
      </c>
      <c r="L18" s="125">
        <f t="shared" ref="L18:L36" si="7">(F18*G18)+(B18*C18)+(D18*E18)+(T18*U18)+(H18*I18)+(R18*S18)+(V18*W18)+(X18*Y18)+(Z18*AA18)+(J18*K18)</f>
        <v>521166.42351200001</v>
      </c>
      <c r="M18">
        <v>158.47999999999999</v>
      </c>
      <c r="N18">
        <v>248342.62</v>
      </c>
      <c r="O18" s="127">
        <v>8955.1200000000008</v>
      </c>
      <c r="P18" s="133">
        <f t="shared" si="4"/>
        <v>2.8184993612594411E-3</v>
      </c>
    </row>
    <row r="19" spans="1:27">
      <c r="A19" s="126">
        <v>45370</v>
      </c>
      <c r="B19">
        <f>B32</f>
        <v>1110</v>
      </c>
      <c r="C19">
        <v>32.087800000000001</v>
      </c>
      <c r="D19">
        <f>D32</f>
        <v>321.99</v>
      </c>
      <c r="E19">
        <v>34.799100000000003</v>
      </c>
      <c r="F19" s="124">
        <v>161</v>
      </c>
      <c r="G19">
        <v>2219.02</v>
      </c>
      <c r="H19">
        <f>H32</f>
        <v>50000</v>
      </c>
      <c r="I19">
        <v>0.90033600000000003</v>
      </c>
      <c r="J19">
        <f>J32</f>
        <v>75000</v>
      </c>
      <c r="K19" s="129">
        <f t="shared" si="0"/>
        <v>0.90033600000000003</v>
      </c>
      <c r="L19" s="125">
        <f t="shared" si="7"/>
        <v>517965.56020899996</v>
      </c>
      <c r="M19">
        <v>155.59</v>
      </c>
      <c r="N19">
        <v>243803.06</v>
      </c>
      <c r="O19" s="127">
        <v>8929.8799999999992</v>
      </c>
      <c r="P19" s="133">
        <f t="shared" si="4"/>
        <v>2.3714764364134666E-2</v>
      </c>
      <c r="Z19">
        <v>68</v>
      </c>
      <c r="AA19">
        <v>19.690000000000001</v>
      </c>
    </row>
    <row r="20" spans="1:27">
      <c r="A20" s="126">
        <v>45369</v>
      </c>
      <c r="B20">
        <f>B32</f>
        <v>1110</v>
      </c>
      <c r="C20">
        <v>31.9499</v>
      </c>
      <c r="D20">
        <f>D32</f>
        <v>321.99</v>
      </c>
      <c r="E20">
        <v>34.8125</v>
      </c>
      <c r="F20" s="124">
        <v>161</v>
      </c>
      <c r="G20">
        <v>2212.35</v>
      </c>
      <c r="H20">
        <f>H32</f>
        <v>50000</v>
      </c>
      <c r="I20">
        <v>0.93887900000000002</v>
      </c>
      <c r="J20">
        <f>J32</f>
        <v>75000</v>
      </c>
      <c r="K20">
        <v>0.93887900000000002</v>
      </c>
      <c r="L20" s="125">
        <f t="shared" si="7"/>
        <v>521783.17087500001</v>
      </c>
      <c r="M20">
        <v>155.44</v>
      </c>
      <c r="N20">
        <v>247623.17</v>
      </c>
      <c r="O20" s="127">
        <v>8718.11</v>
      </c>
      <c r="P20" s="133">
        <f t="shared" si="4"/>
        <v>-1.2685088855267868E-2</v>
      </c>
      <c r="Z20">
        <v>68</v>
      </c>
      <c r="AA20">
        <v>22.96</v>
      </c>
    </row>
    <row r="21" spans="1:27">
      <c r="A21" s="126">
        <v>45366</v>
      </c>
      <c r="B21">
        <f>B32</f>
        <v>1110</v>
      </c>
      <c r="C21">
        <v>31.796299999999999</v>
      </c>
      <c r="D21">
        <f>D32</f>
        <v>321.99</v>
      </c>
      <c r="E21">
        <v>34.619700000000002</v>
      </c>
      <c r="F21" s="124">
        <v>161</v>
      </c>
      <c r="G21">
        <v>2213.54</v>
      </c>
      <c r="H21">
        <f>H32</f>
        <v>50000</v>
      </c>
      <c r="I21">
        <v>0.94838599999999995</v>
      </c>
      <c r="J21">
        <f>J32</f>
        <v>75000</v>
      </c>
      <c r="K21">
        <v>0.94838599999999995</v>
      </c>
      <c r="L21" s="125">
        <f t="shared" si="7"/>
        <v>522868.00020299997</v>
      </c>
      <c r="M21">
        <v>156.13</v>
      </c>
      <c r="N21">
        <v>248712.47</v>
      </c>
      <c r="O21" s="127">
        <v>8828.7000000000007</v>
      </c>
      <c r="P21" s="133">
        <f t="shared" si="4"/>
        <v>-6.2092946866469934E-3</v>
      </c>
      <c r="Z21">
        <v>68</v>
      </c>
      <c r="AA21">
        <v>22.04</v>
      </c>
    </row>
    <row r="22" spans="1:27">
      <c r="A22" s="126">
        <v>45365</v>
      </c>
      <c r="B22">
        <f>B32</f>
        <v>1110</v>
      </c>
      <c r="C22">
        <v>31.775700000000001</v>
      </c>
      <c r="D22">
        <f>D32</f>
        <v>321.99</v>
      </c>
      <c r="E22">
        <v>34.762500000000003</v>
      </c>
      <c r="F22" s="124">
        <v>161</v>
      </c>
      <c r="G22">
        <v>2222.88</v>
      </c>
      <c r="H22">
        <f>H32</f>
        <v>50000</v>
      </c>
      <c r="I22">
        <v>0.95100700000000005</v>
      </c>
      <c r="J22">
        <f>J32</f>
        <v>75000</v>
      </c>
      <c r="K22">
        <v>0.95100700000000005</v>
      </c>
      <c r="L22" s="125">
        <f t="shared" si="7"/>
        <v>524610.95937499998</v>
      </c>
      <c r="M22">
        <v>157.21</v>
      </c>
      <c r="N22">
        <v>250427.64</v>
      </c>
      <c r="O22" s="127">
        <v>8883.52</v>
      </c>
      <c r="P22" s="133">
        <f t="shared" si="4"/>
        <v>-3.0066910413888426E-3</v>
      </c>
      <c r="Z22">
        <v>68</v>
      </c>
      <c r="AA22">
        <v>20.399999999999999</v>
      </c>
    </row>
    <row r="23" spans="1:27">
      <c r="A23" s="126">
        <v>45364</v>
      </c>
      <c r="B23">
        <f>B32</f>
        <v>1110</v>
      </c>
      <c r="C23">
        <v>32</v>
      </c>
      <c r="D23">
        <f>D32</f>
        <v>321.99</v>
      </c>
      <c r="E23">
        <v>35</v>
      </c>
      <c r="F23" s="124">
        <v>161</v>
      </c>
      <c r="G23">
        <v>2220.3200000000002</v>
      </c>
      <c r="H23">
        <f>H32</f>
        <v>50000</v>
      </c>
      <c r="I23">
        <v>0.957233</v>
      </c>
      <c r="J23">
        <f>J32</f>
        <v>75000</v>
      </c>
      <c r="K23">
        <v>0.957233</v>
      </c>
      <c r="L23" s="125">
        <f t="shared" si="7"/>
        <v>525154.25500000012</v>
      </c>
      <c r="M23">
        <v>160.79</v>
      </c>
      <c r="N23">
        <v>250989.9</v>
      </c>
      <c r="O23" s="127">
        <v>8910.23</v>
      </c>
      <c r="P23" s="133">
        <f t="shared" si="4"/>
        <v>-1.7822211098927898E-2</v>
      </c>
      <c r="Z23">
        <v>68</v>
      </c>
      <c r="AA23">
        <v>18.22</v>
      </c>
    </row>
    <row r="24" spans="1:27">
      <c r="A24" s="126">
        <v>45363</v>
      </c>
      <c r="B24">
        <f>B32</f>
        <v>1110</v>
      </c>
      <c r="C24">
        <v>31.516400000000001</v>
      </c>
      <c r="D24">
        <f>D32</f>
        <v>321.99</v>
      </c>
      <c r="E24">
        <v>34.463200000000001</v>
      </c>
      <c r="F24" s="124">
        <v>161</v>
      </c>
      <c r="G24">
        <v>2220.3200000000002</v>
      </c>
      <c r="H24">
        <f>H32</f>
        <v>50000</v>
      </c>
      <c r="I24">
        <v>0.979213</v>
      </c>
      <c r="J24">
        <f>J32</f>
        <v>75000</v>
      </c>
      <c r="K24">
        <v>0.979213</v>
      </c>
      <c r="L24" s="125">
        <f t="shared" si="7"/>
        <v>527079.91476800013</v>
      </c>
      <c r="M24">
        <v>161.94999999999999</v>
      </c>
      <c r="N24">
        <v>252645.61</v>
      </c>
      <c r="O24" s="127">
        <v>9069.0300000000007</v>
      </c>
      <c r="P24" s="133">
        <f t="shared" si="4"/>
        <v>-6.8684302510850781E-3</v>
      </c>
      <c r="Z24">
        <v>68</v>
      </c>
      <c r="AA24">
        <v>16.57</v>
      </c>
    </row>
    <row r="25" spans="1:27">
      <c r="A25" s="126">
        <v>45362</v>
      </c>
      <c r="B25">
        <f>B32</f>
        <v>1110</v>
      </c>
      <c r="C25">
        <v>31.571400000000001</v>
      </c>
      <c r="D25">
        <f>D32</f>
        <v>321.99</v>
      </c>
      <c r="E25">
        <v>34.558100000000003</v>
      </c>
      <c r="F25" s="124">
        <v>161</v>
      </c>
      <c r="G25">
        <v>2232.66</v>
      </c>
      <c r="H25">
        <f>H32</f>
        <v>50000</v>
      </c>
      <c r="I25">
        <v>0.99851990000000002</v>
      </c>
      <c r="J25">
        <f>J32</f>
        <v>75000</v>
      </c>
      <c r="K25">
        <v>0.99851990000000002</v>
      </c>
      <c r="L25" s="125">
        <f t="shared" si="7"/>
        <v>532801.83411900001</v>
      </c>
      <c r="M25">
        <v>164.91</v>
      </c>
      <c r="N25">
        <v>257088.48</v>
      </c>
      <c r="O25" s="127">
        <v>9131.32</v>
      </c>
      <c r="P25" s="133">
        <f t="shared" si="4"/>
        <v>-2.6283166070184549E-3</v>
      </c>
      <c r="V25">
        <v>12</v>
      </c>
      <c r="W25">
        <v>41.58</v>
      </c>
      <c r="X25">
        <f>X32</f>
        <v>15</v>
      </c>
      <c r="Y25">
        <v>55.55</v>
      </c>
      <c r="Z25">
        <v>68</v>
      </c>
      <c r="AA25">
        <v>15.07</v>
      </c>
    </row>
    <row r="26" spans="1:27">
      <c r="A26" s="126">
        <v>45359</v>
      </c>
      <c r="B26">
        <f>B32</f>
        <v>1110</v>
      </c>
      <c r="C26">
        <v>31.402999999999999</v>
      </c>
      <c r="D26">
        <f>D32</f>
        <v>321.99</v>
      </c>
      <c r="E26">
        <v>34.3643</v>
      </c>
      <c r="F26" s="124">
        <v>161</v>
      </c>
      <c r="G26">
        <v>2198.16</v>
      </c>
      <c r="H26">
        <f>H32</f>
        <v>50000</v>
      </c>
      <c r="I26">
        <v>0.99115900000000001</v>
      </c>
      <c r="J26">
        <f>J32</f>
        <v>75000</v>
      </c>
      <c r="K26">
        <v>0.99115900000000001</v>
      </c>
      <c r="L26" s="125">
        <f t="shared" si="7"/>
        <v>525972.37595699995</v>
      </c>
      <c r="M26">
        <v>160.9</v>
      </c>
      <c r="O26" s="127">
        <v>9155.32</v>
      </c>
      <c r="P26" s="133">
        <f t="shared" si="4"/>
        <v>1.1047128882442081E-2</v>
      </c>
      <c r="V26">
        <v>12</v>
      </c>
      <c r="W26">
        <v>37.799999999999997</v>
      </c>
      <c r="X26">
        <f>X32</f>
        <v>15</v>
      </c>
      <c r="Y26">
        <v>57.75</v>
      </c>
      <c r="Z26">
        <v>68</v>
      </c>
      <c r="AA26">
        <v>13.7</v>
      </c>
    </row>
    <row r="27" spans="1:27">
      <c r="A27" s="126">
        <v>45358</v>
      </c>
      <c r="B27">
        <f>B32</f>
        <v>1110</v>
      </c>
      <c r="C27">
        <v>31.297000000000001</v>
      </c>
      <c r="D27">
        <f>D32</f>
        <v>321.99</v>
      </c>
      <c r="E27">
        <v>34.110599999999998</v>
      </c>
      <c r="F27" s="124">
        <v>161</v>
      </c>
      <c r="G27">
        <v>2184.79</v>
      </c>
      <c r="H27">
        <f>H32</f>
        <v>50000</v>
      </c>
      <c r="I27">
        <v>0.945214</v>
      </c>
      <c r="J27">
        <f>J32</f>
        <v>75000</v>
      </c>
      <c r="K27">
        <v>0.945214</v>
      </c>
      <c r="L27" s="125">
        <f t="shared" si="7"/>
        <v>517832.22209400003</v>
      </c>
      <c r="M27">
        <v>155.75</v>
      </c>
      <c r="O27" s="127">
        <v>9054.18</v>
      </c>
      <c r="P27" s="133">
        <f t="shared" si="4"/>
        <v>3.4194151209717583E-2</v>
      </c>
      <c r="V27">
        <v>12</v>
      </c>
      <c r="W27">
        <v>34.380000000000003</v>
      </c>
      <c r="X27">
        <f>X32</f>
        <v>15</v>
      </c>
      <c r="Y27">
        <v>63.1</v>
      </c>
      <c r="Z27">
        <v>68</v>
      </c>
      <c r="AA27">
        <v>12.46</v>
      </c>
    </row>
    <row r="28" spans="1:27">
      <c r="A28" s="126">
        <v>45357</v>
      </c>
      <c r="B28">
        <f>B32</f>
        <v>1110</v>
      </c>
      <c r="C28">
        <v>31.293399999999998</v>
      </c>
      <c r="D28">
        <f>D32</f>
        <v>321.99</v>
      </c>
      <c r="E28">
        <v>34.006500000000003</v>
      </c>
      <c r="F28" s="124">
        <v>161</v>
      </c>
      <c r="G28">
        <v>2150.9</v>
      </c>
      <c r="H28">
        <f>H32</f>
        <v>50000</v>
      </c>
      <c r="I28">
        <v>0.99397100000000005</v>
      </c>
      <c r="J28">
        <f>J32</f>
        <v>75000</v>
      </c>
      <c r="K28">
        <v>0.99397100000000005</v>
      </c>
      <c r="L28" s="125">
        <f t="shared" si="7"/>
        <v>551296.63907100004</v>
      </c>
      <c r="M28">
        <v>156.16</v>
      </c>
      <c r="O28" s="127">
        <v>8744.58</v>
      </c>
      <c r="P28" s="133">
        <f t="shared" si="4"/>
        <v>-1.3258498407013208E-2</v>
      </c>
      <c r="T28">
        <f>T32</f>
        <v>57</v>
      </c>
      <c r="U28">
        <v>580.05924800000003</v>
      </c>
      <c r="V28">
        <v>12</v>
      </c>
      <c r="W28">
        <v>31.26</v>
      </c>
      <c r="X28">
        <f>X32</f>
        <v>15</v>
      </c>
      <c r="Y28">
        <v>57.4</v>
      </c>
      <c r="Z28">
        <v>68</v>
      </c>
      <c r="AA28">
        <v>11.33</v>
      </c>
    </row>
    <row r="29" spans="1:27">
      <c r="A29" s="126">
        <v>45356</v>
      </c>
      <c r="B29">
        <f>B32</f>
        <v>1110</v>
      </c>
      <c r="C29">
        <v>31.079899999999999</v>
      </c>
      <c r="D29">
        <f>D32</f>
        <v>321.99</v>
      </c>
      <c r="E29">
        <v>33.721699999999998</v>
      </c>
      <c r="F29" s="124">
        <v>161</v>
      </c>
      <c r="G29">
        <v>2116.34</v>
      </c>
      <c r="H29">
        <f>H32</f>
        <v>50000</v>
      </c>
      <c r="I29">
        <v>1.0160309999999999</v>
      </c>
      <c r="J29">
        <f>J32</f>
        <v>75000</v>
      </c>
      <c r="K29">
        <v>1.0160309999999999</v>
      </c>
      <c r="L29" s="125">
        <f t="shared" si="7"/>
        <v>549382.85210899997</v>
      </c>
      <c r="M29">
        <v>154.22999999999999</v>
      </c>
      <c r="O29" s="127">
        <v>8860.52</v>
      </c>
      <c r="P29" s="133">
        <f t="shared" ref="P29:P36" si="8">(1-(O30/O29))</f>
        <v>-5.319100910555985E-3</v>
      </c>
      <c r="R29">
        <f>R32</f>
        <v>36</v>
      </c>
      <c r="S29" s="134">
        <v>38.15</v>
      </c>
      <c r="T29">
        <f>T32</f>
        <v>57</v>
      </c>
      <c r="U29">
        <v>579.361718</v>
      </c>
      <c r="V29">
        <f>V32</f>
        <v>12</v>
      </c>
      <c r="W29">
        <v>28.42</v>
      </c>
      <c r="X29">
        <f>X32</f>
        <v>15</v>
      </c>
      <c r="Y29">
        <v>52.2</v>
      </c>
      <c r="Z29">
        <v>68</v>
      </c>
      <c r="AA29">
        <v>11.33</v>
      </c>
    </row>
    <row r="30" spans="1:27">
      <c r="A30" s="126">
        <v>45355</v>
      </c>
      <c r="B30">
        <f>B32</f>
        <v>1110</v>
      </c>
      <c r="C30">
        <v>30.905999999999999</v>
      </c>
      <c r="D30">
        <f>D32</f>
        <v>321.99</v>
      </c>
      <c r="E30">
        <v>33.542299999999997</v>
      </c>
      <c r="F30" s="124">
        <v>161</v>
      </c>
      <c r="G30">
        <v>2072.52</v>
      </c>
      <c r="H30">
        <f>H32</f>
        <v>50000</v>
      </c>
      <c r="I30">
        <v>1.041954</v>
      </c>
      <c r="J30">
        <f>J32</f>
        <v>75000</v>
      </c>
      <c r="K30">
        <v>1.041954</v>
      </c>
      <c r="L30" s="125">
        <f t="shared" si="7"/>
        <v>545049.74954800005</v>
      </c>
      <c r="O30" s="127">
        <v>8907.65</v>
      </c>
      <c r="P30" s="133">
        <f t="shared" si="8"/>
        <v>-2.1273848882702007E-2</v>
      </c>
      <c r="R30">
        <f>R32</f>
        <v>36</v>
      </c>
      <c r="S30">
        <v>34.659999999999997</v>
      </c>
      <c r="T30">
        <f>T32</f>
        <v>57</v>
      </c>
      <c r="U30">
        <v>578.66060300000004</v>
      </c>
      <c r="V30">
        <f>V32</f>
        <v>12</v>
      </c>
      <c r="W30">
        <v>25.84</v>
      </c>
      <c r="X30">
        <f>X32</f>
        <v>15</v>
      </c>
      <c r="Y30">
        <v>47.46</v>
      </c>
      <c r="Z30">
        <v>68</v>
      </c>
      <c r="AA30">
        <v>11.33</v>
      </c>
    </row>
    <row r="31" spans="1:27">
      <c r="A31" s="126">
        <v>45352</v>
      </c>
      <c r="B31">
        <f>B32</f>
        <v>1110</v>
      </c>
      <c r="C31">
        <v>30.7361</v>
      </c>
      <c r="D31">
        <f>D32</f>
        <v>321.99</v>
      </c>
      <c r="E31">
        <v>33.225700000000003</v>
      </c>
      <c r="F31" s="124">
        <v>161</v>
      </c>
      <c r="G31">
        <v>2018.91</v>
      </c>
      <c r="H31">
        <f>H32</f>
        <v>50000</v>
      </c>
      <c r="I31">
        <v>1.034036</v>
      </c>
      <c r="J31">
        <f>J32</f>
        <v>75000</v>
      </c>
      <c r="K31">
        <v>1.034036</v>
      </c>
      <c r="L31" s="125">
        <f t="shared" si="7"/>
        <v>534814.50418999989</v>
      </c>
      <c r="O31" s="127">
        <v>9097.15</v>
      </c>
      <c r="P31" s="133">
        <f t="shared" si="8"/>
        <v>-1.0612114783201454E-2</v>
      </c>
      <c r="R31">
        <f>R32</f>
        <v>36</v>
      </c>
      <c r="S31">
        <v>31.52</v>
      </c>
      <c r="T31">
        <f>T32</f>
        <v>57</v>
      </c>
      <c r="U31">
        <v>576.58807100000001</v>
      </c>
      <c r="V31">
        <f>V32</f>
        <v>12</v>
      </c>
      <c r="W31">
        <v>23.5</v>
      </c>
      <c r="X31">
        <f>X32</f>
        <v>15</v>
      </c>
      <c r="Y31">
        <v>43.16</v>
      </c>
      <c r="Z31">
        <v>68</v>
      </c>
      <c r="AA31">
        <v>11.33</v>
      </c>
    </row>
    <row r="32" spans="1:27">
      <c r="A32" s="126">
        <v>45351</v>
      </c>
      <c r="B32">
        <f>B33</f>
        <v>1110</v>
      </c>
      <c r="C32">
        <v>30.7361</v>
      </c>
      <c r="D32">
        <f>D33</f>
        <v>321.99</v>
      </c>
      <c r="E32">
        <v>33.225700000000003</v>
      </c>
      <c r="F32" s="124">
        <v>161</v>
      </c>
      <c r="G32">
        <v>2018.91</v>
      </c>
      <c r="H32">
        <f>H33</f>
        <v>50000</v>
      </c>
      <c r="I32">
        <v>1.010337</v>
      </c>
      <c r="J32">
        <f>J33</f>
        <v>75000</v>
      </c>
      <c r="K32">
        <v>1.010337</v>
      </c>
      <c r="L32" s="125">
        <f t="shared" si="7"/>
        <v>530894.48918999988</v>
      </c>
      <c r="O32" s="127">
        <v>9193.69</v>
      </c>
      <c r="P32" s="133">
        <f t="shared" si="8"/>
        <v>1.428479750785594E-2</v>
      </c>
      <c r="R32">
        <f>R33</f>
        <v>36</v>
      </c>
      <c r="S32">
        <v>28.66</v>
      </c>
      <c r="T32">
        <f>T33</f>
        <v>57</v>
      </c>
      <c r="U32">
        <v>576.58807100000001</v>
      </c>
      <c r="V32">
        <f>V33</f>
        <v>12</v>
      </c>
      <c r="W32">
        <v>21.38</v>
      </c>
      <c r="X32">
        <v>15</v>
      </c>
      <c r="Y32">
        <v>39.24</v>
      </c>
    </row>
    <row r="33" spans="1:27">
      <c r="A33" s="126">
        <v>45350</v>
      </c>
      <c r="B33">
        <v>1110</v>
      </c>
      <c r="C33">
        <v>30.7361</v>
      </c>
      <c r="D33">
        <v>321.99</v>
      </c>
      <c r="E33">
        <v>33.225700000000003</v>
      </c>
      <c r="F33" s="124">
        <v>161</v>
      </c>
      <c r="G33">
        <v>2018.91</v>
      </c>
      <c r="H33">
        <f>H34</f>
        <v>50000</v>
      </c>
      <c r="I33">
        <v>1.067704</v>
      </c>
      <c r="J33">
        <f>J34</f>
        <v>75000</v>
      </c>
      <c r="K33">
        <v>1.067704</v>
      </c>
      <c r="L33" s="125">
        <f t="shared" si="7"/>
        <v>537360.00419000001</v>
      </c>
      <c r="O33" s="127">
        <v>9062.36</v>
      </c>
      <c r="P33" s="133">
        <f t="shared" si="8"/>
        <v>-1.292378585710563E-2</v>
      </c>
      <c r="R33">
        <f>R34</f>
        <v>36</v>
      </c>
      <c r="S33">
        <v>26.06</v>
      </c>
      <c r="T33">
        <v>57</v>
      </c>
      <c r="U33">
        <v>576.58807100000001</v>
      </c>
      <c r="V33">
        <v>12</v>
      </c>
      <c r="W33">
        <v>19.45</v>
      </c>
    </row>
    <row r="34" spans="1:27">
      <c r="A34" s="126">
        <v>45349</v>
      </c>
      <c r="B34">
        <v>1110</v>
      </c>
      <c r="C34">
        <v>30.7361</v>
      </c>
      <c r="D34">
        <v>321.99</v>
      </c>
      <c r="E34">
        <v>33.225700000000003</v>
      </c>
      <c r="F34" s="124">
        <v>161</v>
      </c>
      <c r="G34">
        <v>2018.91</v>
      </c>
      <c r="H34">
        <f>H35</f>
        <v>50000</v>
      </c>
      <c r="I34">
        <v>1.064435</v>
      </c>
      <c r="J34">
        <v>75000</v>
      </c>
      <c r="K34">
        <v>1.064435</v>
      </c>
      <c r="L34" s="125">
        <f t="shared" si="7"/>
        <v>536633.0191899999</v>
      </c>
      <c r="O34" s="127">
        <v>9179.48</v>
      </c>
      <c r="P34" s="133">
        <f t="shared" si="8"/>
        <v>-1.6847359545420826E-2</v>
      </c>
      <c r="R34">
        <v>36</v>
      </c>
      <c r="S34">
        <v>23.7</v>
      </c>
      <c r="T34">
        <v>57</v>
      </c>
      <c r="U34">
        <v>576.58807100000001</v>
      </c>
    </row>
    <row r="35" spans="1:27">
      <c r="A35" s="126">
        <v>45348</v>
      </c>
      <c r="B35">
        <v>1110</v>
      </c>
      <c r="C35">
        <v>30.7361</v>
      </c>
      <c r="D35">
        <v>321.99</v>
      </c>
      <c r="E35">
        <v>33.225700000000003</v>
      </c>
      <c r="F35" s="124">
        <v>161</v>
      </c>
      <c r="G35">
        <v>2018.91</v>
      </c>
      <c r="H35">
        <f>H36</f>
        <v>50000</v>
      </c>
      <c r="I35">
        <v>1.0192399999999999</v>
      </c>
      <c r="K35">
        <v>1.0192399999999999</v>
      </c>
      <c r="L35" s="125">
        <f t="shared" si="7"/>
        <v>454463.60418999993</v>
      </c>
      <c r="O35" s="127">
        <v>9334.1299999999992</v>
      </c>
      <c r="P35" s="133">
        <f t="shared" si="8"/>
        <v>-4.2928478604864484E-3</v>
      </c>
      <c r="R35">
        <v>36</v>
      </c>
      <c r="S35">
        <v>21.56</v>
      </c>
      <c r="T35">
        <v>57</v>
      </c>
      <c r="U35">
        <v>576.58807100000001</v>
      </c>
    </row>
    <row r="36" spans="1:27">
      <c r="A36" s="126">
        <v>45345</v>
      </c>
      <c r="B36">
        <v>1110</v>
      </c>
      <c r="C36">
        <v>30.7361</v>
      </c>
      <c r="D36">
        <v>321.99</v>
      </c>
      <c r="E36">
        <v>33.225700000000003</v>
      </c>
      <c r="F36" s="124">
        <v>161</v>
      </c>
      <c r="G36">
        <v>2018.91</v>
      </c>
      <c r="H36">
        <v>50000</v>
      </c>
      <c r="I36">
        <v>1.0032049999999999</v>
      </c>
      <c r="K36">
        <v>1.0032049999999999</v>
      </c>
      <c r="L36" s="125">
        <f t="shared" si="7"/>
        <v>453591.29418999993</v>
      </c>
      <c r="O36" s="127">
        <v>9374.2000000000007</v>
      </c>
      <c r="P36" s="133">
        <f t="shared" si="8"/>
        <v>2.8834460540633211E-3</v>
      </c>
      <c r="R36">
        <v>36</v>
      </c>
      <c r="S36">
        <v>19.600000000000001</v>
      </c>
      <c r="T36">
        <v>57</v>
      </c>
      <c r="U36">
        <v>576.58807100000001</v>
      </c>
    </row>
    <row r="37" spans="1:27">
      <c r="I37">
        <v>0.97160999999999997</v>
      </c>
      <c r="K37">
        <v>0.97160999999999997</v>
      </c>
      <c r="O37" s="127">
        <v>9347.17</v>
      </c>
      <c r="R37">
        <v>36</v>
      </c>
      <c r="S37">
        <v>17.82</v>
      </c>
    </row>
    <row r="38" spans="1:27">
      <c r="I38">
        <v>0.93849000000000005</v>
      </c>
      <c r="K38">
        <v>0.93849000000000005</v>
      </c>
      <c r="R38">
        <v>36</v>
      </c>
      <c r="S38" s="135">
        <v>15.3</v>
      </c>
      <c r="W38" s="135">
        <f>W33</f>
        <v>19.45</v>
      </c>
      <c r="Y38" s="135">
        <f>Y32</f>
        <v>39.24</v>
      </c>
      <c r="AA38" s="135">
        <f>AA31</f>
        <v>11.33</v>
      </c>
    </row>
    <row r="39" spans="1:27">
      <c r="I39">
        <v>0.91198999999999997</v>
      </c>
      <c r="K39">
        <v>0.91198999999999997</v>
      </c>
      <c r="P39" s="136">
        <f>SUM(P6:P38)</f>
        <v>-8.0383270377764271E-2</v>
      </c>
      <c r="S39" s="135" t="s">
        <v>60</v>
      </c>
      <c r="W39" s="135" t="s">
        <v>60</v>
      </c>
      <c r="Y39" s="135" t="s">
        <v>60</v>
      </c>
      <c r="AA39" s="135" t="s">
        <v>60</v>
      </c>
    </row>
    <row r="40" spans="1:27">
      <c r="I40">
        <v>0.90268000000000004</v>
      </c>
      <c r="K40">
        <v>0.90268000000000004</v>
      </c>
      <c r="S40" s="137" t="s">
        <v>61</v>
      </c>
      <c r="W40" s="137" t="s">
        <v>61</v>
      </c>
      <c r="Y40" s="137" t="s">
        <v>61</v>
      </c>
      <c r="AA40" s="137" t="s">
        <v>61</v>
      </c>
    </row>
    <row r="41" spans="1:27">
      <c r="I41">
        <v>0.89847999999999995</v>
      </c>
      <c r="K41">
        <v>0.89847999999999995</v>
      </c>
      <c r="R41" t="s">
        <v>62</v>
      </c>
      <c r="S41" s="137">
        <v>38</v>
      </c>
      <c r="W41" s="137">
        <v>45.72</v>
      </c>
      <c r="Y41" s="137">
        <v>55.5</v>
      </c>
      <c r="AA41" s="137">
        <f>AA2</f>
        <v>19.690000000000001</v>
      </c>
    </row>
    <row r="42" spans="1:27">
      <c r="I42">
        <v>0.88783999999999996</v>
      </c>
      <c r="K42">
        <v>0.88783999999999996</v>
      </c>
      <c r="S42" s="138">
        <f>Sayfa2!M42</f>
        <v>1.3456790123456792</v>
      </c>
      <c r="W42" s="138">
        <f>(W41-W33)/W33</f>
        <v>1.3506426735218509</v>
      </c>
      <c r="Y42" s="138">
        <f>(Y41-Y32)/Y32</f>
        <v>0.41437308868501521</v>
      </c>
      <c r="AA42" s="138">
        <f>(AA41-AA31)/AA31</f>
        <v>0.73786407766990303</v>
      </c>
    </row>
    <row r="43" spans="1:27">
      <c r="I43">
        <v>0.86724999999999997</v>
      </c>
      <c r="K43">
        <v>0.86724999999999997</v>
      </c>
    </row>
    <row r="44" spans="1:27">
      <c r="R44" s="139" t="s">
        <v>63</v>
      </c>
      <c r="S44" s="139">
        <f>(38*36)-(36*16.2)</f>
        <v>784.80000000000007</v>
      </c>
      <c r="V44" s="139" t="s">
        <v>63</v>
      </c>
      <c r="W44" s="139">
        <f>(V33*W41)-(V6*W33)</f>
        <v>548.64</v>
      </c>
      <c r="X44" s="139" t="s">
        <v>63</v>
      </c>
      <c r="Y44" s="139">
        <f>(X32*Y41)-(X6*Y32)</f>
        <v>832.5</v>
      </c>
      <c r="AA44" s="139">
        <f>(Z31*AA41)-(Z19*AA31)</f>
        <v>568.48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tabSelected="1" zoomScale="160" zoomScaleNormal="160" workbookViewId="0">
      <selection activeCell="B6" sqref="B6"/>
    </sheetView>
  </sheetViews>
  <sheetFormatPr defaultColWidth="8.7109375" defaultRowHeight="12.75"/>
  <cols>
    <col min="2" max="2" width="9.28515625" style="140" customWidth="1"/>
    <col min="3" max="3" width="8.85546875" style="124" customWidth="1"/>
    <col min="4" max="4" width="11.5703125" style="127" customWidth="1"/>
    <col min="5" max="5" width="13.140625" style="127" customWidth="1"/>
    <col min="6" max="6" width="9.42578125" style="127" customWidth="1"/>
    <col min="7" max="7" width="8.42578125" style="140" customWidth="1"/>
    <col min="8" max="8" width="12.7109375" style="140" customWidth="1"/>
    <col min="9" max="9" width="11" style="140" customWidth="1"/>
    <col min="10" max="10" width="9.140625" style="140" customWidth="1"/>
    <col min="11" max="11" width="9.42578125" style="127" customWidth="1"/>
    <col min="12" max="12" width="10.5703125" style="140" customWidth="1"/>
    <col min="13" max="13" width="12.140625" style="127" customWidth="1"/>
    <col min="14" max="14" width="9.140625" style="127" customWidth="1"/>
    <col min="15" max="19" width="9.140625" style="140" customWidth="1"/>
  </cols>
  <sheetData>
    <row r="1" spans="1:24" s="124" customFormat="1">
      <c r="D1" s="127"/>
      <c r="E1" s="127"/>
      <c r="F1" s="127"/>
      <c r="K1" s="127"/>
      <c r="M1" s="127"/>
      <c r="N1" s="127"/>
    </row>
    <row r="2" spans="1:24" s="124" customFormat="1">
      <c r="B2" s="124" t="s">
        <v>64</v>
      </c>
      <c r="N2" s="127"/>
    </row>
    <row r="3" spans="1:24" s="124" customFormat="1">
      <c r="N3" s="127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45386</v>
      </c>
      <c r="C5" s="3"/>
      <c r="D5" s="1"/>
      <c r="E5" s="4"/>
      <c r="F5" s="2"/>
      <c r="G5" s="3"/>
      <c r="H5" s="5"/>
      <c r="I5" s="6"/>
      <c r="J5" s="3"/>
      <c r="K5" s="14">
        <f>SUM(K8:K9)</f>
        <v>-93.623499999999808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113</v>
      </c>
      <c r="C7" s="3"/>
      <c r="D7" s="141" t="s">
        <v>65</v>
      </c>
      <c r="E7" s="38">
        <f ca="1">SUM(E7:E9)</f>
        <v>6960.2875000000004</v>
      </c>
      <c r="F7" s="2"/>
      <c r="G7" s="3"/>
      <c r="H7" s="5"/>
      <c r="I7" s="38" t="e">
        <f ca="1">SUM(I7:I9)</f>
        <v>#VALUE!</v>
      </c>
      <c r="J7" s="3"/>
      <c r="K7" s="38">
        <f>SUM(K8:K9)</f>
        <v>-93.623499999999808</v>
      </c>
      <c r="L7" s="44">
        <f ca="1">K7/E7</f>
        <v>-2.4410126736862402E-2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>
        <f>K5/B7</f>
        <v>-0.8285265486725647</v>
      </c>
      <c r="C8" s="3"/>
      <c r="D8" s="141" t="s">
        <v>3</v>
      </c>
      <c r="E8" s="43">
        <f>SUBTOTAL(109,E13:E20)</f>
        <v>5997.08</v>
      </c>
      <c r="F8" s="2"/>
      <c r="G8" s="3"/>
      <c r="H8" s="5"/>
      <c r="I8" s="43">
        <f>SUBTOTAL(109,I13:I20)</f>
        <v>5337.7865000000002</v>
      </c>
      <c r="J8" s="3"/>
      <c r="K8" s="142">
        <f>SUBTOTAL(109,K13:K20)</f>
        <v>-659.29349999999999</v>
      </c>
      <c r="L8" s="44">
        <f>K8/E8</f>
        <v>-0.10993575206600546</v>
      </c>
      <c r="M8" s="68">
        <f>SUBTOTAL(101,M13:M19)</f>
        <v>-8.5232462411149845E-2</v>
      </c>
      <c r="N8" s="68">
        <f>SUBTOTAL(101,N13:N19)</f>
        <v>-4.4352580264858388E-2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43" t="s">
        <v>4</v>
      </c>
      <c r="E9" s="116">
        <f>SUBTOTAL(109,E23:E32)</f>
        <v>770.44</v>
      </c>
      <c r="F9" s="13"/>
      <c r="G9" s="49"/>
      <c r="H9" s="103"/>
      <c r="I9" s="51">
        <f>SUBTOTAL(109,I23:I32)</f>
        <v>1338.92</v>
      </c>
      <c r="J9" s="49"/>
      <c r="K9" s="142">
        <f>SUBTOTAL(109,K23:K31)</f>
        <v>565.67000000000019</v>
      </c>
      <c r="L9" s="144">
        <f>K9/E9</f>
        <v>0.73421681117283644</v>
      </c>
      <c r="M9" s="145"/>
      <c r="N9" s="146">
        <f>L9/(B7/30)</f>
        <v>0.19492481712553181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7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7" t="s">
        <v>3</v>
      </c>
      <c r="O14" s="148">
        <f>SUM(O15:O18)</f>
        <v>-659.29349999999999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21" t="s">
        <v>66</v>
      </c>
      <c r="B16" s="119">
        <v>45273</v>
      </c>
      <c r="C16" s="120">
        <v>26</v>
      </c>
      <c r="D16" s="121">
        <v>55.08</v>
      </c>
      <c r="E16" s="62">
        <f>Tablo23[[#This Row],[adet]]*Tablo23[[#This Row],[birim fiyat]]</f>
        <v>1432.08</v>
      </c>
      <c r="F16" s="2">
        <f>B5</f>
        <v>45386</v>
      </c>
      <c r="G16" s="46">
        <v>26</v>
      </c>
      <c r="H16" s="1">
        <v>47.3</v>
      </c>
      <c r="I16" s="51">
        <f>Tablo23[[#This Row],[Fiyat]]*Tablo23[[#This Row],[Miktar]]</f>
        <v>1229.8</v>
      </c>
      <c r="J16" s="116">
        <f>H16-D16</f>
        <v>-7.7800000000000011</v>
      </c>
      <c r="K16" s="66">
        <f>Tablo23[[#This Row],[Miktar3]]*Tablo23[[#This Row],[adet]]</f>
        <v>-202.28000000000003</v>
      </c>
      <c r="L16" s="67">
        <f>F16-B16</f>
        <v>113</v>
      </c>
      <c r="M16" s="68">
        <f>K16/E16</f>
        <v>-0.14124909222948442</v>
      </c>
      <c r="N16" s="68">
        <f>M16/L16*30</f>
        <v>-3.7499758998978165E-2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67</v>
      </c>
      <c r="B17" s="2">
        <v>45273</v>
      </c>
      <c r="C17" s="46">
        <v>9</v>
      </c>
      <c r="D17" s="47">
        <v>130</v>
      </c>
      <c r="E17" s="62">
        <f>Tablo23[[#This Row],[adet]]*Tablo23[[#This Row],[birim fiyat]]</f>
        <v>1170</v>
      </c>
      <c r="F17" s="63">
        <f>$B$5</f>
        <v>45386</v>
      </c>
      <c r="G17" s="64">
        <v>9</v>
      </c>
      <c r="H17" s="65">
        <v>134</v>
      </c>
      <c r="I17" s="51">
        <f>Tablo23[[#This Row],[Fiyat]]*Tablo23[[#This Row],[Miktar]]</f>
        <v>1206</v>
      </c>
      <c r="J17" s="46">
        <f>H17-D17</f>
        <v>4</v>
      </c>
      <c r="K17" s="66">
        <f>Tablo23[[#This Row],[Miktar3]]*Tablo23[[#This Row],[adet]]</f>
        <v>36</v>
      </c>
      <c r="L17" s="67">
        <f>F17-B17</f>
        <v>113</v>
      </c>
      <c r="M17" s="68">
        <f>K17/E17</f>
        <v>3.0769230769230771E-2</v>
      </c>
      <c r="N17" s="68">
        <f>M17/L17*30</f>
        <v>8.168822328114363E-3</v>
      </c>
      <c r="O17" s="69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23</v>
      </c>
      <c r="B18" s="2">
        <v>45344</v>
      </c>
      <c r="C18" s="46">
        <v>3500</v>
      </c>
      <c r="D18" s="47">
        <v>0.97</v>
      </c>
      <c r="E18" s="62">
        <f>Tablo23[[#This Row],[adet]]*Tablo23[[#This Row],[birim fiyat]]</f>
        <v>3395</v>
      </c>
      <c r="F18" s="63">
        <f>B5</f>
        <v>45386</v>
      </c>
      <c r="G18" s="64">
        <v>3500</v>
      </c>
      <c r="H18" s="65">
        <f>Sayfa4!K6</f>
        <v>0.82913899999999996</v>
      </c>
      <c r="I18" s="51">
        <f>Tablo23[[#This Row],[Fiyat]]*Tablo23[[#This Row],[Miktar]]</f>
        <v>2901.9865</v>
      </c>
      <c r="J18" s="46">
        <f>H18-D18</f>
        <v>-0.14086100000000001</v>
      </c>
      <c r="K18" s="66">
        <f>Tablo23[[#This Row],[Miktar3]]*Tablo23[[#This Row],[adet]]</f>
        <v>-493.01350000000002</v>
      </c>
      <c r="L18" s="67">
        <f>F18-B18</f>
        <v>42</v>
      </c>
      <c r="M18" s="68">
        <f>K18/E18</f>
        <v>-0.14521752577319588</v>
      </c>
      <c r="N18" s="68">
        <f>M18/L18*30</f>
        <v>-0.10372680412371135</v>
      </c>
      <c r="O18" s="70">
        <f>SUM(K15:K18)</f>
        <v>-659.29349999999999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8"/>
      <c r="N19" s="68"/>
      <c r="O19" s="69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6"/>
      <c r="F20" s="98"/>
      <c r="G20" s="101"/>
      <c r="H20" s="102"/>
      <c r="I20" s="51"/>
      <c r="J20" s="52"/>
      <c r="K20" s="1"/>
      <c r="L20" s="1"/>
      <c r="M20" s="68"/>
      <c r="N20" s="68"/>
      <c r="O20" s="1"/>
      <c r="P20" s="1"/>
      <c r="Q20" s="1"/>
      <c r="R20" s="68"/>
      <c r="S20" s="1"/>
      <c r="T20" s="1"/>
      <c r="U20" s="1"/>
      <c r="V20" s="1"/>
      <c r="W20" s="1"/>
      <c r="X20" s="1"/>
    </row>
    <row r="21" spans="1:24">
      <c r="A21" s="149"/>
      <c r="B21" s="150"/>
      <c r="C21" s="151"/>
      <c r="D21" s="149"/>
      <c r="E21" s="152"/>
      <c r="F21" s="153"/>
      <c r="G21" s="154"/>
      <c r="H21" s="155"/>
      <c r="I21" s="6"/>
      <c r="J21" s="151"/>
      <c r="K21" s="149"/>
      <c r="L21" s="149"/>
      <c r="M21" s="156" t="s">
        <v>4</v>
      </c>
      <c r="N21" s="157" t="s">
        <v>27</v>
      </c>
      <c r="O21" s="148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97"/>
      <c r="F22" s="98"/>
      <c r="G22" s="99"/>
      <c r="H22" s="100"/>
      <c r="I22" s="6"/>
      <c r="J22" s="3"/>
      <c r="K22" s="1"/>
      <c r="L22" s="1"/>
      <c r="M22" s="68"/>
      <c r="N22" s="68"/>
      <c r="O22" s="69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6" t="s">
        <v>4</v>
      </c>
      <c r="B23" s="2"/>
      <c r="C23" s="52"/>
      <c r="D23" s="1"/>
      <c r="E23" s="97"/>
      <c r="F23" s="98"/>
      <c r="G23" s="99"/>
      <c r="H23" s="100"/>
      <c r="I23" s="6"/>
      <c r="J23" s="3"/>
      <c r="K23" s="6"/>
      <c r="L23" s="1"/>
      <c r="M23" s="68"/>
      <c r="N23" s="68"/>
      <c r="O23" s="69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97"/>
      <c r="F24" s="98"/>
      <c r="G24" s="99"/>
      <c r="H24" s="100"/>
      <c r="I24" s="6"/>
      <c r="J24" s="3"/>
      <c r="K24" s="6"/>
      <c r="L24" s="1"/>
      <c r="M24" s="68"/>
      <c r="N24" s="68"/>
      <c r="O24" s="69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9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9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30</v>
      </c>
      <c r="B27" s="2">
        <v>45350</v>
      </c>
      <c r="C27" s="46">
        <v>68</v>
      </c>
      <c r="D27" s="47">
        <v>11.33</v>
      </c>
      <c r="E27" s="62">
        <f>Tablo23[[#This Row],[adet]]*Tablo23[[#This Row],[birim fiyat]]</f>
        <v>770.44</v>
      </c>
      <c r="F27" s="63">
        <v>45370</v>
      </c>
      <c r="G27" s="64">
        <v>68</v>
      </c>
      <c r="H27" s="65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6">
        <f>Tablo23[[#This Row],[Miktar3]]*Tablo23[[#This Row],[adet]]</f>
        <v>568.48000000000013</v>
      </c>
      <c r="L27" s="67">
        <f>F27-B27</f>
        <v>20</v>
      </c>
      <c r="M27" s="68">
        <f>K27/E27</f>
        <v>0.73786407766990303</v>
      </c>
      <c r="N27" s="68">
        <f>M27/L27*30</f>
        <v>1.1067961165048545</v>
      </c>
      <c r="O27" s="69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68</v>
      </c>
      <c r="B28" s="2"/>
      <c r="C28" s="46"/>
      <c r="D28" s="47"/>
      <c r="E28" s="56"/>
      <c r="F28" s="63"/>
      <c r="G28" s="64"/>
      <c r="H28" s="65"/>
      <c r="I28" s="51"/>
      <c r="J28" s="46"/>
      <c r="K28" s="66">
        <v>-2.81</v>
      </c>
      <c r="L28" s="67"/>
      <c r="M28" s="68"/>
      <c r="N28" s="68"/>
      <c r="O28" s="69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2"/>
      <c r="F29" s="2"/>
      <c r="G29" s="46"/>
      <c r="H29" s="1"/>
      <c r="I29" s="51"/>
      <c r="J29" s="116"/>
      <c r="K29" s="66"/>
      <c r="L29" s="117"/>
      <c r="M29" s="122"/>
      <c r="N29" s="68"/>
      <c r="O29" s="70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2"/>
      <c r="F30" s="2"/>
      <c r="G30" s="46"/>
      <c r="H30" s="1"/>
      <c r="I30" s="51"/>
      <c r="J30" s="116"/>
      <c r="K30" s="66"/>
      <c r="L30" s="117"/>
      <c r="M30" s="122"/>
      <c r="N30" s="68"/>
      <c r="O30" s="113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23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23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23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23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23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23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23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28" customWidth="1"/>
    <col min="2" max="2" width="18.42578125" style="158" customWidth="1"/>
    <col min="3" max="3" width="13.28515625" style="159" customWidth="1"/>
    <col min="4" max="4" width="9.42578125" style="160" customWidth="1"/>
    <col min="5" max="5" width="8.85546875" style="161" customWidth="1"/>
    <col min="6" max="12" width="9.140625" style="128" customWidth="1"/>
  </cols>
  <sheetData>
    <row r="1" spans="1:11" ht="25.5">
      <c r="A1" s="162" t="s">
        <v>69</v>
      </c>
      <c r="B1" s="163" t="s">
        <v>17</v>
      </c>
      <c r="C1" s="164" t="s">
        <v>70</v>
      </c>
      <c r="D1" s="165" t="s">
        <v>71</v>
      </c>
      <c r="E1" s="166" t="s">
        <v>72</v>
      </c>
    </row>
    <row r="2" spans="1:11">
      <c r="A2" s="167">
        <v>45289</v>
      </c>
      <c r="B2" s="163">
        <v>538.78970700000002</v>
      </c>
      <c r="C2" s="164" t="s">
        <v>73</v>
      </c>
      <c r="D2" s="138">
        <v>0</v>
      </c>
      <c r="E2" s="166" t="s">
        <v>74</v>
      </c>
    </row>
    <row r="3" spans="1:11">
      <c r="A3" s="167">
        <v>45294</v>
      </c>
      <c r="B3" s="163">
        <v>539.40629100000001</v>
      </c>
      <c r="C3" s="164" t="s">
        <v>75</v>
      </c>
      <c r="D3" s="138">
        <v>1.1000000000000001E-3</v>
      </c>
      <c r="E3" s="168">
        <f>D2+D3</f>
        <v>1.1000000000000001E-3</v>
      </c>
    </row>
    <row r="4" spans="1:11">
      <c r="A4" s="167">
        <v>45295</v>
      </c>
      <c r="B4" s="169">
        <v>540.000044</v>
      </c>
      <c r="C4" s="164" t="s">
        <v>76</v>
      </c>
      <c r="D4" s="138">
        <v>1.1000000000000001E-3</v>
      </c>
      <c r="E4" s="168">
        <f>D3+D4</f>
        <v>2.2000000000000001E-3</v>
      </c>
    </row>
    <row r="5" spans="1:11">
      <c r="A5" s="167">
        <v>45296</v>
      </c>
      <c r="B5" s="163">
        <v>540.60110799999995</v>
      </c>
      <c r="C5" s="164" t="s">
        <v>77</v>
      </c>
      <c r="D5" s="138">
        <v>1.1000000000000001E-3</v>
      </c>
      <c r="E5" s="168">
        <f t="shared" ref="E5:E43" si="0">E4+D5</f>
        <v>3.3E-3</v>
      </c>
    </row>
    <row r="6" spans="1:11">
      <c r="A6" s="167">
        <v>45299</v>
      </c>
      <c r="B6" s="163">
        <v>542.43450199999995</v>
      </c>
      <c r="C6" s="170">
        <v>1833394</v>
      </c>
      <c r="D6" s="138">
        <v>3.3E-3</v>
      </c>
      <c r="E6" s="168">
        <f t="shared" si="0"/>
        <v>6.6E-3</v>
      </c>
    </row>
    <row r="7" spans="1:11">
      <c r="A7" s="167">
        <v>45300</v>
      </c>
      <c r="B7" s="163">
        <v>543.04310699999996</v>
      </c>
      <c r="C7" s="164" t="s">
        <v>78</v>
      </c>
      <c r="D7" s="138">
        <v>1.1000000000000001E-3</v>
      </c>
      <c r="E7" s="168">
        <f t="shared" si="0"/>
        <v>7.7000000000000002E-3</v>
      </c>
    </row>
    <row r="8" spans="1:11">
      <c r="A8" s="167">
        <v>45301</v>
      </c>
      <c r="B8" s="163">
        <v>543.64739199999997</v>
      </c>
      <c r="C8" s="164" t="s">
        <v>79</v>
      </c>
      <c r="D8" s="138">
        <v>1.1000000000000001E-3</v>
      </c>
      <c r="E8" s="168">
        <f t="shared" si="0"/>
        <v>8.8000000000000005E-3</v>
      </c>
    </row>
    <row r="9" spans="1:11">
      <c r="A9" s="167">
        <v>45302</v>
      </c>
      <c r="B9" s="163">
        <v>544.251892</v>
      </c>
      <c r="C9" s="164" t="s">
        <v>80</v>
      </c>
      <c r="D9" s="138">
        <v>1.1000000000000001E-3</v>
      </c>
      <c r="E9" s="168">
        <f t="shared" si="0"/>
        <v>9.9000000000000008E-3</v>
      </c>
      <c r="K9" s="171"/>
    </row>
    <row r="10" spans="1:11">
      <c r="A10" s="167">
        <v>45303</v>
      </c>
      <c r="B10" s="163">
        <v>544.85273700000005</v>
      </c>
      <c r="C10" s="164" t="s">
        <v>81</v>
      </c>
      <c r="D10" s="138">
        <v>1.1000000000000001E-3</v>
      </c>
      <c r="E10" s="168">
        <f t="shared" si="0"/>
        <v>1.1000000000000001E-2</v>
      </c>
      <c r="K10" s="171"/>
    </row>
    <row r="11" spans="1:11">
      <c r="A11" s="167">
        <v>45306</v>
      </c>
      <c r="B11" s="163">
        <v>546.65639799999997</v>
      </c>
      <c r="C11" s="170">
        <v>1803661</v>
      </c>
      <c r="D11" s="138">
        <v>3.3E-3</v>
      </c>
      <c r="E11" s="168">
        <f t="shared" si="0"/>
        <v>1.43E-2</v>
      </c>
      <c r="K11" s="171"/>
    </row>
    <row r="12" spans="1:11">
      <c r="A12" s="167">
        <v>45307</v>
      </c>
      <c r="B12" s="163">
        <v>547.255898</v>
      </c>
      <c r="C12" s="164" t="s">
        <v>82</v>
      </c>
      <c r="D12" s="138">
        <v>1E-3</v>
      </c>
      <c r="E12" s="168">
        <f t="shared" si="0"/>
        <v>1.5300000000000001E-2</v>
      </c>
      <c r="K12" s="171"/>
    </row>
    <row r="13" spans="1:11">
      <c r="A13" s="167">
        <v>45308</v>
      </c>
      <c r="B13" s="163">
        <v>547.85336800000005</v>
      </c>
      <c r="C13" s="164" t="s">
        <v>83</v>
      </c>
      <c r="D13" s="138">
        <v>1E-3</v>
      </c>
      <c r="E13" s="168">
        <f t="shared" si="0"/>
        <v>1.6300000000000002E-2</v>
      </c>
    </row>
    <row r="14" spans="1:11">
      <c r="A14" s="167">
        <v>45309</v>
      </c>
      <c r="B14" s="163">
        <v>548.45883500000002</v>
      </c>
      <c r="C14" s="164" t="s">
        <v>84</v>
      </c>
      <c r="D14" s="138">
        <v>1.1000000000000001E-3</v>
      </c>
      <c r="E14" s="168">
        <f t="shared" si="0"/>
        <v>1.7400000000000002E-2</v>
      </c>
    </row>
    <row r="15" spans="1:11">
      <c r="A15" s="167">
        <v>45310</v>
      </c>
      <c r="B15" s="163">
        <v>549.06771900000001</v>
      </c>
      <c r="C15" s="164" t="s">
        <v>85</v>
      </c>
      <c r="D15" s="138">
        <v>1.1000000000000001E-3</v>
      </c>
      <c r="E15" s="168">
        <f t="shared" si="0"/>
        <v>1.8500000000000003E-2</v>
      </c>
    </row>
    <row r="16" spans="1:11">
      <c r="A16" s="167">
        <v>45313</v>
      </c>
      <c r="B16" s="163">
        <v>550.93394899999998</v>
      </c>
      <c r="C16" s="170">
        <v>1866230</v>
      </c>
      <c r="D16" s="138">
        <v>3.3E-3</v>
      </c>
      <c r="E16" s="168">
        <f t="shared" si="0"/>
        <v>2.1800000000000003E-2</v>
      </c>
    </row>
    <row r="17" spans="1:5">
      <c r="A17" s="167">
        <v>45314</v>
      </c>
      <c r="B17" s="163">
        <v>551.56365100000005</v>
      </c>
      <c r="C17" s="164" t="s">
        <v>86</v>
      </c>
      <c r="D17" s="138">
        <v>1.1000000000000001E-3</v>
      </c>
      <c r="E17" s="168">
        <f t="shared" si="0"/>
        <v>2.2900000000000004E-2</v>
      </c>
    </row>
    <row r="18" spans="1:5">
      <c r="A18" s="167">
        <v>45315</v>
      </c>
      <c r="B18" s="163">
        <v>552.18915300000003</v>
      </c>
      <c r="C18" s="164" t="s">
        <v>87</v>
      </c>
      <c r="D18" s="138">
        <v>1.1000000000000001E-3</v>
      </c>
      <c r="E18" s="168">
        <f t="shared" si="0"/>
        <v>2.4000000000000004E-2</v>
      </c>
    </row>
    <row r="19" spans="1:5">
      <c r="A19" s="167">
        <v>45316</v>
      </c>
      <c r="B19" s="163">
        <v>552.81493399999999</v>
      </c>
      <c r="C19" s="164" t="s">
        <v>88</v>
      </c>
      <c r="D19" s="138">
        <v>1.1000000000000001E-3</v>
      </c>
      <c r="E19" s="168">
        <f t="shared" si="0"/>
        <v>2.5100000000000004E-2</v>
      </c>
    </row>
    <row r="20" spans="1:5">
      <c r="A20" s="167">
        <v>45317</v>
      </c>
      <c r="B20" s="163">
        <v>553.42975100000001</v>
      </c>
      <c r="C20" s="164" t="s">
        <v>89</v>
      </c>
      <c r="D20" s="138">
        <v>1.1000000000000001E-3</v>
      </c>
      <c r="E20" s="168">
        <f t="shared" si="0"/>
        <v>2.6200000000000005E-2</v>
      </c>
    </row>
    <row r="21" spans="1:5">
      <c r="A21" s="167">
        <v>45320</v>
      </c>
      <c r="B21" s="163">
        <v>555.31532100000004</v>
      </c>
      <c r="C21" s="170">
        <v>1885570</v>
      </c>
      <c r="D21" s="138">
        <v>3.3999999999999998E-3</v>
      </c>
      <c r="E21" s="168">
        <f t="shared" si="0"/>
        <v>2.9600000000000005E-2</v>
      </c>
    </row>
    <row r="22" spans="1:5">
      <c r="A22" s="167">
        <v>45321</v>
      </c>
      <c r="B22" s="163">
        <v>555.950107</v>
      </c>
      <c r="C22" s="164" t="s">
        <v>90</v>
      </c>
      <c r="D22" s="138">
        <v>1.1000000000000001E-3</v>
      </c>
      <c r="E22" s="168">
        <f t="shared" si="0"/>
        <v>3.0700000000000005E-2</v>
      </c>
    </row>
    <row r="23" spans="1:5">
      <c r="A23" s="167">
        <v>45322</v>
      </c>
      <c r="B23" s="163">
        <v>556.58167700000001</v>
      </c>
      <c r="C23" s="164" t="s">
        <v>91</v>
      </c>
      <c r="D23" s="138">
        <v>1.1000000000000001E-3</v>
      </c>
      <c r="E23" s="168">
        <f t="shared" si="0"/>
        <v>3.1800000000000002E-2</v>
      </c>
    </row>
    <row r="24" spans="1:5">
      <c r="A24" s="167">
        <v>45323</v>
      </c>
      <c r="B24" s="163">
        <v>557.21083299999998</v>
      </c>
      <c r="C24" s="164" t="s">
        <v>92</v>
      </c>
      <c r="D24" s="138">
        <v>1.1000000000000001E-3</v>
      </c>
      <c r="E24" s="168">
        <f t="shared" si="0"/>
        <v>3.2899999999999999E-2</v>
      </c>
    </row>
    <row r="25" spans="1:5">
      <c r="A25" s="167">
        <v>45324</v>
      </c>
      <c r="B25" s="163">
        <v>557.85254299999997</v>
      </c>
      <c r="C25" s="164" t="s">
        <v>93</v>
      </c>
      <c r="D25" s="138">
        <v>1.1000000000000001E-3</v>
      </c>
      <c r="E25" s="168">
        <f t="shared" si="0"/>
        <v>3.3999999999999996E-2</v>
      </c>
    </row>
    <row r="26" spans="1:5">
      <c r="A26" s="167">
        <v>45327</v>
      </c>
      <c r="B26" s="163">
        <v>559.83385699999997</v>
      </c>
      <c r="C26" s="170">
        <v>1981314</v>
      </c>
      <c r="D26" s="138">
        <v>3.5000000000000001E-3</v>
      </c>
      <c r="E26" s="168">
        <f t="shared" si="0"/>
        <v>3.7499999999999999E-2</v>
      </c>
    </row>
    <row r="27" spans="1:5">
      <c r="A27" s="167">
        <v>45328</v>
      </c>
      <c r="B27" s="163">
        <v>560.499053</v>
      </c>
      <c r="C27" s="164" t="s">
        <v>94</v>
      </c>
      <c r="D27" s="138">
        <v>1.1000000000000001E-3</v>
      </c>
      <c r="E27" s="168">
        <f t="shared" si="0"/>
        <v>3.8599999999999995E-2</v>
      </c>
    </row>
    <row r="28" spans="1:5">
      <c r="A28" s="167">
        <v>45329</v>
      </c>
      <c r="B28" s="163">
        <v>561.15721199999996</v>
      </c>
      <c r="C28" s="164" t="s">
        <v>95</v>
      </c>
      <c r="D28" s="138">
        <v>1.1000000000000001E-3</v>
      </c>
      <c r="E28" s="168">
        <f t="shared" si="0"/>
        <v>3.9699999999999992E-2</v>
      </c>
    </row>
    <row r="29" spans="1:5">
      <c r="A29" s="167">
        <v>45330</v>
      </c>
      <c r="B29" s="163">
        <v>561.81587999999999</v>
      </c>
      <c r="C29" s="164" t="s">
        <v>96</v>
      </c>
      <c r="D29" s="138">
        <v>1.1000000000000001E-3</v>
      </c>
      <c r="E29" s="168">
        <f t="shared" si="0"/>
        <v>4.0799999999999989E-2</v>
      </c>
    </row>
    <row r="30" spans="1:5">
      <c r="A30" s="167">
        <v>45331</v>
      </c>
      <c r="B30" s="163">
        <v>562.47431400000005</v>
      </c>
      <c r="C30" s="164" t="s">
        <v>97</v>
      </c>
      <c r="D30" s="138">
        <v>1.1000000000000001E-3</v>
      </c>
      <c r="E30" s="168">
        <f t="shared" si="0"/>
        <v>4.1899999999999986E-2</v>
      </c>
    </row>
    <row r="31" spans="1:5">
      <c r="A31" s="167">
        <v>45334</v>
      </c>
      <c r="B31" s="163">
        <v>564.45009800000003</v>
      </c>
      <c r="C31" s="170">
        <v>1975784</v>
      </c>
      <c r="D31" s="138">
        <v>3.5000000000000001E-3</v>
      </c>
      <c r="E31" s="168">
        <f t="shared" si="0"/>
        <v>4.5399999999999989E-2</v>
      </c>
    </row>
    <row r="32" spans="1:5">
      <c r="A32" s="167">
        <v>45335</v>
      </c>
      <c r="B32" s="163">
        <v>565.11282900000003</v>
      </c>
      <c r="C32" s="164" t="s">
        <v>98</v>
      </c>
      <c r="D32" s="138">
        <v>1.1000000000000001E-3</v>
      </c>
      <c r="E32" s="168">
        <f t="shared" si="0"/>
        <v>4.6499999999999986E-2</v>
      </c>
    </row>
    <row r="33" spans="1:5">
      <c r="A33" s="167">
        <v>45336</v>
      </c>
      <c r="B33" s="163">
        <v>565.75863100000004</v>
      </c>
      <c r="C33" s="164" t="s">
        <v>99</v>
      </c>
      <c r="D33" s="138">
        <v>1.1000000000000001E-3</v>
      </c>
      <c r="E33" s="168">
        <f t="shared" si="0"/>
        <v>4.7599999999999983E-2</v>
      </c>
    </row>
    <row r="34" spans="1:5">
      <c r="A34" s="167">
        <v>45337</v>
      </c>
      <c r="B34" s="163">
        <v>566.416246</v>
      </c>
      <c r="C34" s="164" t="s">
        <v>100</v>
      </c>
      <c r="D34" s="138">
        <v>1.1000000000000001E-3</v>
      </c>
      <c r="E34" s="168">
        <f t="shared" si="0"/>
        <v>4.8699999999999979E-2</v>
      </c>
    </row>
    <row r="35" spans="1:5">
      <c r="A35" s="167">
        <v>45338</v>
      </c>
      <c r="B35" s="163">
        <v>567.08235100000002</v>
      </c>
      <c r="C35" s="164" t="s">
        <v>101</v>
      </c>
      <c r="D35" s="138">
        <v>1.1000000000000001E-3</v>
      </c>
      <c r="E35" s="168">
        <f t="shared" si="0"/>
        <v>4.9799999999999976E-2</v>
      </c>
    </row>
    <row r="36" spans="1:5">
      <c r="A36" s="167">
        <v>45341</v>
      </c>
      <c r="B36" s="163">
        <v>569.09258399999999</v>
      </c>
      <c r="C36" s="170">
        <v>2010233</v>
      </c>
      <c r="D36" s="138">
        <v>3.5000000000000001E-3</v>
      </c>
      <c r="E36" s="168">
        <f t="shared" si="0"/>
        <v>5.3299999999999979E-2</v>
      </c>
    </row>
    <row r="37" spans="1:5">
      <c r="A37" s="167">
        <v>45342</v>
      </c>
      <c r="B37" s="163">
        <v>569.76265000000001</v>
      </c>
      <c r="C37" s="164" t="s">
        <v>102</v>
      </c>
      <c r="D37" s="138">
        <v>1.1000000000000001E-3</v>
      </c>
      <c r="E37" s="168">
        <f t="shared" si="0"/>
        <v>5.4399999999999976E-2</v>
      </c>
    </row>
    <row r="38" spans="1:5">
      <c r="A38" s="167">
        <v>45343</v>
      </c>
      <c r="B38" s="163">
        <v>570.43001100000004</v>
      </c>
      <c r="C38" s="164" t="s">
        <v>103</v>
      </c>
      <c r="D38" s="138">
        <v>1.1000000000000001E-3</v>
      </c>
      <c r="E38" s="168">
        <f t="shared" si="0"/>
        <v>5.5499999999999973E-2</v>
      </c>
    </row>
    <row r="39" spans="1:5">
      <c r="A39" s="167">
        <v>45344</v>
      </c>
      <c r="B39" s="163">
        <v>571.10522800000001</v>
      </c>
      <c r="C39" s="164" t="s">
        <v>104</v>
      </c>
      <c r="D39" s="138">
        <v>1.1000000000000001E-3</v>
      </c>
      <c r="E39" s="168">
        <f t="shared" si="0"/>
        <v>5.659999999999997E-2</v>
      </c>
    </row>
    <row r="40" spans="1:5">
      <c r="A40" s="167">
        <v>45345</v>
      </c>
      <c r="B40" s="163">
        <v>571.78678600000001</v>
      </c>
      <c r="C40" s="164" t="s">
        <v>105</v>
      </c>
      <c r="D40" s="138">
        <v>1.1000000000000001E-3</v>
      </c>
      <c r="E40" s="168">
        <f t="shared" si="0"/>
        <v>5.7699999999999967E-2</v>
      </c>
    </row>
    <row r="41" spans="1:5">
      <c r="A41" s="167">
        <v>45348</v>
      </c>
      <c r="B41" s="163">
        <v>573.835914</v>
      </c>
      <c r="C41" s="170">
        <v>2049128</v>
      </c>
      <c r="D41" s="138">
        <v>3.5000000000000001E-3</v>
      </c>
      <c r="E41" s="168">
        <f t="shared" si="0"/>
        <v>6.119999999999997E-2</v>
      </c>
    </row>
    <row r="42" spans="1:5">
      <c r="A42" s="167">
        <v>45349</v>
      </c>
      <c r="B42" s="163">
        <v>574.52528199999995</v>
      </c>
      <c r="C42" s="164" t="s">
        <v>106</v>
      </c>
      <c r="D42" s="138">
        <v>1.1999999999999999E-3</v>
      </c>
      <c r="E42" s="168">
        <f t="shared" si="0"/>
        <v>6.2399999999999969E-2</v>
      </c>
    </row>
    <row r="43" spans="1:5">
      <c r="A43" s="167">
        <v>45350</v>
      </c>
      <c r="B43" s="163">
        <v>575.21535400000005</v>
      </c>
      <c r="C43" s="164" t="s">
        <v>107</v>
      </c>
      <c r="D43" s="138">
        <v>1.1999999999999999E-3</v>
      </c>
      <c r="E43" s="168">
        <f t="shared" si="0"/>
        <v>6.3599999999999976E-2</v>
      </c>
    </row>
    <row r="44" spans="1:5">
      <c r="A44" s="167">
        <v>45351</v>
      </c>
    </row>
    <row r="45" spans="1:5">
      <c r="A45" s="167">
        <v>45352</v>
      </c>
    </row>
    <row r="46" spans="1:5">
      <c r="A46" s="167"/>
    </row>
    <row r="47" spans="1:5">
      <c r="A47" s="167"/>
    </row>
    <row r="48" spans="1:5">
      <c r="A48" s="167"/>
    </row>
    <row r="49" spans="1:1">
      <c r="A49" s="167"/>
    </row>
    <row r="50" spans="1:1">
      <c r="A50" s="167"/>
    </row>
    <row r="51" spans="1:1">
      <c r="A51" s="167"/>
    </row>
    <row r="52" spans="1:1">
      <c r="A52" s="167"/>
    </row>
    <row r="53" spans="1:1">
      <c r="A53" s="167"/>
    </row>
    <row r="54" spans="1:1">
      <c r="A54" s="167"/>
    </row>
    <row r="55" spans="1:1">
      <c r="A55" s="167"/>
    </row>
    <row r="56" spans="1:1">
      <c r="A56" s="167"/>
    </row>
    <row r="57" spans="1:1">
      <c r="A57" s="167"/>
    </row>
    <row r="58" spans="1:1">
      <c r="A58" s="167"/>
    </row>
    <row r="59" spans="1:1">
      <c r="A59" s="167"/>
    </row>
    <row r="60" spans="1:1">
      <c r="A60" s="167"/>
    </row>
    <row r="61" spans="1:1">
      <c r="A61" s="167"/>
    </row>
    <row r="62" spans="1:1">
      <c r="A62" s="167"/>
    </row>
    <row r="63" spans="1:1">
      <c r="A63" s="167"/>
    </row>
    <row r="64" spans="1:1">
      <c r="A64" s="167"/>
    </row>
    <row r="65" spans="1:1">
      <c r="A65" s="167"/>
    </row>
    <row r="66" spans="1:1">
      <c r="A66" s="167"/>
    </row>
    <row r="67" spans="1:1">
      <c r="A67" s="167"/>
    </row>
    <row r="68" spans="1:1">
      <c r="A68" s="167"/>
    </row>
    <row r="69" spans="1:1">
      <c r="A69" s="167"/>
    </row>
    <row r="70" spans="1:1">
      <c r="A70" s="167"/>
    </row>
    <row r="71" spans="1:1">
      <c r="A71" s="167"/>
    </row>
    <row r="72" spans="1:1">
      <c r="A72" s="167"/>
    </row>
    <row r="73" spans="1:1">
      <c r="A73" s="167"/>
    </row>
    <row r="74" spans="1:1">
      <c r="A74" s="167"/>
    </row>
    <row r="75" spans="1:1">
      <c r="A75" s="16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72" customWidth="1"/>
    <col min="2" max="2" width="12" style="172" customWidth="1"/>
    <col min="3" max="3" width="17.28515625" style="173" customWidth="1"/>
    <col min="4" max="4" width="15.7109375" style="174" customWidth="1"/>
    <col min="5" max="5" width="12.140625" style="174" customWidth="1"/>
    <col min="6" max="7" width="14.140625" style="175" customWidth="1"/>
    <col min="8" max="8" width="15.7109375" style="172" customWidth="1"/>
    <col min="9" max="9" width="15.7109375" style="175" customWidth="1"/>
    <col min="10" max="10" width="14.5703125" style="175" customWidth="1"/>
    <col min="11" max="11" width="61.5703125" style="172" customWidth="1"/>
    <col min="12" max="12" width="8.5703125" style="172" customWidth="1"/>
    <col min="13" max="13" width="14" style="172" customWidth="1"/>
    <col min="14" max="14" width="7" style="172" customWidth="1"/>
    <col min="15" max="1024" width="44.140625" style="172"/>
  </cols>
  <sheetData>
    <row r="3" spans="1:14">
      <c r="A3" s="172" t="s">
        <v>108</v>
      </c>
      <c r="B3" s="172" t="s">
        <v>109</v>
      </c>
      <c r="C3" s="173" t="s">
        <v>110</v>
      </c>
      <c r="D3" s="174" t="s">
        <v>111</v>
      </c>
      <c r="F3" s="175" t="s">
        <v>62</v>
      </c>
      <c r="H3" s="172" t="s">
        <v>112</v>
      </c>
      <c r="J3" s="175" t="s">
        <v>113</v>
      </c>
      <c r="K3" s="172" t="s">
        <v>114</v>
      </c>
      <c r="L3" s="172" t="s">
        <v>115</v>
      </c>
      <c r="M3" s="172" t="s">
        <v>116</v>
      </c>
      <c r="N3" s="172" t="s">
        <v>117</v>
      </c>
    </row>
    <row r="4" spans="1:14">
      <c r="A4" s="172" t="s">
        <v>118</v>
      </c>
      <c r="B4" s="172" t="s">
        <v>119</v>
      </c>
      <c r="C4" s="173" t="s">
        <v>120</v>
      </c>
      <c r="D4" s="174" t="s">
        <v>121</v>
      </c>
      <c r="F4" s="175" t="s">
        <v>122</v>
      </c>
      <c r="G4" s="174" t="s">
        <v>123</v>
      </c>
      <c r="H4" s="172" t="s">
        <v>124</v>
      </c>
      <c r="J4" s="175" t="s">
        <v>125</v>
      </c>
      <c r="L4" s="172" t="s">
        <v>126</v>
      </c>
      <c r="M4" s="172" t="s">
        <v>127</v>
      </c>
      <c r="N4" s="172" t="s">
        <v>128</v>
      </c>
    </row>
    <row r="5" spans="1:14">
      <c r="A5" s="172" t="s">
        <v>129</v>
      </c>
      <c r="B5" s="172" t="s">
        <v>130</v>
      </c>
      <c r="C5" s="173" t="s">
        <v>131</v>
      </c>
      <c r="D5" s="174" t="s">
        <v>129</v>
      </c>
      <c r="H5" s="172" t="s">
        <v>132</v>
      </c>
      <c r="J5" s="175" t="s">
        <v>133</v>
      </c>
      <c r="K5" s="172" t="s">
        <v>134</v>
      </c>
      <c r="L5" s="172" t="s">
        <v>135</v>
      </c>
      <c r="M5" s="172" t="s">
        <v>129</v>
      </c>
      <c r="N5" s="172" t="s">
        <v>136</v>
      </c>
    </row>
    <row r="6" spans="1:14">
      <c r="A6" s="176">
        <v>45217</v>
      </c>
      <c r="B6" s="172" t="s">
        <v>137</v>
      </c>
      <c r="C6" s="173" t="s">
        <v>138</v>
      </c>
      <c r="D6" s="174" t="s">
        <v>139</v>
      </c>
      <c r="H6" s="172">
        <v>3000.68</v>
      </c>
      <c r="I6" s="177">
        <f>H6</f>
        <v>3000.68</v>
      </c>
      <c r="J6" s="175">
        <v>3000.68</v>
      </c>
      <c r="K6" s="172" t="s">
        <v>140</v>
      </c>
      <c r="L6" s="172">
        <v>5800</v>
      </c>
      <c r="M6" s="172">
        <v>95113516</v>
      </c>
      <c r="N6" s="172" t="s">
        <v>141</v>
      </c>
    </row>
    <row r="7" spans="1:14">
      <c r="A7" s="176">
        <v>45217</v>
      </c>
      <c r="B7" s="178" t="s">
        <v>142</v>
      </c>
      <c r="C7" s="179" t="s">
        <v>138</v>
      </c>
      <c r="D7" s="180" t="s">
        <v>139</v>
      </c>
      <c r="E7" s="180"/>
      <c r="H7" s="178">
        <v>-2080</v>
      </c>
      <c r="I7" s="177">
        <f>I6+H7</f>
        <v>920.67999999999984</v>
      </c>
      <c r="J7" s="175">
        <v>920.68</v>
      </c>
      <c r="K7" s="178" t="s">
        <v>143</v>
      </c>
      <c r="L7" s="172">
        <v>5800</v>
      </c>
      <c r="M7" s="172">
        <v>36114333</v>
      </c>
      <c r="N7" s="172" t="s">
        <v>144</v>
      </c>
    </row>
    <row r="8" spans="1:14">
      <c r="A8" s="176">
        <v>45222</v>
      </c>
      <c r="B8" s="172" t="s">
        <v>142</v>
      </c>
      <c r="C8" s="173" t="s">
        <v>138</v>
      </c>
      <c r="D8" s="174" t="s">
        <v>139</v>
      </c>
      <c r="F8" s="177"/>
      <c r="G8" s="177"/>
      <c r="H8" s="181">
        <v>910</v>
      </c>
      <c r="I8" s="177">
        <f>I7+H8</f>
        <v>1830.6799999999998</v>
      </c>
      <c r="J8" s="177">
        <v>1830.68</v>
      </c>
      <c r="K8" s="181" t="s">
        <v>145</v>
      </c>
      <c r="L8" s="172">
        <v>165</v>
      </c>
      <c r="M8" s="172">
        <v>88888888</v>
      </c>
      <c r="N8" s="172" t="s">
        <v>146</v>
      </c>
    </row>
    <row r="9" spans="1:14">
      <c r="A9" s="176">
        <v>45222</v>
      </c>
      <c r="B9" s="182" t="s">
        <v>142</v>
      </c>
      <c r="C9" s="183">
        <v>130</v>
      </c>
      <c r="D9" s="184">
        <v>9</v>
      </c>
      <c r="E9" s="184"/>
      <c r="F9" s="185">
        <f>D9*C9</f>
        <v>1170</v>
      </c>
      <c r="G9" s="185"/>
      <c r="H9" s="182">
        <v>0</v>
      </c>
      <c r="I9" s="185"/>
      <c r="J9" s="175">
        <v>1830.68</v>
      </c>
      <c r="K9" s="172" t="s">
        <v>147</v>
      </c>
      <c r="L9" s="172">
        <v>165</v>
      </c>
      <c r="M9" s="172">
        <v>88888888</v>
      </c>
      <c r="N9" s="172" t="s">
        <v>146</v>
      </c>
    </row>
    <row r="10" spans="1:14">
      <c r="A10" s="176">
        <v>45226</v>
      </c>
      <c r="B10" s="172" t="s">
        <v>142</v>
      </c>
      <c r="C10" s="173">
        <v>157.30000000000001</v>
      </c>
      <c r="D10" s="174">
        <v>1</v>
      </c>
      <c r="H10" s="172">
        <v>-157.63</v>
      </c>
      <c r="I10" s="186">
        <v>0</v>
      </c>
      <c r="J10" s="186">
        <v>1830.68</v>
      </c>
      <c r="K10" s="187" t="s">
        <v>148</v>
      </c>
      <c r="L10" s="172">
        <v>165</v>
      </c>
      <c r="M10" s="172">
        <v>95215533</v>
      </c>
      <c r="N10" s="172" t="s">
        <v>149</v>
      </c>
    </row>
    <row r="11" spans="1:14">
      <c r="A11" s="176">
        <v>45226</v>
      </c>
      <c r="B11" s="172" t="s">
        <v>142</v>
      </c>
      <c r="C11" s="173">
        <v>157.30000000000001</v>
      </c>
      <c r="D11" s="174">
        <v>2</v>
      </c>
      <c r="H11" s="172">
        <v>-315.26</v>
      </c>
      <c r="I11" s="186">
        <v>0</v>
      </c>
      <c r="J11" s="186">
        <v>1830.68</v>
      </c>
      <c r="K11" s="187" t="s">
        <v>150</v>
      </c>
      <c r="L11" s="172">
        <v>165</v>
      </c>
      <c r="M11" s="172">
        <v>95215846</v>
      </c>
      <c r="N11" s="172" t="s">
        <v>149</v>
      </c>
    </row>
    <row r="12" spans="1:14">
      <c r="A12" s="176">
        <v>45229</v>
      </c>
      <c r="B12" s="172" t="s">
        <v>142</v>
      </c>
      <c r="C12" s="173">
        <v>173</v>
      </c>
      <c r="D12" s="174">
        <v>5</v>
      </c>
      <c r="H12" s="172">
        <v>-866.82</v>
      </c>
      <c r="I12" s="186">
        <v>0</v>
      </c>
      <c r="J12" s="186">
        <v>1830.68</v>
      </c>
      <c r="K12" s="187" t="s">
        <v>151</v>
      </c>
      <c r="L12" s="172">
        <v>165</v>
      </c>
      <c r="M12" s="172">
        <v>95103707</v>
      </c>
      <c r="N12" s="172" t="s">
        <v>149</v>
      </c>
    </row>
    <row r="13" spans="1:14">
      <c r="A13" s="176">
        <v>45229</v>
      </c>
      <c r="B13" s="172" t="s">
        <v>142</v>
      </c>
      <c r="C13" s="173">
        <v>173</v>
      </c>
      <c r="D13" s="174">
        <v>5</v>
      </c>
      <c r="H13" s="172">
        <v>157.63</v>
      </c>
      <c r="I13" s="186">
        <v>0</v>
      </c>
      <c r="J13" s="186">
        <v>1830.68</v>
      </c>
      <c r="K13" s="187" t="s">
        <v>152</v>
      </c>
      <c r="L13" s="172">
        <v>165</v>
      </c>
      <c r="M13" s="172">
        <v>18200988</v>
      </c>
      <c r="N13" s="172" t="s">
        <v>153</v>
      </c>
    </row>
    <row r="14" spans="1:14">
      <c r="A14" s="176">
        <v>45229</v>
      </c>
      <c r="B14" s="172" t="s">
        <v>142</v>
      </c>
      <c r="C14" s="173">
        <v>157.30000000000001</v>
      </c>
      <c r="D14" s="174">
        <v>2</v>
      </c>
      <c r="H14" s="172">
        <v>315.26</v>
      </c>
      <c r="I14" s="186">
        <v>0</v>
      </c>
      <c r="J14" s="186">
        <v>1830.68</v>
      </c>
      <c r="K14" s="187" t="s">
        <v>154</v>
      </c>
      <c r="L14" s="172">
        <v>165</v>
      </c>
      <c r="M14" s="172">
        <v>18201019</v>
      </c>
      <c r="N14" s="172" t="s">
        <v>153</v>
      </c>
    </row>
    <row r="15" spans="1:14">
      <c r="A15" s="176">
        <v>45229</v>
      </c>
      <c r="B15" s="172" t="s">
        <v>142</v>
      </c>
      <c r="C15" s="173">
        <v>157.30000000000001</v>
      </c>
      <c r="D15" s="174">
        <v>1</v>
      </c>
      <c r="H15" s="172">
        <v>866.82</v>
      </c>
      <c r="I15" s="186">
        <v>0</v>
      </c>
      <c r="J15" s="186">
        <v>1830.68</v>
      </c>
      <c r="K15" s="187" t="s">
        <v>155</v>
      </c>
      <c r="L15" s="172">
        <v>165</v>
      </c>
      <c r="M15" s="172">
        <v>18201200</v>
      </c>
      <c r="N15" s="172" t="s">
        <v>153</v>
      </c>
    </row>
    <row r="16" spans="1:14">
      <c r="A16" s="176">
        <v>45267</v>
      </c>
      <c r="B16" s="178" t="s">
        <v>156</v>
      </c>
      <c r="C16" s="179" t="s">
        <v>138</v>
      </c>
      <c r="D16" s="180" t="s">
        <v>139</v>
      </c>
      <c r="E16" s="180"/>
      <c r="H16" s="178">
        <v>-566</v>
      </c>
      <c r="I16" s="177">
        <f>I8+H16</f>
        <v>1264.6799999999998</v>
      </c>
      <c r="J16" s="175">
        <v>1264.68</v>
      </c>
      <c r="K16" s="188" t="s">
        <v>143</v>
      </c>
      <c r="L16" s="172">
        <v>5800</v>
      </c>
      <c r="M16" s="172">
        <v>36093318</v>
      </c>
      <c r="N16" s="172" t="s">
        <v>144</v>
      </c>
    </row>
    <row r="17" spans="1:14">
      <c r="A17" s="176">
        <v>45267</v>
      </c>
      <c r="B17" s="178" t="s">
        <v>157</v>
      </c>
      <c r="C17" s="179" t="s">
        <v>138</v>
      </c>
      <c r="D17" s="180" t="s">
        <v>139</v>
      </c>
      <c r="E17" s="180"/>
      <c r="H17" s="178">
        <v>-983.6</v>
      </c>
      <c r="I17" s="177">
        <f t="shared" ref="I17:I22" si="0">I16+H17</f>
        <v>281.07999999999981</v>
      </c>
      <c r="J17" s="175">
        <v>281.08</v>
      </c>
      <c r="K17" s="188" t="s">
        <v>143</v>
      </c>
      <c r="L17" s="172">
        <v>5800</v>
      </c>
      <c r="M17" s="172">
        <v>36093353</v>
      </c>
      <c r="N17" s="172" t="s">
        <v>144</v>
      </c>
    </row>
    <row r="18" spans="1:14">
      <c r="A18" s="176">
        <v>45267</v>
      </c>
      <c r="B18" s="172" t="s">
        <v>137</v>
      </c>
      <c r="C18" s="173" t="s">
        <v>138</v>
      </c>
      <c r="D18" s="174" t="s">
        <v>139</v>
      </c>
      <c r="H18" s="172">
        <v>5181.13</v>
      </c>
      <c r="I18" s="177">
        <f t="shared" si="0"/>
        <v>5462.21</v>
      </c>
      <c r="J18" s="175">
        <v>5462.21</v>
      </c>
      <c r="K18" s="172" t="s">
        <v>140</v>
      </c>
      <c r="L18" s="172">
        <v>5800</v>
      </c>
      <c r="M18" s="172">
        <v>36094012</v>
      </c>
      <c r="N18" s="172" t="s">
        <v>141</v>
      </c>
    </row>
    <row r="19" spans="1:14">
      <c r="A19" s="176">
        <v>45267</v>
      </c>
      <c r="B19" s="172">
        <v>808</v>
      </c>
      <c r="C19" s="173">
        <v>18.207357999999999</v>
      </c>
      <c r="D19" s="174">
        <v>300</v>
      </c>
      <c r="F19" s="189">
        <f>D19*C19</f>
        <v>5462.2073999999993</v>
      </c>
      <c r="G19" s="189"/>
      <c r="H19" s="172">
        <v>-5462.21</v>
      </c>
      <c r="I19" s="177">
        <f t="shared" si="0"/>
        <v>0</v>
      </c>
      <c r="J19" s="175">
        <v>0</v>
      </c>
      <c r="K19" s="172" t="s">
        <v>158</v>
      </c>
      <c r="L19" s="172">
        <v>5800</v>
      </c>
      <c r="M19" s="172">
        <v>36094012</v>
      </c>
      <c r="N19" s="172">
        <v>72</v>
      </c>
    </row>
    <row r="20" spans="1:14">
      <c r="A20" s="176">
        <v>45267</v>
      </c>
      <c r="B20" s="172" t="s">
        <v>137</v>
      </c>
      <c r="C20" s="173" t="s">
        <v>138</v>
      </c>
      <c r="D20" s="174" t="s">
        <v>139</v>
      </c>
      <c r="H20" s="172">
        <v>5238.8999999999996</v>
      </c>
      <c r="I20" s="177">
        <f t="shared" si="0"/>
        <v>5238.8999999999996</v>
      </c>
      <c r="J20" s="175">
        <v>5238.8999999999996</v>
      </c>
      <c r="K20" s="172" t="s">
        <v>140</v>
      </c>
      <c r="L20" s="172">
        <v>5800</v>
      </c>
      <c r="M20" s="172">
        <v>36094051</v>
      </c>
      <c r="N20" s="172" t="s">
        <v>141</v>
      </c>
    </row>
    <row r="21" spans="1:14">
      <c r="A21" s="176">
        <v>45267</v>
      </c>
      <c r="B21" s="172">
        <v>801</v>
      </c>
      <c r="C21" s="173">
        <v>523.88987099999997</v>
      </c>
      <c r="D21" s="174">
        <v>10</v>
      </c>
      <c r="F21" s="189">
        <f>D21*C21</f>
        <v>5238.8987099999995</v>
      </c>
      <c r="G21" s="189"/>
      <c r="H21" s="172">
        <v>-5238.8999999999996</v>
      </c>
      <c r="I21" s="177">
        <f t="shared" si="0"/>
        <v>0</v>
      </c>
      <c r="J21" s="175">
        <v>0</v>
      </c>
      <c r="K21" s="172" t="s">
        <v>159</v>
      </c>
      <c r="L21" s="172">
        <v>5800</v>
      </c>
      <c r="M21" s="172">
        <v>36094051</v>
      </c>
      <c r="N21" s="172">
        <v>72</v>
      </c>
    </row>
    <row r="22" spans="1:14">
      <c r="A22" s="176">
        <v>45267</v>
      </c>
      <c r="B22" s="172" t="s">
        <v>137</v>
      </c>
      <c r="C22" s="173" t="s">
        <v>138</v>
      </c>
      <c r="D22" s="174" t="s">
        <v>139</v>
      </c>
      <c r="H22" s="172">
        <v>1576.31</v>
      </c>
      <c r="I22" s="177">
        <f t="shared" si="0"/>
        <v>1576.31</v>
      </c>
      <c r="J22" s="175">
        <v>1576.31</v>
      </c>
      <c r="K22" s="172" t="s">
        <v>140</v>
      </c>
      <c r="L22" s="172">
        <v>5800</v>
      </c>
      <c r="M22" s="172">
        <v>10001</v>
      </c>
      <c r="N22" s="172" t="s">
        <v>141</v>
      </c>
    </row>
    <row r="23" spans="1:14">
      <c r="A23" s="176">
        <v>45267</v>
      </c>
      <c r="B23" s="172" t="s">
        <v>142</v>
      </c>
      <c r="C23" s="173">
        <v>157.30000000000001</v>
      </c>
      <c r="D23" s="174">
        <v>10</v>
      </c>
      <c r="H23" s="172">
        <v>-1576.31</v>
      </c>
      <c r="I23" s="186"/>
      <c r="J23" s="186">
        <v>1576.31</v>
      </c>
      <c r="K23" s="187" t="s">
        <v>160</v>
      </c>
      <c r="L23" s="172">
        <v>165</v>
      </c>
      <c r="M23" s="172">
        <v>36094616</v>
      </c>
      <c r="N23" s="172" t="s">
        <v>149</v>
      </c>
    </row>
    <row r="24" spans="1:14">
      <c r="A24" s="176">
        <v>45267</v>
      </c>
      <c r="B24" s="172" t="s">
        <v>142</v>
      </c>
      <c r="C24" s="173">
        <v>-157.53</v>
      </c>
      <c r="D24" s="174">
        <v>10</v>
      </c>
      <c r="H24" s="172">
        <v>-1575.3</v>
      </c>
      <c r="I24" s="186"/>
      <c r="J24" s="186">
        <v>1576.31</v>
      </c>
      <c r="K24" s="187" t="s">
        <v>161</v>
      </c>
      <c r="L24" s="172">
        <v>165</v>
      </c>
      <c r="M24" s="172">
        <v>36094724</v>
      </c>
      <c r="N24" s="172" t="s">
        <v>162</v>
      </c>
    </row>
    <row r="25" spans="1:14">
      <c r="A25" s="176">
        <v>45271</v>
      </c>
      <c r="B25" s="190" t="s">
        <v>142</v>
      </c>
      <c r="C25" s="191">
        <v>-143.69999999999999</v>
      </c>
      <c r="D25" s="192">
        <v>10</v>
      </c>
      <c r="E25" s="192"/>
      <c r="F25" s="190">
        <v>-1440.01</v>
      </c>
      <c r="G25" s="189">
        <v>3.01</v>
      </c>
      <c r="H25" s="190">
        <v>-1440.01</v>
      </c>
      <c r="I25" s="177">
        <f>I22+H25</f>
        <v>136.29999999999995</v>
      </c>
      <c r="J25" s="175">
        <v>136.30000000000001</v>
      </c>
      <c r="K25" s="172" t="s">
        <v>163</v>
      </c>
      <c r="L25" s="172">
        <v>165</v>
      </c>
      <c r="M25" s="172">
        <v>0</v>
      </c>
      <c r="N25" s="172" t="s">
        <v>164</v>
      </c>
    </row>
    <row r="26" spans="1:14">
      <c r="A26" s="176">
        <v>45271</v>
      </c>
      <c r="B26" s="172" t="s">
        <v>157</v>
      </c>
      <c r="C26" s="173" t="s">
        <v>138</v>
      </c>
      <c r="F26" s="177"/>
      <c r="G26" s="177"/>
      <c r="H26" s="181">
        <v>491.8</v>
      </c>
      <c r="I26" s="177">
        <f>I25+H26</f>
        <v>628.09999999999991</v>
      </c>
      <c r="J26" s="177">
        <v>628.1</v>
      </c>
      <c r="K26" s="181" t="s">
        <v>165</v>
      </c>
      <c r="L26" s="172">
        <v>165</v>
      </c>
      <c r="M26" s="172">
        <v>88888888</v>
      </c>
      <c r="N26" s="172" t="s">
        <v>146</v>
      </c>
    </row>
    <row r="27" spans="1:14">
      <c r="A27" s="176">
        <v>45271</v>
      </c>
      <c r="B27" s="182" t="s">
        <v>157</v>
      </c>
      <c r="C27" s="183">
        <v>49.18</v>
      </c>
      <c r="D27" s="184">
        <v>10</v>
      </c>
      <c r="E27" s="184"/>
      <c r="F27" s="185">
        <f>D27*C27</f>
        <v>491.8</v>
      </c>
      <c r="G27" s="185"/>
      <c r="H27" s="182">
        <v>0</v>
      </c>
      <c r="I27" s="185"/>
      <c r="J27" s="186">
        <v>628.1</v>
      </c>
      <c r="K27" s="187" t="s">
        <v>166</v>
      </c>
      <c r="L27" s="172">
        <v>165</v>
      </c>
      <c r="M27" s="172">
        <v>88888888</v>
      </c>
      <c r="N27" s="172" t="s">
        <v>146</v>
      </c>
    </row>
    <row r="28" spans="1:14">
      <c r="A28" s="176">
        <v>45271</v>
      </c>
      <c r="B28" s="172" t="s">
        <v>156</v>
      </c>
      <c r="C28" s="173" t="s">
        <v>138</v>
      </c>
      <c r="D28" s="174" t="s">
        <v>139</v>
      </c>
      <c r="F28" s="177"/>
      <c r="G28" s="177"/>
      <c r="H28" s="181">
        <v>198.1</v>
      </c>
      <c r="I28" s="177">
        <f>I26+H28</f>
        <v>826.19999999999993</v>
      </c>
      <c r="J28" s="177">
        <v>826.2</v>
      </c>
      <c r="K28" s="181" t="s">
        <v>165</v>
      </c>
      <c r="L28" s="172">
        <v>165</v>
      </c>
      <c r="M28" s="172">
        <v>88888888</v>
      </c>
      <c r="N28" s="172" t="s">
        <v>146</v>
      </c>
    </row>
    <row r="29" spans="1:14">
      <c r="A29" s="176">
        <v>45271</v>
      </c>
      <c r="B29" s="182" t="s">
        <v>156</v>
      </c>
      <c r="C29" s="183">
        <v>28.3</v>
      </c>
      <c r="D29" s="184">
        <v>13</v>
      </c>
      <c r="E29" s="184"/>
      <c r="F29" s="185">
        <f>D29*C29</f>
        <v>367.90000000000003</v>
      </c>
      <c r="G29" s="185"/>
      <c r="H29" s="182">
        <v>0</v>
      </c>
      <c r="I29" s="185"/>
      <c r="J29" s="186">
        <v>826.2</v>
      </c>
      <c r="K29" s="187" t="s">
        <v>167</v>
      </c>
      <c r="L29" s="172">
        <v>165</v>
      </c>
      <c r="M29" s="172">
        <v>88888888</v>
      </c>
      <c r="N29" s="172" t="s">
        <v>146</v>
      </c>
    </row>
    <row r="30" spans="1:14">
      <c r="A30" s="176">
        <v>45273</v>
      </c>
      <c r="B30" s="172" t="s">
        <v>126</v>
      </c>
      <c r="C30" s="173" t="s">
        <v>168</v>
      </c>
      <c r="D30" s="174" t="s">
        <v>169</v>
      </c>
      <c r="H30" s="172">
        <v>826.2</v>
      </c>
      <c r="I30" s="177">
        <f>I28+H30</f>
        <v>1652.4</v>
      </c>
      <c r="J30" s="175">
        <v>1652.4</v>
      </c>
      <c r="K30" s="172" t="s">
        <v>140</v>
      </c>
      <c r="L30" s="172">
        <v>5800</v>
      </c>
      <c r="M30" s="172">
        <v>36151331</v>
      </c>
      <c r="N30" s="172" t="s">
        <v>170</v>
      </c>
    </row>
    <row r="31" spans="1:14">
      <c r="A31" s="176">
        <v>45273</v>
      </c>
      <c r="B31" s="178" t="s">
        <v>171</v>
      </c>
      <c r="C31" s="179" t="s">
        <v>168</v>
      </c>
      <c r="D31" s="180" t="s">
        <v>169</v>
      </c>
      <c r="E31" s="180"/>
      <c r="H31" s="178">
        <v>-1652.4</v>
      </c>
      <c r="I31" s="177">
        <f>I30+H31</f>
        <v>0</v>
      </c>
      <c r="J31" s="175">
        <v>0</v>
      </c>
      <c r="K31" s="178" t="s">
        <v>143</v>
      </c>
      <c r="L31" s="172">
        <v>5800</v>
      </c>
      <c r="M31" s="172">
        <v>36151331</v>
      </c>
      <c r="N31" s="172" t="s">
        <v>172</v>
      </c>
    </row>
    <row r="32" spans="1:14">
      <c r="A32" s="176">
        <v>45273</v>
      </c>
      <c r="B32" s="172" t="s">
        <v>126</v>
      </c>
      <c r="C32" s="173" t="s">
        <v>168</v>
      </c>
      <c r="D32" s="174" t="s">
        <v>169</v>
      </c>
      <c r="H32" s="172">
        <v>21088.49</v>
      </c>
      <c r="I32" s="177">
        <f>I31+H32</f>
        <v>21088.49</v>
      </c>
      <c r="J32" s="175">
        <v>21088.49</v>
      </c>
      <c r="K32" s="172" t="s">
        <v>140</v>
      </c>
      <c r="L32" s="172">
        <v>5800</v>
      </c>
      <c r="M32" s="172">
        <v>36151857</v>
      </c>
      <c r="N32" s="172" t="s">
        <v>170</v>
      </c>
    </row>
    <row r="33" spans="1:14">
      <c r="A33" s="176">
        <v>45273</v>
      </c>
      <c r="B33" s="172">
        <v>801</v>
      </c>
      <c r="C33" s="173">
        <v>527.21223999999995</v>
      </c>
      <c r="D33" s="174">
        <v>40</v>
      </c>
      <c r="F33" s="189">
        <f>D33*C33</f>
        <v>21088.489599999997</v>
      </c>
      <c r="G33" s="189"/>
      <c r="H33" s="172">
        <v>-21088.49</v>
      </c>
      <c r="I33" s="177">
        <f>I32+H33</f>
        <v>0</v>
      </c>
      <c r="J33" s="175">
        <v>0</v>
      </c>
      <c r="K33" s="172" t="s">
        <v>173</v>
      </c>
      <c r="L33" s="172">
        <v>5800</v>
      </c>
      <c r="M33" s="172">
        <v>36151857</v>
      </c>
      <c r="N33" s="172">
        <v>72</v>
      </c>
    </row>
    <row r="34" spans="1:14">
      <c r="A34" s="176">
        <v>45278</v>
      </c>
      <c r="B34" s="172" t="s">
        <v>171</v>
      </c>
      <c r="C34" s="173" t="s">
        <v>168</v>
      </c>
      <c r="D34" s="174" t="s">
        <v>169</v>
      </c>
      <c r="F34" s="177"/>
      <c r="G34" s="177"/>
      <c r="H34" s="181">
        <v>220.32</v>
      </c>
      <c r="I34" s="177">
        <f>I33+H34</f>
        <v>220.32</v>
      </c>
      <c r="J34" s="177">
        <v>220.32</v>
      </c>
      <c r="K34" s="181" t="s">
        <v>165</v>
      </c>
      <c r="L34" s="172">
        <v>165</v>
      </c>
      <c r="M34" s="172">
        <v>88888888</v>
      </c>
      <c r="N34" s="172" t="s">
        <v>174</v>
      </c>
    </row>
    <row r="35" spans="1:14">
      <c r="A35" s="176">
        <v>45278</v>
      </c>
      <c r="B35" s="182" t="s">
        <v>171</v>
      </c>
      <c r="C35" s="183">
        <v>55.08</v>
      </c>
      <c r="D35" s="184">
        <v>26</v>
      </c>
      <c r="E35" s="184"/>
      <c r="F35" s="185">
        <f>D35*C35</f>
        <v>1432.08</v>
      </c>
      <c r="G35" s="185"/>
      <c r="H35" s="182">
        <v>0</v>
      </c>
      <c r="I35" s="185"/>
      <c r="J35" s="175">
        <v>220.32</v>
      </c>
      <c r="K35" s="172" t="s">
        <v>175</v>
      </c>
      <c r="L35" s="172">
        <v>165</v>
      </c>
      <c r="M35" s="172">
        <v>88888888</v>
      </c>
      <c r="N35" s="172" t="s">
        <v>174</v>
      </c>
    </row>
    <row r="36" spans="1:14">
      <c r="A36" s="176">
        <v>45288</v>
      </c>
      <c r="B36" s="193">
        <v>808</v>
      </c>
      <c r="C36" s="194">
        <v>18.625761000000001</v>
      </c>
      <c r="D36" s="195">
        <v>-300</v>
      </c>
      <c r="E36" s="195"/>
      <c r="F36" s="196"/>
      <c r="G36" s="196"/>
      <c r="H36" s="193">
        <v>5587.73</v>
      </c>
      <c r="I36" s="177">
        <f>I34+H36</f>
        <v>5808.0499999999993</v>
      </c>
      <c r="J36" s="175">
        <v>5808.05</v>
      </c>
      <c r="K36" s="172" t="s">
        <v>176</v>
      </c>
      <c r="L36" s="172">
        <v>5800</v>
      </c>
      <c r="M36" s="172">
        <v>95105725</v>
      </c>
      <c r="N36" s="172">
        <v>73</v>
      </c>
    </row>
    <row r="37" spans="1:14">
      <c r="A37" s="176">
        <v>45288</v>
      </c>
      <c r="B37" s="172" t="s">
        <v>126</v>
      </c>
      <c r="C37" s="173" t="s">
        <v>168</v>
      </c>
      <c r="D37" s="174" t="s">
        <v>169</v>
      </c>
      <c r="H37" s="172">
        <v>-5587.73</v>
      </c>
      <c r="I37" s="177">
        <f>I36+H37</f>
        <v>220.31999999999971</v>
      </c>
      <c r="J37" s="175">
        <v>220.32</v>
      </c>
      <c r="K37" s="172" t="s">
        <v>177</v>
      </c>
      <c r="L37" s="172">
        <v>5800</v>
      </c>
      <c r="M37" s="172">
        <v>95105725</v>
      </c>
      <c r="N37" s="172" t="s">
        <v>178</v>
      </c>
    </row>
    <row r="38" spans="1:14">
      <c r="A38" s="176">
        <v>45288</v>
      </c>
      <c r="B38" s="172" t="s">
        <v>126</v>
      </c>
      <c r="C38" s="173" t="s">
        <v>168</v>
      </c>
      <c r="D38" s="174" t="s">
        <v>169</v>
      </c>
      <c r="H38" s="172">
        <v>2086.5100000000002</v>
      </c>
      <c r="I38" s="177">
        <f>I37+H38</f>
        <v>2306.83</v>
      </c>
      <c r="J38" s="175">
        <v>2306.83</v>
      </c>
      <c r="K38" s="172" t="s">
        <v>140</v>
      </c>
      <c r="L38" s="172">
        <v>5800</v>
      </c>
      <c r="M38" s="172">
        <v>10001</v>
      </c>
      <c r="N38" s="172" t="s">
        <v>170</v>
      </c>
    </row>
    <row r="39" spans="1:14">
      <c r="A39" s="176">
        <v>45288</v>
      </c>
      <c r="B39" s="172" t="s">
        <v>67</v>
      </c>
      <c r="C39" s="173">
        <v>115.1</v>
      </c>
      <c r="D39" s="174">
        <v>20</v>
      </c>
      <c r="H39" s="172">
        <v>-2306.83</v>
      </c>
      <c r="I39" s="186"/>
      <c r="J39" s="186">
        <v>2306.83</v>
      </c>
      <c r="K39" s="187" t="s">
        <v>179</v>
      </c>
      <c r="L39" s="172">
        <v>165</v>
      </c>
      <c r="M39" s="172">
        <v>95110347</v>
      </c>
      <c r="N39" s="172" t="s">
        <v>180</v>
      </c>
    </row>
    <row r="40" spans="1:14">
      <c r="A40" s="176">
        <v>45288</v>
      </c>
      <c r="B40" s="172" t="s">
        <v>126</v>
      </c>
      <c r="C40" s="173" t="s">
        <v>168</v>
      </c>
      <c r="D40" s="174" t="s">
        <v>169</v>
      </c>
      <c r="H40" s="172">
        <v>3960.3</v>
      </c>
      <c r="I40" s="177">
        <f>I38+H40</f>
        <v>6267.13</v>
      </c>
      <c r="J40" s="175">
        <v>6267.13</v>
      </c>
      <c r="K40" s="172" t="s">
        <v>140</v>
      </c>
      <c r="L40" s="172">
        <v>5800</v>
      </c>
      <c r="M40" s="172">
        <v>10001</v>
      </c>
      <c r="N40" s="172" t="s">
        <v>170</v>
      </c>
    </row>
    <row r="41" spans="1:14">
      <c r="A41" s="176">
        <v>45288</v>
      </c>
      <c r="B41" s="172" t="s">
        <v>171</v>
      </c>
      <c r="C41" s="173">
        <v>39.520000000000003</v>
      </c>
      <c r="D41" s="174">
        <v>100</v>
      </c>
      <c r="H41" s="172">
        <v>-3960.3</v>
      </c>
      <c r="I41" s="186"/>
      <c r="J41" s="186">
        <v>6267.13</v>
      </c>
      <c r="K41" s="187" t="s">
        <v>181</v>
      </c>
      <c r="L41" s="172">
        <v>165</v>
      </c>
      <c r="M41" s="172">
        <v>95111027</v>
      </c>
      <c r="N41" s="172" t="s">
        <v>180</v>
      </c>
    </row>
    <row r="42" spans="1:14">
      <c r="A42" s="187"/>
      <c r="B42" s="187"/>
      <c r="C42" s="197"/>
      <c r="D42" s="198"/>
      <c r="E42" s="198"/>
      <c r="F42" s="186"/>
      <c r="G42" s="186"/>
      <c r="H42" s="187"/>
      <c r="I42" s="186"/>
      <c r="J42" s="186"/>
      <c r="K42" s="187"/>
      <c r="L42" s="187"/>
      <c r="M42" s="187"/>
      <c r="N42" s="187"/>
    </row>
    <row r="43" spans="1:14">
      <c r="A43" s="176">
        <v>45293</v>
      </c>
      <c r="B43" s="190" t="s">
        <v>182</v>
      </c>
      <c r="C43" s="191">
        <v>-115.1</v>
      </c>
      <c r="D43" s="192">
        <v>20</v>
      </c>
      <c r="E43" s="192"/>
      <c r="F43" s="189">
        <f>H43/D43</f>
        <v>-115.3415</v>
      </c>
      <c r="G43" s="189">
        <v>4.83</v>
      </c>
      <c r="H43" s="190">
        <v>-2306.83</v>
      </c>
      <c r="I43" s="177">
        <f>I40+H43</f>
        <v>3960.3</v>
      </c>
      <c r="J43" s="175">
        <v>3960.3</v>
      </c>
      <c r="K43" s="172" t="s">
        <v>183</v>
      </c>
      <c r="L43" s="172">
        <v>165</v>
      </c>
      <c r="M43" s="172">
        <v>0</v>
      </c>
      <c r="N43" s="172" t="s">
        <v>184</v>
      </c>
    </row>
    <row r="44" spans="1:14">
      <c r="A44" s="176">
        <v>45293</v>
      </c>
      <c r="B44" s="190" t="s">
        <v>185</v>
      </c>
      <c r="C44" s="191">
        <v>-39.5</v>
      </c>
      <c r="D44" s="192">
        <v>100</v>
      </c>
      <c r="E44" s="192"/>
      <c r="F44" s="189">
        <f>H44/D44</f>
        <v>-39.582999999999998</v>
      </c>
      <c r="G44" s="189">
        <v>8.3000000000000007</v>
      </c>
      <c r="H44" s="190">
        <v>-3958.3</v>
      </c>
      <c r="I44" s="177">
        <f>I43+H44</f>
        <v>2</v>
      </c>
      <c r="J44" s="175">
        <v>2</v>
      </c>
      <c r="K44" s="172" t="s">
        <v>186</v>
      </c>
      <c r="L44" s="172">
        <v>165</v>
      </c>
      <c r="M44" s="172">
        <v>0</v>
      </c>
      <c r="N44" s="172" t="s">
        <v>184</v>
      </c>
    </row>
    <row r="45" spans="1:14">
      <c r="A45" s="176">
        <v>45293</v>
      </c>
      <c r="B45" s="193">
        <v>801</v>
      </c>
      <c r="C45" s="194">
        <v>538.78970700000002</v>
      </c>
      <c r="D45" s="195">
        <v>-28</v>
      </c>
      <c r="E45" s="195"/>
      <c r="F45" s="196"/>
      <c r="G45" s="196"/>
      <c r="H45" s="193">
        <v>15086.11</v>
      </c>
      <c r="I45" s="177">
        <f>I44+H45</f>
        <v>15088.11</v>
      </c>
      <c r="J45" s="175">
        <v>15088.11</v>
      </c>
      <c r="K45" s="172" t="s">
        <v>187</v>
      </c>
      <c r="L45" s="172">
        <v>5800</v>
      </c>
      <c r="M45" s="172">
        <v>95112740</v>
      </c>
      <c r="N45" s="172">
        <v>73</v>
      </c>
    </row>
    <row r="46" spans="1:14">
      <c r="A46" s="176">
        <v>45293</v>
      </c>
      <c r="B46" s="172" t="s">
        <v>188</v>
      </c>
      <c r="C46" s="173" t="s">
        <v>138</v>
      </c>
      <c r="D46" s="174" t="s">
        <v>189</v>
      </c>
      <c r="H46" s="172">
        <v>-15086.11</v>
      </c>
      <c r="I46" s="177">
        <f>I45+H46</f>
        <v>2</v>
      </c>
      <c r="J46" s="175">
        <v>2</v>
      </c>
      <c r="K46" s="172" t="s">
        <v>177</v>
      </c>
      <c r="L46" s="172">
        <v>5800</v>
      </c>
      <c r="M46" s="172">
        <v>95112740</v>
      </c>
      <c r="N46" s="172" t="s">
        <v>178</v>
      </c>
    </row>
    <row r="47" spans="1:14">
      <c r="A47" s="176">
        <v>45294</v>
      </c>
      <c r="B47" s="172" t="s">
        <v>188</v>
      </c>
      <c r="C47" s="173" t="s">
        <v>138</v>
      </c>
      <c r="D47" s="174" t="s">
        <v>189</v>
      </c>
      <c r="G47" s="175">
        <v>-1.9</v>
      </c>
      <c r="H47" s="172">
        <v>0</v>
      </c>
      <c r="I47" s="177">
        <f>I46+G47</f>
        <v>0.10000000000000009</v>
      </c>
      <c r="J47" s="175">
        <v>0.1</v>
      </c>
      <c r="K47" s="172" t="s">
        <v>190</v>
      </c>
      <c r="L47" s="172">
        <v>165</v>
      </c>
      <c r="M47" s="172">
        <v>22229971</v>
      </c>
      <c r="N47" s="172" t="s">
        <v>191</v>
      </c>
    </row>
    <row r="48" spans="1:14">
      <c r="A48" s="176">
        <v>45294</v>
      </c>
      <c r="B48" s="172" t="s">
        <v>188</v>
      </c>
      <c r="C48" s="173" t="s">
        <v>138</v>
      </c>
      <c r="D48" s="174" t="s">
        <v>189</v>
      </c>
      <c r="G48" s="175">
        <v>-0.1</v>
      </c>
      <c r="H48" s="172">
        <v>-0.1</v>
      </c>
      <c r="I48" s="177">
        <f>I47+G48</f>
        <v>0</v>
      </c>
      <c r="J48" s="175">
        <v>0</v>
      </c>
      <c r="K48" s="172" t="s">
        <v>192</v>
      </c>
      <c r="L48" s="172">
        <v>165</v>
      </c>
      <c r="M48" s="172">
        <v>22229977</v>
      </c>
      <c r="N48" s="172" t="s">
        <v>193</v>
      </c>
    </row>
    <row r="49" spans="1:14">
      <c r="A49" s="176">
        <v>45295</v>
      </c>
      <c r="B49" s="193">
        <v>801</v>
      </c>
      <c r="C49" s="194">
        <v>540.000044</v>
      </c>
      <c r="D49" s="195">
        <v>-22</v>
      </c>
      <c r="E49" s="195"/>
      <c r="F49" s="196"/>
      <c r="G49" s="196"/>
      <c r="H49" s="193">
        <v>11880</v>
      </c>
      <c r="I49" s="177">
        <f t="shared" ref="I49:I55" si="1">I48+H49</f>
        <v>11880</v>
      </c>
      <c r="J49" s="175">
        <v>11880</v>
      </c>
      <c r="K49" s="172" t="s">
        <v>176</v>
      </c>
      <c r="L49" s="172">
        <v>5800</v>
      </c>
      <c r="M49" s="172">
        <v>95101505</v>
      </c>
      <c r="N49" s="172">
        <v>73</v>
      </c>
    </row>
    <row r="50" spans="1:14">
      <c r="A50" s="176">
        <v>45295</v>
      </c>
      <c r="B50" s="172" t="s">
        <v>188</v>
      </c>
      <c r="C50" s="173" t="s">
        <v>138</v>
      </c>
      <c r="D50" s="174" t="s">
        <v>189</v>
      </c>
      <c r="H50" s="172">
        <v>-11855.75</v>
      </c>
      <c r="I50" s="177">
        <f t="shared" si="1"/>
        <v>24.25</v>
      </c>
      <c r="J50" s="175">
        <v>24.25</v>
      </c>
      <c r="K50" s="172" t="s">
        <v>177</v>
      </c>
      <c r="L50" s="172">
        <v>5800</v>
      </c>
      <c r="M50" s="172">
        <v>95101505</v>
      </c>
      <c r="N50" s="172" t="s">
        <v>178</v>
      </c>
    </row>
    <row r="51" spans="1:14">
      <c r="A51" s="176">
        <v>45295</v>
      </c>
      <c r="B51" s="172" t="s">
        <v>188</v>
      </c>
      <c r="C51" s="173" t="s">
        <v>138</v>
      </c>
      <c r="D51" s="174" t="s">
        <v>189</v>
      </c>
      <c r="G51" s="175">
        <v>-23.1</v>
      </c>
      <c r="H51" s="172">
        <v>-23.1</v>
      </c>
      <c r="I51" s="177">
        <f t="shared" si="1"/>
        <v>1.1499999999999986</v>
      </c>
      <c r="J51" s="175">
        <v>1.1499999999999999</v>
      </c>
      <c r="K51" s="172" t="s">
        <v>190</v>
      </c>
      <c r="L51" s="172">
        <v>5800</v>
      </c>
      <c r="M51" s="172">
        <v>95109971</v>
      </c>
      <c r="N51" s="172" t="s">
        <v>191</v>
      </c>
    </row>
    <row r="52" spans="1:14">
      <c r="A52" s="176">
        <v>45295</v>
      </c>
      <c r="B52" s="172" t="s">
        <v>188</v>
      </c>
      <c r="C52" s="173" t="s">
        <v>138</v>
      </c>
      <c r="D52" s="174" t="s">
        <v>189</v>
      </c>
      <c r="G52" s="175">
        <v>-1.1499999999999999</v>
      </c>
      <c r="H52" s="172">
        <v>-1.1499999999999999</v>
      </c>
      <c r="I52" s="177">
        <f t="shared" si="1"/>
        <v>0</v>
      </c>
      <c r="J52" s="175">
        <v>0</v>
      </c>
      <c r="K52" s="172" t="s">
        <v>192</v>
      </c>
      <c r="L52" s="172">
        <v>5800</v>
      </c>
      <c r="M52" s="172">
        <v>95109977</v>
      </c>
      <c r="N52" s="172" t="s">
        <v>193</v>
      </c>
    </row>
    <row r="53" spans="1:14">
      <c r="A53" s="176">
        <v>45296</v>
      </c>
      <c r="B53" s="172" t="s">
        <v>188</v>
      </c>
      <c r="C53" s="173" t="s">
        <v>138</v>
      </c>
      <c r="D53" s="174" t="s">
        <v>189</v>
      </c>
      <c r="H53" s="172">
        <v>59466.12</v>
      </c>
      <c r="I53" s="177">
        <f t="shared" si="1"/>
        <v>59466.12</v>
      </c>
      <c r="J53" s="175">
        <v>59466.12</v>
      </c>
      <c r="K53" s="172" t="s">
        <v>140</v>
      </c>
      <c r="L53" s="172">
        <v>5800</v>
      </c>
      <c r="M53" s="172">
        <v>36161744</v>
      </c>
      <c r="N53" s="172" t="s">
        <v>170</v>
      </c>
    </row>
    <row r="54" spans="1:14">
      <c r="A54" s="176">
        <v>45296</v>
      </c>
      <c r="B54" s="190">
        <v>801</v>
      </c>
      <c r="C54" s="191">
        <v>540.60110799999995</v>
      </c>
      <c r="D54" s="192">
        <v>110</v>
      </c>
      <c r="E54" s="192"/>
      <c r="F54" s="189">
        <f>D54*C54</f>
        <v>59466.121879999992</v>
      </c>
      <c r="G54" s="189"/>
      <c r="H54" s="190">
        <v>-59466.12</v>
      </c>
      <c r="I54" s="177">
        <f t="shared" si="1"/>
        <v>0</v>
      </c>
      <c r="J54" s="175">
        <v>0</v>
      </c>
      <c r="K54" s="172" t="s">
        <v>194</v>
      </c>
      <c r="L54" s="172">
        <v>5800</v>
      </c>
      <c r="M54" s="172">
        <v>36161744</v>
      </c>
      <c r="N54" s="172">
        <v>72</v>
      </c>
    </row>
    <row r="55" spans="1:14">
      <c r="A55" s="176">
        <v>45296</v>
      </c>
      <c r="B55" s="172" t="s">
        <v>188</v>
      </c>
      <c r="C55" s="173" t="s">
        <v>138</v>
      </c>
      <c r="D55" s="174" t="s">
        <v>189</v>
      </c>
      <c r="H55" s="172">
        <v>27030.06</v>
      </c>
      <c r="I55" s="177">
        <f t="shared" si="1"/>
        <v>27030.06</v>
      </c>
      <c r="J55" s="175">
        <v>27030.06</v>
      </c>
      <c r="K55" s="172" t="s">
        <v>140</v>
      </c>
      <c r="L55" s="172">
        <v>5800</v>
      </c>
      <c r="M55" s="172">
        <v>95173631</v>
      </c>
      <c r="N55" s="172" t="s">
        <v>170</v>
      </c>
    </row>
    <row r="56" spans="1:14">
      <c r="A56" s="176">
        <v>45296</v>
      </c>
      <c r="B56" s="172">
        <v>801</v>
      </c>
      <c r="C56" s="173" t="s">
        <v>195</v>
      </c>
      <c r="D56" s="174">
        <v>50000</v>
      </c>
      <c r="H56" s="172">
        <v>-27030.06</v>
      </c>
      <c r="I56" s="186"/>
      <c r="J56" s="186">
        <v>27030.06</v>
      </c>
      <c r="K56" s="187" t="s">
        <v>196</v>
      </c>
      <c r="L56" s="172">
        <v>5800</v>
      </c>
      <c r="M56" s="172">
        <v>95173631</v>
      </c>
      <c r="N56" s="172" t="s">
        <v>197</v>
      </c>
    </row>
    <row r="57" spans="1:14">
      <c r="A57" s="176">
        <v>45299</v>
      </c>
      <c r="B57" s="172" t="s">
        <v>188</v>
      </c>
      <c r="C57" s="173" t="s">
        <v>138</v>
      </c>
      <c r="D57" s="174" t="s">
        <v>189</v>
      </c>
      <c r="H57" s="172">
        <v>91.67</v>
      </c>
      <c r="I57" s="177">
        <f>I55+H57</f>
        <v>27121.73</v>
      </c>
      <c r="J57" s="175">
        <v>27121.73</v>
      </c>
      <c r="K57" s="172" t="s">
        <v>140</v>
      </c>
      <c r="L57" s="172">
        <v>5800</v>
      </c>
      <c r="M57" s="172">
        <v>58009517</v>
      </c>
      <c r="N57" s="172" t="s">
        <v>170</v>
      </c>
    </row>
    <row r="58" spans="1:14">
      <c r="A58" s="176">
        <v>45299</v>
      </c>
      <c r="B58" s="190">
        <v>801</v>
      </c>
      <c r="C58" s="191">
        <v>542.43450199999995</v>
      </c>
      <c r="D58" s="192">
        <v>50</v>
      </c>
      <c r="E58" s="192"/>
      <c r="F58" s="189">
        <f>D58*C58</f>
        <v>27121.725099999996</v>
      </c>
      <c r="G58" s="189"/>
      <c r="H58" s="190">
        <v>-27121.73</v>
      </c>
      <c r="I58" s="186"/>
      <c r="J58" s="186">
        <v>0</v>
      </c>
      <c r="K58" s="187" t="s">
        <v>198</v>
      </c>
      <c r="L58" s="172">
        <v>5800</v>
      </c>
      <c r="M58" s="172">
        <v>95173631</v>
      </c>
      <c r="N58" s="172" t="s">
        <v>199</v>
      </c>
    </row>
    <row r="59" spans="1:14">
      <c r="A59" s="176">
        <v>45313</v>
      </c>
      <c r="B59" s="172" t="s">
        <v>185</v>
      </c>
      <c r="C59" s="173">
        <v>51.4</v>
      </c>
      <c r="D59" s="174">
        <v>-126</v>
      </c>
      <c r="H59" s="172">
        <v>6462.8</v>
      </c>
      <c r="I59" s="186"/>
      <c r="J59" s="186">
        <v>0</v>
      </c>
      <c r="K59" s="187" t="s">
        <v>200</v>
      </c>
      <c r="L59" s="172">
        <v>165</v>
      </c>
      <c r="M59" s="172">
        <v>95164217</v>
      </c>
      <c r="N59" s="172" t="s">
        <v>201</v>
      </c>
    </row>
    <row r="60" spans="1:14">
      <c r="A60" s="176">
        <v>45313</v>
      </c>
      <c r="B60" s="172" t="s">
        <v>202</v>
      </c>
      <c r="C60" s="173">
        <v>41.6</v>
      </c>
      <c r="D60" s="174">
        <v>-13</v>
      </c>
      <c r="H60" s="172">
        <v>539.66999999999996</v>
      </c>
      <c r="I60" s="186"/>
      <c r="J60" s="186">
        <v>0</v>
      </c>
      <c r="K60" s="187" t="s">
        <v>203</v>
      </c>
      <c r="L60" s="172">
        <v>165</v>
      </c>
      <c r="M60" s="172">
        <v>95164250</v>
      </c>
      <c r="N60" s="172" t="s">
        <v>201</v>
      </c>
    </row>
    <row r="61" spans="1:14">
      <c r="A61" s="176">
        <v>45315</v>
      </c>
      <c r="B61" s="181" t="s">
        <v>185</v>
      </c>
      <c r="C61" s="199">
        <v>-51.4</v>
      </c>
      <c r="D61" s="200">
        <v>-126</v>
      </c>
      <c r="E61" s="200"/>
      <c r="F61" s="177">
        <f>D61*C61</f>
        <v>6476.4</v>
      </c>
      <c r="G61" s="177"/>
      <c r="H61" s="181">
        <v>6462.8</v>
      </c>
      <c r="I61" s="177">
        <f>I60+H61</f>
        <v>6462.8</v>
      </c>
      <c r="J61" s="175">
        <v>6462.8</v>
      </c>
      <c r="K61" s="172" t="s">
        <v>204</v>
      </c>
      <c r="L61" s="172">
        <v>165</v>
      </c>
      <c r="M61" s="172">
        <v>0</v>
      </c>
      <c r="N61" s="172" t="s">
        <v>205</v>
      </c>
    </row>
    <row r="62" spans="1:14">
      <c r="A62" s="176">
        <v>45315</v>
      </c>
      <c r="B62" s="181" t="s">
        <v>202</v>
      </c>
      <c r="C62" s="199">
        <v>-41.6</v>
      </c>
      <c r="D62" s="200">
        <v>-13</v>
      </c>
      <c r="E62" s="200"/>
      <c r="F62" s="177">
        <f>D62*C62</f>
        <v>540.80000000000007</v>
      </c>
      <c r="G62" s="177"/>
      <c r="H62" s="181">
        <v>539.66999999999996</v>
      </c>
      <c r="I62" s="177">
        <f>I61+H62</f>
        <v>7002.47</v>
      </c>
      <c r="J62" s="175">
        <v>7002.47</v>
      </c>
      <c r="K62" s="172" t="s">
        <v>206</v>
      </c>
      <c r="L62" s="172">
        <v>165</v>
      </c>
      <c r="M62" s="172">
        <v>0</v>
      </c>
      <c r="N62" s="172" t="s">
        <v>205</v>
      </c>
    </row>
    <row r="63" spans="1:14">
      <c r="D63" s="172"/>
      <c r="E63" s="172"/>
    </row>
    <row r="64" spans="1:14">
      <c r="D64" s="172"/>
      <c r="E64" s="172"/>
    </row>
    <row r="65" spans="4:5">
      <c r="D65" s="172"/>
      <c r="E65" s="17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207</v>
      </c>
    </row>
    <row r="7" spans="3:3">
      <c r="C7" t="s">
        <v>208</v>
      </c>
    </row>
    <row r="8" spans="3:3">
      <c r="C8" t="s">
        <v>209</v>
      </c>
    </row>
    <row r="9" spans="3:3">
      <c r="C9" t="s">
        <v>210</v>
      </c>
    </row>
    <row r="10" spans="3:3">
      <c r="C10" t="s">
        <v>211</v>
      </c>
    </row>
    <row r="11" spans="3:3">
      <c r="C11" t="s">
        <v>212</v>
      </c>
    </row>
    <row r="12" spans="3:3">
      <c r="C12" t="s">
        <v>213</v>
      </c>
    </row>
    <row r="13" spans="3:3">
      <c r="C13" t="s">
        <v>214</v>
      </c>
    </row>
    <row r="14" spans="3:3">
      <c r="C14" t="s">
        <v>215</v>
      </c>
    </row>
    <row r="15" spans="3:3">
      <c r="C15" t="s">
        <v>216</v>
      </c>
    </row>
    <row r="16" spans="3:3">
      <c r="C16" t="s">
        <v>217</v>
      </c>
    </row>
    <row r="17" spans="3:3">
      <c r="C17" t="s">
        <v>218</v>
      </c>
    </row>
    <row r="18" spans="3:3">
      <c r="C18" t="s">
        <v>219</v>
      </c>
    </row>
    <row r="19" spans="3:3">
      <c r="C19" t="s">
        <v>220</v>
      </c>
    </row>
    <row r="20" spans="3:3">
      <c r="C20" t="s">
        <v>221</v>
      </c>
    </row>
    <row r="21" spans="3:3">
      <c r="C21" t="s">
        <v>222</v>
      </c>
    </row>
    <row r="22" spans="3:3">
      <c r="C22" t="s">
        <v>223</v>
      </c>
    </row>
    <row r="23" spans="3:3">
      <c r="C23" t="s">
        <v>224</v>
      </c>
    </row>
    <row r="24" spans="3:3">
      <c r="C24" t="s">
        <v>225</v>
      </c>
    </row>
    <row r="25" spans="3:3">
      <c r="C25" t="s">
        <v>226</v>
      </c>
    </row>
    <row r="26" spans="3:3">
      <c r="C26" t="s">
        <v>227</v>
      </c>
    </row>
    <row r="28" spans="3:3">
      <c r="C28" t="s">
        <v>228</v>
      </c>
    </row>
    <row r="29" spans="3:3">
      <c r="C29" t="s">
        <v>229</v>
      </c>
    </row>
    <row r="30" spans="3:3">
      <c r="C30" t="s">
        <v>230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265</cp:revision>
  <cp:lastPrinted>2024-02-28T10:33:00Z</cp:lastPrinted>
  <dcterms:created xsi:type="dcterms:W3CDTF">2022-03-04T11:30:59Z</dcterms:created>
  <dcterms:modified xsi:type="dcterms:W3CDTF">2024-04-04T07:20:04Z</dcterms:modified>
  <dc:language>tr-TR</dc:language>
</cp:coreProperties>
</file>