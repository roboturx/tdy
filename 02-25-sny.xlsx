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7899F48E-E105-47C7-BF14-55B55471D44B}" xr6:coauthVersionLast="47" xr6:coauthVersionMax="47" xr10:uidLastSave="{00000000-0000-0000-0000-000000000000}"/>
  <bookViews>
    <workbookView xWindow="1140" yWindow="15" windowWidth="25680" windowHeight="14715" tabRatio="912" activeTab="4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nyF-HSP" sheetId="15" r:id="rId9"/>
    <sheet name="SnyG702-22" sheetId="7" r:id="rId10"/>
    <sheet name="SnH_yazıhane" sheetId="8" r:id="rId11"/>
    <sheet name="NAZAN_25" sheetId="19" r:id="rId12"/>
    <sheet name="NAZAN_24" sheetId="1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18" l="1"/>
  <c r="H18" i="18"/>
  <c r="H17" i="18" s="1"/>
  <c r="G3" i="18"/>
  <c r="K25" i="18"/>
  <c r="K26" i="18" s="1"/>
  <c r="K20" i="18"/>
  <c r="K21" i="18" s="1"/>
  <c r="K22" i="18" s="1"/>
  <c r="F44" i="18"/>
  <c r="F41" i="18" s="1"/>
  <c r="F39" i="18" s="1"/>
  <c r="F37" i="18" s="1"/>
  <c r="F35" i="18" s="1"/>
  <c r="D26" i="16"/>
  <c r="G10" i="8"/>
  <c r="G11" i="8" s="1"/>
  <c r="G12" i="8" s="1"/>
  <c r="G13" i="8" s="1"/>
  <c r="C9" i="19" l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E20" i="16"/>
  <c r="D44" i="19"/>
  <c r="E44" i="19" s="1"/>
  <c r="D40" i="19"/>
  <c r="D39" i="19"/>
  <c r="D38" i="19"/>
  <c r="D37" i="19"/>
  <c r="G36" i="19"/>
  <c r="D36" i="19"/>
  <c r="G35" i="19"/>
  <c r="D35" i="19"/>
  <c r="D34" i="19"/>
  <c r="E33" i="19"/>
  <c r="D33" i="19"/>
  <c r="E32" i="19"/>
  <c r="D32" i="19"/>
  <c r="G31" i="19"/>
  <c r="D31" i="19"/>
  <c r="D30" i="19"/>
  <c r="G29" i="19"/>
  <c r="D29" i="19"/>
  <c r="G28" i="19"/>
  <c r="D28" i="19"/>
  <c r="G27" i="19"/>
  <c r="D27" i="19"/>
  <c r="G26" i="19"/>
  <c r="D26" i="19"/>
  <c r="C25" i="19"/>
  <c r="E23" i="19"/>
  <c r="G30" i="19" s="1"/>
  <c r="H5" i="19"/>
  <c r="D45" i="18"/>
  <c r="E45" i="18" s="1"/>
  <c r="E44" i="18" s="1"/>
  <c r="E22" i="18"/>
  <c r="F50" i="15"/>
  <c r="F49" i="15"/>
  <c r="F47" i="15"/>
  <c r="E34" i="19" l="1"/>
  <c r="E35" i="19"/>
  <c r="E29" i="19"/>
  <c r="E38" i="19"/>
  <c r="E36" i="19"/>
  <c r="E39" i="19"/>
  <c r="E30" i="19"/>
  <c r="E37" i="19"/>
  <c r="G40" i="19"/>
  <c r="H40" i="19" s="1"/>
  <c r="E31" i="19"/>
  <c r="D25" i="19"/>
  <c r="E45" i="19" s="1"/>
  <c r="G37" i="19"/>
  <c r="E26" i="19"/>
  <c r="G32" i="19"/>
  <c r="G38" i="19"/>
  <c r="G33" i="19"/>
  <c r="E28" i="19"/>
  <c r="E40" i="19"/>
  <c r="E27" i="19"/>
  <c r="G39" i="19"/>
  <c r="H39" i="19" s="1"/>
  <c r="H38" i="19" s="1"/>
  <c r="H37" i="19" s="1"/>
  <c r="H36" i="19" s="1"/>
  <c r="H35" i="19" s="1"/>
  <c r="G34" i="19"/>
  <c r="F35" i="15"/>
  <c r="F34" i="15"/>
  <c r="F33" i="15"/>
  <c r="F32" i="15"/>
  <c r="D14" i="18"/>
  <c r="D16" i="18"/>
  <c r="D18" i="18"/>
  <c r="D22" i="18"/>
  <c r="H47" i="18"/>
  <c r="H46" i="18" s="1"/>
  <c r="F45" i="18" s="1"/>
  <c r="D42" i="18"/>
  <c r="E42" i="18" s="1"/>
  <c r="D40" i="18"/>
  <c r="D38" i="18"/>
  <c r="D36" i="18"/>
  <c r="D34" i="18"/>
  <c r="D32" i="18"/>
  <c r="D30" i="18"/>
  <c r="D28" i="18"/>
  <c r="D26" i="18"/>
  <c r="D24" i="18"/>
  <c r="C45" i="19" l="1"/>
  <c r="D45" i="19"/>
  <c r="H34" i="19"/>
  <c r="H33" i="19" s="1"/>
  <c r="H32" i="19" s="1"/>
  <c r="H31" i="19" s="1"/>
  <c r="H30" i="19" s="1"/>
  <c r="H29" i="19" s="1"/>
  <c r="H28" i="19" s="1"/>
  <c r="H27" i="19" s="1"/>
  <c r="H26" i="19" s="1"/>
  <c r="H25" i="19" s="1"/>
  <c r="H6" i="19" s="1"/>
  <c r="H7" i="19" s="1"/>
  <c r="G25" i="19"/>
  <c r="E25" i="19"/>
  <c r="H45" i="18"/>
  <c r="H44" i="18" s="1"/>
  <c r="H43" i="18" s="1"/>
  <c r="E78" i="15"/>
  <c r="E66" i="15"/>
  <c r="H65" i="15"/>
  <c r="D117" i="5"/>
  <c r="D115" i="5"/>
  <c r="D116" i="5" s="1"/>
  <c r="D111" i="5"/>
  <c r="E46" i="19" l="1"/>
  <c r="D46" i="19" s="1"/>
  <c r="D47" i="19" s="1"/>
  <c r="D8" i="19"/>
  <c r="D9" i="19" s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H8" i="19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66" i="15"/>
  <c r="E67" i="15"/>
  <c r="E79" i="15"/>
  <c r="C68" i="17"/>
  <c r="C65" i="17"/>
  <c r="C66" i="17" s="1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C46" i="19" l="1"/>
  <c r="C47" i="19" s="1"/>
  <c r="C52" i="19"/>
  <c r="E52" i="19" s="1"/>
  <c r="E47" i="19"/>
  <c r="E81" i="15"/>
  <c r="E83" i="15" s="1"/>
  <c r="E68" i="15"/>
  <c r="H67" i="15"/>
  <c r="D69" i="17"/>
  <c r="D70" i="17" l="1"/>
  <c r="D71" i="17" s="1"/>
  <c r="D76" i="17" s="1"/>
  <c r="E41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E40" i="18" l="1"/>
  <c r="E39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3" i="4"/>
  <c r="E13" i="4" s="1"/>
  <c r="D14" i="4" s="1"/>
  <c r="E14" i="4" s="1"/>
  <c r="D15" i="4" s="1"/>
  <c r="E15" i="4" s="1"/>
  <c r="D16" i="4" s="1"/>
  <c r="E16" i="4" s="1"/>
  <c r="D17" i="4" s="1"/>
  <c r="E17" i="4" s="1"/>
  <c r="D10" i="4"/>
  <c r="E10" i="4" s="1"/>
  <c r="E38" i="18" l="1"/>
  <c r="E37" i="18"/>
  <c r="E31" i="15"/>
  <c r="F30" i="15"/>
  <c r="F42" i="18"/>
  <c r="H42" i="18" s="1"/>
  <c r="H41" i="18" s="1"/>
  <c r="E36" i="18"/>
  <c r="D18" i="4"/>
  <c r="E18" i="4" s="1"/>
  <c r="D19" i="4" s="1"/>
  <c r="E19" i="4" s="1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E35" i="18" l="1"/>
  <c r="E36" i="15"/>
  <c r="F31" i="15"/>
  <c r="E34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13" i="3"/>
  <c r="D25" i="2"/>
  <c r="D26" i="2" s="1"/>
  <c r="E33" i="18" l="1"/>
  <c r="F33" i="18"/>
  <c r="G29" i="16"/>
  <c r="G37" i="16"/>
  <c r="G34" i="16"/>
  <c r="G15" i="6"/>
  <c r="F37" i="15"/>
  <c r="F36" i="15"/>
  <c r="E37" i="15"/>
  <c r="F40" i="18"/>
  <c r="H40" i="18" s="1"/>
  <c r="H39" i="18" s="1"/>
  <c r="E32" i="18"/>
  <c r="H72" i="15"/>
  <c r="E16" i="6"/>
  <c r="G16" i="6" s="1"/>
  <c r="E28" i="1"/>
  <c r="E30" i="1" s="1"/>
  <c r="E27" i="16"/>
  <c r="E33" i="16"/>
  <c r="E26" i="16"/>
  <c r="E35" i="16"/>
  <c r="G38" i="16"/>
  <c r="G25" i="16" s="1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E40" i="16"/>
  <c r="E30" i="16"/>
  <c r="E31" i="16"/>
  <c r="E31" i="18" l="1"/>
  <c r="F38" i="15"/>
  <c r="E38" i="15"/>
  <c r="E39" i="15" s="1"/>
  <c r="F38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C37" i="7"/>
  <c r="C56" i="6"/>
  <c r="C37" i="5"/>
  <c r="D51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9" i="4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83" i="4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G53" i="4"/>
  <c r="E5" i="4" s="1"/>
  <c r="G39" i="4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9" i="4"/>
  <c r="G10" i="4" s="1"/>
  <c r="G11" i="4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F31" i="18" l="1"/>
  <c r="E30" i="18" s="1"/>
  <c r="H38" i="18"/>
  <c r="H37" i="18" s="1"/>
  <c r="H18" i="15"/>
  <c r="F39" i="15"/>
  <c r="E40" i="15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29" i="18" l="1"/>
  <c r="F36" i="18"/>
  <c r="H36" i="18" s="1"/>
  <c r="H35" i="18" s="1"/>
  <c r="F34" i="18" s="1"/>
  <c r="H34" i="18" s="1"/>
  <c r="H33" i="18" s="1"/>
  <c r="F32" i="18" s="1"/>
  <c r="H32" i="18" s="1"/>
  <c r="H31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29" i="18" l="1"/>
  <c r="E28" i="18" s="1"/>
  <c r="E27" i="18" s="1"/>
  <c r="E42" i="15"/>
  <c r="F41" i="15"/>
  <c r="H21" i="15"/>
  <c r="F30" i="18"/>
  <c r="H30" i="18" s="1"/>
  <c r="H29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27" i="18" l="1"/>
  <c r="E26" i="18" s="1"/>
  <c r="E25" i="18" s="1"/>
  <c r="E43" i="15"/>
  <c r="F42" i="15"/>
  <c r="H22" i="15"/>
  <c r="F28" i="18"/>
  <c r="H28" i="18" s="1"/>
  <c r="H27" i="18" s="1"/>
  <c r="E23" i="15"/>
  <c r="F25" i="18" l="1"/>
  <c r="E24" i="18" s="1"/>
  <c r="E23" i="18" s="1"/>
  <c r="F29" i="15"/>
  <c r="F28" i="15"/>
  <c r="F27" i="15"/>
  <c r="F26" i="15"/>
  <c r="F25" i="15"/>
  <c r="F24" i="15"/>
  <c r="F23" i="15"/>
  <c r="H23" i="15" s="1"/>
  <c r="E46" i="15"/>
  <c r="F46" i="15" s="1"/>
  <c r="F43" i="15"/>
  <c r="E24" i="15"/>
  <c r="F19" i="18" l="1"/>
  <c r="E18" i="18" s="1"/>
  <c r="E17" i="18" s="1"/>
  <c r="F23" i="18"/>
  <c r="F26" i="18"/>
  <c r="H26" i="18" s="1"/>
  <c r="H25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7" i="18" l="1"/>
  <c r="E16" i="18" s="1"/>
  <c r="E15" i="18"/>
  <c r="F24" i="18"/>
  <c r="H24" i="18" s="1"/>
  <c r="H23" i="18" s="1"/>
  <c r="E26" i="15"/>
  <c r="F15" i="18" l="1"/>
  <c r="E14" i="18" s="1"/>
  <c r="E13" i="18"/>
  <c r="F13" i="18" s="1"/>
  <c r="F22" i="18"/>
  <c r="H22" i="18" s="1"/>
  <c r="H21" i="18" s="1"/>
  <c r="E27" i="15"/>
  <c r="H20" i="18" l="1"/>
  <c r="H19" i="18" s="1"/>
  <c r="F4" i="4"/>
  <c r="E28" i="15"/>
  <c r="F18" i="18" l="1"/>
  <c r="D10" i="1"/>
  <c r="G7" i="4"/>
  <c r="F16" i="18" l="1"/>
  <c r="H16" i="18" s="1"/>
  <c r="E10" i="1"/>
  <c r="D16" i="1"/>
  <c r="G4" i="6"/>
  <c r="E4" i="6"/>
  <c r="C12" i="1" s="1"/>
  <c r="F14" i="18" l="1"/>
  <c r="H14" i="18" s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6" i="18"/>
  <c r="H3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<sst xmlns="http://schemas.openxmlformats.org/spreadsheetml/2006/main" count="887" uniqueCount="476">
  <si>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</si>
  <si>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</si>
  <si>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</si>
  <si>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</si>
  <si>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</si>
  <si>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</si>
  <si>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</si>
  <si>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</si>
  <si>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</si>
  <si>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</si>
  <si>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</si>
  <si>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</si>
  <si>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</si>
  <si>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</si>
  <si>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</si>
  <si>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</si>
  <si>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</si>
  <si>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</si>
  <si>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</si>
  <si>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</si>
  <si>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</si>
  <si>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</si>
  <si>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</si>
  <si>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</si>
  <si>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</si>
  <si>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</si>
  <si>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</si>
  <si>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</si>
  <si>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</si>
  <si>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</si>
  <si>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</si>
  <si>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</si>
  <si>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</si>
  <si>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</si>
  <si>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</si>
  <si>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</si>
  <si>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</si>
  <si>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</si>
  <si>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</si>
  <si>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</si>
  <si>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</si>
  <si>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</si>
  <si>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</si>
  <si>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</si>
  <si>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</si>
  <si>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</si>
  <si>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</si>
  <si>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</si>
  <si>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</si>
  <si>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</si>
  <si>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</si>
  <si>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</si>
  <si>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</si>
  <si>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</si>
  <si>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</si>
  <si>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</si>
  <si>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</si>
  <si>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</si>
  <si>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</si>
  <si>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</si>
  <si>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</si>
  <si>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</si>
  <si>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</si>
  <si>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</si>
  <si>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</si>
  <si>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</si>
  <si>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</si>
  <si>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</si>
  <si>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</si>
  <si>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</si>
  <si>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</si>
  <si>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</si>
  <si>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</si>
  <si>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</si>
  <si>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</si>
  <si>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</si>
  <si>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</si>
  <si>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</si>
  <si>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</si>
  <si>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</si>
  <si>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</si>
  <si>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</si>
  <si>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</si>
  <si>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</si>
  <si>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</si>
  <si>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</si>
  <si>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</si>
  <si>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</si>
  <si>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</si>
  <si>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</si>
  <si>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</si>
  <si>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</si>
  <si>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</si>
  <si>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</si>
  <si>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</si>
  <si>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</si>
  <si>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</si>
  <si>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</si>
  <si>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</si>
  <si>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</si>
  <si>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</si>
  <si>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</si>
  <si>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</si>
  <si>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</si>
  <si>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</si>
  <si>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</si>
  <si>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</si>
  <si>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</si>
  <si>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</si>
  <si>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</si>
  <si>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</si>
  <si>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</si>
  <si>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</si>
  <si>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</si>
  <si>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</si>
  <si>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</si>
  <si>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</si>
  <si>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</si>
  <si>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</si>
  <si>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</si>
  <si>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</si>
  <si>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</si>
  <si>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</si>
  <si>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</si>
  <si>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</si>
  <si>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</si>
  <si>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</si>
  <si>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</si>
  <si>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</si>
  <si>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</si>
  <si>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</si>
  <si>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</si>
  <si>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</si>
  <si>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</si>
  <si>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</si>
  <si>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</si>
  <si>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</si>
  <si>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</si>
  <si>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</si>
  <si>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</si>
  <si>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</si>
  <si>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</si>
  <si>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</si>
  <si>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</si>
  <si>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</si>
  <si>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</si>
  <si>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</si>
  <si>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</si>
  <si>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</si>
  <si>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</si>
  <si>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</si>
  <si>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</si>
  <si>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</si>
  <si>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</si>
  <si>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</si>
  <si>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</si>
  <si>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</si>
  <si>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</si>
  <si>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</si>
  <si>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</si>
  <si>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</si>
  <si>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</si>
  <si>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</si>
  <si>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</si>
  <si>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</si>
  <si>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</si>
  <si>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</si>
  <si>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</si>
  <si>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</si>
  <si>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</si>
  <si>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</si>
  <si>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</si>
  <si>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</si>
  <si>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</si>
  <si>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</si>
  <si>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</si>
  <si>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</si>
  <si>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</si>
  <si>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</si>
  <si>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</si>
  <si>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</si>
  <si>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</si>
  <si>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</si>
  <si>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</si>
  <si>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</si>
  <si>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</si>
  <si>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</si>
  <si>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</si>
  <si>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</si>
  <si>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</si>
  <si>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</si>
  <si>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</si>
  <si>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</si>
  <si>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</si>
  <si>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</si>
  <si>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</si>
  <si>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</si>
  <si>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</si>
  <si>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</si>
  <si>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</si>
  <si>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</si>
  <si>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</si>
  <si>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</si>
  <si>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</si>
  <si>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</si>
  <si>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</si>
  <si>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</si>
  <si>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</si>
  <si>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</si>
  <si>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</si>
  <si>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</si>
  <si>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</si>
  <si>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</si>
  <si>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</si>
  <si>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</si>
  <si>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</si>
  <si>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</si>
  <si>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</si>
  <si>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</si>
  <si>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</si>
  <si>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</si>
  <si>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</si>
  <si>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</si>
  <si>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</si>
  <si>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</si>
  <si>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</si>
  <si>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</si>
  <si>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</si>
  <si>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</si>
  <si>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</si>
  <si>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</si>
  <si>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</si>
  <si>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</si>
  <si>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</si>
  <si>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</si>
  <si>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</si>
  <si>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</si>
  <si>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</si>
  <si>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</si>
  <si>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</si>
  <si>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</si>
  <si>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</si>
  <si>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</si>
  <si>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</si>
  <si>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</si>
  <si>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</si>
  <si>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</si>
  <si>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</si>
  <si>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</si>
  <si>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</si>
  <si>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</si>
  <si>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</si>
  <si>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</si>
  <si>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</si>
  <si>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</si>
  <si>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</si>
  <si>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</si>
  <si>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</si>
  <si>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</si>
  <si>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</si>
  <si>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</si>
  <si>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</si>
  <si>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</si>
  <si>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</si>
  <si>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</si>
  <si>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</si>
  <si>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</si>
  <si>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</si>
  <si>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</si>
  <si>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</si>
  <si>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</si>
  <si>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</si>
  <si>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</si>
  <si>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</si>
  <si>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</si>
  <si>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</si>
  <si>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</si>
  <si>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</si>
  <si>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</si>
  <si>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</si>
  <si>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</si>
  <si>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</si>
  <si>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</si>
  <si>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</si>
  <si>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</si>
  <si>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</si>
  <si>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</si>
  <si>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</si>
  <si>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</si>
  <si>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</si>
  <si>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</si>
  <si>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</si>
  <si>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</si>
  <si>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</si>
  <si>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</si>
  <si>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</si>
  <si>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</si>
  <si>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</si>
  <si>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</si>
  <si>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</si>
  <si>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</si>
  <si>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</si>
  <si>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</si>
  <si>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</si>
  <si>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</si>
  <si>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</si>
  <si>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</si>
  <si>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</si>
  <si>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</si>
  <si>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</si>
  <si>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</si>
  <si>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</si>
  <si>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</si>
  <si>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</si>
  <si>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</si>
  <si>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</si>
  <si>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</si>
  <si>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</si>
  <si>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</si>
  <si>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</si>
  <si>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</si>
  <si>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</si>
  <si>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</si>
  <si>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</si>
  <si>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</si>
  <si>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</si>
  <si>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</si>
  <si>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</si>
  <si>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</si>
  <si>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</si>
  <si>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</si>
  <si>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</si>
  <si>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</si>
  <si>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</si>
  <si>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</si>
  <si>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</si>
  <si>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</si>
  <si>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</si>
  <si>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</si>
  <si>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</si>
  <si>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</si>
  <si>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</si>
  <si>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</si>
  <si>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</si>
  <si>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</si>
  <si>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</si>
  <si>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</si>
  <si>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</si>
  <si>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</si>
  <si>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</si>
  <si>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</si>
  <si>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</si>
  <si>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</si>
  <si>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</si>
  <si>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</si>
  <si>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</si>
  <si>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</si>
  <si>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</si>
  <si>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</si>
  <si>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</si>
  <si>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</si>
  <si>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</si>
  <si>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</si>
  <si>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</si>
  <si>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</si>
  <si>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</si>
  <si>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</si>
  <si>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</si>
  <si>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</si>
  <si>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</si>
  <si>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</si>
  <si>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</si>
  <si>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</si>
  <si>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</si>
  <si>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</si>
  <si>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</si>
  <si>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</si>
  <si>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</si>
  <si>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</si>
  <si>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</si>
  <si>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</si>
  <si>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</si>
  <si>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</si>
  <si>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</si>
  <si>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</si>
  <si>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</si>
  <si>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</si>
  <si>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</si>
  <si>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</si>
  <si>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</si>
  <si>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</si>
  <si>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</si>
  <si>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</si>
  <si>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</si>
  <si>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</si>
  <si>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</si>
  <si>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</si>
  <si>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</si>
  <si>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</si>
  <si>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</si>
  <si>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</si>
  <si>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</si>
  <si>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</si>
  <si>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</si>
  <si>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</si>
  <si>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</si>
  <si>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</si>
  <si>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</si>
  <si>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</si>
  <si>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</si>
  <si>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</si>
  <si>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</si>
  <si>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</si>
  <si>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</si>
  <si>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</si>
  <si>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</si>
  <si>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</si>
  <si>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</si>
  <si>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</si>
  <si>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</si>
  <si>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</si>
  <si>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</si>
  <si>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Tüfe endeks 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</si>
  <si>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</si>
  <si>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</si>
  <si>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</si>
  <si>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</si>
  <si>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</si>
  <si>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</si>
  <si>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</si>
  <si>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</si>
  <si>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</si>
  <si>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</si>
  <si>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</si>
  <si>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</si>
  <si>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</si>
  <si>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</si>
  <si>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</si>
  <si>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</si>
  <si>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</si>
  <si>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</si>
  <si>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</si>
  <si>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</si>
  <si>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</si>
  <si>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</si>
  <si>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</si>
  <si>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</si>
  <si>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</si>
  <si>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</si>
  <si>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</si>
  <si>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</si>
  <si>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</si>
  <si>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</si>
  <si>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</si>
  <si>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</si>
  <si>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</si>
  <si>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</si>
  <si>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</si>
  <si>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</si>
  <si>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</si>
  <si>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</si>
  <si>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</si>
  <si>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</si>
  <si>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</si>
  <si>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</si>
  <si>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</si>
  <si>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</si>
  <si>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</si>
  <si>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</si>
  <si>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2025 - 1/12 aralık</t>
  </si>
  <si>
    <t>240000* % 60 tüfe</t>
  </si>
  <si>
    <t>asg ücret</t>
  </si>
  <si>
    <t>adet</t>
  </si>
  <si>
    <t>2025 - 2/12 ocak</t>
  </si>
  <si>
    <t>2025 - 3/12 şubat</t>
  </si>
  <si>
    <t>2025 - 4/12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</si>
</sst>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5" formatCode="%0.0000"/>
  </numFmts>
  <fonts count="57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</fonts>
  <fills count="48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2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</cellStyleXfs>
  <cellXfs count="255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5" fontId="30" fillId="0" borderId="0" xfId="0" applyNumberFormat="1" applyFont="1"/>
    <xf numFmtId="185" fontId="33" fillId="16" borderId="0" xfId="0" applyNumberFormat="1" applyFont="1" applyFill="1" applyAlignment="1">
      <alignment horizontal="center"/>
    </xf>
    <xf numFmtId="180" fontId="0" fillId="0" borderId="0" xfId="0" applyNumberFormat="1"/>
    <xf numFmtId="14" fontId="0" fillId="32" borderId="0" xfId="0" applyNumberFormat="1" applyFill="1"/>
  </cellXfs>
  <cellStyles count="22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4:H40" totalsRowShown="0">
  <autoFilter ref="A24:H40" xr:uid="{2302621F-B3C3-4429-8379-CD484CA39087}"/>
  <tableColumns count="8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/>
    <tableColumn id="7" xr3:uid="{DA0E4B3E-9561-4A95-BB81-1101733DF7BB}" name="Oran TL"/>
    <tableColumn id="8" xr3:uid="{92FAC635-681E-4D15-B288-C760EFC78F48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H40" totalsRowShown="0">
  <autoFilter ref="A24:H40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162230</v>
      </c>
      <c r="D10" s="3">
        <f>'SnyC301-22'!F4</f>
        <v>135000</v>
      </c>
      <c r="E10" s="4">
        <f t="shared" si="0"/>
        <v>27230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878449.43578899361</v>
      </c>
      <c r="D16" s="6">
        <f>SUM(D8:D14)</f>
        <v>485918.42000000004</v>
      </c>
      <c r="E16" s="6">
        <f>SUM(E8:E14)</f>
        <v>392531.01578899368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5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315</v>
      </c>
      <c r="E9" s="24">
        <v>45000</v>
      </c>
      <c r="F9" s="25"/>
      <c r="G9" s="3">
        <f>E9-F9</f>
        <v>45000</v>
      </c>
    </row>
    <row r="10" spans="1:7">
      <c r="B10" s="14" t="s">
        <v>316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261</v>
      </c>
      <c r="C23" s="21"/>
      <c r="D23" s="21" t="s">
        <v>266</v>
      </c>
      <c r="E23" s="33" t="s">
        <v>34</v>
      </c>
      <c r="F23" s="34"/>
      <c r="G23" s="34" t="s">
        <v>269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274</v>
      </c>
      <c r="B25" t="s">
        <v>317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275</v>
      </c>
      <c r="B26" t="s">
        <v>318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276</v>
      </c>
      <c r="B27" t="s">
        <v>348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319</v>
      </c>
      <c r="E28" s="31"/>
      <c r="F28" s="31"/>
      <c r="G28" s="31">
        <f t="shared" si="1"/>
        <v>0</v>
      </c>
    </row>
    <row r="29" spans="1:7">
      <c r="A29" s="26" t="s">
        <v>320</v>
      </c>
      <c r="E29" s="31"/>
      <c r="F29" s="31"/>
      <c r="G29" s="31">
        <f t="shared" si="1"/>
        <v>0</v>
      </c>
    </row>
    <row r="30" spans="1:7">
      <c r="A30" s="26" t="s">
        <v>279</v>
      </c>
      <c r="E30" s="31"/>
      <c r="F30" s="31"/>
      <c r="G30" s="31">
        <f t="shared" si="1"/>
        <v>0</v>
      </c>
    </row>
    <row r="31" spans="1:7">
      <c r="A31" s="26" t="s">
        <v>280</v>
      </c>
      <c r="E31" s="31"/>
      <c r="F31" s="31"/>
      <c r="G31" s="31">
        <f t="shared" si="1"/>
        <v>0</v>
      </c>
    </row>
    <row r="32" spans="1:7">
      <c r="A32" s="26" t="s">
        <v>281</v>
      </c>
      <c r="E32" s="31"/>
      <c r="F32" s="31"/>
      <c r="G32" s="31">
        <f t="shared" si="1"/>
        <v>0</v>
      </c>
    </row>
    <row r="33" spans="1:8">
      <c r="A33" s="26" t="s">
        <v>262</v>
      </c>
      <c r="E33" s="30"/>
      <c r="F33" s="31"/>
      <c r="G33" s="31">
        <f t="shared" si="1"/>
        <v>0</v>
      </c>
    </row>
    <row r="34" spans="1:8">
      <c r="A34" s="26" t="s">
        <v>263</v>
      </c>
      <c r="E34" s="30"/>
      <c r="F34" s="31"/>
      <c r="G34" s="31">
        <f t="shared" si="1"/>
        <v>0</v>
      </c>
    </row>
    <row r="35" spans="1:8">
      <c r="A35" s="26" t="s">
        <v>264</v>
      </c>
      <c r="E35" s="30"/>
      <c r="F35" s="31"/>
      <c r="G35" s="31">
        <f t="shared" si="1"/>
        <v>0</v>
      </c>
    </row>
    <row r="36" spans="1:8">
      <c r="A36" s="32" t="s">
        <v>265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258</v>
      </c>
      <c r="B40" s="40" t="s">
        <v>168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260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topLeftCell="A17"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45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321</v>
      </c>
      <c r="D9" s="24"/>
      <c r="E9" s="25"/>
      <c r="F9" s="3">
        <f>D9-E9</f>
        <v>0</v>
      </c>
    </row>
    <row r="10" spans="1:8">
      <c r="B10" s="14" t="s">
        <v>322</v>
      </c>
      <c r="D10" s="24"/>
      <c r="E10" s="25"/>
      <c r="F10" s="3">
        <f t="shared" ref="F10:F20" si="0">D10-E10+F9</f>
        <v>0</v>
      </c>
    </row>
    <row r="11" spans="1:8">
      <c r="B11" t="s">
        <v>323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324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325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326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326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327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88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92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273</v>
      </c>
    </row>
    <row r="39" spans="1:8">
      <c r="D39" s="3"/>
      <c r="F39" s="3"/>
    </row>
    <row r="40" spans="1:8">
      <c r="A40" s="88" t="s">
        <v>257</v>
      </c>
      <c r="B40" s="40" t="s">
        <v>168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328</v>
      </c>
      <c r="C46" s="3"/>
      <c r="D46" s="8"/>
      <c r="F46" s="45"/>
    </row>
    <row r="47" spans="1:8">
      <c r="B47" t="s">
        <v>330</v>
      </c>
      <c r="C47" s="3"/>
      <c r="D47" s="8"/>
      <c r="F47" s="8"/>
      <c r="G47" s="46"/>
      <c r="H47" s="51"/>
    </row>
    <row r="48" spans="1:8">
      <c r="B48" s="115" t="s">
        <v>329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93</v>
      </c>
      <c r="D50" s="3"/>
      <c r="F50" s="8"/>
      <c r="G50" s="46"/>
      <c r="H50" s="51"/>
    </row>
    <row r="51" spans="2:8">
      <c r="B51" t="s">
        <v>94</v>
      </c>
      <c r="C51" s="3"/>
      <c r="D51" s="3"/>
      <c r="F51" s="8"/>
      <c r="G51" s="46"/>
      <c r="H51" s="51"/>
    </row>
    <row r="52" spans="2:8">
      <c r="B52" s="42" t="s">
        <v>271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4"/>
  <sheetViews>
    <sheetView zoomScale="160" zoomScaleNormal="160" workbookViewId="0">
      <selection activeCell="G7" sqref="G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45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162230</v>
      </c>
      <c r="F4" s="16">
        <f>SUM(F9:F21)</f>
        <v>135000</v>
      </c>
      <c r="G4" s="17">
        <f>G21</f>
        <v>27230</v>
      </c>
    </row>
    <row r="5" spans="1:7">
      <c r="A5" s="7"/>
      <c r="B5" s="14" t="s">
        <v>27</v>
      </c>
      <c r="C5" s="14"/>
      <c r="D5" s="14"/>
      <c r="E5" s="18">
        <f>G53</f>
        <v>0</v>
      </c>
      <c r="G5"/>
    </row>
    <row r="6" spans="1:7">
      <c r="A6" s="7"/>
      <c r="B6" s="14" t="s">
        <v>5</v>
      </c>
      <c r="C6" s="14"/>
      <c r="D6"/>
      <c r="E6" s="52">
        <f>G50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331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265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351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388</v>
      </c>
      <c r="B13" s="139">
        <v>45292</v>
      </c>
      <c r="C13" s="46"/>
      <c r="D13" s="3">
        <f>C13*E11</f>
        <v>0</v>
      </c>
      <c r="E13" s="138">
        <f>D13+E11</f>
        <v>20000</v>
      </c>
      <c r="F13" s="25"/>
      <c r="G13" s="3">
        <f t="shared" si="0"/>
        <v>-95000</v>
      </c>
    </row>
    <row r="14" spans="1:7">
      <c r="A14" s="7"/>
      <c r="B14" t="s">
        <v>275</v>
      </c>
      <c r="C14" s="46"/>
      <c r="D14" s="3">
        <f t="shared" ref="D14:D19" si="1">C14*E13</f>
        <v>0</v>
      </c>
      <c r="E14" s="138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276</v>
      </c>
      <c r="C15" s="46"/>
      <c r="D15" s="3">
        <f t="shared" si="1"/>
        <v>0</v>
      </c>
      <c r="E15" s="138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319</v>
      </c>
      <c r="C16" s="46"/>
      <c r="D16" s="3">
        <f t="shared" si="1"/>
        <v>0</v>
      </c>
      <c r="E16" s="138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320</v>
      </c>
      <c r="C17" s="46"/>
      <c r="D17" s="3">
        <f t="shared" si="1"/>
        <v>0</v>
      </c>
      <c r="E17" s="138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279</v>
      </c>
      <c r="C18" s="46">
        <v>0.03</v>
      </c>
      <c r="D18" s="3">
        <f t="shared" si="1"/>
        <v>600</v>
      </c>
      <c r="E18" s="138">
        <f t="shared" si="2"/>
        <v>20600</v>
      </c>
      <c r="F18" s="28"/>
      <c r="G18" s="3">
        <f t="shared" si="0"/>
        <v>5600</v>
      </c>
    </row>
    <row r="19" spans="1:7">
      <c r="A19" s="26"/>
      <c r="B19" t="s">
        <v>280</v>
      </c>
      <c r="C19" s="46">
        <v>0.05</v>
      </c>
      <c r="D19" s="3">
        <f t="shared" si="1"/>
        <v>1030</v>
      </c>
      <c r="E19" s="138">
        <f t="shared" si="2"/>
        <v>21630</v>
      </c>
      <c r="F19" s="28"/>
      <c r="G19" s="3">
        <f t="shared" si="0"/>
        <v>27230</v>
      </c>
    </row>
    <row r="20" spans="1:7">
      <c r="A20" s="26"/>
      <c r="B20" t="s">
        <v>281</v>
      </c>
      <c r="C20"/>
      <c r="D20"/>
      <c r="E20" s="27"/>
      <c r="F20" s="28"/>
      <c r="G20" s="3">
        <f t="shared" si="0"/>
        <v>27230</v>
      </c>
    </row>
    <row r="21" spans="1:7">
      <c r="A21" s="26"/>
      <c r="B21" t="s">
        <v>262</v>
      </c>
      <c r="C21"/>
      <c r="D21"/>
      <c r="E21" s="27"/>
      <c r="F21" s="28"/>
      <c r="G21" s="3">
        <f t="shared" si="0"/>
        <v>27230</v>
      </c>
    </row>
    <row r="22" spans="1:7">
      <c r="A22" s="26"/>
      <c r="B22" t="s">
        <v>263</v>
      </c>
      <c r="C22"/>
      <c r="D22"/>
      <c r="E22" s="30"/>
      <c r="F22" s="31"/>
      <c r="G22" s="31"/>
    </row>
    <row r="23" spans="1:7">
      <c r="A23" s="26"/>
      <c r="B23" t="s">
        <v>264</v>
      </c>
      <c r="C23"/>
      <c r="D23"/>
      <c r="E23" s="30"/>
      <c r="F23" s="31"/>
      <c r="G23" s="31"/>
    </row>
    <row r="24" spans="1:7">
      <c r="A24" s="26"/>
      <c r="B24" t="s">
        <v>265</v>
      </c>
      <c r="C24"/>
      <c r="D24"/>
      <c r="E24" s="30"/>
      <c r="F24" s="31"/>
      <c r="G24" s="31"/>
    </row>
    <row r="25" spans="1:7">
      <c r="A25" s="32" t="s">
        <v>420</v>
      </c>
      <c r="B25" t="s">
        <v>274</v>
      </c>
      <c r="C25"/>
      <c r="D25"/>
      <c r="E25" s="30"/>
      <c r="F25" s="31"/>
      <c r="G25" s="31"/>
    </row>
    <row r="26" spans="1:7">
      <c r="A26" s="26"/>
      <c r="B26" t="s">
        <v>275</v>
      </c>
      <c r="C26"/>
      <c r="D26"/>
      <c r="E26" s="30"/>
      <c r="F26" s="31"/>
      <c r="G26" s="31"/>
    </row>
    <row r="27" spans="1:7">
      <c r="A27" s="26"/>
      <c r="B27" t="s">
        <v>276</v>
      </c>
      <c r="C27"/>
      <c r="D27"/>
      <c r="E27" s="30"/>
      <c r="F27" s="31"/>
      <c r="G27" s="31"/>
    </row>
    <row r="28" spans="1:7">
      <c r="A28" s="26"/>
      <c r="B28"/>
      <c r="C28"/>
      <c r="D28"/>
      <c r="E28" s="30"/>
      <c r="F28" s="31"/>
      <c r="G28" s="31"/>
    </row>
    <row r="29" spans="1:7">
      <c r="A29" s="26"/>
      <c r="B29"/>
      <c r="C29"/>
      <c r="D29"/>
      <c r="E29" s="30"/>
      <c r="F29" s="31"/>
      <c r="G29" s="31"/>
    </row>
    <row r="30" spans="1:7">
      <c r="A30" s="26"/>
      <c r="B30"/>
      <c r="C30"/>
      <c r="D30"/>
      <c r="E30" s="30"/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32" t="s">
        <v>31</v>
      </c>
      <c r="B37" s="21" t="s">
        <v>32</v>
      </c>
      <c r="C37" s="21"/>
      <c r="D37" s="21" t="s">
        <v>33</v>
      </c>
      <c r="E37" s="33" t="s">
        <v>34</v>
      </c>
      <c r="F37" s="34"/>
      <c r="G37" s="34">
        <v>3000</v>
      </c>
    </row>
    <row r="38" spans="1:7">
      <c r="A38" s="26"/>
      <c r="B38" t="s">
        <v>35</v>
      </c>
      <c r="C38"/>
      <c r="D38"/>
      <c r="E38" s="30"/>
      <c r="F38" s="31"/>
      <c r="G38" s="31">
        <v>-3924.11</v>
      </c>
    </row>
    <row r="39" spans="1:7">
      <c r="A39" s="26"/>
      <c r="B39" t="s">
        <v>88</v>
      </c>
      <c r="C39"/>
      <c r="D39">
        <v>0</v>
      </c>
      <c r="E39" s="3">
        <v>875.64</v>
      </c>
      <c r="F39">
        <v>875.64</v>
      </c>
      <c r="G39" s="31">
        <f t="shared" ref="G39:G50" si="3">E39-F39+G38</f>
        <v>-3924.11</v>
      </c>
    </row>
    <row r="40" spans="1:7">
      <c r="A40" s="26"/>
      <c r="B40" t="s">
        <v>36</v>
      </c>
      <c r="C40"/>
      <c r="D40">
        <v>0</v>
      </c>
      <c r="E40" s="3">
        <v>1036.52</v>
      </c>
      <c r="F40">
        <v>1192</v>
      </c>
      <c r="G40" s="31">
        <f t="shared" si="3"/>
        <v>-4079.59</v>
      </c>
    </row>
    <row r="41" spans="1:7">
      <c r="A41" s="26"/>
      <c r="B41" t="s">
        <v>37</v>
      </c>
      <c r="C41"/>
      <c r="D41"/>
      <c r="F41"/>
      <c r="G41" s="31">
        <f t="shared" si="3"/>
        <v>-4079.59</v>
      </c>
    </row>
    <row r="42" spans="1:7">
      <c r="A42" s="26"/>
      <c r="B42" t="s">
        <v>38</v>
      </c>
      <c r="C42"/>
      <c r="D42"/>
      <c r="F42"/>
      <c r="G42" s="31">
        <f t="shared" si="3"/>
        <v>-4079.59</v>
      </c>
    </row>
    <row r="43" spans="1:7">
      <c r="A43" s="26"/>
      <c r="B43" t="s">
        <v>39</v>
      </c>
      <c r="C43"/>
      <c r="D43"/>
      <c r="F43"/>
      <c r="G43" s="31">
        <f t="shared" si="3"/>
        <v>-4079.59</v>
      </c>
    </row>
    <row r="44" spans="1:7">
      <c r="A44" s="26"/>
      <c r="B44" t="s">
        <v>89</v>
      </c>
      <c r="C44"/>
      <c r="D44"/>
      <c r="F44"/>
      <c r="G44" s="31">
        <f t="shared" si="3"/>
        <v>-4079.59</v>
      </c>
    </row>
    <row r="45" spans="1:7">
      <c r="A45" s="26"/>
      <c r="B45" t="s">
        <v>90</v>
      </c>
      <c r="C45"/>
      <c r="D45"/>
      <c r="F45"/>
      <c r="G45" s="31">
        <f t="shared" si="3"/>
        <v>-4079.59</v>
      </c>
    </row>
    <row r="46" spans="1:7">
      <c r="A46" s="26"/>
      <c r="B46" t="s">
        <v>91</v>
      </c>
      <c r="C46"/>
      <c r="D46"/>
      <c r="F46"/>
      <c r="G46" s="31">
        <f t="shared" si="3"/>
        <v>-4079.59</v>
      </c>
    </row>
    <row r="47" spans="1:7">
      <c r="A47" s="26"/>
      <c r="B47" t="s">
        <v>92</v>
      </c>
      <c r="C47"/>
      <c r="D47"/>
      <c r="F47"/>
      <c r="G47" s="31">
        <f t="shared" si="3"/>
        <v>-4079.59</v>
      </c>
    </row>
    <row r="48" spans="1:7">
      <c r="A48" s="26"/>
      <c r="B48" t="s">
        <v>40</v>
      </c>
      <c r="C48"/>
      <c r="D48"/>
      <c r="F48"/>
      <c r="G48" s="31">
        <f t="shared" si="3"/>
        <v>-4079.59</v>
      </c>
    </row>
    <row r="49" spans="1:7">
      <c r="A49" s="26"/>
      <c r="B49" t="s">
        <v>41</v>
      </c>
      <c r="C49"/>
      <c r="D49"/>
      <c r="E49" s="30"/>
      <c r="F49" s="31"/>
      <c r="G49" s="31">
        <f t="shared" si="3"/>
        <v>-4079.59</v>
      </c>
    </row>
    <row r="50" spans="1:7">
      <c r="A50" s="32"/>
      <c r="B50" s="21" t="s">
        <v>42</v>
      </c>
      <c r="C50" s="21"/>
      <c r="D50" s="21"/>
      <c r="E50" s="33"/>
      <c r="F50" s="34"/>
      <c r="G50" s="34">
        <f t="shared" si="3"/>
        <v>-4079.59</v>
      </c>
    </row>
    <row r="51" spans="1:7">
      <c r="A51" s="35">
        <v>45291</v>
      </c>
      <c r="B51" s="53" t="s">
        <v>35</v>
      </c>
      <c r="C51" s="53"/>
      <c r="D51" s="36">
        <f>SUM(D39:D50)</f>
        <v>0</v>
      </c>
      <c r="E51" s="37"/>
      <c r="F51" s="38"/>
      <c r="G51" s="39">
        <f>E51-F51+G50</f>
        <v>-4079.59</v>
      </c>
    </row>
    <row r="52" spans="1:7">
      <c r="A52" s="7"/>
      <c r="B52"/>
      <c r="C52"/>
      <c r="D52"/>
    </row>
    <row r="53" spans="1:7">
      <c r="A53" s="88" t="s">
        <v>256</v>
      </c>
      <c r="B53" s="40" t="s">
        <v>168</v>
      </c>
      <c r="C53" s="40"/>
      <c r="D53" s="40"/>
      <c r="E53" s="41"/>
      <c r="F53" s="42"/>
      <c r="G53" s="43">
        <f>SUM(F54:F58)</f>
        <v>0</v>
      </c>
    </row>
    <row r="54" spans="1:7">
      <c r="A54" s="7"/>
      <c r="B54" s="8"/>
      <c r="C54" s="8"/>
      <c r="D54" s="8"/>
      <c r="E54"/>
      <c r="F54"/>
      <c r="G54"/>
    </row>
    <row r="55" spans="1:7">
      <c r="A55" s="7"/>
      <c r="B55" t="s">
        <v>97</v>
      </c>
      <c r="C55"/>
      <c r="D55"/>
    </row>
    <row r="56" spans="1:7">
      <c r="A56" s="7"/>
      <c r="B56" t="s">
        <v>98</v>
      </c>
      <c r="C56"/>
      <c r="D56" s="3">
        <v>36000</v>
      </c>
    </row>
    <row r="57" spans="1:7">
      <c r="A57" s="7"/>
      <c r="B57" t="s">
        <v>99</v>
      </c>
      <c r="C57"/>
      <c r="D57" s="3">
        <v>43160</v>
      </c>
      <c r="G57" s="44"/>
    </row>
    <row r="58" spans="1:7">
      <c r="A58" s="7"/>
      <c r="B58" s="21" t="s">
        <v>100</v>
      </c>
      <c r="C58" s="21"/>
      <c r="D58" s="42">
        <v>82000</v>
      </c>
      <c r="E58" s="8"/>
      <c r="G58" s="45"/>
    </row>
    <row r="59" spans="1:7">
      <c r="A59" s="7"/>
      <c r="B59" t="s">
        <v>332</v>
      </c>
      <c r="C59"/>
      <c r="D59" s="3">
        <v>135000</v>
      </c>
      <c r="E59" s="8"/>
      <c r="G59" s="45"/>
    </row>
    <row r="60" spans="1:7">
      <c r="A60" s="54">
        <v>45214</v>
      </c>
      <c r="B60" t="s">
        <v>267</v>
      </c>
      <c r="C60"/>
      <c r="E60"/>
    </row>
    <row r="61" spans="1:7">
      <c r="A61" s="54">
        <v>45214</v>
      </c>
      <c r="B61" t="s">
        <v>268</v>
      </c>
      <c r="C61"/>
      <c r="E61"/>
    </row>
    <row r="62" spans="1:7">
      <c r="A62" s="54">
        <v>45214</v>
      </c>
      <c r="B62" t="s">
        <v>101</v>
      </c>
      <c r="C62"/>
      <c r="E62"/>
    </row>
    <row r="63" spans="1:7">
      <c r="A63" s="54">
        <v>44321</v>
      </c>
      <c r="B63" t="s">
        <v>102</v>
      </c>
      <c r="C63"/>
      <c r="E63"/>
    </row>
    <row r="64" spans="1:7">
      <c r="A64" s="54">
        <v>44367</v>
      </c>
      <c r="B64" t="s">
        <v>103</v>
      </c>
      <c r="C64"/>
      <c r="E64"/>
    </row>
    <row r="65" spans="1:8">
      <c r="A65" s="54">
        <v>44459</v>
      </c>
      <c r="B65" t="s">
        <v>104</v>
      </c>
      <c r="C65"/>
      <c r="E65"/>
    </row>
    <row r="66" spans="1:8">
      <c r="A66" s="54">
        <v>44459</v>
      </c>
      <c r="B66" t="s">
        <v>105</v>
      </c>
      <c r="C66"/>
      <c r="E66"/>
    </row>
    <row r="67" spans="1:8">
      <c r="A67" s="54">
        <v>44433</v>
      </c>
      <c r="B67" t="s">
        <v>106</v>
      </c>
      <c r="C67"/>
      <c r="E67"/>
    </row>
    <row r="68" spans="1:8">
      <c r="A68" s="54">
        <v>44449</v>
      </c>
      <c r="B68" t="s">
        <v>107</v>
      </c>
      <c r="C68"/>
      <c r="E68"/>
    </row>
    <row r="69" spans="1:8">
      <c r="A69" s="54">
        <v>44201</v>
      </c>
      <c r="B69" t="s">
        <v>108</v>
      </c>
      <c r="C69"/>
      <c r="E69" s="2">
        <v>500</v>
      </c>
    </row>
    <row r="70" spans="1:8">
      <c r="A70" s="54">
        <v>44931</v>
      </c>
      <c r="B70" t="s">
        <v>109</v>
      </c>
      <c r="C70"/>
      <c r="E70" s="2"/>
    </row>
    <row r="71" spans="1:8">
      <c r="A71" s="54">
        <v>44252</v>
      </c>
      <c r="B71" t="s">
        <v>110</v>
      </c>
      <c r="C71"/>
      <c r="E71" s="2" t="s">
        <v>111</v>
      </c>
    </row>
    <row r="72" spans="1:8">
      <c r="A72" s="54">
        <v>44285</v>
      </c>
      <c r="B72" t="s">
        <v>112</v>
      </c>
      <c r="C72"/>
      <c r="E72" s="2" t="s">
        <v>113</v>
      </c>
    </row>
    <row r="73" spans="1:8">
      <c r="A73" s="54">
        <v>44413</v>
      </c>
      <c r="B73" t="s">
        <v>114</v>
      </c>
      <c r="C73"/>
      <c r="E73" s="2" t="s">
        <v>113</v>
      </c>
    </row>
    <row r="74" spans="1:8">
      <c r="B74" t="s">
        <v>115</v>
      </c>
      <c r="C74"/>
      <c r="D74"/>
      <c r="E74" s="2" t="s">
        <v>111</v>
      </c>
    </row>
    <row r="75" spans="1:8">
      <c r="A75" s="54"/>
      <c r="B75"/>
      <c r="C75"/>
      <c r="E75"/>
    </row>
    <row r="76" spans="1:8">
      <c r="A76" s="54"/>
      <c r="B76"/>
      <c r="C76"/>
      <c r="E76"/>
    </row>
    <row r="77" spans="1:8">
      <c r="B77"/>
      <c r="C77"/>
      <c r="D77"/>
      <c r="E77"/>
    </row>
    <row r="78" spans="1:8">
      <c r="B78"/>
      <c r="C78"/>
      <c r="E78"/>
      <c r="G78" s="46"/>
      <c r="H78" s="51"/>
    </row>
    <row r="79" spans="1:8">
      <c r="B79"/>
      <c r="C79"/>
      <c r="E79"/>
      <c r="G79" s="46"/>
      <c r="H79" s="51"/>
    </row>
    <row r="80" spans="1:8">
      <c r="B80"/>
      <c r="C80"/>
      <c r="E80"/>
      <c r="G80" s="46"/>
      <c r="H80" s="51"/>
    </row>
    <row r="81" spans="2:8">
      <c r="B81" s="3" t="s">
        <v>116</v>
      </c>
      <c r="F81" s="1"/>
      <c r="G81" s="46"/>
      <c r="H81" s="51"/>
    </row>
    <row r="82" spans="2:8">
      <c r="F82" s="1"/>
      <c r="G82" s="46"/>
      <c r="H82" s="51"/>
    </row>
    <row r="83" spans="2:8">
      <c r="B83" t="s">
        <v>117</v>
      </c>
      <c r="C83"/>
      <c r="E83">
        <v>42.07</v>
      </c>
      <c r="F83" s="3">
        <f>D83-E83</f>
        <v>-42.07</v>
      </c>
      <c r="G83" s="46"/>
      <c r="H83" s="51"/>
    </row>
    <row r="84" spans="2:8">
      <c r="B84" t="s">
        <v>118</v>
      </c>
      <c r="C84"/>
      <c r="E84">
        <v>34.450000000000003</v>
      </c>
      <c r="F84" s="3">
        <f t="shared" ref="F84:F95" si="4">F83+D84-E84</f>
        <v>-76.52000000000001</v>
      </c>
    </row>
    <row r="85" spans="2:8">
      <c r="B85" t="s">
        <v>119</v>
      </c>
      <c r="C85"/>
      <c r="E85">
        <v>20.05</v>
      </c>
      <c r="F85" s="3">
        <f t="shared" si="4"/>
        <v>-96.570000000000007</v>
      </c>
    </row>
    <row r="86" spans="2:8">
      <c r="B86" t="s">
        <v>120</v>
      </c>
      <c r="C86"/>
      <c r="E86">
        <v>34.700000000000003</v>
      </c>
      <c r="F86" s="3">
        <f t="shared" si="4"/>
        <v>-131.27000000000001</v>
      </c>
    </row>
    <row r="87" spans="2:8">
      <c r="B87" t="s">
        <v>121</v>
      </c>
      <c r="C87"/>
      <c r="E87">
        <v>34.340000000000003</v>
      </c>
      <c r="F87" s="3">
        <f t="shared" si="4"/>
        <v>-165.61</v>
      </c>
    </row>
    <row r="88" spans="2:8">
      <c r="B88" t="s">
        <v>122</v>
      </c>
      <c r="C88"/>
      <c r="E88">
        <v>-65.91</v>
      </c>
      <c r="F88" s="3">
        <f t="shared" si="4"/>
        <v>-99.700000000000017</v>
      </c>
    </row>
    <row r="89" spans="2:8">
      <c r="B89" t="s">
        <v>123</v>
      </c>
      <c r="C89"/>
      <c r="E89">
        <v>31.54</v>
      </c>
      <c r="F89" s="3">
        <f t="shared" si="4"/>
        <v>-131.24</v>
      </c>
    </row>
    <row r="90" spans="2:8">
      <c r="B90" t="s">
        <v>124</v>
      </c>
      <c r="C90"/>
      <c r="E90">
        <v>0</v>
      </c>
      <c r="F90" s="3">
        <f t="shared" si="4"/>
        <v>-131.24</v>
      </c>
    </row>
    <row r="91" spans="2:8">
      <c r="B91" t="s">
        <v>125</v>
      </c>
      <c r="C91"/>
      <c r="E91">
        <v>45.99</v>
      </c>
      <c r="F91" s="3">
        <f t="shared" si="4"/>
        <v>-177.23000000000002</v>
      </c>
    </row>
    <row r="92" spans="2:8">
      <c r="B92" t="s">
        <v>126</v>
      </c>
      <c r="C92"/>
      <c r="E92">
        <v>42.89</v>
      </c>
      <c r="F92" s="3">
        <f t="shared" si="4"/>
        <v>-220.12</v>
      </c>
    </row>
    <row r="93" spans="2:8">
      <c r="B93" t="s">
        <v>127</v>
      </c>
      <c r="C93"/>
      <c r="E93">
        <v>34.979999999999997</v>
      </c>
      <c r="F93" s="3">
        <f t="shared" si="4"/>
        <v>-255.1</v>
      </c>
    </row>
    <row r="94" spans="2:8">
      <c r="B94" t="s">
        <v>128</v>
      </c>
      <c r="C94"/>
      <c r="E94">
        <v>0</v>
      </c>
      <c r="F94" s="3">
        <f t="shared" si="4"/>
        <v>-255.1</v>
      </c>
    </row>
    <row r="95" spans="2:8">
      <c r="B95" s="1" t="s">
        <v>129</v>
      </c>
      <c r="C95" s="1"/>
      <c r="D95" s="51"/>
      <c r="E95" s="1"/>
      <c r="F95" s="51">
        <f t="shared" si="4"/>
        <v>-255.1</v>
      </c>
    </row>
    <row r="98" spans="2:6">
      <c r="B98" s="1" t="s">
        <v>130</v>
      </c>
      <c r="C98" s="1"/>
      <c r="D98" s="51"/>
      <c r="E98" s="1"/>
      <c r="F98" s="51">
        <v>-255.1</v>
      </c>
    </row>
    <row r="99" spans="2:6">
      <c r="B99" t="s">
        <v>131</v>
      </c>
      <c r="C99"/>
      <c r="E99">
        <v>30.04</v>
      </c>
      <c r="F99" s="3">
        <f t="shared" ref="F99:F114" si="5">F98+D99-E99</f>
        <v>-285.14</v>
      </c>
    </row>
    <row r="100" spans="2:6">
      <c r="B100" s="55">
        <v>44593</v>
      </c>
      <c r="C100" s="55"/>
      <c r="E100">
        <v>135.32</v>
      </c>
      <c r="F100" s="3">
        <f t="shared" si="5"/>
        <v>-420.46</v>
      </c>
    </row>
    <row r="101" spans="2:6">
      <c r="B101" s="55">
        <v>44621</v>
      </c>
      <c r="C101" s="55"/>
      <c r="E101">
        <v>98.9</v>
      </c>
      <c r="F101" s="3">
        <f t="shared" si="5"/>
        <v>-519.36</v>
      </c>
    </row>
    <row r="102" spans="2:6">
      <c r="B102" s="55">
        <v>44652</v>
      </c>
      <c r="C102" s="55"/>
      <c r="E102">
        <v>135.6</v>
      </c>
      <c r="F102" s="3">
        <f t="shared" si="5"/>
        <v>-654.96</v>
      </c>
    </row>
    <row r="103" spans="2:6">
      <c r="B103" t="s">
        <v>132</v>
      </c>
      <c r="C103"/>
      <c r="E103">
        <v>214.37</v>
      </c>
      <c r="F103" s="3">
        <f t="shared" si="5"/>
        <v>-869.33</v>
      </c>
    </row>
    <row r="104" spans="2:6">
      <c r="B104" t="s">
        <v>133</v>
      </c>
      <c r="C104"/>
      <c r="E104">
        <v>427.65</v>
      </c>
      <c r="F104" s="3">
        <f t="shared" si="5"/>
        <v>-1296.98</v>
      </c>
    </row>
    <row r="105" spans="2:6">
      <c r="B105" t="s">
        <v>134</v>
      </c>
      <c r="C105"/>
      <c r="E105">
        <v>446.55</v>
      </c>
      <c r="F105" s="3">
        <f t="shared" si="5"/>
        <v>-1743.53</v>
      </c>
    </row>
    <row r="106" spans="2:6">
      <c r="B106" t="s">
        <v>135</v>
      </c>
      <c r="C106"/>
      <c r="E106">
        <v>333.96</v>
      </c>
      <c r="F106" s="3">
        <f t="shared" si="5"/>
        <v>-2077.4899999999998</v>
      </c>
    </row>
    <row r="107" spans="2:6">
      <c r="B107" t="s">
        <v>136</v>
      </c>
      <c r="C107"/>
      <c r="E107">
        <v>324.51</v>
      </c>
      <c r="F107" s="3">
        <f t="shared" si="5"/>
        <v>-2402</v>
      </c>
    </row>
    <row r="108" spans="2:6">
      <c r="B108" t="s">
        <v>137</v>
      </c>
      <c r="C108"/>
      <c r="E108">
        <v>331.27</v>
      </c>
      <c r="F108" s="3">
        <f t="shared" si="5"/>
        <v>-2733.27</v>
      </c>
    </row>
    <row r="109" spans="2:6">
      <c r="B109" t="s">
        <v>138</v>
      </c>
      <c r="C109"/>
      <c r="D109" s="3">
        <v>50</v>
      </c>
      <c r="E109"/>
      <c r="F109" s="3">
        <f t="shared" si="5"/>
        <v>-2683.27</v>
      </c>
    </row>
    <row r="110" spans="2:6">
      <c r="B110" s="55">
        <v>44866</v>
      </c>
      <c r="C110" s="55"/>
      <c r="E110">
        <v>412.42</v>
      </c>
      <c r="F110" s="3">
        <f t="shared" si="5"/>
        <v>-3095.69</v>
      </c>
    </row>
    <row r="111" spans="2:6">
      <c r="B111" t="s">
        <v>128</v>
      </c>
      <c r="C111"/>
      <c r="E111">
        <v>426.12</v>
      </c>
      <c r="F111" s="3">
        <f t="shared" si="5"/>
        <v>-3521.81</v>
      </c>
    </row>
    <row r="112" spans="2:6">
      <c r="B112" t="s">
        <v>139</v>
      </c>
      <c r="C112"/>
      <c r="D112" s="3">
        <v>2000</v>
      </c>
      <c r="E112"/>
      <c r="F112" s="3">
        <f t="shared" si="5"/>
        <v>-1521.81</v>
      </c>
    </row>
    <row r="113" spans="2:6">
      <c r="B113" t="s">
        <v>140</v>
      </c>
      <c r="C113"/>
      <c r="D113" s="3">
        <v>500</v>
      </c>
      <c r="E113"/>
      <c r="F113" s="3">
        <f t="shared" si="5"/>
        <v>-1021.81</v>
      </c>
    </row>
    <row r="114" spans="2:6">
      <c r="B114" t="s">
        <v>141</v>
      </c>
      <c r="C114"/>
      <c r="E114"/>
      <c r="F114" s="51">
        <f t="shared" si="5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59"/>
  <sheetViews>
    <sheetView tabSelected="1" zoomScale="145" zoomScaleNormal="145" workbookViewId="0">
      <selection activeCell="K10" sqref="K10"/>
    </sheetView>
  </sheetViews>
  <sheetFormatPr defaultRowHeight="12.75"/>
  <cols>
    <col min="1" max="1" width="9.28515625" customWidth="1"/>
    <col min="2" max="2" width="30.85546875" customWidth="1"/>
    <col min="3" max="3" width="12.85546875" bestFit="1" customWidth="1"/>
    <col min="4" max="4" width="8.5703125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10" ht="15">
      <c r="A1" s="194"/>
      <c r="B1" s="195" t="s">
        <v>421</v>
      </c>
      <c r="C1" s="196"/>
      <c r="D1" s="197"/>
      <c r="E1" s="198"/>
      <c r="F1" s="199"/>
      <c r="G1" s="200"/>
      <c r="H1" s="200"/>
    </row>
    <row r="2" spans="1:10">
      <c r="A2" s="201"/>
      <c r="B2" s="202"/>
      <c r="C2" s="203"/>
      <c r="D2" s="204"/>
      <c r="E2" s="202"/>
      <c r="F2" s="205"/>
      <c r="G2" s="206"/>
      <c r="H2" s="206"/>
    </row>
    <row r="3" spans="1:10" ht="18">
      <c r="A3" s="207" t="s">
        <v>437</v>
      </c>
      <c r="B3" s="198"/>
      <c r="C3" s="196"/>
      <c r="D3" s="197"/>
      <c r="E3" s="208"/>
      <c r="F3" s="209">
        <f>SUM(F7:F59)</f>
        <v>504988.41817085282</v>
      </c>
      <c r="G3" s="209">
        <f>SUM(G7:G59)</f>
        <v>354000</v>
      </c>
      <c r="H3" s="210">
        <f>F3-G3</f>
        <v>150988.41817085282</v>
      </c>
    </row>
    <row r="4" spans="1:10" ht="18">
      <c r="A4" s="207"/>
      <c r="B4" s="198"/>
      <c r="C4" s="196"/>
      <c r="D4" s="197"/>
      <c r="E4" s="198" t="s">
        <v>434</v>
      </c>
      <c r="F4" s="209"/>
      <c r="G4" s="209"/>
      <c r="H4" s="210"/>
    </row>
    <row r="5" spans="1:10">
      <c r="A5" s="211" t="s">
        <v>23</v>
      </c>
      <c r="B5" s="212" t="s">
        <v>24</v>
      </c>
      <c r="C5" s="213" t="s">
        <v>422</v>
      </c>
      <c r="D5" s="214" t="s">
        <v>350</v>
      </c>
      <c r="E5" s="215" t="s">
        <v>423</v>
      </c>
      <c r="F5" s="216" t="s">
        <v>213</v>
      </c>
      <c r="G5" s="217" t="s">
        <v>3</v>
      </c>
      <c r="H5" s="217" t="s">
        <v>26</v>
      </c>
    </row>
    <row r="6" spans="1:10">
      <c r="A6" s="194"/>
      <c r="B6" s="198"/>
      <c r="C6" s="196"/>
      <c r="D6" s="197"/>
      <c r="E6" s="198"/>
      <c r="F6" s="199"/>
      <c r="G6" s="200"/>
      <c r="H6" s="200">
        <f t="shared" ref="H6:H32" si="0">H7+F6-G6</f>
        <v>150988.41817085279</v>
      </c>
    </row>
    <row r="7" spans="1:10">
      <c r="A7" s="194"/>
      <c r="B7" s="198"/>
      <c r="C7" s="196"/>
      <c r="D7" s="197"/>
      <c r="E7" s="198"/>
      <c r="F7" s="199"/>
      <c r="G7" s="200"/>
      <c r="H7" s="200">
        <f t="shared" si="0"/>
        <v>150988.41817085279</v>
      </c>
    </row>
    <row r="8" spans="1:10">
      <c r="A8" s="194"/>
      <c r="B8" s="198"/>
      <c r="C8" s="196"/>
      <c r="D8" s="197"/>
      <c r="E8" s="198"/>
      <c r="F8" s="199"/>
      <c r="G8" s="200"/>
      <c r="H8" s="200">
        <f t="shared" si="0"/>
        <v>150988.41817085279</v>
      </c>
    </row>
    <row r="9" spans="1:10">
      <c r="A9" s="194"/>
      <c r="B9" s="198"/>
      <c r="C9" s="196"/>
      <c r="D9" s="197"/>
      <c r="E9" s="198"/>
      <c r="F9" s="199"/>
      <c r="G9" s="200"/>
      <c r="H9" s="200">
        <f t="shared" si="0"/>
        <v>150988.41817085279</v>
      </c>
    </row>
    <row r="10" spans="1:10">
      <c r="A10" s="194"/>
      <c r="B10" s="198"/>
      <c r="C10" s="196"/>
      <c r="D10" s="197"/>
      <c r="E10" s="198"/>
      <c r="F10" s="199"/>
      <c r="G10" s="200"/>
      <c r="H10" s="200">
        <f t="shared" si="0"/>
        <v>150988.41817085279</v>
      </c>
    </row>
    <row r="11" spans="1:10">
      <c r="A11" s="194"/>
      <c r="B11" s="198"/>
      <c r="C11" s="196"/>
      <c r="D11" s="197"/>
      <c r="E11" s="198"/>
      <c r="F11" s="199"/>
      <c r="G11" s="200"/>
      <c r="H11" s="200">
        <f t="shared" si="0"/>
        <v>150988.41817085279</v>
      </c>
    </row>
    <row r="12" spans="1:10">
      <c r="A12" s="194"/>
      <c r="B12" s="198"/>
      <c r="C12" s="196"/>
      <c r="D12" s="197"/>
      <c r="E12" s="198"/>
      <c r="F12" s="199"/>
      <c r="G12" s="200"/>
      <c r="H12" s="200">
        <f t="shared" si="0"/>
        <v>150988.41817085279</v>
      </c>
    </row>
    <row r="13" spans="1:10">
      <c r="A13" s="194"/>
      <c r="B13" s="218" t="s">
        <v>475</v>
      </c>
      <c r="C13" s="196"/>
      <c r="D13" s="197"/>
      <c r="E13" s="199">
        <f>E15+E14</f>
        <v>49910.621210809761</v>
      </c>
      <c r="F13" s="199">
        <f>E13</f>
        <v>49910.621210809761</v>
      </c>
      <c r="G13" s="200"/>
      <c r="H13" s="200">
        <f t="shared" si="0"/>
        <v>150988.41817085279</v>
      </c>
    </row>
    <row r="14" spans="1:10">
      <c r="A14" s="194">
        <v>45716</v>
      </c>
      <c r="B14" s="218" t="s">
        <v>452</v>
      </c>
      <c r="C14" s="196">
        <v>3000</v>
      </c>
      <c r="D14" s="197">
        <f>(C14/C16)-1</f>
        <v>3.4482758620689724E-2</v>
      </c>
      <c r="E14" s="219">
        <f>F15*D14</f>
        <v>1663.6873736936618</v>
      </c>
      <c r="F14" s="199">
        <f>H15*D14</f>
        <v>3369.2598986681078</v>
      </c>
      <c r="G14" s="200"/>
      <c r="H14" s="200">
        <f t="shared" si="0"/>
        <v>101077.79696004304</v>
      </c>
    </row>
    <row r="15" spans="1:10">
      <c r="A15" s="194"/>
      <c r="B15" s="218" t="s">
        <v>474</v>
      </c>
      <c r="C15" s="196"/>
      <c r="D15" s="197"/>
      <c r="E15" s="199">
        <f>E17+E16</f>
        <v>48246.933837116099</v>
      </c>
      <c r="F15" s="199">
        <f>E15</f>
        <v>48246.933837116099</v>
      </c>
      <c r="G15" s="200"/>
      <c r="H15" s="200">
        <f t="shared" si="0"/>
        <v>97708.537061374926</v>
      </c>
    </row>
    <row r="16" spans="1:10">
      <c r="A16" s="194">
        <v>45687</v>
      </c>
      <c r="B16" s="218" t="s">
        <v>453</v>
      </c>
      <c r="C16" s="196">
        <v>2900</v>
      </c>
      <c r="D16" s="197">
        <f>(C16/C18)-1</f>
        <v>3.5714285714285809E-2</v>
      </c>
      <c r="E16" s="219">
        <f>F17*D16</f>
        <v>1663.6873736936629</v>
      </c>
      <c r="F16" s="199">
        <f>H17*D16</f>
        <v>1705.5725249744467</v>
      </c>
      <c r="G16" s="200"/>
      <c r="H16" s="200">
        <f t="shared" si="0"/>
        <v>49461.603224258826</v>
      </c>
      <c r="J16" s="254">
        <v>45677</v>
      </c>
    </row>
    <row r="17" spans="1:11">
      <c r="A17" s="194"/>
      <c r="B17" s="218" t="s">
        <v>473</v>
      </c>
      <c r="C17" s="196"/>
      <c r="D17" s="197"/>
      <c r="E17" s="199">
        <f>E19+E18</f>
        <v>46583.246463422438</v>
      </c>
      <c r="F17" s="199">
        <f>E17</f>
        <v>46583.246463422438</v>
      </c>
      <c r="G17" s="200"/>
      <c r="H17" s="200">
        <f t="shared" si="0"/>
        <v>47756.030699284376</v>
      </c>
    </row>
    <row r="18" spans="1:11">
      <c r="A18" s="194">
        <v>45656</v>
      </c>
      <c r="B18" s="218" t="s">
        <v>454</v>
      </c>
      <c r="C18" s="196">
        <v>2800</v>
      </c>
      <c r="D18" s="197">
        <f>(C18/C22)-1</f>
        <v>5.372888308501711E-2</v>
      </c>
      <c r="E18" s="219">
        <f>F19*D18</f>
        <v>2375.2464634224366</v>
      </c>
      <c r="F18" s="199">
        <f>IF(H19&lt;=0,,(H19*D18))</f>
        <v>59.79943048357466</v>
      </c>
      <c r="G18" s="200"/>
      <c r="H18" s="200">
        <f t="shared" si="0"/>
        <v>1172.7842358619391</v>
      </c>
    </row>
    <row r="19" spans="1:11">
      <c r="A19" s="194"/>
      <c r="B19" s="218" t="s">
        <v>469</v>
      </c>
      <c r="C19" s="196"/>
      <c r="D19" s="197"/>
      <c r="E19" s="199">
        <v>44208</v>
      </c>
      <c r="F19" s="199">
        <f>E19</f>
        <v>44208</v>
      </c>
      <c r="G19" s="200"/>
      <c r="H19" s="200">
        <f t="shared" si="0"/>
        <v>1112.9848053783644</v>
      </c>
    </row>
    <row r="20" spans="1:11">
      <c r="A20" s="194"/>
      <c r="B20" s="218" t="s">
        <v>470</v>
      </c>
      <c r="C20" s="196"/>
      <c r="D20" s="197"/>
      <c r="E20" s="199"/>
      <c r="F20" s="199"/>
      <c r="G20" s="200">
        <v>219000</v>
      </c>
      <c r="H20" s="200">
        <f t="shared" si="0"/>
        <v>-43095.015194621636</v>
      </c>
      <c r="I20">
        <v>240</v>
      </c>
      <c r="J20">
        <v>60</v>
      </c>
      <c r="K20">
        <f>I20*J20/100</f>
        <v>144</v>
      </c>
    </row>
    <row r="21" spans="1:11">
      <c r="A21" s="194"/>
      <c r="B21" s="218" t="s">
        <v>450</v>
      </c>
      <c r="C21" s="196"/>
      <c r="D21" s="197"/>
      <c r="E21" s="199"/>
      <c r="F21" s="199">
        <v>7080</v>
      </c>
      <c r="G21" s="200"/>
      <c r="H21" s="200">
        <f t="shared" si="0"/>
        <v>175904.98480537836</v>
      </c>
      <c r="K21">
        <f>K20+I20</f>
        <v>384</v>
      </c>
    </row>
    <row r="22" spans="1:11" ht="13.5" thickBot="1">
      <c r="A22" s="194">
        <v>45626</v>
      </c>
      <c r="B22" s="218" t="s">
        <v>449</v>
      </c>
      <c r="C22" s="224">
        <v>2657.23</v>
      </c>
      <c r="D22" s="197">
        <f>(C22/C24)-1</f>
        <v>2.2440176843369075E-2</v>
      </c>
      <c r="E22" s="219">
        <f>C22</f>
        <v>2657.23</v>
      </c>
      <c r="F22" s="199">
        <f>H23*D22</f>
        <v>3705.3145997334518</v>
      </c>
      <c r="G22" s="200"/>
      <c r="H22" s="200">
        <f t="shared" si="0"/>
        <v>168824.98480537836</v>
      </c>
      <c r="K22">
        <f>K21/12</f>
        <v>32</v>
      </c>
    </row>
    <row r="23" spans="1:11">
      <c r="A23" s="194"/>
      <c r="B23" s="218" t="s">
        <v>451</v>
      </c>
      <c r="C23" s="196"/>
      <c r="D23" s="197"/>
      <c r="E23" s="199">
        <f>E25+E24</f>
        <v>28469.068917672856</v>
      </c>
      <c r="F23" s="199">
        <f>E23</f>
        <v>28469.068917672856</v>
      </c>
      <c r="G23" s="200"/>
      <c r="H23" s="200">
        <f t="shared" si="0"/>
        <v>165119.67020564491</v>
      </c>
    </row>
    <row r="24" spans="1:11" ht="13.5" thickBot="1">
      <c r="A24" s="194">
        <v>45595</v>
      </c>
      <c r="B24" s="218" t="s">
        <v>424</v>
      </c>
      <c r="C24" s="223">
        <v>2598.91</v>
      </c>
      <c r="D24" s="197">
        <f>(C24/C26)-1</f>
        <v>2.8798650916806556E-2</v>
      </c>
      <c r="E24" s="219">
        <f>F25*D24</f>
        <v>796.92054121177785</v>
      </c>
      <c r="F24" s="199">
        <f>H25*D24</f>
        <v>3825.1925783116671</v>
      </c>
      <c r="G24" s="200"/>
      <c r="H24" s="200">
        <f t="shared" si="0"/>
        <v>136650.60128797207</v>
      </c>
      <c r="I24" t="s">
        <v>472</v>
      </c>
      <c r="J24" t="s">
        <v>471</v>
      </c>
      <c r="K24" t="s">
        <v>178</v>
      </c>
    </row>
    <row r="25" spans="1:11">
      <c r="A25" s="194"/>
      <c r="B25" s="218" t="s">
        <v>448</v>
      </c>
      <c r="C25" s="196"/>
      <c r="D25" s="197"/>
      <c r="E25" s="199">
        <f>E27+E26</f>
        <v>27672.148376461078</v>
      </c>
      <c r="F25" s="199">
        <f>E25</f>
        <v>27672.148376461078</v>
      </c>
      <c r="G25" s="200"/>
      <c r="H25" s="200">
        <f t="shared" si="0"/>
        <v>132825.40870966041</v>
      </c>
      <c r="I25">
        <v>24</v>
      </c>
      <c r="J25">
        <v>22104</v>
      </c>
      <c r="K25">
        <f>J25*I25</f>
        <v>530496</v>
      </c>
    </row>
    <row r="26" spans="1:11">
      <c r="A26" s="194">
        <v>45565</v>
      </c>
      <c r="B26" s="218" t="s">
        <v>425</v>
      </c>
      <c r="C26" s="221">
        <v>2526.16</v>
      </c>
      <c r="D26" s="197">
        <f>(C26/C28)-1</f>
        <v>2.9681984559824404E-2</v>
      </c>
      <c r="E26" s="219">
        <f>F27*D26</f>
        <v>797.68733760881537</v>
      </c>
      <c r="F26" s="199">
        <f>IF(H27&lt;=0,,(H27*D26))</f>
        <v>3031.1858383726817</v>
      </c>
      <c r="G26" s="200"/>
      <c r="H26" s="200">
        <f t="shared" si="0"/>
        <v>105153.26033319932</v>
      </c>
      <c r="K26">
        <f>K25/12</f>
        <v>44208</v>
      </c>
    </row>
    <row r="27" spans="1:11">
      <c r="A27" s="194"/>
      <c r="B27" s="218" t="s">
        <v>447</v>
      </c>
      <c r="C27" s="196"/>
      <c r="D27" s="197"/>
      <c r="E27" s="199">
        <f>E29+E28</f>
        <v>26874.461038852263</v>
      </c>
      <c r="F27" s="199">
        <f>E27</f>
        <v>26874.461038852263</v>
      </c>
      <c r="G27" s="200"/>
      <c r="H27" s="200">
        <f t="shared" si="0"/>
        <v>102122.07449482664</v>
      </c>
      <c r="K27" t="s">
        <v>177</v>
      </c>
    </row>
    <row r="28" spans="1:11">
      <c r="A28" s="194">
        <v>45534</v>
      </c>
      <c r="B28" s="218" t="s">
        <v>426</v>
      </c>
      <c r="C28" s="196">
        <v>2453.34</v>
      </c>
      <c r="D28" s="197">
        <f>(C28/C30)-1</f>
        <v>2.4744162733386421E-2</v>
      </c>
      <c r="E28" s="219">
        <f>F29*D28</f>
        <v>648.92883658262588</v>
      </c>
      <c r="F28" s="199">
        <f>IF(H29&lt;=0,,(H29*D28))</f>
        <v>1816.9795548647776</v>
      </c>
      <c r="G28" s="200"/>
      <c r="H28" s="200">
        <f t="shared" si="0"/>
        <v>75247.61345597438</v>
      </c>
    </row>
    <row r="29" spans="1:11">
      <c r="A29" s="194"/>
      <c r="B29" s="218" t="s">
        <v>446</v>
      </c>
      <c r="C29" s="196"/>
      <c r="D29" s="197"/>
      <c r="E29" s="199">
        <f>E31+E30</f>
        <v>26225.532202269638</v>
      </c>
      <c r="F29" s="199">
        <f>E29</f>
        <v>26225.532202269638</v>
      </c>
      <c r="G29" s="200"/>
      <c r="H29" s="200">
        <f t="shared" si="0"/>
        <v>73430.633901109599</v>
      </c>
    </row>
    <row r="30" spans="1:11">
      <c r="A30" s="194">
        <v>45503</v>
      </c>
      <c r="B30" s="218" t="s">
        <v>427</v>
      </c>
      <c r="C30" s="196">
        <v>2394.1</v>
      </c>
      <c r="D30" s="197">
        <f>(C30/C32)-1</f>
        <v>3.2255560969089547E-2</v>
      </c>
      <c r="E30" s="219">
        <f>F31*D30</f>
        <v>819.48626375330343</v>
      </c>
      <c r="F30" s="199">
        <f>IF(H31&lt;=0,,(H31*D30))</f>
        <v>1475.0485184788452</v>
      </c>
      <c r="G30" s="200"/>
      <c r="H30" s="200">
        <f t="shared" si="0"/>
        <v>47205.101698839957</v>
      </c>
    </row>
    <row r="31" spans="1:11">
      <c r="A31" s="194"/>
      <c r="B31" s="218" t="s">
        <v>445</v>
      </c>
      <c r="C31" s="196"/>
      <c r="D31" s="197"/>
      <c r="E31" s="199">
        <f>E33+E32</f>
        <v>25406.045938516334</v>
      </c>
      <c r="F31" s="199">
        <f>E31</f>
        <v>25406.045938516334</v>
      </c>
      <c r="G31" s="200"/>
      <c r="H31" s="200">
        <f t="shared" si="0"/>
        <v>45730.053180361108</v>
      </c>
    </row>
    <row r="32" spans="1:11">
      <c r="A32" s="194">
        <v>45473</v>
      </c>
      <c r="B32" s="218" t="s">
        <v>428</v>
      </c>
      <c r="C32" s="196">
        <v>2319.29</v>
      </c>
      <c r="D32" s="197">
        <f>(C32/C34)-1</f>
        <v>1.6407739334312055E-2</v>
      </c>
      <c r="E32" s="219">
        <f>F33*D32</f>
        <v>410.12653007517417</v>
      </c>
      <c r="F32" s="199">
        <f>IF(H33&lt;=0,,(H33*D32))</f>
        <v>328.0878334036139</v>
      </c>
      <c r="G32" s="200"/>
      <c r="H32" s="200">
        <f t="shared" si="0"/>
        <v>20324.007241844774</v>
      </c>
    </row>
    <row r="33" spans="1:8">
      <c r="A33" s="194"/>
      <c r="B33" s="218" t="s">
        <v>444</v>
      </c>
      <c r="C33" s="196"/>
      <c r="D33" s="197"/>
      <c r="E33" s="199">
        <f>E35+E34</f>
        <v>24995.919408441161</v>
      </c>
      <c r="F33" s="199">
        <f>E33</f>
        <v>24995.919408441161</v>
      </c>
      <c r="G33" s="200"/>
      <c r="H33" s="200">
        <f t="shared" ref="H33:H45" si="1">H34+F33-G33</f>
        <v>19995.919408441161</v>
      </c>
    </row>
    <row r="34" spans="1:8">
      <c r="A34" s="194">
        <v>45442</v>
      </c>
      <c r="B34" s="218" t="s">
        <v>429</v>
      </c>
      <c r="C34" s="196">
        <v>2281.85</v>
      </c>
      <c r="D34" s="197">
        <f>(C34/C36)-1</f>
        <v>3.3680634201585402E-2</v>
      </c>
      <c r="E34" s="219">
        <f>F35*D34</f>
        <v>673.612684031708</v>
      </c>
      <c r="F34" s="199">
        <f>IF(H35&lt;=0,,(H35*D34))</f>
        <v>0</v>
      </c>
      <c r="G34" s="200"/>
      <c r="H34" s="200">
        <f t="shared" si="1"/>
        <v>-5000</v>
      </c>
    </row>
    <row r="35" spans="1:8">
      <c r="A35" s="194"/>
      <c r="B35" s="218" t="s">
        <v>443</v>
      </c>
      <c r="C35" s="196"/>
      <c r="D35" s="197"/>
      <c r="E35" s="199">
        <f>E37+E36</f>
        <v>24322.306724409453</v>
      </c>
      <c r="F35" s="199">
        <f>F37</f>
        <v>20000</v>
      </c>
      <c r="G35" s="200"/>
      <c r="H35" s="200">
        <f t="shared" si="1"/>
        <v>-5000</v>
      </c>
    </row>
    <row r="36" spans="1:8">
      <c r="A36" s="194">
        <v>45412</v>
      </c>
      <c r="B36" s="218" t="s">
        <v>430</v>
      </c>
      <c r="C36" s="196">
        <v>2207.5</v>
      </c>
      <c r="D36" s="197">
        <f>(C36/C38)-1</f>
        <v>3.1797594731405532E-2</v>
      </c>
      <c r="E36" s="219">
        <f>F37*D36</f>
        <v>635.95189462811061</v>
      </c>
      <c r="F36" s="199">
        <f>IF(H37&lt;=0,,(H37*D36))</f>
        <v>0</v>
      </c>
      <c r="G36" s="200"/>
      <c r="H36" s="200">
        <f t="shared" si="1"/>
        <v>-25000</v>
      </c>
    </row>
    <row r="37" spans="1:8">
      <c r="A37" s="194"/>
      <c r="B37" s="218" t="s">
        <v>442</v>
      </c>
      <c r="C37" s="196"/>
      <c r="D37" s="197"/>
      <c r="E37" s="199">
        <f>E39+E38</f>
        <v>23686.354829781343</v>
      </c>
      <c r="F37" s="199">
        <f>F39</f>
        <v>20000</v>
      </c>
      <c r="G37" s="200"/>
      <c r="H37" s="200">
        <f t="shared" si="1"/>
        <v>-25000</v>
      </c>
    </row>
    <row r="38" spans="1:8">
      <c r="A38" s="194">
        <v>45381</v>
      </c>
      <c r="B38" s="218" t="s">
        <v>431</v>
      </c>
      <c r="C38" s="196">
        <v>2139.4699999999998</v>
      </c>
      <c r="D38" s="197">
        <f>(C38/C40)-1</f>
        <v>3.1626709356375349E-2</v>
      </c>
      <c r="E38" s="219">
        <f>E39*D38</f>
        <v>726.15554940492348</v>
      </c>
      <c r="F38" s="199">
        <f>IF(H39&lt;=0,,(H39*D38))</f>
        <v>0</v>
      </c>
      <c r="G38" s="200"/>
      <c r="H38" s="200">
        <f t="shared" si="1"/>
        <v>-45000</v>
      </c>
    </row>
    <row r="39" spans="1:8">
      <c r="A39" s="194"/>
      <c r="B39" s="218" t="s">
        <v>441</v>
      </c>
      <c r="C39" s="196"/>
      <c r="D39" s="197"/>
      <c r="E39" s="199">
        <f>E41+E40</f>
        <v>22960.199280376419</v>
      </c>
      <c r="F39" s="199">
        <f>F41</f>
        <v>20000</v>
      </c>
      <c r="G39" s="200"/>
      <c r="H39" s="200">
        <f t="shared" si="1"/>
        <v>-45000</v>
      </c>
    </row>
    <row r="40" spans="1:8">
      <c r="A40" s="194">
        <v>45351</v>
      </c>
      <c r="B40" s="218" t="s">
        <v>432</v>
      </c>
      <c r="C40" s="196">
        <v>2073.88</v>
      </c>
      <c r="D40" s="197">
        <f>(C40/C42)-1</f>
        <v>4.5291882138285056E-2</v>
      </c>
      <c r="E40" s="219">
        <f>E41*D40</f>
        <v>994.85192360919234</v>
      </c>
      <c r="F40" s="199">
        <f>IF(H41&lt;=0,,(H41*D40))</f>
        <v>0</v>
      </c>
      <c r="G40" s="200"/>
      <c r="H40" s="200">
        <f t="shared" si="1"/>
        <v>-65000</v>
      </c>
    </row>
    <row r="41" spans="1:8">
      <c r="A41" s="194"/>
      <c r="B41" s="218" t="s">
        <v>440</v>
      </c>
      <c r="C41" s="196"/>
      <c r="D41" s="197"/>
      <c r="E41" s="199">
        <f>E44+E42</f>
        <v>21965.347356767226</v>
      </c>
      <c r="F41" s="253">
        <f>F44</f>
        <v>20000</v>
      </c>
      <c r="G41" s="200"/>
      <c r="H41" s="200">
        <f t="shared" si="1"/>
        <v>-65000</v>
      </c>
    </row>
    <row r="42" spans="1:8">
      <c r="A42" s="194">
        <v>45321</v>
      </c>
      <c r="B42" s="218" t="s">
        <v>433</v>
      </c>
      <c r="C42" s="196">
        <v>1984.02</v>
      </c>
      <c r="D42" s="197">
        <f>(C42/C45)-1</f>
        <v>6.7033097053856627E-2</v>
      </c>
      <c r="E42" s="219">
        <f>E44*D42</f>
        <v>1379.9058953778017</v>
      </c>
      <c r="F42" s="199">
        <f>IF(H43&lt;=0,,(H43*D42))</f>
        <v>0</v>
      </c>
      <c r="G42" s="200"/>
      <c r="H42" s="200">
        <f t="shared" si="1"/>
        <v>-85000</v>
      </c>
    </row>
    <row r="43" spans="1:8">
      <c r="A43" s="194"/>
      <c r="B43" s="218" t="s">
        <v>455</v>
      </c>
      <c r="C43" s="196"/>
      <c r="D43" s="197"/>
      <c r="E43" s="199"/>
      <c r="F43" s="199">
        <v>10000</v>
      </c>
      <c r="G43" s="200"/>
      <c r="H43" s="200">
        <f t="shared" si="1"/>
        <v>-85000</v>
      </c>
    </row>
    <row r="44" spans="1:8">
      <c r="A44" s="194"/>
      <c r="B44" s="218" t="s">
        <v>439</v>
      </c>
      <c r="C44" s="196"/>
      <c r="D44" s="197"/>
      <c r="E44" s="199">
        <f>F46+E45</f>
        <v>20585.441461389426</v>
      </c>
      <c r="F44" s="253">
        <f>F46</f>
        <v>20000</v>
      </c>
      <c r="G44" s="200"/>
      <c r="H44" s="200">
        <f>H45+F44-G44</f>
        <v>-95000</v>
      </c>
    </row>
    <row r="45" spans="1:8">
      <c r="A45" s="194">
        <v>45290</v>
      </c>
      <c r="B45" s="218" t="s">
        <v>435</v>
      </c>
      <c r="C45" s="196">
        <v>1859.38</v>
      </c>
      <c r="D45" s="197">
        <f>(C45/C48)-1</f>
        <v>2.9272073069471327E-2</v>
      </c>
      <c r="E45" s="219">
        <f>F46*D45</f>
        <v>585.44146138942654</v>
      </c>
      <c r="F45" s="199">
        <f>IF(H46&lt;=0,,(H46*D45))</f>
        <v>0</v>
      </c>
      <c r="G45" s="200"/>
      <c r="H45" s="200">
        <f t="shared" si="1"/>
        <v>-115000</v>
      </c>
    </row>
    <row r="46" spans="1:8">
      <c r="A46" s="194"/>
      <c r="B46" s="218" t="s">
        <v>438</v>
      </c>
      <c r="C46" s="196"/>
      <c r="D46" s="197"/>
      <c r="E46" s="198"/>
      <c r="F46" s="199">
        <v>20000</v>
      </c>
      <c r="G46" s="200"/>
      <c r="H46" s="200">
        <f>H47+F46-G46</f>
        <v>-115000</v>
      </c>
    </row>
    <row r="47" spans="1:8">
      <c r="A47" s="194"/>
      <c r="B47" s="218"/>
      <c r="C47" s="196"/>
      <c r="D47" s="197"/>
      <c r="E47" s="198"/>
      <c r="F47" s="199"/>
      <c r="G47" s="200">
        <v>135000</v>
      </c>
      <c r="H47" s="200">
        <f>H49+F47-G47</f>
        <v>-135000</v>
      </c>
    </row>
    <row r="48" spans="1:8">
      <c r="A48" s="194">
        <v>45260</v>
      </c>
      <c r="B48" s="218" t="s">
        <v>436</v>
      </c>
      <c r="C48" s="196">
        <v>1806.5</v>
      </c>
      <c r="D48" s="197"/>
      <c r="E48" s="219"/>
      <c r="F48" s="199"/>
      <c r="G48" s="200"/>
      <c r="H48" s="200"/>
    </row>
    <row r="49" spans="1:8">
      <c r="A49" s="194"/>
      <c r="B49" s="218"/>
      <c r="C49" s="196"/>
      <c r="D49" s="197"/>
      <c r="E49" s="199"/>
      <c r="F49" s="199"/>
      <c r="G49" s="200"/>
      <c r="H49" s="200"/>
    </row>
    <row r="50" spans="1:8">
      <c r="A50" s="194"/>
      <c r="B50" s="200"/>
      <c r="C50" s="196"/>
      <c r="D50" s="197"/>
      <c r="E50" s="198"/>
      <c r="F50" s="199"/>
      <c r="G50" s="200"/>
      <c r="H50" s="200"/>
    </row>
    <row r="51" spans="1:8">
      <c r="A51" s="194"/>
      <c r="B51" s="218"/>
      <c r="C51" s="196"/>
      <c r="D51" s="197"/>
      <c r="E51" s="219"/>
      <c r="F51" s="199"/>
      <c r="G51" s="200"/>
      <c r="H51" s="200"/>
    </row>
    <row r="52" spans="1:8">
      <c r="A52" s="194"/>
      <c r="B52" s="218"/>
      <c r="C52" s="196"/>
      <c r="D52" s="197"/>
      <c r="E52" s="199"/>
      <c r="F52" s="199"/>
      <c r="G52" s="200"/>
      <c r="H52" s="200"/>
    </row>
    <row r="53" spans="1:8">
      <c r="A53" s="194"/>
      <c r="B53" s="218"/>
      <c r="C53" s="196"/>
      <c r="D53" s="197"/>
      <c r="E53" s="198"/>
      <c r="F53" s="199"/>
      <c r="G53" s="200"/>
      <c r="H53" s="200"/>
    </row>
    <row r="54" spans="1:8">
      <c r="A54" s="194"/>
      <c r="B54" s="218"/>
      <c r="C54" s="196"/>
      <c r="D54" s="197"/>
      <c r="E54" s="198"/>
      <c r="F54" s="199"/>
      <c r="G54" s="200"/>
      <c r="H54" s="200"/>
    </row>
    <row r="55" spans="1:8">
      <c r="A55" s="194"/>
      <c r="B55" s="218"/>
      <c r="C55" s="196"/>
      <c r="D55" s="197"/>
      <c r="E55" s="198"/>
      <c r="F55" s="199"/>
      <c r="G55" s="200"/>
      <c r="H55" s="200"/>
    </row>
    <row r="56" spans="1:8">
      <c r="A56" s="194"/>
      <c r="B56" s="200"/>
      <c r="C56" s="196"/>
      <c r="D56" s="197"/>
      <c r="E56" s="198"/>
      <c r="F56" s="199"/>
      <c r="G56" s="200"/>
      <c r="H56" s="200"/>
    </row>
    <row r="57" spans="1:8">
      <c r="A57" s="194"/>
      <c r="B57" s="218"/>
      <c r="C57" s="196"/>
      <c r="D57" s="197"/>
      <c r="E57" s="219"/>
      <c r="F57" s="199"/>
      <c r="G57" s="220"/>
      <c r="H57" s="200"/>
    </row>
    <row r="58" spans="1:8">
      <c r="A58" s="194"/>
      <c r="B58" s="218"/>
      <c r="C58" s="196"/>
      <c r="D58" s="197"/>
      <c r="E58" s="199"/>
      <c r="F58" s="199"/>
      <c r="G58" s="220"/>
      <c r="H58" s="200"/>
    </row>
    <row r="59" spans="1:8">
      <c r="A59" s="194"/>
      <c r="B59" s="200"/>
      <c r="C59" s="196"/>
      <c r="D59" s="197"/>
      <c r="E59" s="198"/>
      <c r="F59" s="199"/>
      <c r="G59" s="200"/>
      <c r="H59" s="20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79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390</v>
      </c>
      <c r="C9"/>
      <c r="D9" s="24">
        <v>204024</v>
      </c>
      <c r="E9" s="25"/>
      <c r="F9" s="3">
        <f>D9-E9</f>
        <v>204024</v>
      </c>
    </row>
    <row r="10" spans="1:6">
      <c r="B10" s="14" t="s">
        <v>392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392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391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393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392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89</v>
      </c>
      <c r="C30"/>
      <c r="D30" s="31"/>
      <c r="E30" s="31"/>
      <c r="F30" s="31">
        <f t="shared" si="1"/>
        <v>-800</v>
      </c>
    </row>
    <row r="31" spans="1:6">
      <c r="A31" s="26"/>
      <c r="B31" t="s">
        <v>90</v>
      </c>
      <c r="C31"/>
      <c r="D31" s="31"/>
      <c r="E31" s="31"/>
      <c r="F31" s="31">
        <f t="shared" si="1"/>
        <v>-800</v>
      </c>
    </row>
    <row r="32" spans="1:6">
      <c r="A32" s="26"/>
      <c r="B32" t="s">
        <v>91</v>
      </c>
      <c r="C32"/>
      <c r="D32" s="31"/>
      <c r="E32" s="31"/>
      <c r="F32" s="31">
        <f t="shared" si="1"/>
        <v>-800</v>
      </c>
    </row>
    <row r="33" spans="1:6">
      <c r="A33" s="26"/>
      <c r="B33" t="s">
        <v>92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5">
        <v>45402</v>
      </c>
      <c r="B52" t="s">
        <v>394</v>
      </c>
      <c r="C52" s="147"/>
      <c r="D52" s="148"/>
      <c r="E52" s="148"/>
      <c r="F52" s="148"/>
      <c r="G52"/>
      <c r="H52"/>
    </row>
    <row r="53" spans="1:8">
      <c r="A53" s="147"/>
      <c r="B53" s="146" t="s">
        <v>363</v>
      </c>
      <c r="C53" s="147"/>
      <c r="D53" s="148"/>
      <c r="E53" s="148"/>
      <c r="F53" s="148"/>
      <c r="G53"/>
      <c r="H53"/>
    </row>
    <row r="54" spans="1:8">
      <c r="A54" s="147"/>
      <c r="B54" s="147"/>
      <c r="C54" s="147"/>
      <c r="D54" s="148" t="s">
        <v>2</v>
      </c>
      <c r="E54" s="148" t="s">
        <v>3</v>
      </c>
      <c r="F54" s="148" t="s">
        <v>364</v>
      </c>
      <c r="G54"/>
      <c r="H54"/>
    </row>
    <row r="55" spans="1:8">
      <c r="A55" s="145"/>
      <c r="B55" s="147" t="s">
        <v>398</v>
      </c>
      <c r="C55" s="147"/>
      <c r="D55" s="148">
        <v>204024</v>
      </c>
      <c r="E55" s="148"/>
      <c r="F55" s="148">
        <f>D55-E55</f>
        <v>204024</v>
      </c>
      <c r="G55"/>
      <c r="H55"/>
    </row>
    <row r="56" spans="1:8">
      <c r="A56" s="145"/>
      <c r="B56" s="147"/>
      <c r="C56" s="147"/>
      <c r="D56" s="148"/>
      <c r="E56" s="148"/>
      <c r="F56" s="148">
        <f t="shared" ref="F56:F63" si="2">F55+D56-E56</f>
        <v>204024</v>
      </c>
      <c r="G56"/>
      <c r="H56"/>
    </row>
    <row r="57" spans="1:8">
      <c r="A57" s="145">
        <v>45402</v>
      </c>
      <c r="B57" s="147" t="s">
        <v>365</v>
      </c>
      <c r="C57" s="147"/>
      <c r="D57" s="148"/>
      <c r="E57" s="148"/>
      <c r="F57" s="148">
        <f t="shared" si="2"/>
        <v>204024</v>
      </c>
      <c r="G57"/>
      <c r="H57"/>
    </row>
    <row r="58" spans="1:8">
      <c r="A58" s="145">
        <v>45813</v>
      </c>
      <c r="B58" s="147" t="s">
        <v>366</v>
      </c>
      <c r="C58" s="147"/>
      <c r="E58"/>
      <c r="F58" s="148">
        <f t="shared" si="2"/>
        <v>204024</v>
      </c>
      <c r="G58"/>
      <c r="H58"/>
    </row>
    <row r="59" spans="1:8">
      <c r="A59" s="145">
        <v>45170</v>
      </c>
      <c r="B59" s="147" t="s">
        <v>397</v>
      </c>
      <c r="C59" s="147"/>
      <c r="E59">
        <v>1000</v>
      </c>
      <c r="F59" s="148">
        <f t="shared" si="2"/>
        <v>203024</v>
      </c>
      <c r="G59"/>
      <c r="H59"/>
    </row>
    <row r="60" spans="1:8">
      <c r="A60" s="145">
        <v>45199</v>
      </c>
      <c r="B60" s="147" t="s">
        <v>397</v>
      </c>
      <c r="C60" s="147"/>
      <c r="E60">
        <v>50000</v>
      </c>
      <c r="F60" s="148">
        <f t="shared" si="2"/>
        <v>153024</v>
      </c>
      <c r="G60" s="46"/>
      <c r="H60" s="51"/>
    </row>
    <row r="61" spans="1:8">
      <c r="A61" s="145">
        <v>45229</v>
      </c>
      <c r="B61" s="147" t="s">
        <v>397</v>
      </c>
      <c r="C61" s="147"/>
      <c r="E61">
        <v>33000</v>
      </c>
      <c r="F61" s="148">
        <f t="shared" si="2"/>
        <v>120024</v>
      </c>
      <c r="G61" s="46"/>
      <c r="H61" s="51"/>
    </row>
    <row r="62" spans="1:8">
      <c r="A62" s="145">
        <v>45260</v>
      </c>
      <c r="B62" s="147" t="s">
        <v>397</v>
      </c>
      <c r="C62" s="147"/>
      <c r="E62">
        <v>120000</v>
      </c>
      <c r="F62" s="148">
        <f t="shared" si="2"/>
        <v>24</v>
      </c>
      <c r="G62" s="46"/>
      <c r="H62" s="51"/>
    </row>
    <row r="63" spans="1:8">
      <c r="A63" s="145"/>
      <c r="B63" s="147" t="s">
        <v>393</v>
      </c>
      <c r="C63" s="147"/>
      <c r="E63">
        <v>24</v>
      </c>
      <c r="F63" s="148">
        <f t="shared" si="2"/>
        <v>0</v>
      </c>
      <c r="G63" s="46"/>
      <c r="H63" s="51"/>
    </row>
    <row r="64" spans="1:8">
      <c r="A64" s="145"/>
      <c r="B64" s="147"/>
      <c r="C64" s="147"/>
      <c r="E64"/>
      <c r="F64" s="148"/>
    </row>
    <row r="65" spans="1:6" ht="15">
      <c r="A65" s="145"/>
      <c r="B65" s="147" t="s">
        <v>374</v>
      </c>
      <c r="C65" s="150">
        <f>A58-A57</f>
        <v>411</v>
      </c>
      <c r="E65"/>
      <c r="F65" s="148"/>
    </row>
    <row r="66" spans="1:6">
      <c r="A66" s="145"/>
      <c r="B66" s="147" t="s">
        <v>375</v>
      </c>
      <c r="C66" s="146">
        <f>(D55-24)/C65</f>
        <v>496.35036496350364</v>
      </c>
      <c r="E66"/>
      <c r="F66" s="148"/>
    </row>
    <row r="67" spans="1:6" ht="15.75" thickBot="1">
      <c r="A67" s="151">
        <v>45813</v>
      </c>
      <c r="B67" s="152" t="s">
        <v>376</v>
      </c>
      <c r="C67" s="153"/>
      <c r="D67" s="154"/>
      <c r="E67"/>
      <c r="F67" s="148"/>
    </row>
    <row r="68" spans="1:6" ht="13.5" thickTop="1">
      <c r="A68"/>
      <c r="B68" s="147" t="s">
        <v>377</v>
      </c>
      <c r="C68" s="146">
        <f>A67-A57</f>
        <v>411</v>
      </c>
      <c r="D68"/>
      <c r="E68"/>
      <c r="F68" s="148"/>
    </row>
    <row r="69" spans="1:6">
      <c r="A69" s="145"/>
      <c r="B69" s="147" t="s">
        <v>378</v>
      </c>
      <c r="C69" s="147"/>
      <c r="D69" s="3">
        <f>C68*C66</f>
        <v>204000</v>
      </c>
      <c r="E69"/>
      <c r="F69" s="148"/>
    </row>
    <row r="70" spans="1:6">
      <c r="A70" s="145"/>
      <c r="B70" s="147" t="s">
        <v>379</v>
      </c>
      <c r="C70" s="147"/>
      <c r="D70" s="3">
        <f>D55-24-D69</f>
        <v>0</v>
      </c>
      <c r="E70"/>
      <c r="F70" s="148"/>
    </row>
    <row r="71" spans="1:6" ht="15.75" thickBot="1">
      <c r="A71" s="145"/>
      <c r="B71" s="155" t="s">
        <v>380</v>
      </c>
      <c r="C71" s="155" t="s">
        <v>381</v>
      </c>
      <c r="D71" s="156">
        <f>SUM(D70:D70)</f>
        <v>0</v>
      </c>
      <c r="E71"/>
      <c r="F71" s="148"/>
    </row>
    <row r="72" spans="1:6" ht="13.5" thickTop="1">
      <c r="A72" s="145"/>
      <c r="B72" s="147" t="s">
        <v>382</v>
      </c>
      <c r="C72" s="147" t="s">
        <v>381</v>
      </c>
      <c r="E72"/>
      <c r="F72" s="148"/>
    </row>
    <row r="73" spans="1:6">
      <c r="A73" s="145"/>
      <c r="B73" s="147" t="s">
        <v>383</v>
      </c>
      <c r="C73" s="147" t="s">
        <v>384</v>
      </c>
      <c r="E73"/>
      <c r="F73" s="148"/>
    </row>
    <row r="74" spans="1:6">
      <c r="A74" s="145"/>
      <c r="B74" s="147" t="s">
        <v>385</v>
      </c>
      <c r="C74" s="147" t="s">
        <v>384</v>
      </c>
      <c r="E74"/>
      <c r="F74" s="148"/>
    </row>
    <row r="75" spans="1:6" ht="13.5" thickBot="1">
      <c r="A75" s="145"/>
      <c r="B75" s="157"/>
      <c r="C75" s="147"/>
      <c r="E75"/>
      <c r="F75" s="148"/>
    </row>
    <row r="76" spans="1:6" s="3" customFormat="1" ht="16.5" thickTop="1" thickBot="1">
      <c r="A76" s="147"/>
      <c r="B76" s="158" t="s">
        <v>387</v>
      </c>
      <c r="C76" s="159" t="s">
        <v>381</v>
      </c>
      <c r="D76" s="156">
        <f>SUM(D71:D75)</f>
        <v>0</v>
      </c>
      <c r="E76" s="148"/>
      <c r="F76" s="148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145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89</v>
      </c>
      <c r="C30"/>
      <c r="D30" s="31"/>
      <c r="E30" s="31"/>
      <c r="F30" s="31">
        <f t="shared" si="1"/>
        <v>-794.6</v>
      </c>
    </row>
    <row r="31" spans="1:6">
      <c r="A31" s="26"/>
      <c r="B31" t="s">
        <v>90</v>
      </c>
      <c r="C31"/>
      <c r="D31" s="31"/>
      <c r="E31" s="31"/>
      <c r="F31" s="31">
        <f t="shared" si="1"/>
        <v>-794.6</v>
      </c>
    </row>
    <row r="32" spans="1:6">
      <c r="A32" s="26"/>
      <c r="B32" t="s">
        <v>91</v>
      </c>
      <c r="C32"/>
      <c r="D32" s="31"/>
      <c r="E32" s="31"/>
      <c r="F32" s="31">
        <f t="shared" si="1"/>
        <v>-794.6</v>
      </c>
    </row>
    <row r="33" spans="1:6">
      <c r="A33" s="26"/>
      <c r="B33" t="s">
        <v>92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147</v>
      </c>
      <c r="C72" s="147"/>
      <c r="D72" s="148"/>
      <c r="E72" s="148"/>
      <c r="F72" s="148"/>
      <c r="G72"/>
      <c r="H72"/>
    </row>
    <row r="73" spans="1:8">
      <c r="A73" s="147"/>
      <c r="B73" s="146" t="s">
        <v>363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364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365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366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367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368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369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370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371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372</v>
      </c>
      <c r="C84" s="149" t="s">
        <v>373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374</v>
      </c>
      <c r="C86" s="150">
        <f>A78-A77</f>
        <v>365</v>
      </c>
      <c r="E86"/>
      <c r="F86" s="148"/>
    </row>
    <row r="87" spans="1:8">
      <c r="A87" s="145"/>
      <c r="B87" s="147" t="s">
        <v>375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376</v>
      </c>
      <c r="C88" s="153"/>
      <c r="D88" s="154"/>
      <c r="E88"/>
    </row>
    <row r="89" spans="1:8" ht="13.5" thickTop="1">
      <c r="A89"/>
      <c r="B89" s="147" t="s">
        <v>377</v>
      </c>
      <c r="C89" s="146">
        <f>A88-A77</f>
        <v>245</v>
      </c>
      <c r="D89"/>
      <c r="E89"/>
    </row>
    <row r="90" spans="1:8">
      <c r="A90" s="145"/>
      <c r="B90" s="147" t="s">
        <v>378</v>
      </c>
      <c r="C90" s="147"/>
      <c r="D90" s="3">
        <f>C89*C87</f>
        <v>64438.356164383571</v>
      </c>
      <c r="E90"/>
    </row>
    <row r="91" spans="1:8">
      <c r="A91" s="145"/>
      <c r="B91" s="147" t="s">
        <v>379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380</v>
      </c>
      <c r="C92" s="155" t="s">
        <v>381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382</v>
      </c>
      <c r="C93" s="147" t="s">
        <v>381</v>
      </c>
      <c r="D93" s="3">
        <v>794.6</v>
      </c>
      <c r="E93"/>
      <c r="F93" s="148"/>
    </row>
    <row r="94" spans="1:8">
      <c r="A94" s="145"/>
      <c r="B94" s="147" t="s">
        <v>385</v>
      </c>
      <c r="C94" s="147" t="s">
        <v>384</v>
      </c>
      <c r="D94" s="3">
        <v>-30</v>
      </c>
      <c r="E94"/>
      <c r="F94" s="148"/>
    </row>
    <row r="95" spans="1:8" ht="13.5" thickBot="1">
      <c r="A95" s="145"/>
      <c r="B95" s="157" t="s">
        <v>386</v>
      </c>
      <c r="C95" s="147" t="s">
        <v>384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387</v>
      </c>
      <c r="C96" s="159" t="s">
        <v>381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78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400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9"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167</v>
      </c>
      <c r="C1" s="8"/>
      <c r="D1" s="8"/>
      <c r="G1" s="9" t="s">
        <v>143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388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274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275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276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278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277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279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280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281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282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263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389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265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274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275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276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349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360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208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361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279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280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281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362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263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264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265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274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275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276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360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347</v>
      </c>
    </row>
    <row r="43" spans="1:13">
      <c r="A43" s="163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88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89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90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91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92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254</v>
      </c>
      <c r="B59" s="40" t="s">
        <v>168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354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285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355</v>
      </c>
      <c r="C69"/>
      <c r="F69"/>
      <c r="G69" s="3">
        <f t="shared" si="4"/>
        <v>12000</v>
      </c>
    </row>
    <row r="70" spans="1:7">
      <c r="A70" s="167">
        <v>44772</v>
      </c>
      <c r="B70" t="s">
        <v>356</v>
      </c>
      <c r="C70"/>
      <c r="F70"/>
      <c r="G70" s="3">
        <f t="shared" si="4"/>
        <v>12000</v>
      </c>
    </row>
    <row r="71" spans="1:7">
      <c r="A71" s="167">
        <v>44803</v>
      </c>
      <c r="B71" t="s">
        <v>357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333</v>
      </c>
      <c r="C83" s="8"/>
      <c r="D83" s="8"/>
      <c r="E83"/>
      <c r="F83"/>
      <c r="G83"/>
    </row>
    <row r="84" spans="1:7">
      <c r="A84" s="168">
        <v>45236</v>
      </c>
      <c r="B84" t="s">
        <v>169</v>
      </c>
      <c r="C84"/>
      <c r="D84"/>
      <c r="E84" s="61"/>
    </row>
    <row r="85" spans="1:7">
      <c r="A85" s="168">
        <v>45236</v>
      </c>
      <c r="B85" s="1" t="s">
        <v>170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171</v>
      </c>
      <c r="C87"/>
      <c r="D87"/>
      <c r="E87" s="61"/>
    </row>
    <row r="88" spans="1:7">
      <c r="B88" t="s">
        <v>172</v>
      </c>
      <c r="C88"/>
      <c r="D88"/>
      <c r="E88" s="61"/>
    </row>
    <row r="89" spans="1:7">
      <c r="B89" t="s">
        <v>173</v>
      </c>
      <c r="C89"/>
      <c r="D89"/>
      <c r="E89" s="61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68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180</v>
      </c>
      <c r="F98" s="63" t="s">
        <v>181</v>
      </c>
      <c r="G98" s="63" t="s">
        <v>182</v>
      </c>
    </row>
    <row r="99" spans="1:11" ht="25.5">
      <c r="B99" s="63" t="s">
        <v>183</v>
      </c>
      <c r="C99" s="3">
        <v>11.5</v>
      </c>
      <c r="E99" s="3">
        <v>138000</v>
      </c>
    </row>
    <row r="100" spans="1:11" ht="38.25">
      <c r="B100" s="64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193</v>
      </c>
      <c r="C118" s="66"/>
      <c r="D118" s="66"/>
      <c r="E118" s="67"/>
      <c r="F118" s="68"/>
    </row>
    <row r="119" spans="1:11">
      <c r="A119" s="167"/>
      <c r="B119" s="69" t="s">
        <v>194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195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196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197</v>
      </c>
      <c r="C122"/>
      <c r="D122"/>
      <c r="E122"/>
      <c r="F122" s="73">
        <f t="shared" si="6"/>
        <v>28080</v>
      </c>
    </row>
    <row r="123" spans="1:11">
      <c r="B123" s="75" t="s">
        <v>198</v>
      </c>
      <c r="C123"/>
      <c r="D123"/>
      <c r="E123"/>
      <c r="F123" s="73">
        <f t="shared" si="6"/>
        <v>28080</v>
      </c>
      <c r="G123"/>
    </row>
    <row r="124" spans="1:11">
      <c r="B124" s="75" t="s">
        <v>199</v>
      </c>
      <c r="C124"/>
      <c r="D124"/>
      <c r="E124"/>
      <c r="F124" s="73">
        <f t="shared" si="6"/>
        <v>28080</v>
      </c>
      <c r="G124" s="51"/>
    </row>
    <row r="125" spans="1:11">
      <c r="B125" s="76" t="s">
        <v>200</v>
      </c>
      <c r="C125"/>
      <c r="D125"/>
      <c r="E125"/>
      <c r="F125" s="73">
        <f t="shared" si="6"/>
        <v>28080</v>
      </c>
      <c r="G125" s="51"/>
    </row>
    <row r="126" spans="1:11">
      <c r="B126" s="75" t="s">
        <v>201</v>
      </c>
      <c r="C126"/>
      <c r="D126"/>
      <c r="E126"/>
      <c r="F126" s="73">
        <f t="shared" si="6"/>
        <v>28080</v>
      </c>
      <c r="G126" s="51"/>
    </row>
    <row r="127" spans="1:11">
      <c r="B127" s="72" t="s">
        <v>202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203</v>
      </c>
      <c r="C130"/>
      <c r="D130"/>
      <c r="E130" s="3">
        <v>83000</v>
      </c>
      <c r="F130" s="73">
        <v>83000</v>
      </c>
    </row>
    <row r="131" spans="1:7">
      <c r="B131" s="75" t="s">
        <v>198</v>
      </c>
      <c r="C131"/>
      <c r="D131"/>
      <c r="F131" s="73">
        <f t="shared" ref="F131:F137" si="7">F130-E131</f>
        <v>83000</v>
      </c>
      <c r="G131"/>
    </row>
    <row r="132" spans="1:7">
      <c r="B132" s="75" t="s">
        <v>199</v>
      </c>
      <c r="C132"/>
      <c r="D132"/>
      <c r="F132" s="73">
        <f t="shared" si="7"/>
        <v>83000</v>
      </c>
      <c r="G132" s="51"/>
    </row>
    <row r="133" spans="1:7">
      <c r="B133" s="79" t="s">
        <v>204</v>
      </c>
      <c r="C133"/>
      <c r="D133"/>
      <c r="F133" s="73">
        <f t="shared" si="7"/>
        <v>83000</v>
      </c>
      <c r="G133" s="51"/>
    </row>
    <row r="134" spans="1:7">
      <c r="B134" s="78" t="s">
        <v>201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205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206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207</v>
      </c>
      <c r="F139" s="51"/>
      <c r="G139" s="51"/>
    </row>
    <row r="140" spans="1:7">
      <c r="B140" t="s">
        <v>208</v>
      </c>
      <c r="C140"/>
      <c r="D140"/>
      <c r="E140" s="3">
        <v>1252.54</v>
      </c>
      <c r="G140" s="51"/>
    </row>
    <row r="141" spans="1:7">
      <c r="B141" t="s">
        <v>209</v>
      </c>
      <c r="C141"/>
      <c r="D141"/>
      <c r="E141" s="3">
        <v>375</v>
      </c>
      <c r="G141" s="51"/>
    </row>
    <row r="142" spans="1:7">
      <c r="B142" t="s">
        <v>210</v>
      </c>
      <c r="C142"/>
      <c r="D142"/>
      <c r="E142" s="3">
        <v>1500</v>
      </c>
      <c r="G142" s="51"/>
    </row>
    <row r="143" spans="1:7">
      <c r="A143" s="168">
        <v>45015</v>
      </c>
      <c r="B143" t="s">
        <v>211</v>
      </c>
      <c r="C143"/>
      <c r="D143"/>
      <c r="E143" s="3">
        <v>1447</v>
      </c>
      <c r="G143" s="51"/>
    </row>
    <row r="144" spans="1:7">
      <c r="B144" t="s">
        <v>212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1">
        <v>28000</v>
      </c>
    </row>
    <row r="150" spans="1:7">
      <c r="A150" s="167"/>
      <c r="B150" t="s">
        <v>217</v>
      </c>
      <c r="C150"/>
      <c r="D150"/>
      <c r="F150" s="51">
        <v>4000</v>
      </c>
      <c r="G150"/>
    </row>
    <row r="151" spans="1:7">
      <c r="A151" s="167"/>
      <c r="B151" t="s">
        <v>218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J90"/>
  <sheetViews>
    <sheetView topLeftCell="A40" zoomScale="175" zoomScaleNormal="175" workbookViewId="0">
      <selection activeCell="C47" sqref="C47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354</v>
      </c>
    </row>
    <row r="6" spans="2:10">
      <c r="C6" t="s">
        <v>285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286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283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284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355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356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357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359</v>
      </c>
      <c r="J14" s="3"/>
    </row>
    <row r="15" spans="2:10">
      <c r="B15" t="s">
        <v>358</v>
      </c>
      <c r="E15" s="186" t="s">
        <v>416</v>
      </c>
      <c r="J15" s="3"/>
    </row>
    <row r="16" spans="2:10">
      <c r="D16" s="186" t="s">
        <v>415</v>
      </c>
      <c r="E16" s="186" t="s">
        <v>458</v>
      </c>
      <c r="F16" s="85" t="s">
        <v>459</v>
      </c>
      <c r="G16" s="186" t="s">
        <v>214</v>
      </c>
      <c r="H16" s="186" t="s">
        <v>417</v>
      </c>
      <c r="J16" s="3"/>
    </row>
    <row r="17" spans="2:8">
      <c r="B17" s="54">
        <v>44957</v>
      </c>
      <c r="C17" s="141" t="s">
        <v>274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275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276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278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277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279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280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281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282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263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264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265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418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275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276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349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208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413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414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360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361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279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280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281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362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263</v>
      </c>
      <c r="D42" s="143">
        <v>5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264</v>
      </c>
      <c r="D43" s="143">
        <v>5</v>
      </c>
      <c r="E43" s="60">
        <f t="shared" si="5"/>
        <v>19972.977418573162</v>
      </c>
      <c r="F43" s="187">
        <f>E43</f>
        <v>19972.977418573162</v>
      </c>
      <c r="H43" s="3">
        <f t="shared" si="3"/>
        <v>101389.92718176162</v>
      </c>
    </row>
    <row r="44" spans="2:8">
      <c r="C44" s="143" t="s">
        <v>460</v>
      </c>
      <c r="D44" s="143"/>
      <c r="E44" s="60"/>
      <c r="F44" s="187">
        <v>5000</v>
      </c>
      <c r="H44" s="3">
        <f t="shared" si="3"/>
        <v>106389.92718176162</v>
      </c>
    </row>
    <row r="45" spans="2:8">
      <c r="C45" s="143" t="s">
        <v>457</v>
      </c>
      <c r="D45" s="143"/>
      <c r="E45" s="60"/>
      <c r="F45" s="187"/>
      <c r="G45">
        <v>185000</v>
      </c>
      <c r="H45" s="3">
        <f t="shared" si="3"/>
        <v>-78610.072818238375</v>
      </c>
    </row>
    <row r="46" spans="2:8">
      <c r="C46" s="143" t="s">
        <v>265</v>
      </c>
      <c r="E46" s="60">
        <f>E43+(E43*D43/100)</f>
        <v>20971.626289501819</v>
      </c>
      <c r="F46" s="187">
        <f>E46</f>
        <v>20971.626289501819</v>
      </c>
      <c r="H46" s="3">
        <f t="shared" si="3"/>
        <v>-57638.44652873656</v>
      </c>
    </row>
    <row r="47" spans="2:8">
      <c r="B47">
        <v>2025</v>
      </c>
      <c r="C47" s="142" t="s">
        <v>419</v>
      </c>
      <c r="E47" s="60">
        <v>25000</v>
      </c>
      <c r="F47" s="187">
        <f>E47</f>
        <v>25000</v>
      </c>
      <c r="H47" s="3">
        <f t="shared" si="3"/>
        <v>-32638.44652873656</v>
      </c>
    </row>
    <row r="48" spans="2:8">
      <c r="C48" s="142"/>
      <c r="E48" s="60"/>
      <c r="F48" s="60"/>
      <c r="H48" s="3">
        <f t="shared" si="3"/>
        <v>-32638.44652873656</v>
      </c>
    </row>
    <row r="49" spans="2:8">
      <c r="C49" s="142" t="s">
        <v>275</v>
      </c>
      <c r="E49" s="60">
        <v>26000</v>
      </c>
      <c r="F49" s="187">
        <f>E49</f>
        <v>26000</v>
      </c>
      <c r="H49" s="3">
        <f t="shared" si="3"/>
        <v>-6638.4465287365601</v>
      </c>
    </row>
    <row r="50" spans="2:8">
      <c r="C50" s="142" t="s">
        <v>276</v>
      </c>
      <c r="E50" s="60">
        <v>27000</v>
      </c>
      <c r="F50" s="187">
        <f>E50</f>
        <v>27000</v>
      </c>
      <c r="H50" s="3">
        <f t="shared" si="3"/>
        <v>20361.55347126344</v>
      </c>
    </row>
    <row r="51" spans="2:8">
      <c r="C51" s="143"/>
      <c r="E51" s="60"/>
      <c r="F51" s="60"/>
      <c r="H51" s="29"/>
    </row>
    <row r="52" spans="2:8">
      <c r="C52" s="143"/>
      <c r="E52" s="60"/>
      <c r="F52" s="60"/>
      <c r="H52" s="29"/>
    </row>
    <row r="53" spans="2:8">
      <c r="C53" s="143"/>
      <c r="E53" s="60"/>
      <c r="F53" s="60"/>
      <c r="H53" s="29"/>
    </row>
    <row r="58" spans="2:8">
      <c r="B58" s="92">
        <v>45421</v>
      </c>
      <c r="C58" t="s">
        <v>402</v>
      </c>
    </row>
    <row r="59" spans="2:8">
      <c r="B59" s="92"/>
      <c r="C59" t="s">
        <v>403</v>
      </c>
    </row>
    <row r="60" spans="2:8">
      <c r="B60" s="92"/>
      <c r="C60" t="s">
        <v>404</v>
      </c>
    </row>
    <row r="61" spans="2:8">
      <c r="B61" s="92"/>
      <c r="C61" t="s">
        <v>405</v>
      </c>
    </row>
    <row r="62" spans="2:8">
      <c r="B62" s="92"/>
    </row>
    <row r="63" spans="2:8">
      <c r="B63" s="92"/>
    </row>
    <row r="65" spans="2:8">
      <c r="B65" s="54">
        <v>44957</v>
      </c>
      <c r="C65" s="141" t="s">
        <v>274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275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276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278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277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279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280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281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282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263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264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265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274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275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276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349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360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208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361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279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280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281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362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263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264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265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45"/>
      <c r="E1" s="3"/>
      <c r="F1" s="83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334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270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88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92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253</v>
      </c>
      <c r="B40" s="40" t="s">
        <v>168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2" t="s">
        <v>222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237</v>
      </c>
      <c r="C64" s="3">
        <v>400</v>
      </c>
      <c r="E64" s="3">
        <f t="shared" si="2"/>
        <v>4400</v>
      </c>
    </row>
    <row r="65" spans="1:5">
      <c r="A65" s="54"/>
      <c r="B65" t="s">
        <v>238</v>
      </c>
      <c r="C65" s="3"/>
      <c r="D65" s="3"/>
      <c r="E65" s="3">
        <f t="shared" si="2"/>
        <v>4400</v>
      </c>
    </row>
    <row r="66" spans="1:5">
      <c r="A66" s="54"/>
      <c r="B66" t="s">
        <v>239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235" zoomScaleNormal="235" workbookViewId="0">
      <selection activeCell="F20" sqref="F20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272</v>
      </c>
      <c r="D2" s="3" t="s">
        <v>243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303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314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304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305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306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244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245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307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308</v>
      </c>
      <c r="C14"/>
      <c r="D14"/>
      <c r="G14" s="3">
        <f t="shared" si="0"/>
        <v>-2442.6</v>
      </c>
    </row>
    <row r="15" spans="1:7">
      <c r="A15" s="54">
        <v>45534</v>
      </c>
      <c r="B15" t="s">
        <v>309</v>
      </c>
      <c r="C15"/>
      <c r="D15"/>
      <c r="G15" s="3">
        <f t="shared" si="0"/>
        <v>-2442.6</v>
      </c>
    </row>
    <row r="16" spans="1:7">
      <c r="A16" s="54">
        <v>45565</v>
      </c>
      <c r="B16" t="s">
        <v>310</v>
      </c>
      <c r="C16"/>
      <c r="D16"/>
      <c r="G16" s="3">
        <f t="shared" si="0"/>
        <v>-2442.6</v>
      </c>
    </row>
    <row r="17" spans="1:7">
      <c r="A17" s="54">
        <v>45595</v>
      </c>
      <c r="B17" t="s">
        <v>311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246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247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312</v>
      </c>
      <c r="C20"/>
      <c r="D20"/>
      <c r="G20" s="3">
        <f t="shared" si="0"/>
        <v>-3999.1</v>
      </c>
    </row>
    <row r="21" spans="1:7">
      <c r="A21" s="54">
        <v>45656</v>
      </c>
      <c r="B21" t="s">
        <v>313</v>
      </c>
      <c r="C21"/>
      <c r="G21" s="3">
        <f t="shared" si="0"/>
        <v>-3999.1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53"/>
  <sheetViews>
    <sheetView topLeftCell="A23" zoomScale="220" zoomScaleNormal="220" workbookViewId="0">
      <selection activeCell="D6" sqref="D6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464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242">
        <v>138749.71</v>
      </c>
      <c r="E5" s="102"/>
      <c r="F5" s="102"/>
      <c r="G5" s="120" t="s">
        <v>467</v>
      </c>
      <c r="H5" s="121">
        <f>D5</f>
        <v>138749.71</v>
      </c>
    </row>
    <row r="6" spans="1:8" ht="14.25">
      <c r="D6" s="95"/>
      <c r="G6" s="2" t="s">
        <v>463</v>
      </c>
      <c r="H6" s="122">
        <f>H25*-1</f>
        <v>68261.360000000015</v>
      </c>
    </row>
    <row r="7" spans="1:8" ht="14.25">
      <c r="D7" s="95"/>
      <c r="H7" s="122">
        <f>H6+H5</f>
        <v>207011.07</v>
      </c>
    </row>
    <row r="8" spans="1:8">
      <c r="A8" s="123">
        <v>45661</v>
      </c>
      <c r="C8" s="94">
        <v>15000</v>
      </c>
      <c r="D8" s="90">
        <f>H7-C8</f>
        <v>192011.07</v>
      </c>
      <c r="E8" s="124"/>
      <c r="F8" s="125"/>
      <c r="G8" s="125"/>
      <c r="H8" s="126">
        <f t="shared" ref="H8:H19" si="0">H7-E8</f>
        <v>207011.07</v>
      </c>
    </row>
    <row r="9" spans="1:8">
      <c r="A9" s="123">
        <v>45689</v>
      </c>
      <c r="C9" s="94">
        <f>C8</f>
        <v>15000</v>
      </c>
      <c r="D9" s="90">
        <f t="shared" ref="D9:D19" si="1">D8-C9</f>
        <v>177011.07</v>
      </c>
      <c r="E9" s="124"/>
      <c r="F9" s="125"/>
      <c r="G9" s="125"/>
      <c r="H9" s="90">
        <f t="shared" si="0"/>
        <v>207011.07</v>
      </c>
    </row>
    <row r="10" spans="1:8">
      <c r="A10" s="123">
        <v>45717</v>
      </c>
      <c r="C10" s="94">
        <f t="shared" ref="C10:C19" si="2">C9</f>
        <v>15000</v>
      </c>
      <c r="D10" s="90">
        <f t="shared" si="1"/>
        <v>162011.07</v>
      </c>
      <c r="E10" s="124"/>
      <c r="F10" s="125"/>
      <c r="G10" s="125"/>
      <c r="H10" s="90">
        <f t="shared" si="0"/>
        <v>207011.07</v>
      </c>
    </row>
    <row r="11" spans="1:8">
      <c r="A11" s="123">
        <v>45748</v>
      </c>
      <c r="C11" s="94">
        <f t="shared" si="2"/>
        <v>15000</v>
      </c>
      <c r="D11" s="90">
        <f t="shared" si="1"/>
        <v>147011.07</v>
      </c>
      <c r="E11" s="124"/>
      <c r="F11" s="125"/>
      <c r="G11" s="125"/>
      <c r="H11" s="90">
        <f t="shared" si="0"/>
        <v>207011.07</v>
      </c>
    </row>
    <row r="12" spans="1:8">
      <c r="A12" s="123">
        <v>45778</v>
      </c>
      <c r="C12" s="94">
        <f t="shared" si="2"/>
        <v>15000</v>
      </c>
      <c r="D12" s="90">
        <f t="shared" si="1"/>
        <v>132011.07</v>
      </c>
      <c r="E12" s="124"/>
      <c r="F12" s="125"/>
      <c r="G12" s="125"/>
      <c r="H12" s="90">
        <f t="shared" si="0"/>
        <v>207011.07</v>
      </c>
    </row>
    <row r="13" spans="1:8">
      <c r="A13" s="123">
        <v>45809</v>
      </c>
      <c r="C13" s="94">
        <f t="shared" si="2"/>
        <v>15000</v>
      </c>
      <c r="D13" s="90">
        <f t="shared" si="1"/>
        <v>117011.07</v>
      </c>
      <c r="E13" s="124"/>
      <c r="G13" s="125"/>
      <c r="H13" s="90">
        <f t="shared" si="0"/>
        <v>207011.07</v>
      </c>
    </row>
    <row r="14" spans="1:8">
      <c r="A14" s="123">
        <v>45839</v>
      </c>
      <c r="C14" s="94">
        <f t="shared" si="2"/>
        <v>15000</v>
      </c>
      <c r="D14" s="90">
        <f t="shared" si="1"/>
        <v>102011.07</v>
      </c>
      <c r="E14" s="124"/>
      <c r="G14" s="125"/>
      <c r="H14" s="90">
        <f t="shared" si="0"/>
        <v>207011.07</v>
      </c>
    </row>
    <row r="15" spans="1:8">
      <c r="A15" s="123">
        <v>45870</v>
      </c>
      <c r="C15" s="94">
        <f t="shared" si="2"/>
        <v>15000</v>
      </c>
      <c r="D15" s="90">
        <f t="shared" si="1"/>
        <v>87011.07</v>
      </c>
      <c r="H15" s="90">
        <f t="shared" si="0"/>
        <v>207011.07</v>
      </c>
    </row>
    <row r="16" spans="1:8">
      <c r="A16" s="123">
        <v>45901</v>
      </c>
      <c r="C16" s="94">
        <f t="shared" si="2"/>
        <v>15000</v>
      </c>
      <c r="D16" s="90">
        <f t="shared" si="1"/>
        <v>72011.070000000007</v>
      </c>
      <c r="H16" s="90">
        <f t="shared" si="0"/>
        <v>207011.07</v>
      </c>
    </row>
    <row r="17" spans="1:10">
      <c r="A17" s="123">
        <v>45931</v>
      </c>
      <c r="C17" s="94">
        <f t="shared" si="2"/>
        <v>15000</v>
      </c>
      <c r="D17" s="90">
        <f t="shared" si="1"/>
        <v>57011.070000000007</v>
      </c>
      <c r="H17" s="90">
        <f t="shared" si="0"/>
        <v>207011.07</v>
      </c>
    </row>
    <row r="18" spans="1:10">
      <c r="A18" s="123">
        <v>45988</v>
      </c>
      <c r="B18" t="s">
        <v>254</v>
      </c>
      <c r="C18" s="94">
        <f t="shared" si="2"/>
        <v>15000</v>
      </c>
      <c r="D18" s="90">
        <f t="shared" si="1"/>
        <v>42011.070000000007</v>
      </c>
      <c r="E18" s="124"/>
      <c r="H18" s="90">
        <f t="shared" si="0"/>
        <v>207011.07</v>
      </c>
    </row>
    <row r="19" spans="1:10">
      <c r="A19" s="123">
        <v>45992</v>
      </c>
      <c r="B19" t="s">
        <v>256</v>
      </c>
      <c r="C19" s="94">
        <f t="shared" si="2"/>
        <v>15000</v>
      </c>
      <c r="D19" s="90">
        <f t="shared" si="1"/>
        <v>27011.070000000007</v>
      </c>
      <c r="E19" s="124"/>
      <c r="H19" s="90">
        <f t="shared" si="0"/>
        <v>207011.07</v>
      </c>
    </row>
    <row r="20" spans="1:10">
      <c r="A20" s="123"/>
      <c r="C20" s="94"/>
      <c r="D20" s="90"/>
      <c r="E20" s="124"/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287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288</v>
      </c>
      <c r="D24" s="128" t="s">
        <v>289</v>
      </c>
      <c r="E24" s="127" t="s">
        <v>290</v>
      </c>
      <c r="F24" s="129" t="s">
        <v>291</v>
      </c>
      <c r="G24" s="127" t="s">
        <v>292</v>
      </c>
      <c r="H24" s="130" t="s">
        <v>248</v>
      </c>
    </row>
    <row r="25" spans="1:10">
      <c r="A25" s="116"/>
      <c r="B25" s="117" t="s">
        <v>295</v>
      </c>
      <c r="C25" s="118">
        <f>SUBTOTAL(109,C26:C40)</f>
        <v>290000</v>
      </c>
      <c r="D25" s="118">
        <f>SUBTOTAL(109,D26:D40)</f>
        <v>290000</v>
      </c>
      <c r="E25" s="118">
        <f>SUM(E26:E40)</f>
        <v>0</v>
      </c>
      <c r="F25" s="117"/>
      <c r="G25" s="118">
        <f>SUBTOTAL(109,$G$26:$G$40)</f>
        <v>-68261.360000000015</v>
      </c>
      <c r="H25" s="118">
        <f>H26</f>
        <v>-68261.360000000015</v>
      </c>
      <c r="J25" s="98"/>
    </row>
    <row r="26" spans="1:10">
      <c r="A26" s="99">
        <v>46021</v>
      </c>
      <c r="B26" t="s">
        <v>293</v>
      </c>
      <c r="D26" s="100">
        <f t="shared" ref="D26:D40" si="3">IF(F26=1,$C26,0)</f>
        <v>0</v>
      </c>
      <c r="E26" s="101">
        <f t="shared" ref="E26:E40" si="4">IF(F26=0,C26*$E$23*-1,0)</f>
        <v>0</v>
      </c>
      <c r="F26" s="97">
        <v>0</v>
      </c>
      <c r="G26" s="100">
        <f t="shared" ref="G26:G40" si="5">IF(F26=1,C26*$E$23*-1,0)</f>
        <v>0</v>
      </c>
      <c r="H26" s="95">
        <f t="shared" ref="H26:H39" si="6">H27+G26</f>
        <v>-68261.360000000015</v>
      </c>
      <c r="J26" s="98"/>
    </row>
    <row r="27" spans="1:10">
      <c r="A27" s="227"/>
      <c r="B27" s="228"/>
      <c r="C27" s="233"/>
      <c r="D27" s="100">
        <f t="shared" si="3"/>
        <v>0</v>
      </c>
      <c r="E27" s="101">
        <f t="shared" si="4"/>
        <v>0</v>
      </c>
      <c r="F27" s="97">
        <v>0</v>
      </c>
      <c r="G27" s="100">
        <f t="shared" si="5"/>
        <v>0</v>
      </c>
      <c r="H27" s="95">
        <f t="shared" si="6"/>
        <v>-68261.360000000015</v>
      </c>
    </row>
    <row r="28" spans="1:10">
      <c r="A28" s="229"/>
      <c r="B28" s="230"/>
      <c r="C28" s="234"/>
      <c r="D28" s="100">
        <f t="shared" si="3"/>
        <v>0</v>
      </c>
      <c r="E28" s="101">
        <f t="shared" si="4"/>
        <v>0</v>
      </c>
      <c r="F28" s="97">
        <v>0</v>
      </c>
      <c r="G28" s="100">
        <f t="shared" si="5"/>
        <v>0</v>
      </c>
      <c r="H28" s="95">
        <f t="shared" si="6"/>
        <v>-68261.360000000015</v>
      </c>
    </row>
    <row r="29" spans="1:10">
      <c r="A29" s="229"/>
      <c r="B29" s="230"/>
      <c r="C29" s="234"/>
      <c r="D29" s="100">
        <f t="shared" si="3"/>
        <v>0</v>
      </c>
      <c r="E29" s="101">
        <f t="shared" si="4"/>
        <v>0</v>
      </c>
      <c r="F29" s="97">
        <v>0</v>
      </c>
      <c r="G29" s="100">
        <f t="shared" si="5"/>
        <v>0</v>
      </c>
      <c r="H29" s="95">
        <f t="shared" si="6"/>
        <v>-68261.360000000015</v>
      </c>
    </row>
    <row r="30" spans="1:10">
      <c r="A30" s="227"/>
      <c r="B30" s="231"/>
      <c r="C30" s="233"/>
      <c r="D30" s="100">
        <f t="shared" si="3"/>
        <v>0</v>
      </c>
      <c r="E30" s="101">
        <f t="shared" si="4"/>
        <v>0</v>
      </c>
      <c r="F30" s="97">
        <v>0</v>
      </c>
      <c r="G30" s="100">
        <f t="shared" si="5"/>
        <v>0</v>
      </c>
      <c r="H30" s="95">
        <f t="shared" si="6"/>
        <v>-68261.360000000015</v>
      </c>
    </row>
    <row r="31" spans="1:10">
      <c r="A31" s="227"/>
      <c r="B31" s="232"/>
      <c r="C31" s="235"/>
      <c r="D31" s="100">
        <f t="shared" si="3"/>
        <v>0</v>
      </c>
      <c r="E31" s="101">
        <f t="shared" si="4"/>
        <v>0</v>
      </c>
      <c r="F31" s="97">
        <v>0</v>
      </c>
      <c r="G31" s="100">
        <f t="shared" si="5"/>
        <v>0</v>
      </c>
      <c r="H31" s="95">
        <f t="shared" si="6"/>
        <v>-68261.360000000015</v>
      </c>
    </row>
    <row r="32" spans="1:10">
      <c r="A32" s="227"/>
      <c r="B32" s="228"/>
      <c r="C32" s="233"/>
      <c r="D32" s="100">
        <f t="shared" si="3"/>
        <v>0</v>
      </c>
      <c r="E32" s="101">
        <f t="shared" si="4"/>
        <v>0</v>
      </c>
      <c r="F32" s="97">
        <v>0</v>
      </c>
      <c r="G32" s="100">
        <f t="shared" si="5"/>
        <v>0</v>
      </c>
      <c r="H32" s="95">
        <f t="shared" si="6"/>
        <v>-68261.360000000015</v>
      </c>
    </row>
    <row r="33" spans="1:10">
      <c r="A33" s="227"/>
      <c r="B33" s="228"/>
      <c r="C33" s="233"/>
      <c r="D33" s="100">
        <f t="shared" si="3"/>
        <v>0</v>
      </c>
      <c r="E33" s="101">
        <f t="shared" si="4"/>
        <v>0</v>
      </c>
      <c r="F33" s="97">
        <v>0</v>
      </c>
      <c r="G33" s="100">
        <f t="shared" si="5"/>
        <v>0</v>
      </c>
      <c r="H33" s="95">
        <f t="shared" si="6"/>
        <v>-68261.360000000015</v>
      </c>
    </row>
    <row r="34" spans="1:10">
      <c r="A34" s="227"/>
      <c r="B34" s="228"/>
      <c r="C34" s="233"/>
      <c r="D34" s="100">
        <f t="shared" si="3"/>
        <v>0</v>
      </c>
      <c r="E34" s="101">
        <f t="shared" si="4"/>
        <v>0</v>
      </c>
      <c r="F34" s="97">
        <v>0</v>
      </c>
      <c r="G34" s="100">
        <f t="shared" si="5"/>
        <v>0</v>
      </c>
      <c r="H34" s="95">
        <f t="shared" si="6"/>
        <v>-68261.360000000015</v>
      </c>
    </row>
    <row r="35" spans="1:10">
      <c r="A35" s="229"/>
      <c r="B35" s="231"/>
      <c r="C35" s="234"/>
      <c r="D35" s="100">
        <f t="shared" si="3"/>
        <v>0</v>
      </c>
      <c r="E35" s="101">
        <f t="shared" si="4"/>
        <v>0</v>
      </c>
      <c r="F35" s="97">
        <v>0</v>
      </c>
      <c r="G35" s="100">
        <f t="shared" si="5"/>
        <v>0</v>
      </c>
      <c r="H35" s="95">
        <f t="shared" si="6"/>
        <v>-68261.360000000015</v>
      </c>
    </row>
    <row r="36" spans="1:10">
      <c r="A36" s="225"/>
      <c r="B36" s="226"/>
      <c r="C36" s="236"/>
      <c r="D36" s="100">
        <f t="shared" si="3"/>
        <v>0</v>
      </c>
      <c r="E36" s="101">
        <f t="shared" si="4"/>
        <v>0</v>
      </c>
      <c r="F36" s="97">
        <v>0</v>
      </c>
      <c r="G36" s="100">
        <f t="shared" si="5"/>
        <v>0</v>
      </c>
      <c r="H36" s="95">
        <f t="shared" si="6"/>
        <v>-68261.360000000015</v>
      </c>
    </row>
    <row r="37" spans="1:10">
      <c r="A37" s="229"/>
      <c r="B37" s="231"/>
      <c r="C37" s="237"/>
      <c r="D37" s="100">
        <f t="shared" si="3"/>
        <v>0</v>
      </c>
      <c r="E37" s="101">
        <f t="shared" si="4"/>
        <v>0</v>
      </c>
      <c r="F37" s="97">
        <v>0</v>
      </c>
      <c r="G37" s="100">
        <f t="shared" si="5"/>
        <v>0</v>
      </c>
      <c r="H37" s="95">
        <f t="shared" si="6"/>
        <v>-68261.360000000015</v>
      </c>
    </row>
    <row r="38" spans="1:10">
      <c r="A38" s="229"/>
      <c r="B38" s="230"/>
      <c r="C38" s="234"/>
      <c r="D38" s="100">
        <f t="shared" si="3"/>
        <v>0</v>
      </c>
      <c r="E38" s="101">
        <f t="shared" si="4"/>
        <v>0</v>
      </c>
      <c r="F38" s="97">
        <v>0</v>
      </c>
      <c r="G38" s="100">
        <f t="shared" si="5"/>
        <v>0</v>
      </c>
      <c r="H38" s="95">
        <f t="shared" si="6"/>
        <v>-68261.360000000015</v>
      </c>
    </row>
    <row r="39" spans="1:10">
      <c r="A39" s="227"/>
      <c r="B39" s="230"/>
      <c r="C39" s="233"/>
      <c r="D39" s="100">
        <f t="shared" si="3"/>
        <v>0</v>
      </c>
      <c r="E39" s="101">
        <f t="shared" si="4"/>
        <v>0</v>
      </c>
      <c r="F39" s="97">
        <v>0</v>
      </c>
      <c r="G39" s="100">
        <f t="shared" si="5"/>
        <v>0</v>
      </c>
      <c r="H39" s="95">
        <f t="shared" si="6"/>
        <v>-68261.360000000015</v>
      </c>
    </row>
    <row r="40" spans="1:10">
      <c r="A40" s="174">
        <v>45660</v>
      </c>
      <c r="B40" s="175" t="s">
        <v>465</v>
      </c>
      <c r="C40" s="176">
        <v>290000</v>
      </c>
      <c r="D40" s="100">
        <f t="shared" si="3"/>
        <v>290000</v>
      </c>
      <c r="E40" s="101">
        <f t="shared" si="4"/>
        <v>0</v>
      </c>
      <c r="F40" s="105">
        <v>1</v>
      </c>
      <c r="G40" s="100">
        <f t="shared" si="5"/>
        <v>-68261.360000000015</v>
      </c>
      <c r="H40" s="95">
        <f>G40</f>
        <v>-68261.360000000015</v>
      </c>
    </row>
    <row r="42" spans="1:10">
      <c r="C42" s="95"/>
      <c r="D42" s="95"/>
      <c r="E42" s="95"/>
      <c r="G42" s="95"/>
      <c r="H42" s="95"/>
    </row>
    <row r="43" spans="1:10">
      <c r="C43" s="100" t="s">
        <v>252</v>
      </c>
      <c r="D43" s="95" t="s">
        <v>296</v>
      </c>
      <c r="E43" s="95" t="s">
        <v>297</v>
      </c>
      <c r="G43" s="106"/>
      <c r="H43" s="106"/>
      <c r="I43" s="107"/>
    </row>
    <row r="44" spans="1:10" ht="15.75">
      <c r="B44" t="s">
        <v>250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298</v>
      </c>
      <c r="C45" s="109">
        <f>$D$25*C44</f>
        <v>290000</v>
      </c>
      <c r="D45" s="110">
        <f>$D$25*D44</f>
        <v>221738.63999999998</v>
      </c>
      <c r="E45" s="110">
        <f>$D$25*E44</f>
        <v>68261.360000000015</v>
      </c>
      <c r="H45" s="95"/>
    </row>
    <row r="46" spans="1:10">
      <c r="B46" t="s">
        <v>251</v>
      </c>
      <c r="C46" s="100">
        <f>D46+E46</f>
        <v>290000</v>
      </c>
      <c r="D46" s="95">
        <f>C45-E46</f>
        <v>221738.63999999998</v>
      </c>
      <c r="E46" s="95">
        <f>$H$25*-1</f>
        <v>68261.360000000015</v>
      </c>
      <c r="G46" s="111"/>
      <c r="H46" s="95"/>
      <c r="J46" s="95"/>
    </row>
    <row r="47" spans="1:10">
      <c r="B47" t="s">
        <v>299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300</v>
      </c>
      <c r="D50" s="5" t="s">
        <v>301</v>
      </c>
      <c r="E50" s="5" t="s">
        <v>302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249</v>
      </c>
      <c r="C52" s="95">
        <f>D46</f>
        <v>221738.63999999998</v>
      </c>
      <c r="D52" s="46">
        <v>2.5000000000000001E-2</v>
      </c>
      <c r="E52" s="95">
        <f>C52*D52</f>
        <v>5543.4660000000003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topLeftCell="A15" zoomScale="220" zoomScaleNormal="220" workbookViewId="0">
      <selection activeCell="C27" sqref="C27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338</v>
      </c>
      <c r="H5" s="121">
        <f>D5</f>
        <v>121030.76</v>
      </c>
    </row>
    <row r="6" spans="1:8" ht="14.25">
      <c r="D6" s="95"/>
      <c r="G6" s="2" t="s">
        <v>339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340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340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340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340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340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340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340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456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456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456</v>
      </c>
      <c r="H17" s="90">
        <f t="shared" si="0"/>
        <v>238749.71184560005</v>
      </c>
    </row>
    <row r="18" spans="1:10" ht="13.5" thickBot="1">
      <c r="A18" s="123">
        <v>45623</v>
      </c>
      <c r="B18" t="s">
        <v>254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256</v>
      </c>
      <c r="C19" s="94">
        <v>11030.76</v>
      </c>
      <c r="D19" s="90">
        <f t="shared" si="1"/>
        <v>187718.95184560004</v>
      </c>
      <c r="E19" s="124">
        <v>60000</v>
      </c>
      <c r="G19" s="250" t="s">
        <v>468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466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287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288</v>
      </c>
      <c r="D24" s="128" t="s">
        <v>289</v>
      </c>
      <c r="E24" s="127" t="s">
        <v>290</v>
      </c>
      <c r="F24" s="129" t="s">
        <v>291</v>
      </c>
      <c r="G24" s="127" t="s">
        <v>292</v>
      </c>
      <c r="H24" s="130" t="s">
        <v>248</v>
      </c>
    </row>
    <row r="25" spans="1:10">
      <c r="A25" s="116"/>
      <c r="B25" s="117" t="s">
        <v>295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293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6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462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</row>
    <row r="30" spans="1:10">
      <c r="A30" s="131">
        <v>45607</v>
      </c>
      <c r="B30" s="177" t="s">
        <v>461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353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408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407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406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352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294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409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341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341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254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252</v>
      </c>
      <c r="D43" s="95" t="s">
        <v>296</v>
      </c>
      <c r="E43" s="95" t="s">
        <v>297</v>
      </c>
      <c r="G43" s="106"/>
      <c r="H43" s="106"/>
      <c r="I43" s="107"/>
    </row>
    <row r="44" spans="1:10" ht="15.75">
      <c r="B44" t="s">
        <v>250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298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251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299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300</v>
      </c>
      <c r="D50" s="5" t="s">
        <v>301</v>
      </c>
      <c r="E50" s="5" t="s">
        <v>302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249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13</vt:i4>
      </vt:variant>
    </vt:vector>
  </HeadingPairs>
  <TitlesOfParts>
    <vt:vector size="13" baseType="lpstr">
      <vt:lpstr>TPLM</vt:lpstr>
      <vt:lpstr>SnyA105-22</vt:lpstr>
      <vt:lpstr>SnyB202-22</vt:lpstr>
      <vt:lpstr>SnyC301-22</vt:lpstr>
      <vt:lpstr>SnyCD-HSP</vt:lpstr>
      <vt:lpstr>SnyE503-24</vt:lpstr>
      <vt:lpstr>SnyE502-22</vt:lpstr>
      <vt:lpstr>SnyF601-22</vt:lpstr>
      <vt:lpstr>snyF-HSP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2025-01-19T21:39:07Z</dcterms:modified>
</cp:coreProperties>
</file>