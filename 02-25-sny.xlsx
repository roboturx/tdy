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2C643330-70A0-47A4-BE96-FE032519A8FF}" xr6:coauthVersionLast="47" xr6:coauthVersionMax="47" xr10:uidLastSave="{00000000-0000-0000-0000-000000000000}"/>
  <bookViews>
    <workbookView xWindow="-120" yWindow="-120" windowWidth="29040" windowHeight="15720" tabRatio="912" activeTab="1" xr2:uid="{00000000-000D-0000-FFFF-FFFF00000000}"/>
  </bookViews>
  <sheets>
    <sheet name="TPLM" sheetId="1" r:id="rId1"/>
    <sheet name="SnyA105-22" sheetId="2" r:id="rId2"/>
    <sheet name="SnyB202-22" sheetId="3" r:id="rId3"/>
    <sheet name="SnyC301-22" sheetId="4" r:id="rId4"/>
    <sheet name="SnyCD-HSP" sheetId="18" r:id="rId5"/>
    <sheet name="SnyE503-24" sheetId="17" r:id="rId6"/>
    <sheet name="SnyE502-22" sheetId="5" r:id="rId7"/>
    <sheet name="SnyF601-22" sheetId="6" r:id="rId8"/>
    <sheet name="snyF-HSP" sheetId="15" r:id="rId9"/>
    <sheet name="SnyG702-22" sheetId="7" r:id="rId10"/>
    <sheet name="SnH_yazıhane" sheetId="8" r:id="rId11"/>
    <sheet name="NAZAN_25" sheetId="19" r:id="rId12"/>
    <sheet name="NAZAN_24" sheetId="16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8" l="1"/>
  <c r="H18" i="18" s="1"/>
  <c r="E47" i="15"/>
  <c r="F47" i="15"/>
  <c r="G3" i="18"/>
  <c r="K26" i="18"/>
  <c r="K27" i="18" s="1"/>
  <c r="K21" i="18"/>
  <c r="K22" i="18" s="1"/>
  <c r="K23" i="18" s="1"/>
  <c r="F45" i="18"/>
  <c r="F42" i="18" s="1"/>
  <c r="F40" i="18" s="1"/>
  <c r="F38" i="18" s="1"/>
  <c r="F36" i="18" s="1"/>
  <c r="D26" i="16"/>
  <c r="G10" i="8"/>
  <c r="G11" i="8" s="1"/>
  <c r="G12" i="8" s="1"/>
  <c r="G13" i="8" s="1"/>
  <c r="C9" i="19" l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E20" i="16"/>
  <c r="D44" i="19"/>
  <c r="E44" i="19" s="1"/>
  <c r="D40" i="19"/>
  <c r="D39" i="19"/>
  <c r="D38" i="19"/>
  <c r="D37" i="19"/>
  <c r="G36" i="19"/>
  <c r="D36" i="19"/>
  <c r="G35" i="19"/>
  <c r="D35" i="19"/>
  <c r="D34" i="19"/>
  <c r="E33" i="19"/>
  <c r="D33" i="19"/>
  <c r="E32" i="19"/>
  <c r="D32" i="19"/>
  <c r="G31" i="19"/>
  <c r="D31" i="19"/>
  <c r="D30" i="19"/>
  <c r="G29" i="19"/>
  <c r="D29" i="19"/>
  <c r="G28" i="19"/>
  <c r="D28" i="19"/>
  <c r="G27" i="19"/>
  <c r="D27" i="19"/>
  <c r="G26" i="19"/>
  <c r="D26" i="19"/>
  <c r="C25" i="19"/>
  <c r="E23" i="19"/>
  <c r="G30" i="19" s="1"/>
  <c r="H5" i="19"/>
  <c r="D46" i="18"/>
  <c r="E46" i="18" s="1"/>
  <c r="E45" i="18" s="1"/>
  <c r="E23" i="18"/>
  <c r="E34" i="19" l="1"/>
  <c r="E35" i="19"/>
  <c r="E29" i="19"/>
  <c r="E38" i="19"/>
  <c r="E36" i="19"/>
  <c r="E39" i="19"/>
  <c r="E30" i="19"/>
  <c r="E37" i="19"/>
  <c r="G40" i="19"/>
  <c r="H40" i="19" s="1"/>
  <c r="E31" i="19"/>
  <c r="D25" i="19"/>
  <c r="E45" i="19" s="1"/>
  <c r="G37" i="19"/>
  <c r="E26" i="19"/>
  <c r="G32" i="19"/>
  <c r="G38" i="19"/>
  <c r="G33" i="19"/>
  <c r="E28" i="19"/>
  <c r="E40" i="19"/>
  <c r="E27" i="19"/>
  <c r="G39" i="19"/>
  <c r="H39" i="19" s="1"/>
  <c r="H38" i="19" s="1"/>
  <c r="H37" i="19" s="1"/>
  <c r="H36" i="19" s="1"/>
  <c r="H35" i="19" s="1"/>
  <c r="G34" i="19"/>
  <c r="F35" i="15"/>
  <c r="F34" i="15"/>
  <c r="F33" i="15"/>
  <c r="F32" i="15"/>
  <c r="D14" i="18"/>
  <c r="D17" i="18"/>
  <c r="D19" i="18"/>
  <c r="D23" i="18"/>
  <c r="H48" i="18"/>
  <c r="H47" i="18" s="1"/>
  <c r="F46" i="18" s="1"/>
  <c r="D43" i="18"/>
  <c r="E43" i="18" s="1"/>
  <c r="D41" i="18"/>
  <c r="D39" i="18"/>
  <c r="D37" i="18"/>
  <c r="D35" i="18"/>
  <c r="D33" i="18"/>
  <c r="D31" i="18"/>
  <c r="D29" i="18"/>
  <c r="D27" i="18"/>
  <c r="D25" i="18"/>
  <c r="C45" i="19" l="1"/>
  <c r="D45" i="19"/>
  <c r="H34" i="19"/>
  <c r="H33" i="19" s="1"/>
  <c r="H32" i="19" s="1"/>
  <c r="H31" i="19" s="1"/>
  <c r="H30" i="19" s="1"/>
  <c r="H29" i="19" s="1"/>
  <c r="H28" i="19" s="1"/>
  <c r="H27" i="19" s="1"/>
  <c r="H26" i="19" s="1"/>
  <c r="H25" i="19" s="1"/>
  <c r="H6" i="19" s="1"/>
  <c r="H7" i="19" s="1"/>
  <c r="G25" i="19"/>
  <c r="E25" i="19"/>
  <c r="H46" i="18"/>
  <c r="H45" i="18" s="1"/>
  <c r="H44" i="18" s="1"/>
  <c r="E78" i="15"/>
  <c r="E66" i="15"/>
  <c r="H65" i="15"/>
  <c r="D117" i="5"/>
  <c r="D115" i="5"/>
  <c r="D116" i="5" s="1"/>
  <c r="D111" i="5"/>
  <c r="E46" i="19" l="1"/>
  <c r="D46" i="19" s="1"/>
  <c r="D47" i="19" s="1"/>
  <c r="D8" i="19"/>
  <c r="D9" i="19" s="1"/>
  <c r="D10" i="19" s="1"/>
  <c r="D11" i="19" s="1"/>
  <c r="D12" i="19" s="1"/>
  <c r="D13" i="19" s="1"/>
  <c r="D14" i="19" s="1"/>
  <c r="D15" i="19" s="1"/>
  <c r="D16" i="19" s="1"/>
  <c r="D17" i="19" s="1"/>
  <c r="D18" i="19" s="1"/>
  <c r="D19" i="19" s="1"/>
  <c r="H8" i="19"/>
  <c r="H9" i="19" s="1"/>
  <c r="H10" i="19" s="1"/>
  <c r="H11" i="19" s="1"/>
  <c r="H12" i="19" s="1"/>
  <c r="H13" i="19" s="1"/>
  <c r="H14" i="19" s="1"/>
  <c r="H15" i="19" s="1"/>
  <c r="H16" i="19" s="1"/>
  <c r="H17" i="19" s="1"/>
  <c r="H18" i="19" s="1"/>
  <c r="H19" i="19" s="1"/>
  <c r="H66" i="15"/>
  <c r="E67" i="15"/>
  <c r="E79" i="15"/>
  <c r="C68" i="17"/>
  <c r="C65" i="17"/>
  <c r="C66" i="17" s="1"/>
  <c r="F55" i="17"/>
  <c r="F56" i="17" s="1"/>
  <c r="F57" i="17" s="1"/>
  <c r="F58" i="17" s="1"/>
  <c r="F59" i="17" s="1"/>
  <c r="F60" i="17" s="1"/>
  <c r="F61" i="17" s="1"/>
  <c r="F62" i="17" s="1"/>
  <c r="F63" i="17" s="1"/>
  <c r="C49" i="17"/>
  <c r="F40" i="17"/>
  <c r="C37" i="17"/>
  <c r="F25" i="17"/>
  <c r="F26" i="17" s="1"/>
  <c r="F27" i="17" s="1"/>
  <c r="F28" i="17" s="1"/>
  <c r="F29" i="17" s="1"/>
  <c r="F30" i="17" s="1"/>
  <c r="F31" i="17" s="1"/>
  <c r="F32" i="17" s="1"/>
  <c r="F33" i="17" s="1"/>
  <c r="F34" i="17" s="1"/>
  <c r="F35" i="17" s="1"/>
  <c r="F36" i="17" s="1"/>
  <c r="F37" i="17" s="1"/>
  <c r="D6" i="17" s="1"/>
  <c r="F9" i="17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4" i="17" s="1"/>
  <c r="D5" i="17"/>
  <c r="E4" i="17"/>
  <c r="F7" i="17" s="1"/>
  <c r="D4" i="17"/>
  <c r="C46" i="19" l="1"/>
  <c r="C47" i="19" s="1"/>
  <c r="C52" i="19"/>
  <c r="E52" i="19" s="1"/>
  <c r="E47" i="19"/>
  <c r="E81" i="15"/>
  <c r="E83" i="15" s="1"/>
  <c r="E68" i="15"/>
  <c r="H67" i="15"/>
  <c r="D69" i="17"/>
  <c r="D70" i="17" l="1"/>
  <c r="D71" i="17" s="1"/>
  <c r="D76" i="17" s="1"/>
  <c r="E42" i="18"/>
  <c r="E69" i="15"/>
  <c r="H68" i="15"/>
  <c r="E23" i="6"/>
  <c r="E24" i="6" s="1"/>
  <c r="E10" i="6"/>
  <c r="G9" i="6"/>
  <c r="A42" i="6"/>
  <c r="G65" i="6"/>
  <c r="G66" i="6" s="1"/>
  <c r="G67" i="6" s="1"/>
  <c r="G68" i="6" s="1"/>
  <c r="G69" i="6" s="1"/>
  <c r="G70" i="6" s="1"/>
  <c r="G71" i="6" s="1"/>
  <c r="C89" i="5"/>
  <c r="C86" i="5"/>
  <c r="C87" i="5" s="1"/>
  <c r="F75" i="5"/>
  <c r="F76" i="5" s="1"/>
  <c r="F77" i="5" s="1"/>
  <c r="F78" i="5" s="1"/>
  <c r="F79" i="5" s="1"/>
  <c r="F80" i="5" s="1"/>
  <c r="F81" i="5" s="1"/>
  <c r="F82" i="5" s="1"/>
  <c r="F83" i="5" s="1"/>
  <c r="F84" i="5" s="1"/>
  <c r="D95" i="5" s="1"/>
  <c r="E41" i="18" l="1"/>
  <c r="E40" i="18"/>
  <c r="E84" i="15"/>
  <c r="E85" i="15" s="1"/>
  <c r="E86" i="15" s="1"/>
  <c r="E87" i="15" s="1"/>
  <c r="E88" i="15" s="1"/>
  <c r="E89" i="15" s="1"/>
  <c r="E90" i="15" s="1"/>
  <c r="E70" i="15"/>
  <c r="H69" i="15"/>
  <c r="E26" i="6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G10" i="6"/>
  <c r="E11" i="6"/>
  <c r="E12" i="6" s="1"/>
  <c r="E13" i="6" s="1"/>
  <c r="D90" i="5"/>
  <c r="D91" i="5" s="1"/>
  <c r="D92" i="5" s="1"/>
  <c r="D96" i="5" s="1"/>
  <c r="E30" i="15"/>
  <c r="D27" i="16"/>
  <c r="D28" i="16"/>
  <c r="D29" i="16"/>
  <c r="D30" i="16"/>
  <c r="D31" i="16"/>
  <c r="D32" i="16"/>
  <c r="D33" i="16"/>
  <c r="D34" i="16"/>
  <c r="D35" i="16"/>
  <c r="D36" i="16"/>
  <c r="D37" i="16"/>
  <c r="D38" i="16"/>
  <c r="D40" i="16"/>
  <c r="D39" i="16"/>
  <c r="E34" i="16"/>
  <c r="D13" i="4"/>
  <c r="E13" i="4" s="1"/>
  <c r="D14" i="4" s="1"/>
  <c r="E14" i="4" s="1"/>
  <c r="D15" i="4" s="1"/>
  <c r="E15" i="4" s="1"/>
  <c r="D16" i="4" s="1"/>
  <c r="E16" i="4" s="1"/>
  <c r="D17" i="4" s="1"/>
  <c r="E17" i="4" s="1"/>
  <c r="D10" i="4"/>
  <c r="E10" i="4" s="1"/>
  <c r="E39" i="18" l="1"/>
  <c r="E38" i="18"/>
  <c r="E31" i="15"/>
  <c r="F30" i="15"/>
  <c r="F43" i="18"/>
  <c r="H43" i="18" s="1"/>
  <c r="H42" i="18" s="1"/>
  <c r="E37" i="18"/>
  <c r="D18" i="4"/>
  <c r="E18" i="4" s="1"/>
  <c r="D19" i="4" s="1"/>
  <c r="E19" i="4" s="1"/>
  <c r="E71" i="15"/>
  <c r="E72" i="15" s="1"/>
  <c r="E73" i="15" s="1"/>
  <c r="E74" i="15" s="1"/>
  <c r="E75" i="15" s="1"/>
  <c r="E76" i="15" s="1"/>
  <c r="H70" i="15"/>
  <c r="G11" i="6"/>
  <c r="G12" i="6" s="1"/>
  <c r="E14" i="6"/>
  <c r="G13" i="6"/>
  <c r="E24" i="1"/>
  <c r="E22" i="1"/>
  <c r="C28" i="1"/>
  <c r="F27" i="1"/>
  <c r="D27" i="1"/>
  <c r="F26" i="1"/>
  <c r="D26" i="1"/>
  <c r="E26" i="1" s="1"/>
  <c r="F25" i="1"/>
  <c r="D25" i="1"/>
  <c r="F23" i="1"/>
  <c r="D23" i="1"/>
  <c r="E23" i="1" s="1"/>
  <c r="F22" i="1"/>
  <c r="F21" i="1"/>
  <c r="E21" i="1"/>
  <c r="H5" i="16"/>
  <c r="E36" i="18" l="1"/>
  <c r="E36" i="15"/>
  <c r="F31" i="15"/>
  <c r="E35" i="18"/>
  <c r="H71" i="15"/>
  <c r="G14" i="6"/>
  <c r="E15" i="6"/>
  <c r="F30" i="1"/>
  <c r="E25" i="1"/>
  <c r="E27" i="1"/>
  <c r="C30" i="1"/>
  <c r="D28" i="1"/>
  <c r="D30" i="1" s="1"/>
  <c r="D44" i="16"/>
  <c r="E44" i="16" s="1"/>
  <c r="G40" i="16"/>
  <c r="H40" i="16" s="1"/>
  <c r="E39" i="16"/>
  <c r="E38" i="16"/>
  <c r="E37" i="16"/>
  <c r="G36" i="16"/>
  <c r="E36" i="16"/>
  <c r="G35" i="16"/>
  <c r="G33" i="16"/>
  <c r="G32" i="16"/>
  <c r="E32" i="16"/>
  <c r="G30" i="16"/>
  <c r="G28" i="16"/>
  <c r="G27" i="16"/>
  <c r="G26" i="16"/>
  <c r="C25" i="16"/>
  <c r="E23" i="16"/>
  <c r="G31" i="16" s="1"/>
  <c r="D13" i="3"/>
  <c r="D25" i="2"/>
  <c r="D26" i="2" s="1"/>
  <c r="E34" i="18" l="1"/>
  <c r="F34" i="18"/>
  <c r="G29" i="16"/>
  <c r="G37" i="16"/>
  <c r="G34" i="16"/>
  <c r="G15" i="6"/>
  <c r="F37" i="15"/>
  <c r="F36" i="15"/>
  <c r="E37" i="15"/>
  <c r="F41" i="18"/>
  <c r="H41" i="18" s="1"/>
  <c r="H40" i="18" s="1"/>
  <c r="E33" i="18"/>
  <c r="H72" i="15"/>
  <c r="E16" i="6"/>
  <c r="G16" i="6" s="1"/>
  <c r="E28" i="1"/>
  <c r="E30" i="1" s="1"/>
  <c r="E27" i="16"/>
  <c r="E33" i="16"/>
  <c r="E26" i="16"/>
  <c r="E35" i="16"/>
  <c r="G38" i="16"/>
  <c r="G25" i="16" s="1"/>
  <c r="E28" i="16"/>
  <c r="E29" i="16"/>
  <c r="G39" i="16"/>
  <c r="H39" i="16" s="1"/>
  <c r="H38" i="16" s="1"/>
  <c r="H37" i="16" s="1"/>
  <c r="H36" i="16" s="1"/>
  <c r="H35" i="16" s="1"/>
  <c r="H34" i="16" s="1"/>
  <c r="H33" i="16" s="1"/>
  <c r="H32" i="16" s="1"/>
  <c r="H31" i="16" s="1"/>
  <c r="H30" i="16" s="1"/>
  <c r="H29" i="16" s="1"/>
  <c r="H28" i="16" s="1"/>
  <c r="H27" i="16" s="1"/>
  <c r="E40" i="16"/>
  <c r="E30" i="16"/>
  <c r="E31" i="16"/>
  <c r="E32" i="18" l="1"/>
  <c r="F38" i="15"/>
  <c r="E38" i="15"/>
  <c r="E39" i="15" s="1"/>
  <c r="F39" i="18"/>
  <c r="H73" i="15"/>
  <c r="E17" i="6"/>
  <c r="E18" i="6" s="1"/>
  <c r="E25" i="16"/>
  <c r="H6" i="15"/>
  <c r="H7" i="15" s="1"/>
  <c r="H8" i="15" s="1"/>
  <c r="H9" i="15" s="1"/>
  <c r="H10" i="15" s="1"/>
  <c r="H11" i="15" s="1"/>
  <c r="H12" i="15" s="1"/>
  <c r="E18" i="15"/>
  <c r="F18" i="15" s="1"/>
  <c r="H17" i="15"/>
  <c r="G40" i="2"/>
  <c r="E5" i="2" s="1"/>
  <c r="C37" i="7"/>
  <c r="C56" i="6"/>
  <c r="C37" i="5"/>
  <c r="D51" i="4"/>
  <c r="G6" i="8"/>
  <c r="G7" i="8" s="1"/>
  <c r="G8" i="8" s="1"/>
  <c r="G9" i="8" s="1"/>
  <c r="G14" i="8" s="1"/>
  <c r="G15" i="8" s="1"/>
  <c r="G16" i="8" s="1"/>
  <c r="G17" i="8" s="1"/>
  <c r="G18" i="8" s="1"/>
  <c r="G19" i="8" s="1"/>
  <c r="G20" i="8" s="1"/>
  <c r="G21" i="8" s="1"/>
  <c r="G22" i="8" s="1"/>
  <c r="F2" i="8"/>
  <c r="C14" i="1" s="1"/>
  <c r="D14" i="1" s="1"/>
  <c r="E14" i="1" s="1"/>
  <c r="E57" i="7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F40" i="7"/>
  <c r="D5" i="7" s="1"/>
  <c r="F25" i="7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4" i="7" s="1"/>
  <c r="E4" i="7"/>
  <c r="D4" i="7"/>
  <c r="C13" i="1" s="1"/>
  <c r="F131" i="6"/>
  <c r="F132" i="6" s="1"/>
  <c r="F133" i="6" s="1"/>
  <c r="F134" i="6" s="1"/>
  <c r="F135" i="6" s="1"/>
  <c r="F136" i="6" s="1"/>
  <c r="F137" i="6" s="1"/>
  <c r="F119" i="6"/>
  <c r="F120" i="6" s="1"/>
  <c r="F121" i="6" s="1"/>
  <c r="F122" i="6" s="1"/>
  <c r="F123" i="6" s="1"/>
  <c r="F124" i="6" s="1"/>
  <c r="F125" i="6" s="1"/>
  <c r="F126" i="6" s="1"/>
  <c r="F127" i="6" s="1"/>
  <c r="G104" i="6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F95" i="6"/>
  <c r="G95" i="6" s="1"/>
  <c r="G59" i="6"/>
  <c r="E5" i="6" s="1"/>
  <c r="G44" i="6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F4" i="6"/>
  <c r="D12" i="1" s="1"/>
  <c r="F59" i="5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C49" i="5"/>
  <c r="F40" i="5"/>
  <c r="D5" i="5" s="1"/>
  <c r="F25" i="5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4" i="5" s="1"/>
  <c r="E4" i="5"/>
  <c r="D4" i="5"/>
  <c r="C11" i="1" s="1"/>
  <c r="F99" i="4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83" i="4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G53" i="4"/>
  <c r="E5" i="4" s="1"/>
  <c r="G39" i="4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9" i="4"/>
  <c r="G10" i="4" s="1"/>
  <c r="G11" i="4" s="1"/>
  <c r="F40" i="3"/>
  <c r="D5" i="3" s="1"/>
  <c r="C37" i="3"/>
  <c r="F25" i="3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4" i="3" s="1"/>
  <c r="E4" i="3"/>
  <c r="D9" i="1" s="1"/>
  <c r="D4" i="3"/>
  <c r="C9" i="1" s="1"/>
  <c r="F80" i="2"/>
  <c r="F81" i="2" s="1"/>
  <c r="D71" i="2" s="1"/>
  <c r="D72" i="2"/>
  <c r="D70" i="2"/>
  <c r="D74" i="2" s="1"/>
  <c r="D69" i="2"/>
  <c r="G25" i="2"/>
  <c r="G26" i="2" s="1"/>
  <c r="G27" i="2" s="1"/>
  <c r="G28" i="2" s="1"/>
  <c r="G29" i="2" s="1"/>
  <c r="G30" i="2" s="1"/>
  <c r="G31" i="2" s="1"/>
  <c r="G32" i="2" s="1"/>
  <c r="G9" i="2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4" i="2" s="1"/>
  <c r="F4" i="2"/>
  <c r="E4" i="2"/>
  <c r="C8" i="1" s="1"/>
  <c r="F32" i="18" l="1"/>
  <c r="E31" i="18" s="1"/>
  <c r="H39" i="18"/>
  <c r="H38" i="18" s="1"/>
  <c r="H18" i="15"/>
  <c r="F39" i="15"/>
  <c r="E40" i="15"/>
  <c r="E4" i="4"/>
  <c r="C10" i="1" s="1"/>
  <c r="G12" i="4"/>
  <c r="G13" i="4" s="1"/>
  <c r="G14" i="4" s="1"/>
  <c r="G15" i="4" s="1"/>
  <c r="G16" i="4" s="1"/>
  <c r="G17" i="4" s="1"/>
  <c r="G18" i="4" s="1"/>
  <c r="G19" i="4" s="1"/>
  <c r="G20" i="4" s="1"/>
  <c r="G21" i="4" s="1"/>
  <c r="G4" i="4" s="1"/>
  <c r="E19" i="15"/>
  <c r="F19" i="15" s="1"/>
  <c r="H19" i="15" s="1"/>
  <c r="H74" i="15"/>
  <c r="E19" i="6"/>
  <c r="E20" i="6" s="1"/>
  <c r="G17" i="6"/>
  <c r="G18" i="6" s="1"/>
  <c r="G19" i="6" s="1"/>
  <c r="H26" i="16"/>
  <c r="H25" i="16" s="1"/>
  <c r="G2" i="8"/>
  <c r="D6" i="3"/>
  <c r="F9" i="1" s="1"/>
  <c r="G7" i="6"/>
  <c r="E6" i="6"/>
  <c r="F12" i="1" s="1"/>
  <c r="D6" i="7"/>
  <c r="F13" i="1" s="1"/>
  <c r="D6" i="5"/>
  <c r="F11" i="1" s="1"/>
  <c r="F7" i="7"/>
  <c r="D13" i="1"/>
  <c r="E13" i="1" s="1"/>
  <c r="G33" i="2"/>
  <c r="G34" i="2" s="1"/>
  <c r="G35" i="2" s="1"/>
  <c r="G36" i="2" s="1"/>
  <c r="G37" i="2" s="1"/>
  <c r="E6" i="2" s="1"/>
  <c r="F8" i="1" s="1"/>
  <c r="E6" i="4"/>
  <c r="F10" i="1" s="1"/>
  <c r="D8" i="1"/>
  <c r="G7" i="2"/>
  <c r="F7" i="3"/>
  <c r="E9" i="1"/>
  <c r="F7" i="5"/>
  <c r="D11" i="1"/>
  <c r="E11" i="1" s="1"/>
  <c r="E30" i="18" l="1"/>
  <c r="F37" i="18"/>
  <c r="H37" i="18" s="1"/>
  <c r="H36" i="18" s="1"/>
  <c r="F35" i="18" s="1"/>
  <c r="H35" i="18" s="1"/>
  <c r="H34" i="18" s="1"/>
  <c r="F33" i="18" s="1"/>
  <c r="H33" i="18" s="1"/>
  <c r="H32" i="18" s="1"/>
  <c r="E20" i="15"/>
  <c r="F20" i="15" s="1"/>
  <c r="H6" i="16"/>
  <c r="H7" i="16" s="1"/>
  <c r="D8" i="16" s="1"/>
  <c r="D9" i="16" s="1"/>
  <c r="D10" i="16" s="1"/>
  <c r="D11" i="16" s="1"/>
  <c r="D12" i="16" s="1"/>
  <c r="D13" i="16" s="1"/>
  <c r="D14" i="16" s="1"/>
  <c r="D15" i="16" s="1"/>
  <c r="D16" i="16" s="1"/>
  <c r="D17" i="16" s="1"/>
  <c r="D18" i="16" s="1"/>
  <c r="D19" i="16" s="1"/>
  <c r="E46" i="16"/>
  <c r="H20" i="15"/>
  <c r="E41" i="15"/>
  <c r="F40" i="15"/>
  <c r="H75" i="15"/>
  <c r="H76" i="15" s="1"/>
  <c r="H77" i="15" s="1"/>
  <c r="H78" i="15" s="1"/>
  <c r="H79" i="15" s="1"/>
  <c r="G20" i="6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H8" i="16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E21" i="15"/>
  <c r="F21" i="15" s="1"/>
  <c r="E8" i="1"/>
  <c r="F16" i="1"/>
  <c r="F30" i="18" l="1"/>
  <c r="E29" i="18" s="1"/>
  <c r="E28" i="18" s="1"/>
  <c r="E42" i="15"/>
  <c r="F41" i="15"/>
  <c r="H21" i="15"/>
  <c r="F31" i="18"/>
  <c r="H31" i="18" s="1"/>
  <c r="H30" i="18" s="1"/>
  <c r="H80" i="15"/>
  <c r="H81" i="15" s="1"/>
  <c r="H82" i="15" s="1"/>
  <c r="H83" i="15" s="1"/>
  <c r="H84" i="15" s="1"/>
  <c r="H85" i="15" s="1"/>
  <c r="H86" i="15" s="1"/>
  <c r="H87" i="15" s="1"/>
  <c r="H88" i="15" s="1"/>
  <c r="H89" i="15" s="1"/>
  <c r="H90" i="15" s="1"/>
  <c r="E22" i="15"/>
  <c r="F22" i="15" s="1"/>
  <c r="F28" i="18" l="1"/>
  <c r="E27" i="18" s="1"/>
  <c r="E26" i="18" s="1"/>
  <c r="E43" i="15"/>
  <c r="F42" i="15"/>
  <c r="H22" i="15"/>
  <c r="F29" i="18"/>
  <c r="H29" i="18" s="1"/>
  <c r="H28" i="18" s="1"/>
  <c r="E23" i="15"/>
  <c r="F26" i="18" l="1"/>
  <c r="E25" i="18" s="1"/>
  <c r="E24" i="18" s="1"/>
  <c r="F29" i="15"/>
  <c r="F28" i="15"/>
  <c r="F27" i="15"/>
  <c r="F26" i="15"/>
  <c r="F25" i="15"/>
  <c r="F24" i="15"/>
  <c r="F23" i="15"/>
  <c r="H23" i="15" s="1"/>
  <c r="E46" i="15"/>
  <c r="F46" i="15" s="1"/>
  <c r="F43" i="15"/>
  <c r="E24" i="15"/>
  <c r="F20" i="18" l="1"/>
  <c r="E19" i="18" s="1"/>
  <c r="E18" i="18" s="1"/>
  <c r="F24" i="18"/>
  <c r="F27" i="18"/>
  <c r="H27" i="18" s="1"/>
  <c r="H26" i="18" s="1"/>
  <c r="H24" i="15"/>
  <c r="H25" i="15" s="1"/>
  <c r="H26" i="15" s="1"/>
  <c r="H27" i="15"/>
  <c r="H28" i="15" s="1"/>
  <c r="H29" i="15" s="1"/>
  <c r="H30" i="15" s="1"/>
  <c r="H31" i="15" s="1"/>
  <c r="H32" i="15" s="1"/>
  <c r="H33" i="15" s="1"/>
  <c r="H34" i="15" s="1"/>
  <c r="H35" i="15" s="1"/>
  <c r="H36" i="15" s="1"/>
  <c r="H37" i="15" s="1"/>
  <c r="H38" i="15" s="1"/>
  <c r="H39" i="15" s="1"/>
  <c r="H40" i="15" s="1"/>
  <c r="H41" i="15" s="1"/>
  <c r="H42" i="15" s="1"/>
  <c r="H43" i="15" s="1"/>
  <c r="H44" i="15" s="1"/>
  <c r="H45" i="15" s="1"/>
  <c r="H46" i="15" s="1"/>
  <c r="H47" i="15" s="1"/>
  <c r="H48" i="15" s="1"/>
  <c r="H49" i="15" s="1"/>
  <c r="H50" i="15" s="1"/>
  <c r="E25" i="15"/>
  <c r="F18" i="18" l="1"/>
  <c r="E17" i="18" s="1"/>
  <c r="E15" i="18"/>
  <c r="F25" i="18"/>
  <c r="H25" i="18" s="1"/>
  <c r="H24" i="18" s="1"/>
  <c r="E26" i="15"/>
  <c r="F15" i="18" l="1"/>
  <c r="E14" i="18" s="1"/>
  <c r="E13" i="18"/>
  <c r="F13" i="18" s="1"/>
  <c r="F23" i="18"/>
  <c r="H23" i="18" s="1"/>
  <c r="H22" i="18" s="1"/>
  <c r="E27" i="15"/>
  <c r="H21" i="18" l="1"/>
  <c r="H20" i="18" s="1"/>
  <c r="F4" i="4"/>
  <c r="E28" i="15"/>
  <c r="F19" i="18" l="1"/>
  <c r="D10" i="1"/>
  <c r="G7" i="4"/>
  <c r="F17" i="18" l="1"/>
  <c r="H17" i="18" s="1"/>
  <c r="H16" i="18" s="1"/>
  <c r="H15" i="18" s="1"/>
  <c r="E10" i="1"/>
  <c r="D16" i="1"/>
  <c r="G4" i="6"/>
  <c r="E4" i="6"/>
  <c r="C12" i="1" s="1"/>
  <c r="F14" i="18" l="1"/>
  <c r="H14" i="18" s="1"/>
  <c r="H13" i="18" s="1"/>
  <c r="H12" i="18" s="1"/>
  <c r="H11" i="18" s="1"/>
  <c r="H10" i="18" s="1"/>
  <c r="H9" i="18" s="1"/>
  <c r="H8" i="18" s="1"/>
  <c r="H7" i="18" s="1"/>
  <c r="E12" i="1"/>
  <c r="E16" i="1" s="1"/>
  <c r="C16" i="1"/>
  <c r="D25" i="16"/>
  <c r="E45" i="16" s="1"/>
  <c r="E47" i="16" s="1"/>
  <c r="F3" i="18" l="1"/>
  <c r="H3" i="18" s="1"/>
  <c r="H6" i="18"/>
  <c r="D45" i="16"/>
  <c r="C45" i="16"/>
  <c r="D46" i="16" s="1"/>
  <c r="C52" i="16" l="1"/>
  <c r="E52" i="16" s="1"/>
  <c r="C46" i="16"/>
  <c r="C47" i="16" s="1"/>
  <c r="D47" i="16"/>
</calcChain>
</file>

<file path=xl/sharedStrings.xml><?xml version="1.0" encoding="utf-8"?>
<sst xmlns="http://schemas.openxmlformats.org/spreadsheetml/2006/main" count="887" uniqueCount="478">
  <si>
    <t>Ödeme Teminat Tablosu</t>
  </si>
  <si>
    <t>Alınan</t>
  </si>
  <si>
    <t>Tutar</t>
  </si>
  <si>
    <t>Ödeme</t>
  </si>
  <si>
    <t>Kalan</t>
  </si>
  <si>
    <t>Teminat</t>
  </si>
  <si>
    <t>SnyA</t>
  </si>
  <si>
    <t>Yıkamacı samed</t>
  </si>
  <si>
    <t>SnyB</t>
  </si>
  <si>
    <t>Motorcu salih</t>
  </si>
  <si>
    <t>SnyCD</t>
  </si>
  <si>
    <t>Hurdacı ali</t>
  </si>
  <si>
    <t>SnyE</t>
  </si>
  <si>
    <t>Motorcu cihan</t>
  </si>
  <si>
    <t>SnyF</t>
  </si>
  <si>
    <t>Demirci merdal</t>
  </si>
  <si>
    <t>SnyG</t>
  </si>
  <si>
    <t>Motorcu Metin</t>
  </si>
  <si>
    <t>SnyH</t>
  </si>
  <si>
    <t>Yazıhane</t>
  </si>
  <si>
    <t>Toplamlar</t>
  </si>
  <si>
    <t>snA-086-20230930-080-samedTURGUT</t>
  </si>
  <si>
    <t>55 m2 Boya</t>
  </si>
  <si>
    <t>Tarih</t>
  </si>
  <si>
    <t>Açıklama</t>
  </si>
  <si>
    <t>Kira bedeli</t>
  </si>
  <si>
    <t>Bakiye</t>
  </si>
  <si>
    <t>Masraf</t>
  </si>
  <si>
    <t>NET</t>
  </si>
  <si>
    <t>,</t>
  </si>
  <si>
    <t>30-09-2023 – 29-09-2024</t>
  </si>
  <si>
    <t xml:space="preserve"> - 2023 -</t>
  </si>
  <si>
    <t xml:space="preserve">ELEKTRİK </t>
  </si>
  <si>
    <t>Su</t>
  </si>
  <si>
    <t>Tutarı</t>
  </si>
  <si>
    <t>Devreden Teminat</t>
  </si>
  <si>
    <t>Su-Elektrik Şubat</t>
  </si>
  <si>
    <t>Su-Elektrik art</t>
  </si>
  <si>
    <t>Su-Elektrik Nisan</t>
  </si>
  <si>
    <t>Su-Elektrik Mayıs</t>
  </si>
  <si>
    <t>Su-Elektrik Ekim</t>
  </si>
  <si>
    <t>Su-Elektrik Kasım</t>
  </si>
  <si>
    <t>Su-Elektrik Aralık</t>
  </si>
  <si>
    <t>Ahmet ilterin devrettiği 3. şahıslardan devralmak için yanıma geldi</t>
  </si>
  <si>
    <t>Ödeme peşin olursa devralabileceğini söyledim</t>
  </si>
  <si>
    <t>Ödemeyi 01-09-2023 Cuma günü yapacağını ifade etti. Tamam dedim</t>
  </si>
  <si>
    <t>Ödeme yapılmadı</t>
  </si>
  <si>
    <t>Çağırdım. 3. şahıslarla kavga ettiklerini bana ödeyecekleri kira bedelini onlara, aldıklar</t>
  </si>
  <si>
    <t>malzeme bedeli olarak ödediklerini, şahin marka arabasını satıp bedeli ödeyeceklerini</t>
  </si>
  <si>
    <t>ama aracında bir arkadaşı tarafından kaza yapıp pert olduğunu söyledi.</t>
  </si>
  <si>
    <t>Bunun üzerine 30 Eylül 2023 tarine kadar ödeme için süre verdim.</t>
  </si>
  <si>
    <t>Ekim ayına geçilirse aylık tüfe farkı ekleme yapacağımı söyledim</t>
  </si>
  <si>
    <t>Eylülde ödeme yapılmazsa ekim başında ahmet ilterin tahliyesini devreye alacam.</t>
  </si>
  <si>
    <t>Samedle sözleşme yapmadığım için halen ahmet ilter resmen kiracı</t>
  </si>
  <si>
    <t>süreyi eylül sonu olarak başlattım. Bir ay ücretsiz oturmuş oldu.</t>
  </si>
  <si>
    <t>snA-000-20221030-070-AhmetILTER</t>
  </si>
  <si>
    <t>Boya kira</t>
  </si>
  <si>
    <t>Kira Bedeli</t>
  </si>
  <si>
    <t>Toplam Ödeme</t>
  </si>
  <si>
    <t xml:space="preserve"> Masraf</t>
  </si>
  <si>
    <t>Net Kira</t>
  </si>
  <si>
    <t>Yıkamacı</t>
  </si>
  <si>
    <t>Ahmet İlter</t>
  </si>
  <si>
    <t>20-11-2022 – 19-11-2023 Kira Bedeli</t>
  </si>
  <si>
    <t>Kira Bedeli 42000</t>
  </si>
  <si>
    <t>42000 TL OLAN KİRA BEDELİNİN</t>
  </si>
  <si>
    <t>2000 TL Sİ ÖDENMEDİĞİ İÇİN</t>
  </si>
  <si>
    <t>TARİH</t>
  </si>
  <si>
    <t>30-10-2022 – 29-10-2023</t>
  </si>
  <si>
    <t>BEDEL</t>
  </si>
  <si>
    <t>42000 TL</t>
  </si>
  <si>
    <t>Tarih 20 gün geri çekildi</t>
  </si>
  <si>
    <t>Ahmet ilter ebubekir ve ahmet tolan adında 2 kişiye izinsiz devir yaptı</t>
  </si>
  <si>
    <t>Örnek 14 tahliye emri yollandı</t>
  </si>
  <si>
    <t>10-08 de bilinen adrese yapılan tebligat teslim edilemediğinden</t>
  </si>
  <si>
    <t>tebligat mernis adresine tebligat kanunu 22/1 maddesine göre</t>
  </si>
  <si>
    <t>gönderildi</t>
  </si>
  <si>
    <t>tebligat ilk önce borçlunun bilinen son adresine gönderilir.</t>
  </si>
  <si>
    <t>teslim edilemezse tekrar mernis adresine gönderilir ve muhtara bırakılır</t>
  </si>
  <si>
    <t>Muhtara teslim tarihi tebliğ tarihidir ve ödeme emrindeki süreler</t>
  </si>
  <si>
    <t>bu tarihe göre hesaplanır.</t>
  </si>
  <si>
    <t>İtiraz süresi içerisinde itiraz edilmediği için tahliye kesinleşti.</t>
  </si>
  <si>
    <t>Bu aşamada icra dairesi gerekirse kiracıyı zorla çıkarır.</t>
  </si>
  <si>
    <t>Biz bu yola gitmeye hazırlanırken 3. şahıslar Samed TURGUT a devir</t>
  </si>
  <si>
    <t>yaptılar</t>
  </si>
  <si>
    <t xml:space="preserve">SnyB203-22  </t>
  </si>
  <si>
    <t>200 m2 Karo kira</t>
  </si>
  <si>
    <t>Su-Elektrik Ocak</t>
  </si>
  <si>
    <t xml:space="preserve">Su-Elektrik Haziran </t>
  </si>
  <si>
    <t xml:space="preserve">Su-Elektrik Temmuz </t>
  </si>
  <si>
    <t>Su-Elektrik Ağustos</t>
  </si>
  <si>
    <t>Su-Elektrik Eylül</t>
  </si>
  <si>
    <t>Salih Ant - 1.yıl</t>
  </si>
  <si>
    <t>İlk anlaşma 7-11-22 de yapıldı</t>
  </si>
  <si>
    <t>snCD-080-03-2211-Vinc</t>
  </si>
  <si>
    <t>400 m2 Vinç kira</t>
  </si>
  <si>
    <t>Ali Demirel - 4. yıl</t>
  </si>
  <si>
    <t>20-21 kira bedeli 36000 TL Ödendi</t>
  </si>
  <si>
    <t>21-22 kira bedeli 43160 TL Ödendi</t>
  </si>
  <si>
    <t>22-23 kira bedeli 82000 TL Ödendi</t>
  </si>
  <si>
    <t>duvara dayalı camlar kırıldı</t>
  </si>
  <si>
    <t>Büyük- küçük bina çatı trapez saclarında hasar var</t>
  </si>
  <si>
    <t>büyük binanın saçağında hasar var</t>
  </si>
  <si>
    <t>büyük binanın duvarında sıva hasarı var</t>
  </si>
  <si>
    <t>büyük binanın iç tarafında tuğla ve sıva hasarı var</t>
  </si>
  <si>
    <t>mutfak tezgahı kırık</t>
  </si>
  <si>
    <t>paletli iş makinesi ile taban betonu hasarı var</t>
  </si>
  <si>
    <t>motorcunun alçıpanında hasar var ÖDENDİ TMNT</t>
  </si>
  <si>
    <t>motorcunun duvarında hasar var</t>
  </si>
  <si>
    <t>tuvalet için izinsiz kapı açtı</t>
  </si>
  <si>
    <t>yapıldı</t>
  </si>
  <si>
    <t>2021 de 2022 için ödemesi gereken kiraları ödemedi</t>
  </si>
  <si>
    <t>tmm</t>
  </si>
  <si>
    <t>arsa önüne malzeme yığıntısı var OKKK</t>
  </si>
  <si>
    <t>karonun çatısı kameracı tarafından ezilmiş</t>
  </si>
  <si>
    <t>Hurdacı Ali Demirel</t>
  </si>
  <si>
    <t>Ocak 2021- elektrik teminat için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</si>
  <si>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</si>
  <si>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</si>
  <si>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</si>
  <si>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</si>
  <si>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</si>
  <si>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</si>
  <si>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</si>
  <si>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</si>
  <si>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</si>
  <si>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</si>
  <si>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</si>
  <si>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2022 ye devreden Toplam Teminat</t>
  </si>
  <si>
    <t>2021 den devreden ödenmiş teminat</t>
  </si>
  <si>
    <t>Ocak 2022- elektrik teminat için</t>
  </si>
  <si>
    <t>Mayıs           50 su</t>
  </si>
  <si>
    <t>Haziran        200 su</t>
  </si>
  <si>
    <t>Temmuz       200 su</t>
  </si>
  <si>
    <t>Ağustos          50 su</t>
  </si>
  <si>
    <t>Eylül               50 su</t>
  </si>
  <si>
    <t>Ekim               50 su</t>
  </si>
  <si>
    <t>su</t>
  </si>
  <si>
    <t>kiradan kalan</t>
  </si>
  <si>
    <t>motorcu tavanı alçıpan hasarı</t>
  </si>
  <si>
    <t>2023 e devreden Toplam Teminat</t>
  </si>
  <si>
    <t>085-20230830-SNYE-02-SZL CIHAN CAM</t>
  </si>
  <si>
    <t>100 m2 ESTE</t>
  </si>
  <si>
    <t>30-8-2023-29-08-2024 Kira Bedeli</t>
  </si>
  <si>
    <t>Kira Bedeli senet 5/5 7000 senet</t>
  </si>
  <si>
    <t>Motorcu</t>
  </si>
  <si>
    <t>Cihan Çam</t>
  </si>
  <si>
    <t>22-23 kira bedeli ödendi</t>
  </si>
  <si>
    <t>Anlaşma yapıldı</t>
  </si>
  <si>
    <t>Kira Başlangıç Tarihi</t>
  </si>
  <si>
    <t>Kira Bitiş Tarihi</t>
  </si>
  <si>
    <t>Kira gün sayısı (1 ay ek süre verildi)</t>
  </si>
  <si>
    <t>40 gün önce geldi şu an 84000 TL dedim</t>
  </si>
  <si>
    <t>1-2 güne getir 80 000 olur dedim</t>
  </si>
  <si>
    <t>30-8 de değişebilir dedim - temmuz enflasyonu %9,46 oldu</t>
  </si>
  <si>
    <t>31-8 akşamı ne oldu diye ben aradım- kiranın 96000 olacağını söyledim</t>
  </si>
  <si>
    <t>Elektrik Teminat Bedeli</t>
  </si>
  <si>
    <t>2022-8 elektrik tmnt</t>
  </si>
  <si>
    <t>2022-9 elektrik tmnt</t>
  </si>
  <si>
    <t>2022-10 elektrik tmnt</t>
  </si>
  <si>
    <t>2022-11 elektrik tmnt</t>
  </si>
  <si>
    <t>toyota işçilik</t>
  </si>
  <si>
    <t>2022-12 elektrik tmnt</t>
  </si>
  <si>
    <t>2023-01 elektrik tmnt</t>
  </si>
  <si>
    <t>2023-02 elektrik tmnt</t>
  </si>
  <si>
    <t>2023-03 tmnt</t>
  </si>
  <si>
    <t>082-SnF-02-230101-merdalKipel</t>
  </si>
  <si>
    <t>Açıklamalar-Masraflar</t>
  </si>
  <si>
    <t>1-1-23 - 31-12 -23 dönem hesabı (15887) sıfırlandı</t>
  </si>
  <si>
    <t>yeni yıl kira sözleşmesi 01-01-2024 - 31-12-2024 arası için yapılacak</t>
  </si>
  <si>
    <t>Yeni yıl 14000*12 ay = 168000 (ocak-aralık 2024)</t>
  </si>
  <si>
    <t>7aylık kira 31-12-2023 e kadar peşin alınacak 7*14=98000</t>
  </si>
  <si>
    <t xml:space="preserve">30 Ocaktan itibaren 14000*5 ay = 70000 ödenecek </t>
  </si>
  <si>
    <t>30 mayıstaki ödemeyle 01-01-2024 - 31-12-2024 kirası ödenmiş olacak</t>
  </si>
  <si>
    <t>30 Haziranda tüfe oranında zam yapılacak</t>
  </si>
  <si>
    <t>30 mayıstaki ödemeyle 01-01-2025 - 31-12-2025 kirasının ilk taksidi ödenmiş olacak</t>
  </si>
  <si>
    <t>aylık</t>
  </si>
  <si>
    <t>yıllık</t>
  </si>
  <si>
    <t>Ocak ayı tahmini kira bedeli</t>
  </si>
  <si>
    <t xml:space="preserve">10-11-23 e kadar yapılacak peşin ödeme  </t>
  </si>
  <si>
    <t>10-11-23 e kadar  7 aylık peşin ödeme yapılır ve ödemelere aylık devam edilirse aylık ödemeler</t>
  </si>
  <si>
    <t xml:space="preserve">10-11-23 e kadar  7 aylık peşin ödeme yapılır ve ödemelere aylık devam edilirse toplam kira </t>
  </si>
  <si>
    <t>Peşin Ödeme ile Kira Bedeli (10 aylık tüfe ile)</t>
  </si>
  <si>
    <t>Kasım ayı ortalama vade ile ödeme (peşinat 10-11-23 ilk aylık ödeme 30-11-2023)</t>
  </si>
  <si>
    <t>Aralık ayı ortalama vade ile ödeme (peşinat 10-11-23 ilk aylık ödeme 30-12-2023)</t>
  </si>
  <si>
    <t>Elektrik Teminat</t>
  </si>
  <si>
    <t>2022-4 elektrik tmnt</t>
  </si>
  <si>
    <t>2022-5 elektrik tmnt</t>
  </si>
  <si>
    <t>2022-6 elektrik tmnt</t>
  </si>
  <si>
    <t>2022-7 elektrik tmnt</t>
  </si>
  <si>
    <t>2022-12 elkrrik tmnt</t>
  </si>
  <si>
    <t>2023 e devreden teminat</t>
  </si>
  <si>
    <t>resmi işlemler</t>
  </si>
  <si>
    <t>2022-23 Kira Bedeli</t>
  </si>
  <si>
    <t>ödeme bankadan</t>
  </si>
  <si>
    <t>ödeme icradan avukattan geldi</t>
  </si>
  <si>
    <t>2022-23 Kira Bedelinden kalan</t>
  </si>
  <si>
    <t>TR  3100 0640 0000 1580 0126 8616</t>
  </si>
  <si>
    <t>Ali Umut BALCI İşbank hesabına yollanacak</t>
  </si>
  <si>
    <r>
      <t>Açıklamaya “</t>
    </r>
    <r>
      <rPr>
        <u/>
        <sz val="10"/>
        <color rgb="FF000000"/>
        <rFont val="Calibri"/>
        <family val="2"/>
        <charset val="162"/>
      </rPr>
      <t>2022-23 kira bedeli kalanı</t>
    </r>
    <r>
      <rPr>
        <sz val="10"/>
        <color rgb="FF000000"/>
        <rFont val="Calibri"/>
        <family val="2"/>
        <charset val="162"/>
      </rPr>
      <t>”</t>
    </r>
  </si>
  <si>
    <t>yazılacak</t>
  </si>
  <si>
    <t>19-4-23 banka havalesi ile ödenen</t>
  </si>
  <si>
    <t>2023-24 Kira Bedeli</t>
  </si>
  <si>
    <r>
      <t>Açıklamaya “</t>
    </r>
    <r>
      <rPr>
        <u/>
        <sz val="10"/>
        <color rgb="FF000000"/>
        <rFont val="Calibri"/>
        <family val="2"/>
        <charset val="162"/>
      </rPr>
      <t>2023-24 kira bedeli kalanı</t>
    </r>
    <r>
      <rPr>
        <sz val="10"/>
        <color rgb="FF000000"/>
        <rFont val="Calibri"/>
        <family val="2"/>
        <charset val="162"/>
      </rPr>
      <t>”</t>
    </r>
  </si>
  <si>
    <t>ziraat çek hmb tahsilatı</t>
  </si>
  <si>
    <t>resmi kalan miktar</t>
  </si>
  <si>
    <t xml:space="preserve">30-03-22 - 30-03-2023 </t>
  </si>
  <si>
    <t>icra masrafı</t>
  </si>
  <si>
    <t>2022 den kalann mermer hesabı</t>
  </si>
  <si>
    <t>2022 den 5 boy profil</t>
  </si>
  <si>
    <t>2023 Mart ayı elektrik bedeli</t>
  </si>
  <si>
    <t>avukattan gelen 13000 hesabından ödendi</t>
  </si>
  <si>
    <t>bedel</t>
  </si>
  <si>
    <t>ödeme</t>
  </si>
  <si>
    <t xml:space="preserve">31-3 31-12-2022 9 aylık kira bedeli </t>
  </si>
  <si>
    <t>peşin 48000 TL konuşuldu 36000 ödeme yapıldı</t>
  </si>
  <si>
    <t>kira dönemi 9 ay olarak uygulandı</t>
  </si>
  <si>
    <t>ödemeler elden nakit toplam 36000 TL</t>
  </si>
  <si>
    <t xml:space="preserve">SnyG  </t>
  </si>
  <si>
    <t>100 m2 Sanayi Pano</t>
  </si>
  <si>
    <t>Metin Çelik  - 2. yıl</t>
  </si>
  <si>
    <t>30-09-2023 – 29-09-2024 Ödenen</t>
  </si>
  <si>
    <t>tahliye etmek istediğini belirtti</t>
  </si>
  <si>
    <t>tahliye tarihinden itibaren 3 ay sonrasına kadar işyeri kiralanmazsa</t>
  </si>
  <si>
    <t>1) 3 aylık boş kaldığı için alınacağını;</t>
  </si>
  <si>
    <t>2) Tahliye sonrasında 3 ay içerisinde verilirse,</t>
  </si>
  <si>
    <t xml:space="preserve">     yeni başlangıç tarihine göre iade yapılacağını;</t>
  </si>
  <si>
    <t xml:space="preserve">3) Yeni kiralama yapılıncaya kadar geri ödeme yapılamayacağını, en geç kira bitim </t>
  </si>
  <si>
    <t xml:space="preserve">     tarihi olan 29-9-2024 tarihinde iade yapılabileceğini ;</t>
  </si>
  <si>
    <t>söyledim kabul etti</t>
  </si>
  <si>
    <t>30-09-2022 – 29-09-2023</t>
  </si>
  <si>
    <t>bedeli 48000 den kalan 4000</t>
  </si>
  <si>
    <t xml:space="preserve"> 2022 kiradan kalan 1000 5/8</t>
  </si>
  <si>
    <t xml:space="preserve"> 2022 kiradan kalan 1000 6/8</t>
  </si>
  <si>
    <t xml:space="preserve"> 2022 kiradan kalan 1000 7/8</t>
  </si>
  <si>
    <t xml:space="preserve"> 2022 kiradan kalan 1000 8/8</t>
  </si>
  <si>
    <t>1200 TL Elektrik Teminat Bedelinden kalan</t>
  </si>
  <si>
    <t>2023-01 elektrik tmnt 200 5/6</t>
  </si>
  <si>
    <t>2023-02 elektrik tmnt 200 6/6</t>
  </si>
  <si>
    <t>bankadan havale alumba hesabına</t>
  </si>
  <si>
    <t>2023 şubat elektrik</t>
  </si>
  <si>
    <t>elden nakit iade</t>
  </si>
  <si>
    <t>300 m2</t>
  </si>
  <si>
    <t>Bina Vergisi 1</t>
  </si>
  <si>
    <t>Kültür Vergisi 1</t>
  </si>
  <si>
    <t>Bina Vergisi 2</t>
  </si>
  <si>
    <t>Kültür Vergisi 2</t>
  </si>
  <si>
    <t>Genel Toplam</t>
  </si>
  <si>
    <t>HACI</t>
  </si>
  <si>
    <t>%</t>
  </si>
  <si>
    <t>Gelen</t>
  </si>
  <si>
    <t>Toplam</t>
  </si>
  <si>
    <t>snyG</t>
  </si>
  <si>
    <t>snyF</t>
  </si>
  <si>
    <t>snyE</t>
  </si>
  <si>
    <t>snyCD</t>
  </si>
  <si>
    <t>snyB</t>
  </si>
  <si>
    <t>snyA</t>
  </si>
  <si>
    <t>Ali Umut Balcı ya kira bedeli yazılmadan 10000 TL yollandı</t>
  </si>
  <si>
    <t>74000 TL Nakit Ödeme yapıldı</t>
  </si>
  <si>
    <t>ELEKTRİK (kendi abonesi var)</t>
  </si>
  <si>
    <t>Eylül</t>
  </si>
  <si>
    <t>Ekim</t>
  </si>
  <si>
    <t>Kasım</t>
  </si>
  <si>
    <t>Aralık</t>
  </si>
  <si>
    <t>Su (ödenmiş yazar)</t>
  </si>
  <si>
    <t>kepçenin bozduğu 60cm*10 mt galvenizli oluk</t>
  </si>
  <si>
    <t>kepçenin bozduğu 10 adet trapez sac</t>
  </si>
  <si>
    <t>( 0 TL )</t>
  </si>
  <si>
    <t>( 1200 TL )</t>
  </si>
  <si>
    <t>01-01-23 - 31-12-23 kira bedeli 2022 yılında  Ödendi</t>
  </si>
  <si>
    <t>SnyH  Yazıhane</t>
  </si>
  <si>
    <t>KALAN</t>
  </si>
  <si>
    <t>Ocak</t>
  </si>
  <si>
    <t>Şubat</t>
  </si>
  <si>
    <t>Mart</t>
  </si>
  <si>
    <t>Mayıs  0,04</t>
  </si>
  <si>
    <t>Nisan avukattan 13000 den</t>
  </si>
  <si>
    <t>Haziran</t>
  </si>
  <si>
    <t>Temmuz</t>
  </si>
  <si>
    <t>Ağustos</t>
  </si>
  <si>
    <t>Eylül 4,75</t>
  </si>
  <si>
    <t>10-05-2022   - 4000 nakit ödeme</t>
  </si>
  <si>
    <t>20-06-2022   - 4000 nakit ödeme</t>
  </si>
  <si>
    <t>31-3-2022 - 31-12-2022 9 aylık tutar</t>
  </si>
  <si>
    <t>Nakit Ödeme</t>
  </si>
  <si>
    <t>Hisse Oranı</t>
  </si>
  <si>
    <t>snyA-H</t>
  </si>
  <si>
    <t>Oran %</t>
  </si>
  <si>
    <t>Oran TL Tutar</t>
  </si>
  <si>
    <t>Ödendi</t>
  </si>
  <si>
    <t>Oran TL</t>
  </si>
  <si>
    <t>snyH- Yazıhane</t>
  </si>
  <si>
    <t>SnyE- Nakit-&gt;nazana</t>
  </si>
  <si>
    <t>Toplam Gelir</t>
  </si>
  <si>
    <t>Hacı</t>
  </si>
  <si>
    <t>Nazan</t>
  </si>
  <si>
    <t>Toplam Gelecek</t>
  </si>
  <si>
    <t>Kalan Gelecek</t>
  </si>
  <si>
    <t>toplam</t>
  </si>
  <si>
    <t>zekat %</t>
  </si>
  <si>
    <t>zekat</t>
  </si>
  <si>
    <t>Elektrik 1</t>
  </si>
  <si>
    <t>Elektrik 3-</t>
  </si>
  <si>
    <t>Elektrik 4-</t>
  </si>
  <si>
    <t>Elektrik 5-</t>
  </si>
  <si>
    <t>Elektrik 6–</t>
  </si>
  <si>
    <t>Elektrik 7–</t>
  </si>
  <si>
    <t>Elektrik 8-</t>
  </si>
  <si>
    <t>Elektrik 9-</t>
  </si>
  <si>
    <t>Elektrik 10-</t>
  </si>
  <si>
    <t>Elektrik 11-</t>
  </si>
  <si>
    <t>Elektrik 12-</t>
  </si>
  <si>
    <t>Elektrik 2-</t>
  </si>
  <si>
    <t>30-09-2024 – 31-12-2024</t>
  </si>
  <si>
    <t>15000*3 ay</t>
  </si>
  <si>
    <t>200 TL su alımı 08-01-24</t>
  </si>
  <si>
    <t>ortak hesaptan ödeme 08-01-24</t>
  </si>
  <si>
    <t>Nisan</t>
  </si>
  <si>
    <t>Mayıs</t>
  </si>
  <si>
    <t>1-1-24  -  31-12-24 kira bedeli</t>
  </si>
  <si>
    <t xml:space="preserve">kira bedeli 16 asgari ücret </t>
  </si>
  <si>
    <t>2024 için 1 defalık bir önceki yıl asgari ücreti uygulandı</t>
  </si>
  <si>
    <t>2025 te 2025 asgari ücret * 16 uygulanacak</t>
  </si>
  <si>
    <t>indiirim</t>
  </si>
  <si>
    <t>nakit ödeme</t>
  </si>
  <si>
    <t>bankadan umuta</t>
  </si>
  <si>
    <t>Salih Ant - 2.yıl</t>
  </si>
  <si>
    <t>01-01-23 - 31-12-23 kira bedeli</t>
  </si>
  <si>
    <t>3. yıl yıllık kira bedeli 16 asgari ücret uygulanacak</t>
  </si>
  <si>
    <t>Tahliye için icraya başvuruldu</t>
  </si>
  <si>
    <t>23-24 bedel 135000</t>
  </si>
  <si>
    <t>Gelen giden yok</t>
  </si>
  <si>
    <t>3*17000</t>
  </si>
  <si>
    <t>Yapılacak</t>
  </si>
  <si>
    <t>Kalacak</t>
  </si>
  <si>
    <t>Yapılan</t>
  </si>
  <si>
    <t>2023 yıl sonu nazan kira geliri</t>
  </si>
  <si>
    <t>2024 yılı Toplam</t>
  </si>
  <si>
    <t>nazan havale</t>
  </si>
  <si>
    <t>snyB- nakit</t>
  </si>
  <si>
    <t>2024 YILI NAZAN BALCI</t>
  </si>
  <si>
    <t>SnyD</t>
  </si>
  <si>
    <t>SnyC</t>
  </si>
  <si>
    <t>Bedel</t>
  </si>
  <si>
    <t>( 1000 TL )</t>
  </si>
  <si>
    <t>( 3100 TL )</t>
  </si>
  <si>
    <t>ortak hesaptan ödeme 18-03-24</t>
  </si>
  <si>
    <t>Kira vergi farkı</t>
  </si>
  <si>
    <t>Tüfe %</t>
  </si>
  <si>
    <t>Ödeme Umuta bankadan</t>
  </si>
  <si>
    <t>snyF-işbanktan</t>
  </si>
  <si>
    <t>snyE- işbanktan</t>
  </si>
  <si>
    <t>31-3-2022 Asgari ücret 4253 TL -  48000TL = 12 asgari ücret</t>
  </si>
  <si>
    <t xml:space="preserve"> Ödeme yapılmadı 4000   Ocak 2023 ödenmedi</t>
  </si>
  <si>
    <t xml:space="preserve"> Ödeme yapılmadı 4000   Şubat 2023 ödenmedi</t>
  </si>
  <si>
    <t xml:space="preserve"> Ödeme yapılmadı 4000   Mart 2023 ödenmedi</t>
  </si>
  <si>
    <t>Ocak 2023 ile yeni fiyat (6920) ve yeni dönem uygulandı</t>
  </si>
  <si>
    <t>Son 3 ayın ödemesi yapılmadığı için (3x4000) ilk kira dönemi Nisan Aralık olarak kapatıldı</t>
  </si>
  <si>
    <t xml:space="preserve">Nisan </t>
  </si>
  <si>
    <t xml:space="preserve">Mayıs </t>
  </si>
  <si>
    <t xml:space="preserve">Eylül </t>
  </si>
  <si>
    <t>30-04-2024 tarihinde hesap yapıldı</t>
  </si>
  <si>
    <t>BAKİYE</t>
  </si>
  <si>
    <t>Başlangıç Tarihi</t>
  </si>
  <si>
    <t>Bitiş Tarihi</t>
  </si>
  <si>
    <t>Nakit Ödeme  65000</t>
  </si>
  <si>
    <t>Taksit 1 6000</t>
  </si>
  <si>
    <t>Taksit 2 6000</t>
  </si>
  <si>
    <t>Taksit 3 6000</t>
  </si>
  <si>
    <t>Taksit 4 6000</t>
  </si>
  <si>
    <t>Taksit 5 7000</t>
  </si>
  <si>
    <t>ÖDENMEDİ</t>
  </si>
  <si>
    <t>Gün sayısı</t>
  </si>
  <si>
    <t>2023-24 günlük TL</t>
  </si>
  <si>
    <t>HESAPLAMA tarihi</t>
  </si>
  <si>
    <t>Hesap gün sayısı</t>
  </si>
  <si>
    <t>Hesaplanan bedel</t>
  </si>
  <si>
    <t>İADE bedeli</t>
  </si>
  <si>
    <t>İADE edilecek HESAP toplam</t>
  </si>
  <si>
    <t>+</t>
  </si>
  <si>
    <t>İADE Elektrik Teminat Bedeli</t>
  </si>
  <si>
    <t>Nisan 2024 fatura</t>
  </si>
  <si>
    <t>-</t>
  </si>
  <si>
    <t>İADE su bedeli</t>
  </si>
  <si>
    <t>ÖDENMEYEN Taksit 5</t>
  </si>
  <si>
    <t>İADE edilecek GENEL TOPLAM</t>
  </si>
  <si>
    <t xml:space="preserve"> - 2024 -</t>
  </si>
  <si>
    <t>Kasım - Aralık dahil hesap sıfırlandı</t>
  </si>
  <si>
    <t>06-06-2024-05-06-2025 Bedeli</t>
  </si>
  <si>
    <t>işbank umut ortak hesap</t>
  </si>
  <si>
    <t>nakit</t>
  </si>
  <si>
    <t>indirim</t>
  </si>
  <si>
    <t>Süleyman AKAN</t>
  </si>
  <si>
    <t xml:space="preserve">24-25 kira bedeli </t>
  </si>
  <si>
    <t>Kira gün sayısı (1,5 ay ek süre verildi)</t>
  </si>
  <si>
    <t xml:space="preserve">Nakit Ödeme  </t>
  </si>
  <si>
    <t xml:space="preserve">12 asgari ücret 17002*12 = </t>
  </si>
  <si>
    <t>gün</t>
  </si>
  <si>
    <t>xautryg</t>
  </si>
  <si>
    <t>gram</t>
  </si>
  <si>
    <t>görüşme yapıldı. hesap düzeltildi aşağıdaki şekle geldi 3 seçenekten tercih yapacaklar</t>
  </si>
  <si>
    <t>1- ay sonuna kadar kalan kira borcu ödenecek</t>
  </si>
  <si>
    <t>2- ödeme yapılmayacaksa dükkan boşaltılacak</t>
  </si>
  <si>
    <t>3- ödeme ve tahliye olmazsa hukuk yolu açık</t>
  </si>
  <si>
    <t>snyE Nakit Slmn</t>
  </si>
  <si>
    <t>snyE İADE Chn</t>
  </si>
  <si>
    <t>snyE- Nakit Slmn</t>
  </si>
  <si>
    <t xml:space="preserve">snyB- bankadan </t>
  </si>
  <si>
    <t>nakit ödme</t>
  </si>
  <si>
    <t>HESAP SIFIRLANDI</t>
  </si>
  <si>
    <r>
      <t>SnyE</t>
    </r>
    <r>
      <rPr>
        <b/>
        <sz val="12"/>
        <color rgb="FF000000"/>
        <rFont val="Ubuntu Condensed"/>
      </rPr>
      <t>.30.20240606.091</t>
    </r>
    <r>
      <rPr>
        <b/>
        <sz val="11"/>
        <color rgb="FF000000"/>
        <rFont val="Arial"/>
        <family val="2"/>
        <charset val="162"/>
      </rPr>
      <t xml:space="preserve"> - SULEYMAN AKAN</t>
    </r>
  </si>
  <si>
    <t>Sözleşme DV</t>
  </si>
  <si>
    <t>Usulsüzlük cezası</t>
  </si>
  <si>
    <t>tüfe</t>
  </si>
  <si>
    <t>aylık kira</t>
  </si>
  <si>
    <t>bakiye</t>
  </si>
  <si>
    <t>Ocak yıllık 83160*57,5%=131-&gt;168</t>
  </si>
  <si>
    <t>Ocak yıllık 131*57,5%=206-&gt;265</t>
  </si>
  <si>
    <t xml:space="preserve"> - 2025 -</t>
  </si>
  <si>
    <t xml:space="preserve"> - 2024 - 2025</t>
  </si>
  <si>
    <t xml:space="preserve">Tüfe endeks </t>
  </si>
  <si>
    <t xml:space="preserve"> Bedel</t>
  </si>
  <si>
    <t xml:space="preserve">tüfe 10 </t>
  </si>
  <si>
    <t>tüfe 9</t>
  </si>
  <si>
    <t>tüfe 8</t>
  </si>
  <si>
    <t>tüfe 7</t>
  </si>
  <si>
    <t>tüfe 6</t>
  </si>
  <si>
    <t>tüfe 5</t>
  </si>
  <si>
    <t>tüfe 4</t>
  </si>
  <si>
    <t>tüfe 3</t>
  </si>
  <si>
    <t>tüfe 2</t>
  </si>
  <si>
    <t>tüfe 01-2024</t>
  </si>
  <si>
    <t>kira tüfe farkı</t>
  </si>
  <si>
    <t>tüfe 12</t>
  </si>
  <si>
    <t>tüfe 11</t>
  </si>
  <si>
    <t>SNYCD-HESAP</t>
  </si>
  <si>
    <t>2024-2025 - 1/12 Aralık</t>
  </si>
  <si>
    <t>2023-2024 - 2/12 Ocak</t>
  </si>
  <si>
    <t>2023-2024 - 3/12 Şubat</t>
  </si>
  <si>
    <t>2023-2024 - 4/12 Mart</t>
  </si>
  <si>
    <t>2023-2024 - 5/12 Nisan</t>
  </si>
  <si>
    <t>2023-2024 - 6/12 Mayıs</t>
  </si>
  <si>
    <t>2023-2024 - 7/12 Haziran</t>
  </si>
  <si>
    <t>2023-2024 - 8/12 Temmuz</t>
  </si>
  <si>
    <t>2023-2024 - 9/12 Ağustos</t>
  </si>
  <si>
    <t xml:space="preserve">2023 - 2024 10/12 Eylül  </t>
  </si>
  <si>
    <t xml:space="preserve">2023-2024 - 11/12 Ekim </t>
  </si>
  <si>
    <t xml:space="preserve">tüfe 11 </t>
  </si>
  <si>
    <t>keşif harç masraf için emrullaha havale</t>
  </si>
  <si>
    <t>2024 - 12/12 Kasım</t>
  </si>
  <si>
    <t>tüfe 2025-02</t>
  </si>
  <si>
    <t>tüfe 2025-01</t>
  </si>
  <si>
    <t>tüfe 2024-12</t>
  </si>
  <si>
    <t>avukat-noter vs</t>
  </si>
  <si>
    <t>ödenmedi</t>
  </si>
  <si>
    <t>ÖDEME</t>
  </si>
  <si>
    <t>bedeli</t>
  </si>
  <si>
    <t>ödenecek</t>
  </si>
  <si>
    <t>boya masrafı</t>
  </si>
  <si>
    <t>snyF-icradan</t>
  </si>
  <si>
    <t>snyCD-işbank</t>
  </si>
  <si>
    <t>2025 yılı Toplam</t>
  </si>
  <si>
    <t>2025 YILI NAZAN BALCI</t>
  </si>
  <si>
    <t>snyB bankadan</t>
  </si>
  <si>
    <t xml:space="preserve">TOPLAM ÖDEME </t>
  </si>
  <si>
    <t>2024 yıl sonu nazan devreden kira geliri</t>
  </si>
  <si>
    <t>2025 e DEVREDEN</t>
  </si>
  <si>
    <t>2025 - 1/12 aralık</t>
  </si>
  <si>
    <t>240000* % 60 tüfe</t>
  </si>
  <si>
    <t>asg ücret</t>
  </si>
  <si>
    <t>adet</t>
  </si>
  <si>
    <t>2025 - 2/12 ocak</t>
  </si>
  <si>
    <t>2025 - 3/12 şubat</t>
  </si>
  <si>
    <t>2025 - 4/12 mart</t>
  </si>
  <si>
    <t>İSTİNAFTAN TAHLİYE KARARI GELDİ</t>
  </si>
  <si>
    <t>dava rededildi karşı avukat ücreti</t>
  </si>
  <si>
    <t>Tahliye taahütnamesi avukata verildi.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</si>
</sst>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dd&quot;.&quot;mm&quot;.&quot;yy;@"/>
    <numFmt numFmtId="165" formatCode="[$₺-41F]#,##0.00;[Red]&quot;-&quot;[$₺-41F]#,##0.00"/>
    <numFmt numFmtId="166" formatCode="dd&quot;.&quot;mm&quot;.&quot;yyyy"/>
    <numFmt numFmtId="167" formatCode="mmm&quot;.&quot;yy"/>
    <numFmt numFmtId="168" formatCode="%0.00"/>
    <numFmt numFmtId="169" formatCode="[$-41F]General"/>
    <numFmt numFmtId="170" formatCode="0.0000%"/>
    <numFmt numFmtId="171" formatCode="[$₺-41F]#,##0.00;[Red][$₺-41F]#,##0.00"/>
    <numFmt numFmtId="172" formatCode="d&quot;.&quot;mmm"/>
    <numFmt numFmtId="173" formatCode="dd\.mm\.yyyy"/>
    <numFmt numFmtId="174" formatCode="[$₺-41F]#,##0.00;[Red]\-[$₺-41F]#,##0.00"/>
    <numFmt numFmtId="175" formatCode="d\.mm\.yyyy"/>
    <numFmt numFmtId="176" formatCode="#,##0.00;[Red]#,##0.00"/>
    <numFmt numFmtId="177" formatCode="#,##0.000000000;[Red]\-#,##0.000000000"/>
    <numFmt numFmtId="178" formatCode="dd/mm/yy;@"/>
    <numFmt numFmtId="179" formatCode="0.00&quot; &quot;;[Red]&quot;-&quot;0.00&quot; &quot;"/>
    <numFmt numFmtId="180" formatCode="#,##0.00&quot; &quot;;[Red]&quot;-&quot;#,##0.00&quot; &quot;"/>
    <numFmt numFmtId="181" formatCode="[$-409]#,##0.00"/>
    <numFmt numFmtId="182" formatCode="[$-41F]#,##0.00"/>
    <numFmt numFmtId="183" formatCode="%0.0000"/>
  </numFmts>
  <fonts count="59">
    <font>
      <sz val="10"/>
      <color rgb="FF000000"/>
      <name val="Liberation Sans1"/>
      <charset val="162"/>
    </font>
    <font>
      <sz val="11"/>
      <color theme="1"/>
      <name val="Calibri"/>
      <family val="2"/>
      <charset val="162"/>
      <scheme val="minor"/>
    </font>
    <font>
      <sz val="10"/>
      <color rgb="FF000000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sz val="11"/>
      <color rgb="FF000000"/>
      <name val="Calibri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b/>
      <sz val="24"/>
      <color rgb="FF000000"/>
      <name val="Liberation Sans1"/>
      <charset val="162"/>
    </font>
    <font>
      <sz val="18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sz val="10"/>
      <color rgb="FF000000"/>
      <name val="Liberation Sans2"/>
      <charset val="162"/>
    </font>
    <font>
      <b/>
      <i/>
      <u/>
      <sz val="10"/>
      <color rgb="FF000000"/>
      <name val="Liberation Sans2"/>
      <charset val="162"/>
    </font>
    <font>
      <sz val="10"/>
      <color rgb="FF000000"/>
      <name val="Liberation Sans2"/>
      <charset val="162"/>
    </font>
    <font>
      <u/>
      <sz val="10"/>
      <color rgb="FF000000"/>
      <name val="Liberation Sans1"/>
      <charset val="162"/>
    </font>
    <font>
      <b/>
      <u/>
      <sz val="10"/>
      <color rgb="FF000000"/>
      <name val="Liberation Sans2"/>
      <charset val="162"/>
    </font>
    <font>
      <i/>
      <sz val="10"/>
      <color rgb="FF000000"/>
      <name val="Liberation Sans1"/>
      <charset val="162"/>
    </font>
    <font>
      <sz val="10"/>
      <color rgb="FF0D0D0D"/>
      <name val="Liberation Sans1"/>
      <charset val="162"/>
    </font>
    <font>
      <sz val="10"/>
      <color rgb="FF000000"/>
      <name val="Calibri"/>
      <family val="2"/>
      <charset val="162"/>
    </font>
    <font>
      <u/>
      <sz val="10"/>
      <color rgb="FF000000"/>
      <name val="Calibri"/>
      <family val="2"/>
      <charset val="162"/>
    </font>
    <font>
      <sz val="10"/>
      <color rgb="FFC9211E"/>
      <name val="Liberation Sans1"/>
      <charset val="162"/>
    </font>
    <font>
      <sz val="8"/>
      <color rgb="FF000000"/>
      <name val="Liberation Sans1"/>
      <charset val="162"/>
    </font>
    <font>
      <b/>
      <sz val="8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b/>
      <u/>
      <sz val="12"/>
      <color rgb="FF000000"/>
      <name val="Liberation Sans1"/>
      <charset val="162"/>
    </font>
    <font>
      <sz val="6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b/>
      <sz val="12"/>
      <color rgb="FF000000"/>
      <name val="Liberation Sans1"/>
      <charset val="162"/>
    </font>
    <font>
      <b/>
      <sz val="14"/>
      <color rgb="FF000000"/>
      <name val="Liberation Sans1"/>
      <charset val="162"/>
    </font>
    <font>
      <b/>
      <i/>
      <u/>
      <sz val="11"/>
      <color rgb="FFFF0000"/>
      <name val="Liberation Sans1"/>
      <charset val="162"/>
    </font>
    <font>
      <b/>
      <i/>
      <u/>
      <sz val="11"/>
      <color rgb="FF000000"/>
      <name val="Liberation Sans1"/>
      <charset val="162"/>
    </font>
    <font>
      <sz val="10"/>
      <color rgb="FFFF0000"/>
      <name val="Liberation Sans1"/>
      <charset val="162"/>
    </font>
    <font>
      <b/>
      <sz val="10"/>
      <color rgb="FF000000"/>
      <name val="Calibri"/>
      <family val="2"/>
      <charset val="162"/>
    </font>
    <font>
      <b/>
      <u/>
      <sz val="10"/>
      <color rgb="FFFF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b/>
      <i/>
      <sz val="10"/>
      <color rgb="FFFF0000"/>
      <name val="Calibri"/>
      <family val="2"/>
      <charset val="162"/>
    </font>
    <font>
      <b/>
      <i/>
      <sz val="11"/>
      <color rgb="FFFF0000"/>
      <name val="Calibri"/>
      <family val="2"/>
      <charset val="162"/>
    </font>
    <font>
      <b/>
      <i/>
      <u/>
      <sz val="11"/>
      <color rgb="FF000000"/>
      <name val="Calibri"/>
      <family val="2"/>
      <charset val="162"/>
    </font>
    <font>
      <sz val="10"/>
      <color rgb="FFFF0000"/>
      <name val="Calibri"/>
      <family val="2"/>
      <charset val="162"/>
    </font>
    <font>
      <b/>
      <sz val="16"/>
      <color rgb="FF000000"/>
      <name val="Liberation Sans1"/>
      <charset val="162"/>
    </font>
    <font>
      <b/>
      <sz val="11"/>
      <color rgb="FF000000"/>
      <name val="Arial"/>
      <family val="2"/>
      <charset val="162"/>
    </font>
    <font>
      <b/>
      <sz val="12"/>
      <color rgb="FF000000"/>
      <name val="Ubuntu Condensed"/>
    </font>
    <font>
      <sz val="10"/>
      <color rgb="FFFF0000"/>
      <name val="Liberation Sans2"/>
      <charset val="162"/>
    </font>
    <font>
      <sz val="8"/>
      <name val="Liberation Sans1"/>
      <charset val="162"/>
    </font>
    <font>
      <sz val="10"/>
      <color rgb="FF000000"/>
      <name val="Abyssinica SIL"/>
      <charset val="162"/>
    </font>
    <font>
      <b/>
      <sz val="11"/>
      <color rgb="FF000000"/>
      <name val="Abyssinica SIL"/>
      <charset val="162"/>
    </font>
    <font>
      <b/>
      <sz val="14"/>
      <color rgb="FF000000"/>
      <name val="Abyssinica SIL"/>
      <charset val="162"/>
    </font>
    <font>
      <b/>
      <u/>
      <sz val="10"/>
      <color rgb="FF000000"/>
      <name val="Abyssinica SIL"/>
      <charset val="162"/>
    </font>
    <font>
      <b/>
      <i/>
      <u/>
      <sz val="10"/>
      <color rgb="FF000000"/>
      <name val="Abyssinica SIL"/>
      <charset val="162"/>
    </font>
    <font>
      <sz val="9"/>
      <name val="Arial"/>
      <family val="2"/>
      <charset val="162"/>
    </font>
    <font>
      <sz val="10"/>
      <name val="Arial"/>
      <family val="2"/>
      <charset val="162"/>
    </font>
    <font>
      <b/>
      <sz val="12"/>
      <color rgb="FFFF0000"/>
      <name val="Abyssinica SIL"/>
      <charset val="162"/>
    </font>
    <font>
      <b/>
      <sz val="10"/>
      <color rgb="FF000000"/>
      <name val="Abyssinica SIL"/>
      <charset val="162"/>
    </font>
  </fonts>
  <fills count="4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7D1D5"/>
        <bgColor rgb="FFFFD7D7"/>
      </patternFill>
    </fill>
    <fill>
      <patternFill patternType="solid">
        <fgColor rgb="FFAFD095"/>
        <bgColor rgb="FFA9D08E"/>
      </patternFill>
    </fill>
    <fill>
      <patternFill patternType="solid">
        <fgColor rgb="FFFFFF00"/>
        <bgColor rgb="FFD4EA6B"/>
      </patternFill>
    </fill>
    <fill>
      <patternFill patternType="solid">
        <fgColor rgb="FFE2F0D9"/>
        <bgColor rgb="FFE2EFDA"/>
      </patternFill>
    </fill>
    <fill>
      <patternFill patternType="solid">
        <fgColor rgb="FF9BC2E6"/>
        <bgColor rgb="FFAFD095"/>
      </patternFill>
    </fill>
    <fill>
      <patternFill patternType="solid">
        <fgColor rgb="FFFCE4D6"/>
        <bgColor rgb="FFFFD8CE"/>
      </patternFill>
    </fill>
    <fill>
      <patternFill patternType="solid">
        <fgColor rgb="FFE2EFDA"/>
        <bgColor rgb="FFE2F0D9"/>
      </patternFill>
    </fill>
    <fill>
      <patternFill patternType="solid">
        <fgColor rgb="FFFFF2CC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FCE4D6"/>
        <bgColor rgb="FFFFF2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theme="5" tint="0.79998168889431442"/>
        <bgColor rgb="FFFFFFD7"/>
      </patternFill>
    </fill>
    <fill>
      <patternFill patternType="solid">
        <fgColor theme="9" tint="0.39997558519241921"/>
        <bgColor rgb="FFFFFFD7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CE4D6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FFF2CC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7"/>
        <bgColor rgb="FFFCE4D6"/>
      </patternFill>
    </fill>
    <fill>
      <patternFill patternType="solid">
        <fgColor theme="7"/>
        <bgColor rgb="FFE2EFDA"/>
      </patternFill>
    </fill>
    <fill>
      <patternFill patternType="solid">
        <fgColor theme="7" tint="0.79998168889431442"/>
        <bgColor rgb="FFFFD7D7"/>
      </patternFill>
    </fill>
    <fill>
      <patternFill patternType="solid">
        <fgColor theme="7" tint="0.79998168889431442"/>
        <bgColor rgb="FFF6F9D4"/>
      </patternFill>
    </fill>
    <fill>
      <patternFill patternType="solid">
        <fgColor theme="7" tint="0.79998168889431442"/>
        <bgColor rgb="FFFFFFD7"/>
      </patternFill>
    </fill>
    <fill>
      <patternFill patternType="solid">
        <fgColor theme="9" tint="0.79998168889431442"/>
        <bgColor rgb="FFF6F9D4"/>
      </patternFill>
    </fill>
    <fill>
      <patternFill patternType="solid">
        <fgColor theme="9" tint="0.79998168889431442"/>
        <bgColor rgb="FFFFFFD7"/>
      </patternFill>
    </fill>
    <fill>
      <patternFill patternType="solid">
        <fgColor theme="9" tint="0.79998168889431442"/>
        <bgColor rgb="FFA9D08E"/>
      </patternFill>
    </fill>
    <fill>
      <patternFill patternType="solid">
        <fgColor theme="3" tint="0.79998168889431442"/>
        <bgColor rgb="FFFFFFD7"/>
      </patternFill>
    </fill>
    <fill>
      <patternFill patternType="solid">
        <fgColor theme="3" tint="0.79998168889431442"/>
        <bgColor rgb="FFF6F9D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2">
    <xf numFmtId="0" fontId="0" fillId="0" borderId="0"/>
    <xf numFmtId="0" fontId="3" fillId="0" borderId="0" applyNumberFormat="0" applyBorder="0" applyProtection="0"/>
    <xf numFmtId="0" fontId="4" fillId="2" borderId="0" applyNumberFormat="0" applyBorder="0" applyProtection="0"/>
    <xf numFmtId="0" fontId="4" fillId="3" borderId="0" applyNumberFormat="0" applyBorder="0" applyProtection="0"/>
    <xf numFmtId="0" fontId="3" fillId="4" borderId="0" applyNumberFormat="0" applyBorder="0" applyProtection="0"/>
    <xf numFmtId="0" fontId="5" fillId="5" borderId="0" applyNumberFormat="0" applyBorder="0" applyProtection="0"/>
    <xf numFmtId="0" fontId="6" fillId="6" borderId="0" applyNumberFormat="0" applyBorder="0" applyProtection="0"/>
    <xf numFmtId="169" fontId="7" fillId="0" borderId="0" applyBorder="0" applyProtection="0"/>
    <xf numFmtId="0" fontId="8" fillId="0" borderId="0" applyNumberFormat="0" applyBorder="0" applyProtection="0"/>
    <xf numFmtId="0" fontId="9" fillId="7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0" borderId="0" applyNumberFormat="0" applyBorder="0" applyProtection="0"/>
    <xf numFmtId="0" fontId="13" fillId="0" borderId="0" applyNumberFormat="0" applyBorder="0" applyProtection="0"/>
    <xf numFmtId="0" fontId="14" fillId="8" borderId="0" applyNumberFormat="0" applyBorder="0" applyProtection="0"/>
    <xf numFmtId="0" fontId="15" fillId="8" borderId="1" applyNumberFormat="0" applyProtection="0"/>
    <xf numFmtId="0" fontId="16" fillId="0" borderId="0" applyNumberFormat="0" applyBorder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5" fillId="0" borderId="0" applyNumberFormat="0" applyBorder="0" applyProtection="0"/>
    <xf numFmtId="0" fontId="1" fillId="0" borderId="0"/>
    <xf numFmtId="0" fontId="56" fillId="0" borderId="0">
      <alignment vertical="center"/>
    </xf>
  </cellStyleXfs>
  <cellXfs count="261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right"/>
    </xf>
    <xf numFmtId="165" fontId="3" fillId="0" borderId="0" xfId="0" applyNumberFormat="1" applyFont="1"/>
    <xf numFmtId="164" fontId="0" fillId="0" borderId="0" xfId="0" applyNumberFormat="1" applyAlignment="1">
      <alignment horizontal="center"/>
    </xf>
    <xf numFmtId="0" fontId="17" fillId="0" borderId="0" xfId="0" applyFont="1"/>
    <xf numFmtId="4" fontId="17" fillId="0" borderId="0" xfId="0" applyNumberFormat="1" applyFont="1" applyAlignment="1">
      <alignment horizontal="right"/>
    </xf>
    <xf numFmtId="164" fontId="18" fillId="0" borderId="2" xfId="0" applyNumberFormat="1" applyFont="1" applyBorder="1" applyAlignment="1">
      <alignment horizontal="center"/>
    </xf>
    <xf numFmtId="0" fontId="18" fillId="0" borderId="2" xfId="0" applyFont="1" applyBorder="1"/>
    <xf numFmtId="4" fontId="18" fillId="0" borderId="2" xfId="0" applyNumberFormat="1" applyFont="1" applyBorder="1" applyAlignment="1">
      <alignment horizontal="right"/>
    </xf>
    <xf numFmtId="0" fontId="17" fillId="0" borderId="3" xfId="0" applyFont="1" applyBorder="1" applyAlignment="1">
      <alignment horizontal="left"/>
    </xf>
    <xf numFmtId="0" fontId="19" fillId="0" borderId="0" xfId="0" applyFont="1" applyAlignment="1">
      <alignment horizontal="right"/>
    </xf>
    <xf numFmtId="4" fontId="17" fillId="9" borderId="0" xfId="0" applyNumberFormat="1" applyFont="1" applyFill="1"/>
    <xf numFmtId="4" fontId="17" fillId="10" borderId="0" xfId="0" applyNumberFormat="1" applyFont="1" applyFill="1"/>
    <xf numFmtId="4" fontId="17" fillId="11" borderId="0" xfId="0" applyNumberFormat="1" applyFont="1" applyFill="1"/>
    <xf numFmtId="4" fontId="3" fillId="12" borderId="0" xfId="0" applyNumberFormat="1" applyFont="1" applyFill="1"/>
    <xf numFmtId="4" fontId="17" fillId="13" borderId="0" xfId="0" applyNumberFormat="1" applyFont="1" applyFill="1" applyAlignment="1">
      <alignment horizontal="right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19" fillId="0" borderId="4" xfId="0" applyFont="1" applyBorder="1" applyAlignment="1">
      <alignment horizontal="right"/>
    </xf>
    <xf numFmtId="4" fontId="3" fillId="0" borderId="4" xfId="0" applyNumberFormat="1" applyFont="1" applyBorder="1"/>
    <xf numFmtId="0" fontId="0" fillId="9" borderId="0" xfId="0" applyFill="1"/>
    <xf numFmtId="4" fontId="0" fillId="10" borderId="0" xfId="0" applyNumberFormat="1" applyFill="1"/>
    <xf numFmtId="164" fontId="18" fillId="0" borderId="0" xfId="0" applyNumberFormat="1" applyFont="1" applyAlignment="1">
      <alignment horizontal="center"/>
    </xf>
    <xf numFmtId="4" fontId="18" fillId="9" borderId="0" xfId="0" applyNumberFormat="1" applyFont="1" applyFill="1" applyAlignment="1">
      <alignment horizontal="right"/>
    </xf>
    <xf numFmtId="4" fontId="19" fillId="10" borderId="0" xfId="0" applyNumberFormat="1" applyFont="1" applyFill="1" applyAlignment="1">
      <alignment horizontal="right"/>
    </xf>
    <xf numFmtId="4" fontId="19" fillId="11" borderId="0" xfId="0" applyNumberFormat="1" applyFont="1" applyFill="1" applyAlignment="1">
      <alignment horizontal="right"/>
    </xf>
    <xf numFmtId="4" fontId="18" fillId="0" borderId="0" xfId="0" applyNumberFormat="1" applyFont="1" applyAlignment="1">
      <alignment horizontal="right"/>
    </xf>
    <xf numFmtId="4" fontId="19" fillId="0" borderId="0" xfId="0" applyNumberFormat="1" applyFont="1" applyAlignment="1">
      <alignment horizontal="right"/>
    </xf>
    <xf numFmtId="164" fontId="18" fillId="0" borderId="4" xfId="0" applyNumberFormat="1" applyFont="1" applyBorder="1" applyAlignment="1">
      <alignment horizontal="center"/>
    </xf>
    <xf numFmtId="4" fontId="18" fillId="0" borderId="4" xfId="0" applyNumberFormat="1" applyFont="1" applyBorder="1" applyAlignment="1">
      <alignment horizontal="right"/>
    </xf>
    <xf numFmtId="4" fontId="19" fillId="0" borderId="4" xfId="0" applyNumberFormat="1" applyFont="1" applyBorder="1" applyAlignment="1">
      <alignment horizontal="right"/>
    </xf>
    <xf numFmtId="164" fontId="18" fillId="0" borderId="3" xfId="0" applyNumberFormat="1" applyFont="1" applyBorder="1" applyAlignment="1">
      <alignment horizontal="center"/>
    </xf>
    <xf numFmtId="0" fontId="0" fillId="0" borderId="3" xfId="0" applyBorder="1"/>
    <xf numFmtId="4" fontId="18" fillId="0" borderId="3" xfId="0" applyNumberFormat="1" applyFont="1" applyBorder="1" applyAlignment="1">
      <alignment horizontal="right"/>
    </xf>
    <xf numFmtId="4" fontId="19" fillId="0" borderId="3" xfId="0" applyNumberFormat="1" applyFont="1" applyBorder="1" applyAlignment="1">
      <alignment horizontal="right"/>
    </xf>
    <xf numFmtId="4" fontId="17" fillId="13" borderId="3" xfId="0" applyNumberFormat="1" applyFont="1" applyFill="1" applyBorder="1" applyAlignment="1">
      <alignment horizontal="right"/>
    </xf>
    <xf numFmtId="0" fontId="21" fillId="0" borderId="4" xfId="0" applyFont="1" applyBorder="1"/>
    <xf numFmtId="0" fontId="20" fillId="0" borderId="4" xfId="0" applyFont="1" applyBorder="1"/>
    <xf numFmtId="4" fontId="0" fillId="0" borderId="4" xfId="0" applyNumberFormat="1" applyBorder="1"/>
    <xf numFmtId="4" fontId="21" fillId="12" borderId="4" xfId="0" applyNumberFormat="1" applyFont="1" applyFill="1" applyBorder="1"/>
    <xf numFmtId="4" fontId="21" fillId="0" borderId="0" xfId="0" applyNumberFormat="1" applyFont="1"/>
    <xf numFmtId="4" fontId="17" fillId="0" borderId="0" xfId="0" applyNumberFormat="1" applyFont="1"/>
    <xf numFmtId="168" fontId="0" fillId="0" borderId="0" xfId="0" applyNumberFormat="1"/>
    <xf numFmtId="0" fontId="17" fillId="0" borderId="4" xfId="0" applyFont="1" applyBorder="1"/>
    <xf numFmtId="0" fontId="17" fillId="0" borderId="0" xfId="0" applyFont="1" applyAlignment="1">
      <alignment horizontal="right"/>
    </xf>
    <xf numFmtId="4" fontId="17" fillId="14" borderId="0" xfId="0" applyNumberFormat="1" applyFont="1" applyFill="1"/>
    <xf numFmtId="4" fontId="17" fillId="0" borderId="4" xfId="0" applyNumberFormat="1" applyFont="1" applyBorder="1"/>
    <xf numFmtId="4" fontId="3" fillId="0" borderId="0" xfId="0" applyNumberFormat="1" applyFont="1"/>
    <xf numFmtId="4" fontId="3" fillId="13" borderId="0" xfId="0" applyNumberFormat="1" applyFont="1" applyFill="1"/>
    <xf numFmtId="0" fontId="3" fillId="0" borderId="3" xfId="0" applyFont="1" applyBorder="1"/>
    <xf numFmtId="166" fontId="0" fillId="0" borderId="0" xfId="0" applyNumberFormat="1"/>
    <xf numFmtId="167" fontId="0" fillId="0" borderId="0" xfId="0" applyNumberFormat="1"/>
    <xf numFmtId="0" fontId="17" fillId="0" borderId="4" xfId="0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17" fillId="14" borderId="4" xfId="0" applyFont="1" applyFill="1" applyBorder="1" applyAlignment="1">
      <alignment horizontal="right"/>
    </xf>
    <xf numFmtId="4" fontId="3" fillId="14" borderId="4" xfId="0" applyNumberFormat="1" applyFont="1" applyFill="1" applyBorder="1"/>
    <xf numFmtId="4" fontId="19" fillId="9" borderId="0" xfId="0" applyNumberFormat="1" applyFont="1" applyFill="1"/>
    <xf numFmtId="4" fontId="22" fillId="0" borderId="0" xfId="0" applyNumberFormat="1" applyFont="1"/>
    <xf numFmtId="0" fontId="23" fillId="0" borderId="0" xfId="0" applyFont="1"/>
    <xf numFmtId="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6" fillId="0" borderId="5" xfId="0" applyFont="1" applyBorder="1"/>
    <xf numFmtId="0" fontId="0" fillId="0" borderId="6" xfId="0" applyBorder="1"/>
    <xf numFmtId="4" fontId="0" fillId="0" borderId="6" xfId="0" applyNumberFormat="1" applyBorder="1"/>
    <xf numFmtId="4" fontId="3" fillId="0" borderId="7" xfId="0" applyNumberFormat="1" applyFont="1" applyBorder="1"/>
    <xf numFmtId="4" fontId="0" fillId="0" borderId="8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4" fontId="3" fillId="0" borderId="11" xfId="0" applyNumberFormat="1" applyFont="1" applyBorder="1"/>
    <xf numFmtId="4" fontId="0" fillId="0" borderId="12" xfId="0" applyNumberFormat="1" applyBorder="1"/>
    <xf numFmtId="0" fontId="3" fillId="0" borderId="11" xfId="0" applyFont="1" applyBorder="1"/>
    <xf numFmtId="4" fontId="0" fillId="0" borderId="11" xfId="0" applyNumberFormat="1" applyBorder="1"/>
    <xf numFmtId="4" fontId="24" fillId="0" borderId="11" xfId="0" applyNumberFormat="1" applyFont="1" applyBorder="1"/>
    <xf numFmtId="4" fontId="26" fillId="0" borderId="0" xfId="0" applyNumberFormat="1" applyFont="1"/>
    <xf numFmtId="0" fontId="0" fillId="0" borderId="11" xfId="0" applyBorder="1"/>
    <xf numFmtId="0" fontId="24" fillId="0" borderId="11" xfId="0" applyFont="1" applyBorder="1"/>
    <xf numFmtId="0" fontId="0" fillId="0" borderId="13" xfId="0" applyBorder="1"/>
    <xf numFmtId="0" fontId="0" fillId="0" borderId="2" xfId="0" applyBorder="1"/>
    <xf numFmtId="4" fontId="0" fillId="0" borderId="14" xfId="0" applyNumberFormat="1" applyBorder="1"/>
    <xf numFmtId="4" fontId="3" fillId="0" borderId="0" xfId="0" applyNumberFormat="1" applyFont="1" applyAlignment="1">
      <alignment horizontal="right"/>
    </xf>
    <xf numFmtId="172" fontId="0" fillId="0" borderId="0" xfId="0" applyNumberFormat="1"/>
    <xf numFmtId="0" fontId="16" fillId="0" borderId="0" xfId="0" applyFont="1"/>
    <xf numFmtId="4" fontId="16" fillId="0" borderId="0" xfId="0" applyNumberFormat="1" applyFont="1" applyAlignment="1">
      <alignment horizontal="right"/>
    </xf>
    <xf numFmtId="166" fontId="3" fillId="0" borderId="0" xfId="0" applyNumberFormat="1" applyFont="1"/>
    <xf numFmtId="164" fontId="29" fillId="0" borderId="4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171" fontId="0" fillId="0" borderId="0" xfId="0" applyNumberFormat="1"/>
    <xf numFmtId="0" fontId="19" fillId="0" borderId="0" xfId="0" applyFont="1" applyAlignment="1">
      <alignment horizontal="left"/>
    </xf>
    <xf numFmtId="16" fontId="0" fillId="0" borderId="0" xfId="0" applyNumberFormat="1"/>
    <xf numFmtId="173" fontId="3" fillId="0" borderId="0" xfId="0" applyNumberFormat="1" applyFont="1"/>
    <xf numFmtId="174" fontId="3" fillId="0" borderId="0" xfId="0" applyNumberFormat="1" applyFont="1"/>
    <xf numFmtId="40" fontId="0" fillId="0" borderId="0" xfId="0" applyNumberFormat="1"/>
    <xf numFmtId="0" fontId="30" fillId="0" borderId="0" xfId="0" applyFont="1"/>
    <xf numFmtId="0" fontId="0" fillId="0" borderId="0" xfId="0" applyAlignment="1">
      <alignment horizontal="center"/>
    </xf>
    <xf numFmtId="0" fontId="31" fillId="0" borderId="0" xfId="0" applyFont="1"/>
    <xf numFmtId="175" fontId="0" fillId="15" borderId="0" xfId="0" applyNumberFormat="1" applyFill="1"/>
    <xf numFmtId="40" fontId="3" fillId="0" borderId="0" xfId="0" applyNumberFormat="1" applyFont="1"/>
    <xf numFmtId="40" fontId="32" fillId="16" borderId="0" xfId="0" applyNumberFormat="1" applyFont="1" applyFill="1"/>
    <xf numFmtId="0" fontId="0" fillId="18" borderId="0" xfId="0" applyFill="1"/>
    <xf numFmtId="40" fontId="0" fillId="18" borderId="0" xfId="0" applyNumberFormat="1" applyFill="1"/>
    <xf numFmtId="0" fontId="0" fillId="15" borderId="0" xfId="0" applyFill="1"/>
    <xf numFmtId="0" fontId="32" fillId="0" borderId="0" xfId="0" applyFont="1" applyAlignment="1">
      <alignment horizontal="center"/>
    </xf>
    <xf numFmtId="170" fontId="27" fillId="0" borderId="0" xfId="0" applyNumberFormat="1" applyFont="1" applyAlignment="1">
      <alignment horizontal="center"/>
    </xf>
    <xf numFmtId="176" fontId="0" fillId="0" borderId="0" xfId="0" applyNumberFormat="1"/>
    <xf numFmtId="170" fontId="28" fillId="16" borderId="0" xfId="0" applyNumberFormat="1" applyFont="1" applyFill="1" applyAlignment="1">
      <alignment horizontal="center"/>
    </xf>
    <xf numFmtId="40" fontId="3" fillId="0" borderId="15" xfId="0" applyNumberFormat="1" applyFont="1" applyBorder="1"/>
    <xf numFmtId="40" fontId="0" fillId="0" borderId="15" xfId="0" applyNumberFormat="1" applyBorder="1"/>
    <xf numFmtId="177" fontId="0" fillId="0" borderId="0" xfId="0" applyNumberFormat="1"/>
    <xf numFmtId="40" fontId="0" fillId="0" borderId="16" xfId="0" applyNumberFormat="1" applyBorder="1"/>
    <xf numFmtId="168" fontId="0" fillId="0" borderId="0" xfId="0" applyNumberFormat="1" applyAlignment="1">
      <alignment horizontal="right"/>
    </xf>
    <xf numFmtId="0" fontId="34" fillId="0" borderId="0" xfId="0" applyFont="1"/>
    <xf numFmtId="4" fontId="0" fillId="0" borderId="17" xfId="0" applyNumberFormat="1" applyBorder="1"/>
    <xf numFmtId="0" fontId="0" fillId="19" borderId="0" xfId="0" applyFill="1"/>
    <xf numFmtId="0" fontId="3" fillId="19" borderId="0" xfId="0" applyFont="1" applyFill="1"/>
    <xf numFmtId="40" fontId="3" fillId="19" borderId="0" xfId="0" applyNumberFormat="1" applyFont="1" applyFill="1"/>
    <xf numFmtId="174" fontId="3" fillId="0" borderId="0" xfId="0" applyNumberFormat="1" applyFont="1" applyAlignment="1">
      <alignment horizontal="right"/>
    </xf>
    <xf numFmtId="0" fontId="0" fillId="18" borderId="0" xfId="0" applyFill="1" applyAlignment="1">
      <alignment horizontal="right"/>
    </xf>
    <xf numFmtId="40" fontId="35" fillId="17" borderId="0" xfId="0" applyNumberFormat="1" applyFont="1" applyFill="1"/>
    <xf numFmtId="40" fontId="36" fillId="20" borderId="0" xfId="0" applyNumberFormat="1" applyFont="1" applyFill="1"/>
    <xf numFmtId="175" fontId="0" fillId="0" borderId="0" xfId="0" applyNumberFormat="1"/>
    <xf numFmtId="174" fontId="3" fillId="21" borderId="0" xfId="0" applyNumberFormat="1" applyFont="1" applyFill="1"/>
    <xf numFmtId="0" fontId="0" fillId="21" borderId="0" xfId="0" applyFill="1"/>
    <xf numFmtId="171" fontId="0" fillId="21" borderId="0" xfId="0" applyNumberFormat="1" applyFill="1"/>
    <xf numFmtId="0" fontId="0" fillId="19" borderId="0" xfId="0" applyFill="1" applyAlignment="1">
      <alignment horizontal="right"/>
    </xf>
    <xf numFmtId="174" fontId="3" fillId="19" borderId="0" xfId="0" applyNumberFormat="1" applyFont="1" applyFill="1" applyAlignment="1">
      <alignment horizontal="center"/>
    </xf>
    <xf numFmtId="0" fontId="0" fillId="19" borderId="0" xfId="0" applyFill="1" applyAlignment="1">
      <alignment horizontal="center"/>
    </xf>
    <xf numFmtId="40" fontId="0" fillId="19" borderId="0" xfId="0" applyNumberFormat="1" applyFill="1" applyAlignment="1">
      <alignment horizontal="right"/>
    </xf>
    <xf numFmtId="175" fontId="0" fillId="22" borderId="0" xfId="0" applyNumberFormat="1" applyFill="1"/>
    <xf numFmtId="0" fontId="0" fillId="22" borderId="0" xfId="0" applyFill="1"/>
    <xf numFmtId="40" fontId="0" fillId="22" borderId="0" xfId="0" applyNumberFormat="1" applyFill="1"/>
    <xf numFmtId="175" fontId="0" fillId="23" borderId="0" xfId="0" applyNumberFormat="1" applyFill="1"/>
    <xf numFmtId="0" fontId="0" fillId="23" borderId="0" xfId="0" applyFill="1"/>
    <xf numFmtId="40" fontId="0" fillId="23" borderId="0" xfId="0" applyNumberFormat="1" applyFill="1"/>
    <xf numFmtId="0" fontId="33" fillId="0" borderId="0" xfId="0" applyFont="1" applyAlignment="1">
      <alignment horizontal="center"/>
    </xf>
    <xf numFmtId="4" fontId="19" fillId="24" borderId="0" xfId="0" applyNumberFormat="1" applyFont="1" applyFill="1"/>
    <xf numFmtId="17" fontId="0" fillId="0" borderId="0" xfId="0" applyNumberFormat="1"/>
    <xf numFmtId="14" fontId="0" fillId="0" borderId="0" xfId="0" applyNumberFormat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6" borderId="0" xfId="0" applyFill="1" applyAlignment="1">
      <alignment horizontal="right"/>
    </xf>
    <xf numFmtId="166" fontId="24" fillId="0" borderId="0" xfId="0" applyNumberFormat="1" applyFont="1"/>
    <xf numFmtId="0" fontId="38" fillId="0" borderId="0" xfId="0" applyFont="1"/>
    <xf numFmtId="0" fontId="24" fillId="0" borderId="0" xfId="0" applyFont="1"/>
    <xf numFmtId="4" fontId="24" fillId="0" borderId="0" xfId="0" applyNumberFormat="1" applyFont="1"/>
    <xf numFmtId="0" fontId="39" fillId="0" borderId="18" xfId="0" applyFont="1" applyBorder="1"/>
    <xf numFmtId="0" fontId="40" fillId="0" borderId="0" xfId="0" applyFont="1"/>
    <xf numFmtId="166" fontId="41" fillId="14" borderId="18" xfId="0" applyNumberFormat="1" applyFont="1" applyFill="1" applyBorder="1"/>
    <xf numFmtId="0" fontId="41" fillId="14" borderId="0" xfId="0" applyFont="1" applyFill="1"/>
    <xf numFmtId="0" fontId="41" fillId="0" borderId="0" xfId="0" applyFont="1"/>
    <xf numFmtId="4" fontId="42" fillId="0" borderId="0" xfId="0" applyNumberFormat="1" applyFont="1"/>
    <xf numFmtId="0" fontId="24" fillId="28" borderId="0" xfId="0" applyFont="1" applyFill="1"/>
    <xf numFmtId="4" fontId="43" fillId="28" borderId="18" xfId="0" applyNumberFormat="1" applyFont="1" applyFill="1" applyBorder="1"/>
    <xf numFmtId="0" fontId="44" fillId="0" borderId="18" xfId="0" applyFont="1" applyBorder="1"/>
    <xf numFmtId="0" fontId="38" fillId="28" borderId="18" xfId="0" applyFont="1" applyFill="1" applyBorder="1"/>
    <xf numFmtId="0" fontId="24" fillId="28" borderId="18" xfId="0" applyFont="1" applyFill="1" applyBorder="1"/>
    <xf numFmtId="0" fontId="45" fillId="0" borderId="0" xfId="0" applyFont="1" applyAlignment="1">
      <alignment horizontal="center"/>
    </xf>
    <xf numFmtId="178" fontId="0" fillId="0" borderId="0" xfId="0" applyNumberFormat="1" applyAlignment="1">
      <alignment horizontal="center"/>
    </xf>
    <xf numFmtId="178" fontId="18" fillId="0" borderId="2" xfId="0" applyNumberFormat="1" applyFont="1" applyBorder="1" applyAlignment="1">
      <alignment horizontal="center"/>
    </xf>
    <xf numFmtId="178" fontId="18" fillId="0" borderId="0" xfId="0" applyNumberFormat="1" applyFont="1" applyAlignment="1">
      <alignment horizontal="center"/>
    </xf>
    <xf numFmtId="178" fontId="18" fillId="0" borderId="4" xfId="0" applyNumberFormat="1" applyFont="1" applyBorder="1" applyAlignment="1">
      <alignment horizontal="center"/>
    </xf>
    <xf numFmtId="178" fontId="18" fillId="0" borderId="3" xfId="0" applyNumberFormat="1" applyFont="1" applyBorder="1" applyAlignment="1">
      <alignment horizontal="center"/>
    </xf>
    <xf numFmtId="178" fontId="29" fillId="0" borderId="4" xfId="0" applyNumberFormat="1" applyFont="1" applyBorder="1" applyAlignment="1">
      <alignment horizontal="center"/>
    </xf>
    <xf numFmtId="178" fontId="0" fillId="0" borderId="0" xfId="0" applyNumberFormat="1"/>
    <xf numFmtId="178" fontId="0" fillId="0" borderId="0" xfId="0" applyNumberFormat="1" applyAlignment="1">
      <alignment horizontal="right"/>
    </xf>
    <xf numFmtId="178" fontId="45" fillId="0" borderId="0" xfId="0" applyNumberFormat="1" applyFont="1" applyAlignment="1">
      <alignment horizontal="center"/>
    </xf>
    <xf numFmtId="178" fontId="16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8" fontId="3" fillId="0" borderId="0" xfId="0" applyNumberFormat="1" applyFont="1"/>
    <xf numFmtId="40" fontId="37" fillId="16" borderId="0" xfId="0" applyNumberFormat="1" applyFont="1" applyFill="1"/>
    <xf numFmtId="175" fontId="0" fillId="29" borderId="0" xfId="0" applyNumberFormat="1" applyFill="1"/>
    <xf numFmtId="0" fontId="0" fillId="29" borderId="0" xfId="0" applyFill="1"/>
    <xf numFmtId="40" fontId="37" fillId="30" borderId="0" xfId="0" applyNumberFormat="1" applyFont="1" applyFill="1"/>
    <xf numFmtId="0" fontId="3" fillId="23" borderId="0" xfId="0" applyFont="1" applyFill="1"/>
    <xf numFmtId="4" fontId="37" fillId="31" borderId="0" xfId="0" applyNumberFormat="1" applyFont="1" applyFill="1"/>
    <xf numFmtId="0" fontId="46" fillId="0" borderId="0" xfId="0" applyFont="1"/>
    <xf numFmtId="178" fontId="37" fillId="32" borderId="0" xfId="0" applyNumberFormat="1" applyFont="1" applyFill="1"/>
    <xf numFmtId="0" fontId="37" fillId="32" borderId="0" xfId="0" applyFont="1" applyFill="1"/>
    <xf numFmtId="4" fontId="37" fillId="32" borderId="0" xfId="0" applyNumberFormat="1" applyFont="1" applyFill="1"/>
    <xf numFmtId="4" fontId="48" fillId="33" borderId="0" xfId="0" applyNumberFormat="1" applyFont="1" applyFill="1"/>
    <xf numFmtId="4" fontId="48" fillId="34" borderId="0" xfId="0" applyNumberFormat="1" applyFont="1" applyFill="1" applyAlignment="1">
      <alignment horizontal="right"/>
    </xf>
    <xf numFmtId="4" fontId="48" fillId="35" borderId="0" xfId="0" applyNumberFormat="1" applyFont="1" applyFill="1" applyAlignment="1">
      <alignment horizontal="right"/>
    </xf>
    <xf numFmtId="0" fontId="16" fillId="0" borderId="0" xfId="0" applyFont="1" applyAlignment="1">
      <alignment horizontal="right"/>
    </xf>
    <xf numFmtId="4" fontId="19" fillId="36" borderId="0" xfId="0" applyNumberFormat="1" applyFont="1" applyFill="1"/>
    <xf numFmtId="4" fontId="19" fillId="37" borderId="0" xfId="0" applyNumberFormat="1" applyFont="1" applyFill="1"/>
    <xf numFmtId="4" fontId="19" fillId="38" borderId="0" xfId="0" applyNumberFormat="1" applyFont="1" applyFill="1" applyAlignment="1">
      <alignment horizontal="right"/>
    </xf>
    <xf numFmtId="0" fontId="20" fillId="27" borderId="0" xfId="0" applyFont="1" applyFill="1"/>
    <xf numFmtId="0" fontId="29" fillId="27" borderId="0" xfId="0" applyFont="1" applyFill="1"/>
    <xf numFmtId="0" fontId="3" fillId="27" borderId="0" xfId="0" applyFont="1" applyFill="1"/>
    <xf numFmtId="4" fontId="17" fillId="36" borderId="0" xfId="0" applyNumberFormat="1" applyFont="1" applyFill="1"/>
    <xf numFmtId="164" fontId="50" fillId="0" borderId="0" xfId="0" applyNumberFormat="1" applyFont="1" applyAlignment="1">
      <alignment vertical="center"/>
    </xf>
    <xf numFmtId="164" fontId="51" fillId="0" borderId="0" xfId="0" applyNumberFormat="1" applyFont="1" applyAlignment="1">
      <alignment vertical="center"/>
    </xf>
    <xf numFmtId="179" fontId="50" fillId="0" borderId="0" xfId="0" applyNumberFormat="1" applyFont="1" applyAlignment="1">
      <alignment vertical="center"/>
    </xf>
    <xf numFmtId="10" fontId="50" fillId="0" borderId="0" xfId="0" applyNumberFormat="1" applyFont="1" applyAlignment="1">
      <alignment vertical="center"/>
    </xf>
    <xf numFmtId="0" fontId="50" fillId="0" borderId="0" xfId="0" applyFont="1" applyAlignment="1">
      <alignment vertical="center"/>
    </xf>
    <xf numFmtId="180" fontId="50" fillId="0" borderId="0" xfId="0" applyNumberFormat="1" applyFont="1" applyAlignment="1">
      <alignment vertical="center"/>
    </xf>
    <xf numFmtId="181" fontId="50" fillId="0" borderId="0" xfId="0" applyNumberFormat="1" applyFont="1" applyAlignment="1">
      <alignment vertical="center"/>
    </xf>
    <xf numFmtId="164" fontId="50" fillId="0" borderId="4" xfId="0" applyNumberFormat="1" applyFont="1" applyBorder="1" applyAlignment="1">
      <alignment vertical="center"/>
    </xf>
    <xf numFmtId="0" fontId="50" fillId="0" borderId="4" xfId="0" applyFont="1" applyBorder="1" applyAlignment="1">
      <alignment vertical="center"/>
    </xf>
    <xf numFmtId="179" fontId="50" fillId="0" borderId="4" xfId="0" applyNumberFormat="1" applyFont="1" applyBorder="1" applyAlignment="1">
      <alignment vertical="center"/>
    </xf>
    <xf numFmtId="10" fontId="50" fillId="0" borderId="4" xfId="0" applyNumberFormat="1" applyFont="1" applyBorder="1" applyAlignment="1">
      <alignment vertical="center"/>
    </xf>
    <xf numFmtId="180" fontId="50" fillId="0" borderId="4" xfId="0" applyNumberFormat="1" applyFont="1" applyBorder="1" applyAlignment="1">
      <alignment vertical="center"/>
    </xf>
    <xf numFmtId="181" fontId="50" fillId="0" borderId="4" xfId="0" applyNumberFormat="1" applyFont="1" applyBorder="1" applyAlignment="1">
      <alignment vertical="center"/>
    </xf>
    <xf numFmtId="164" fontId="52" fillId="0" borderId="0" xfId="0" applyNumberFormat="1" applyFont="1" applyAlignment="1">
      <alignment vertical="center"/>
    </xf>
    <xf numFmtId="0" fontId="53" fillId="0" borderId="0" xfId="0" applyFont="1" applyAlignment="1">
      <alignment vertical="center"/>
    </xf>
    <xf numFmtId="180" fontId="54" fillId="0" borderId="0" xfId="0" applyNumberFormat="1" applyFont="1" applyAlignment="1">
      <alignment vertical="center"/>
    </xf>
    <xf numFmtId="181" fontId="16" fillId="0" borderId="0" xfId="0" applyNumberFormat="1" applyFont="1" applyAlignment="1">
      <alignment vertical="center"/>
    </xf>
    <xf numFmtId="164" fontId="54" fillId="0" borderId="0" xfId="0" applyNumberFormat="1" applyFont="1" applyAlignment="1">
      <alignment vertical="center"/>
    </xf>
    <xf numFmtId="0" fontId="54" fillId="0" borderId="0" xfId="0" applyFont="1" applyAlignment="1">
      <alignment vertical="center"/>
    </xf>
    <xf numFmtId="179" fontId="54" fillId="0" borderId="0" xfId="0" applyNumberFormat="1" applyFont="1" applyAlignment="1">
      <alignment vertical="center"/>
    </xf>
    <xf numFmtId="10" fontId="54" fillId="0" borderId="0" xfId="0" applyNumberFormat="1" applyFont="1" applyAlignment="1">
      <alignment vertical="center"/>
    </xf>
    <xf numFmtId="0" fontId="54" fillId="0" borderId="0" xfId="0" applyFont="1" applyAlignment="1">
      <alignment horizontal="right" vertical="center"/>
    </xf>
    <xf numFmtId="180" fontId="54" fillId="0" borderId="0" xfId="0" applyNumberFormat="1" applyFont="1" applyAlignment="1">
      <alignment horizontal="right" vertical="center"/>
    </xf>
    <xf numFmtId="181" fontId="54" fillId="0" borderId="0" xfId="0" applyNumberFormat="1" applyFont="1" applyAlignment="1">
      <alignment horizontal="right" vertical="center"/>
    </xf>
    <xf numFmtId="182" fontId="50" fillId="0" borderId="0" xfId="7" applyNumberFormat="1" applyFont="1"/>
    <xf numFmtId="4" fontId="50" fillId="0" borderId="0" xfId="0" applyNumberFormat="1" applyFont="1" applyAlignment="1">
      <alignment vertical="center"/>
    </xf>
    <xf numFmtId="181" fontId="50" fillId="0" borderId="0" xfId="0" applyNumberFormat="1" applyFont="1" applyAlignment="1">
      <alignment horizontal="right" vertical="center"/>
    </xf>
    <xf numFmtId="179" fontId="50" fillId="32" borderId="0" xfId="0" applyNumberFormat="1" applyFont="1" applyFill="1" applyAlignment="1">
      <alignment vertical="center"/>
    </xf>
    <xf numFmtId="4" fontId="48" fillId="10" borderId="0" xfId="0" applyNumberFormat="1" applyFont="1" applyFill="1" applyAlignment="1">
      <alignment horizontal="right"/>
    </xf>
    <xf numFmtId="2" fontId="55" fillId="0" borderId="19" xfId="20" applyNumberFormat="1" applyFont="1" applyFill="1" applyBorder="1"/>
    <xf numFmtId="2" fontId="55" fillId="0" borderId="19" xfId="20" applyNumberFormat="1" applyFont="1" applyFill="1" applyBorder="1"/>
    <xf numFmtId="175" fontId="0" fillId="39" borderId="0" xfId="0" applyNumberFormat="1" applyFill="1"/>
    <xf numFmtId="0" fontId="0" fillId="39" borderId="0" xfId="0" applyFill="1"/>
    <xf numFmtId="175" fontId="0" fillId="40" borderId="0" xfId="0" applyNumberFormat="1" applyFill="1"/>
    <xf numFmtId="0" fontId="0" fillId="40" borderId="0" xfId="0" applyFill="1"/>
    <xf numFmtId="175" fontId="0" fillId="41" borderId="0" xfId="0" applyNumberFormat="1" applyFill="1"/>
    <xf numFmtId="0" fontId="0" fillId="41" borderId="0" xfId="0" applyFill="1"/>
    <xf numFmtId="0" fontId="3" fillId="41" borderId="0" xfId="0" applyFont="1" applyFill="1"/>
    <xf numFmtId="0" fontId="3" fillId="40" borderId="0" xfId="0" applyFont="1" applyFill="1"/>
    <xf numFmtId="40" fontId="0" fillId="42" borderId="0" xfId="0" applyNumberFormat="1" applyFill="1"/>
    <xf numFmtId="40" fontId="0" fillId="43" borderId="0" xfId="0" applyNumberFormat="1" applyFill="1"/>
    <xf numFmtId="40" fontId="3" fillId="42" borderId="0" xfId="0" applyNumberFormat="1" applyFont="1" applyFill="1"/>
    <xf numFmtId="40" fontId="37" fillId="44" borderId="0" xfId="0" applyNumberFormat="1" applyFont="1" applyFill="1"/>
    <xf numFmtId="40" fontId="3" fillId="43" borderId="0" xfId="0" applyNumberFormat="1" applyFont="1" applyFill="1"/>
    <xf numFmtId="174" fontId="3" fillId="0" borderId="20" xfId="0" applyNumberFormat="1" applyFont="1" applyBorder="1"/>
    <xf numFmtId="171" fontId="3" fillId="0" borderId="21" xfId="0" applyNumberFormat="1" applyFont="1" applyBorder="1" applyAlignment="1">
      <alignment horizontal="right"/>
    </xf>
    <xf numFmtId="174" fontId="3" fillId="21" borderId="22" xfId="0" applyNumberFormat="1" applyFont="1" applyFill="1" applyBorder="1"/>
    <xf numFmtId="171" fontId="3" fillId="0" borderId="22" xfId="0" applyNumberFormat="1" applyFont="1" applyBorder="1"/>
    <xf numFmtId="40" fontId="3" fillId="18" borderId="0" xfId="0" applyNumberFormat="1" applyFont="1" applyFill="1"/>
    <xf numFmtId="0" fontId="0" fillId="45" borderId="0" xfId="0" applyFill="1"/>
    <xf numFmtId="40" fontId="0" fillId="45" borderId="0" xfId="0" applyNumberFormat="1" applyFill="1"/>
    <xf numFmtId="0" fontId="3" fillId="46" borderId="0" xfId="0" applyFont="1" applyFill="1"/>
    <xf numFmtId="40" fontId="3" fillId="46" borderId="0" xfId="0" applyNumberFormat="1" applyFont="1" applyFill="1"/>
    <xf numFmtId="0" fontId="3" fillId="45" borderId="0" xfId="0" applyFont="1" applyFill="1"/>
    <xf numFmtId="40" fontId="3" fillId="45" borderId="0" xfId="0" applyNumberFormat="1" applyFont="1" applyFill="1"/>
    <xf numFmtId="40" fontId="3" fillId="47" borderId="0" xfId="0" applyNumberFormat="1" applyFont="1" applyFill="1"/>
    <xf numFmtId="0" fontId="3" fillId="0" borderId="20" xfId="0" applyFont="1" applyBorder="1" applyAlignment="1">
      <alignment horizontal="right"/>
    </xf>
    <xf numFmtId="183" fontId="30" fillId="0" borderId="0" xfId="0" applyNumberFormat="1" applyFont="1"/>
    <xf numFmtId="183" fontId="33" fillId="16" borderId="0" xfId="0" applyNumberFormat="1" applyFont="1" applyFill="1" applyAlignment="1">
      <alignment horizontal="center"/>
    </xf>
    <xf numFmtId="180" fontId="0" fillId="0" borderId="0" xfId="0" applyNumberFormat="1"/>
    <xf numFmtId="14" fontId="0" fillId="32" borderId="0" xfId="0" applyNumberFormat="1" applyFill="1"/>
    <xf numFmtId="16" fontId="0" fillId="32" borderId="0" xfId="0" applyNumberFormat="1" applyFill="1"/>
    <xf numFmtId="0" fontId="0" fillId="32" borderId="0" xfId="0" applyFill="1"/>
    <xf numFmtId="4" fontId="19" fillId="32" borderId="0" xfId="0" applyNumberFormat="1" applyFont="1" applyFill="1"/>
    <xf numFmtId="4" fontId="0" fillId="32" borderId="0" xfId="0" applyNumberFormat="1" applyFill="1"/>
    <xf numFmtId="182" fontId="57" fillId="0" borderId="0" xfId="7" applyNumberFormat="1" applyFont="1"/>
    <xf numFmtId="180" fontId="58" fillId="0" borderId="0" xfId="0" applyNumberFormat="1" applyFont="1" applyAlignment="1">
      <alignment vertical="center"/>
    </xf>
  </cellXfs>
  <cellStyles count="22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Excel Built-in Normal" xfId="7" xr:uid="{00000000-0005-0000-0000-000006000000}"/>
    <cellStyle name="Footnote" xfId="8" xr:uid="{00000000-0005-0000-0000-000007000000}"/>
    <cellStyle name="Good" xfId="9" xr:uid="{00000000-0005-0000-0000-000008000000}"/>
    <cellStyle name="Heading" xfId="10" xr:uid="{00000000-0005-0000-0000-000009000000}"/>
    <cellStyle name="Heading 1" xfId="11" xr:uid="{00000000-0005-0000-0000-00000A000000}"/>
    <cellStyle name="Heading 2" xfId="12" xr:uid="{00000000-0005-0000-0000-00000B000000}"/>
    <cellStyle name="Hyperlink" xfId="13" xr:uid="{00000000-0005-0000-0000-00000C000000}"/>
    <cellStyle name="Neutral" xfId="14" xr:uid="{00000000-0005-0000-0000-00000D000000}"/>
    <cellStyle name="Normal" xfId="0" builtinId="0" customBuiltin="1"/>
    <cellStyle name="Normal 2" xfId="21" xr:uid="{0C4B450B-2E42-45E7-88E9-149834F883CB}"/>
    <cellStyle name="Normal 3" xfId="20" xr:uid="{987A8240-C803-4F59-AF25-39925FA1612F}"/>
    <cellStyle name="Note" xfId="15" xr:uid="{00000000-0005-0000-0000-00000F000000}"/>
    <cellStyle name="Result" xfId="16" xr:uid="{00000000-0005-0000-0000-000010000000}"/>
    <cellStyle name="Status" xfId="17" xr:uid="{00000000-0005-0000-0000-000011000000}"/>
    <cellStyle name="Text" xfId="18" xr:uid="{00000000-0005-0000-0000-000012000000}"/>
    <cellStyle name="Warning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5396B-AF3B-4E02-B816-7FFFC3CDB203}" name="Tablo142" displayName="Tablo142" ref="A24:H40" totalsRowShown="0">
  <autoFilter ref="A24:H40" xr:uid="{2302621F-B3C3-4429-8379-CD484CA39087}"/>
  <tableColumns count="8">
    <tableColumn id="1" xr3:uid="{411BB1D6-998E-4B35-80A9-FDD140F71C9B}" name="Tarih"/>
    <tableColumn id="2" xr3:uid="{279E89D5-CF7B-4AA4-8F3F-A2F7799804F3}" name="Açıklama"/>
    <tableColumn id="3" xr3:uid="{7B6F3018-A9BB-490E-873E-D93844513DCF}" name="snyA-H"/>
    <tableColumn id="4" xr3:uid="{FA32F072-E2EA-46AC-B242-F6C7256D57BC}" name="Oran %"/>
    <tableColumn id="5" xr3:uid="{D9E41724-8CD4-47D3-8C33-64A9C6B329F5}" name="Oran TL Tutar"/>
    <tableColumn id="6" xr3:uid="{ABC94480-EC81-475F-9675-83716669439E}" name="Ödendi"/>
    <tableColumn id="7" xr3:uid="{DA0E4B3E-9561-4A95-BB81-1101733DF7BB}" name="Oran TL"/>
    <tableColumn id="8" xr3:uid="{92FAC635-681E-4D15-B288-C760EFC78F48}" name="Genel Topla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02621F-B3C3-4429-8379-CD484CA39087}" name="Tablo14" displayName="Tablo14" ref="A24:H40" totalsRowShown="0">
  <autoFilter ref="A24:H40" xr:uid="{2302621F-B3C3-4429-8379-CD484CA39087}"/>
  <tableColumns count="8">
    <tableColumn id="1" xr3:uid="{D3DD65DA-8808-4B04-9C86-0D85ADD82B5F}" name="Tarih"/>
    <tableColumn id="2" xr3:uid="{5717C5FB-B766-4D73-8672-0AAAD2937C24}" name="Açıklama"/>
    <tableColumn id="3" xr3:uid="{89EE31E2-A42F-4877-981F-1AD43D1BA579}" name="snyA-H"/>
    <tableColumn id="4" xr3:uid="{2C74D526-76AE-45B3-8ED3-34B547F5F19C}" name="Oran %"/>
    <tableColumn id="5" xr3:uid="{FF61029D-C373-4F48-BE25-FA23C4D47302}" name="Oran TL Tutar"/>
    <tableColumn id="6" xr3:uid="{C8EE4F5A-3B03-4513-A996-F1054732C903}" name="Ödendi"/>
    <tableColumn id="7" xr3:uid="{DFDC7D2F-5C5D-4ABD-B796-80B42B53CF4F}" name="Oran TL"/>
    <tableColumn id="8" xr3:uid="{E37AF0A7-7DD7-4037-8EEA-4D76051BEE3C}" name="Genel Topla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F30"/>
  <sheetViews>
    <sheetView zoomScale="145" zoomScaleNormal="145" workbookViewId="0">
      <selection activeCell="B30" sqref="B30"/>
    </sheetView>
  </sheetViews>
  <sheetFormatPr defaultRowHeight="12.75"/>
  <cols>
    <col min="1" max="1" width="12.140625" customWidth="1"/>
    <col min="2" max="2" width="26.7109375" customWidth="1"/>
    <col min="3" max="3" width="12.140625" customWidth="1"/>
    <col min="4" max="4" width="13" customWidth="1"/>
    <col min="5" max="5" width="11.7109375" customWidth="1"/>
    <col min="6" max="6" width="11.140625" bestFit="1" customWidth="1"/>
    <col min="7" max="7" width="9.140625" customWidth="1"/>
  </cols>
  <sheetData>
    <row r="6" spans="1:6" ht="15.75">
      <c r="A6" s="137">
        <v>2024</v>
      </c>
      <c r="B6" s="1" t="s">
        <v>0</v>
      </c>
      <c r="F6" s="2" t="s">
        <v>1</v>
      </c>
    </row>
    <row r="7" spans="1:6">
      <c r="C7" s="2" t="s">
        <v>2</v>
      </c>
      <c r="D7" s="2" t="s">
        <v>3</v>
      </c>
      <c r="E7" s="2" t="s">
        <v>4</v>
      </c>
      <c r="F7" s="2" t="s">
        <v>5</v>
      </c>
    </row>
    <row r="8" spans="1:6">
      <c r="A8" t="s">
        <v>6</v>
      </c>
      <c r="B8" t="s">
        <v>7</v>
      </c>
      <c r="C8" s="3">
        <f>'SnyA105-22'!E4</f>
        <v>45000</v>
      </c>
      <c r="D8" s="3">
        <f>'SnyA105-22'!F4</f>
        <v>0</v>
      </c>
      <c r="E8" s="4">
        <f t="shared" ref="E8:E13" si="0">C8-D8</f>
        <v>45000</v>
      </c>
      <c r="F8" s="4">
        <f>'SnyA105-22'!E6</f>
        <v>0</v>
      </c>
    </row>
    <row r="9" spans="1:6">
      <c r="A9" t="s">
        <v>8</v>
      </c>
      <c r="B9" t="s">
        <v>9</v>
      </c>
      <c r="C9" s="3">
        <f>'SnyB202-22'!D4</f>
        <v>170000</v>
      </c>
      <c r="D9" s="3">
        <f>'SnyB202-22'!E4</f>
        <v>170000</v>
      </c>
      <c r="E9" s="4">
        <f t="shared" si="0"/>
        <v>0</v>
      </c>
      <c r="F9" s="4">
        <f>'SnyB202-22'!D6</f>
        <v>-1225.58</v>
      </c>
    </row>
    <row r="10" spans="1:6">
      <c r="A10" t="s">
        <v>10</v>
      </c>
      <c r="B10" t="s">
        <v>11</v>
      </c>
      <c r="C10" s="3">
        <f>'SnyC301-22'!E4</f>
        <v>162230</v>
      </c>
      <c r="D10" s="3">
        <f>'SnyC301-22'!F4</f>
        <v>135000</v>
      </c>
      <c r="E10" s="4">
        <f t="shared" si="0"/>
        <v>27230</v>
      </c>
      <c r="F10" s="4">
        <f>'SnyC301-22'!E6</f>
        <v>-4079.59</v>
      </c>
    </row>
    <row r="11" spans="1:6">
      <c r="A11" t="s">
        <v>12</v>
      </c>
      <c r="B11" t="s">
        <v>13</v>
      </c>
      <c r="C11" s="3">
        <f>'SnyE502-22'!D4</f>
        <v>7000</v>
      </c>
      <c r="D11" s="3">
        <f>'SnyE502-22'!E4</f>
        <v>0</v>
      </c>
      <c r="E11" s="4">
        <f t="shared" si="0"/>
        <v>7000</v>
      </c>
      <c r="F11" s="4">
        <f>'SnyE502-22'!D6</f>
        <v>-794.6</v>
      </c>
    </row>
    <row r="12" spans="1:6">
      <c r="A12" t="s">
        <v>14</v>
      </c>
      <c r="B12" t="s">
        <v>15</v>
      </c>
      <c r="C12" s="3">
        <f>'SnyF601-22'!E4</f>
        <v>447218.53578899364</v>
      </c>
      <c r="D12" s="3">
        <f>'SnyF601-22'!F4</f>
        <v>184917.52</v>
      </c>
      <c r="E12" s="4">
        <f t="shared" si="0"/>
        <v>262301.01578899368</v>
      </c>
      <c r="F12" s="4">
        <f>'SnyF601-22'!E6</f>
        <v>-2824.5300000000007</v>
      </c>
    </row>
    <row r="13" spans="1:6">
      <c r="A13" t="s">
        <v>16</v>
      </c>
      <c r="B13" t="s">
        <v>17</v>
      </c>
      <c r="C13" s="3">
        <f>'SnyG702-22'!D4</f>
        <v>51000</v>
      </c>
      <c r="D13" s="3">
        <f>'SnyG702-22'!E4</f>
        <v>0</v>
      </c>
      <c r="E13" s="4">
        <f t="shared" si="0"/>
        <v>51000</v>
      </c>
      <c r="F13" s="4">
        <f>'SnyG702-22'!D6</f>
        <v>-1200</v>
      </c>
    </row>
    <row r="14" spans="1:6">
      <c r="A14" t="s">
        <v>18</v>
      </c>
      <c r="B14" t="s">
        <v>19</v>
      </c>
      <c r="C14" s="4">
        <f>SnH_yazıhane!F2*-1</f>
        <v>-3999.1</v>
      </c>
      <c r="D14" s="4">
        <f>C14</f>
        <v>-3999.1</v>
      </c>
      <c r="E14" s="4">
        <f>C14-D14</f>
        <v>0</v>
      </c>
    </row>
    <row r="15" spans="1:6">
      <c r="E15" s="4"/>
    </row>
    <row r="16" spans="1:6">
      <c r="B16" s="5" t="s">
        <v>20</v>
      </c>
      <c r="C16" s="6">
        <f>SUM(C8:C14)</f>
        <v>878449.43578899361</v>
      </c>
      <c r="D16" s="6">
        <f>SUM(D8:D14)</f>
        <v>485918.42000000004</v>
      </c>
      <c r="E16" s="6">
        <f>SUM(E8:E14)</f>
        <v>392531.01578899368</v>
      </c>
      <c r="F16" s="6">
        <f>SUM(F8:F14)</f>
        <v>-10124.300000000001</v>
      </c>
    </row>
    <row r="18" spans="1:6">
      <c r="D18" s="90"/>
    </row>
    <row r="19" spans="1:6" ht="15.75">
      <c r="A19" s="137">
        <v>2025</v>
      </c>
      <c r="B19" s="1" t="s">
        <v>0</v>
      </c>
      <c r="F19" s="2" t="s">
        <v>1</v>
      </c>
    </row>
    <row r="20" spans="1:6">
      <c r="C20" s="2" t="s">
        <v>2</v>
      </c>
      <c r="D20" s="2" t="s">
        <v>3</v>
      </c>
      <c r="E20" s="2" t="s">
        <v>4</v>
      </c>
      <c r="F20" s="2" t="s">
        <v>5</v>
      </c>
    </row>
    <row r="21" spans="1:6">
      <c r="A21" t="s">
        <v>6</v>
      </c>
      <c r="B21" t="s">
        <v>7</v>
      </c>
      <c r="C21" s="3">
        <v>150</v>
      </c>
      <c r="D21" s="3">
        <v>0</v>
      </c>
      <c r="E21" s="4">
        <f t="shared" ref="E21:E27" si="1">C21-D21</f>
        <v>150</v>
      </c>
      <c r="F21" s="4">
        <f>'SnyA105-22'!E19</f>
        <v>0</v>
      </c>
    </row>
    <row r="22" spans="1:6">
      <c r="A22" t="s">
        <v>8</v>
      </c>
      <c r="B22" t="s">
        <v>9</v>
      </c>
      <c r="C22" s="3">
        <v>250</v>
      </c>
      <c r="D22" s="3">
        <v>0</v>
      </c>
      <c r="E22" s="4">
        <f t="shared" si="1"/>
        <v>250</v>
      </c>
      <c r="F22" s="4">
        <f>'SnyB202-22'!D19</f>
        <v>0</v>
      </c>
    </row>
    <row r="23" spans="1:6">
      <c r="A23" t="s">
        <v>343</v>
      </c>
      <c r="C23" s="3">
        <v>170</v>
      </c>
      <c r="D23" s="3">
        <f>'SnyC301-22'!F18</f>
        <v>0</v>
      </c>
      <c r="E23" s="4">
        <f t="shared" si="1"/>
        <v>170</v>
      </c>
      <c r="F23" s="4">
        <f>'SnyC301-22'!E20</f>
        <v>0</v>
      </c>
    </row>
    <row r="24" spans="1:6">
      <c r="A24" t="s">
        <v>342</v>
      </c>
      <c r="C24" s="3">
        <v>170</v>
      </c>
      <c r="D24" s="3">
        <v>0</v>
      </c>
      <c r="E24" s="4">
        <f t="shared" si="1"/>
        <v>170</v>
      </c>
      <c r="F24" s="4"/>
    </row>
    <row r="25" spans="1:6">
      <c r="A25" t="s">
        <v>12</v>
      </c>
      <c r="B25" t="s">
        <v>13</v>
      </c>
      <c r="C25" s="3">
        <v>170</v>
      </c>
      <c r="D25" s="3">
        <f>'SnyE502-22'!E17</f>
        <v>0</v>
      </c>
      <c r="E25" s="4">
        <f t="shared" si="1"/>
        <v>170</v>
      </c>
      <c r="F25" s="4">
        <f>'SnyE502-22'!D19</f>
        <v>0</v>
      </c>
    </row>
    <row r="26" spans="1:6">
      <c r="A26" t="s">
        <v>14</v>
      </c>
      <c r="B26" t="s">
        <v>15</v>
      </c>
      <c r="C26" s="3">
        <v>170</v>
      </c>
      <c r="D26" s="3">
        <f>'SnyF601-22'!F17</f>
        <v>0</v>
      </c>
      <c r="E26" s="4">
        <f t="shared" si="1"/>
        <v>170</v>
      </c>
      <c r="F26" s="4" t="e">
        <f>'SnyF601-22'!#REF!</f>
        <v>#REF!</v>
      </c>
    </row>
    <row r="27" spans="1:6">
      <c r="A27" t="s">
        <v>16</v>
      </c>
      <c r="B27" t="s">
        <v>17</v>
      </c>
      <c r="C27" s="3">
        <v>170</v>
      </c>
      <c r="D27" s="3">
        <f>'SnyG702-22'!E17</f>
        <v>0</v>
      </c>
      <c r="E27" s="4">
        <f t="shared" si="1"/>
        <v>170</v>
      </c>
      <c r="F27" s="4">
        <f>'SnyG702-22'!D19</f>
        <v>0</v>
      </c>
    </row>
    <row r="28" spans="1:6">
      <c r="A28" t="s">
        <v>18</v>
      </c>
      <c r="B28" t="s">
        <v>19</v>
      </c>
      <c r="C28" s="4">
        <f>SnH_yazıhane!F15*-1</f>
        <v>0</v>
      </c>
      <c r="D28" s="4">
        <f>C28</f>
        <v>0</v>
      </c>
      <c r="E28" s="4">
        <f>C28-D28</f>
        <v>0</v>
      </c>
    </row>
    <row r="29" spans="1:6">
      <c r="E29" s="4"/>
    </row>
    <row r="30" spans="1:6">
      <c r="B30" s="5" t="s">
        <v>20</v>
      </c>
      <c r="C30" s="6">
        <f>SUM(C21:C28)</f>
        <v>1250</v>
      </c>
      <c r="D30" s="6">
        <f>SUM(D21:D28)</f>
        <v>0</v>
      </c>
      <c r="E30" s="6">
        <f>SUM(E21:E28)</f>
        <v>1250</v>
      </c>
      <c r="F30" s="6" t="e">
        <f>SUM(F21:F28)</f>
        <v>#REF!</v>
      </c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abSelected="1" zoomScale="205" zoomScaleNormal="205" workbookViewId="0">
      <selection activeCell="C96" sqref="C96"/>
    </sheetView>
  </sheetViews>
  <sheetFormatPr defaultRowHeight="12.75"/>
  <cols>
    <col min="1" max="1" width="9.42578125" style="7" customWidth="1"/>
    <col min="2" max="2" width="24.140625" customWidth="1"/>
    <col min="3" max="3" width="7" customWidth="1"/>
    <col min="4" max="4" width="12.140625" customWidth="1"/>
    <col min="5" max="5" width="12.140625" style="3" customWidth="1"/>
    <col min="6" max="8" width="12.140625" customWidth="1"/>
    <col min="9" max="9" width="9.140625" customWidth="1"/>
  </cols>
  <sheetData>
    <row r="1" spans="1:7">
      <c r="B1" s="8" t="s">
        <v>21</v>
      </c>
      <c r="C1" s="8"/>
      <c r="D1" s="8"/>
      <c r="F1" s="3"/>
      <c r="G1" s="9" t="s">
        <v>22</v>
      </c>
    </row>
    <row r="2" spans="1:7">
      <c r="B2" s="8"/>
      <c r="C2" s="8"/>
      <c r="D2" s="8"/>
      <c r="F2" s="3"/>
      <c r="G2" s="3"/>
    </row>
    <row r="3" spans="1:7" ht="13.5" thickBot="1">
      <c r="A3" s="10" t="s">
        <v>23</v>
      </c>
      <c r="B3" s="11" t="s">
        <v>24</v>
      </c>
      <c r="C3" s="11"/>
      <c r="D3" s="11"/>
      <c r="E3" s="12" t="s">
        <v>25</v>
      </c>
      <c r="F3" s="12" t="s">
        <v>3</v>
      </c>
      <c r="G3" s="12" t="s">
        <v>26</v>
      </c>
    </row>
    <row r="4" spans="1:7">
      <c r="B4" s="13" t="s">
        <v>20</v>
      </c>
      <c r="C4" s="89"/>
      <c r="D4" s="14"/>
      <c r="E4" s="15">
        <f>SUM(E9:E20)</f>
        <v>45000</v>
      </c>
      <c r="F4" s="16">
        <f>SUM(F9:F20)</f>
        <v>0</v>
      </c>
      <c r="G4" s="17">
        <f>G20</f>
        <v>45000</v>
      </c>
    </row>
    <row r="5" spans="1:7">
      <c r="B5" s="14" t="s">
        <v>27</v>
      </c>
      <c r="C5" s="14"/>
      <c r="D5" s="14"/>
      <c r="E5" s="18">
        <f>G40</f>
        <v>0</v>
      </c>
      <c r="F5" s="3"/>
    </row>
    <row r="6" spans="1:7">
      <c r="B6" s="14" t="s">
        <v>5</v>
      </c>
      <c r="C6" s="14"/>
      <c r="E6" s="19">
        <f>G37</f>
        <v>0</v>
      </c>
      <c r="F6" s="14"/>
      <c r="G6" s="9"/>
    </row>
    <row r="7" spans="1:7">
      <c r="A7" s="20"/>
      <c r="B7" s="21"/>
      <c r="C7" s="21"/>
      <c r="D7" s="22"/>
      <c r="E7" s="21"/>
      <c r="F7" s="22" t="s">
        <v>28</v>
      </c>
      <c r="G7" s="23">
        <f>F4-E5</f>
        <v>0</v>
      </c>
    </row>
    <row r="8" spans="1:7">
      <c r="B8" s="14" t="s">
        <v>29</v>
      </c>
      <c r="C8" s="14"/>
      <c r="E8"/>
      <c r="F8" s="3"/>
      <c r="G8" s="3"/>
    </row>
    <row r="9" spans="1:7">
      <c r="A9" s="7">
        <v>45197</v>
      </c>
      <c r="B9" t="s">
        <v>314</v>
      </c>
      <c r="E9" s="24">
        <v>45000</v>
      </c>
      <c r="F9" s="25"/>
      <c r="G9" s="3">
        <f>E9-F9</f>
        <v>45000</v>
      </c>
    </row>
    <row r="10" spans="1:7">
      <c r="B10" s="14" t="s">
        <v>315</v>
      </c>
      <c r="E10" s="24"/>
      <c r="F10" s="25"/>
      <c r="G10" s="3">
        <f t="shared" ref="G10:G20" si="0">E10-F10+G9</f>
        <v>45000</v>
      </c>
    </row>
    <row r="11" spans="1:7">
      <c r="E11" s="24"/>
      <c r="F11" s="25"/>
      <c r="G11" s="3">
        <f t="shared" si="0"/>
        <v>45000</v>
      </c>
    </row>
    <row r="12" spans="1:7">
      <c r="E12" s="24"/>
      <c r="F12" s="25"/>
      <c r="G12" s="3">
        <f t="shared" si="0"/>
        <v>45000</v>
      </c>
    </row>
    <row r="13" spans="1:7">
      <c r="E13" s="24"/>
      <c r="F13" s="25"/>
      <c r="G13" s="3">
        <f t="shared" si="0"/>
        <v>45000</v>
      </c>
    </row>
    <row r="14" spans="1:7">
      <c r="A14" s="26"/>
      <c r="E14" s="27"/>
      <c r="F14" s="28"/>
      <c r="G14" s="3">
        <f t="shared" si="0"/>
        <v>45000</v>
      </c>
    </row>
    <row r="15" spans="1:7">
      <c r="A15" s="26"/>
      <c r="E15" s="27"/>
      <c r="F15" s="28"/>
      <c r="G15" s="3">
        <f t="shared" si="0"/>
        <v>45000</v>
      </c>
    </row>
    <row r="16" spans="1:7">
      <c r="A16" s="26"/>
      <c r="E16" s="27"/>
      <c r="F16" s="28"/>
      <c r="G16" s="3">
        <f t="shared" si="0"/>
        <v>45000</v>
      </c>
    </row>
    <row r="17" spans="1:7">
      <c r="A17" s="26"/>
      <c r="E17" s="27"/>
      <c r="F17" s="28"/>
      <c r="G17" s="3">
        <f t="shared" si="0"/>
        <v>45000</v>
      </c>
    </row>
    <row r="18" spans="1:7">
      <c r="A18" s="26"/>
      <c r="E18" s="27"/>
      <c r="F18" s="28"/>
      <c r="G18" s="3">
        <f t="shared" si="0"/>
        <v>45000</v>
      </c>
    </row>
    <row r="19" spans="1:7">
      <c r="A19" s="26"/>
      <c r="E19" s="27"/>
      <c r="F19" s="28"/>
      <c r="G19" s="3">
        <f t="shared" si="0"/>
        <v>45000</v>
      </c>
    </row>
    <row r="20" spans="1:7">
      <c r="A20" s="26"/>
      <c r="E20" s="27"/>
      <c r="F20" s="28"/>
      <c r="G20" s="29">
        <f t="shared" si="0"/>
        <v>45000</v>
      </c>
    </row>
    <row r="21" spans="1:7">
      <c r="A21" s="26"/>
      <c r="E21" s="30"/>
      <c r="F21" s="31"/>
      <c r="G21" s="31"/>
    </row>
    <row r="22" spans="1:7">
      <c r="A22" s="26"/>
      <c r="E22" s="30"/>
      <c r="F22" s="31"/>
      <c r="G22" s="31"/>
    </row>
    <row r="23" spans="1:7">
      <c r="A23" s="32" t="s">
        <v>31</v>
      </c>
      <c r="B23" s="21" t="s">
        <v>260</v>
      </c>
      <c r="C23" s="21"/>
      <c r="D23" s="21" t="s">
        <v>265</v>
      </c>
      <c r="E23" s="33" t="s">
        <v>34</v>
      </c>
      <c r="F23" s="34"/>
      <c r="G23" s="34" t="s">
        <v>268</v>
      </c>
    </row>
    <row r="24" spans="1:7">
      <c r="A24" s="26">
        <v>44927</v>
      </c>
      <c r="B24" t="s">
        <v>35</v>
      </c>
      <c r="D24">
        <v>2137.3000000000002</v>
      </c>
      <c r="E24" s="30"/>
      <c r="F24" s="31"/>
      <c r="G24" s="31">
        <v>0</v>
      </c>
    </row>
    <row r="25" spans="1:7">
      <c r="A25" s="26" t="s">
        <v>273</v>
      </c>
      <c r="B25" t="s">
        <v>316</v>
      </c>
      <c r="C25">
        <v>24.8</v>
      </c>
      <c r="D25">
        <f>D24+C25</f>
        <v>2162.1000000000004</v>
      </c>
      <c r="E25" s="31"/>
      <c r="F25" s="31"/>
      <c r="G25" s="31">
        <f t="shared" ref="G25:G37" si="1">E25-F25+G24</f>
        <v>0</v>
      </c>
    </row>
    <row r="26" spans="1:7">
      <c r="A26" s="26" t="s">
        <v>274</v>
      </c>
      <c r="B26" t="s">
        <v>317</v>
      </c>
      <c r="C26">
        <v>-21.12</v>
      </c>
      <c r="D26">
        <f>D25+C26</f>
        <v>2140.9800000000005</v>
      </c>
      <c r="E26" s="31"/>
      <c r="F26" s="31"/>
      <c r="G26" s="31">
        <f t="shared" si="1"/>
        <v>0</v>
      </c>
    </row>
    <row r="27" spans="1:7">
      <c r="A27" s="26" t="s">
        <v>275</v>
      </c>
      <c r="B27" t="s">
        <v>347</v>
      </c>
      <c r="C27">
        <v>-52.17</v>
      </c>
      <c r="D27">
        <v>2231.5</v>
      </c>
      <c r="E27" s="31"/>
      <c r="F27" s="31"/>
      <c r="G27" s="31">
        <f t="shared" si="1"/>
        <v>0</v>
      </c>
    </row>
    <row r="28" spans="1:7">
      <c r="A28" s="26" t="s">
        <v>318</v>
      </c>
      <c r="E28" s="31"/>
      <c r="F28" s="31"/>
      <c r="G28" s="31">
        <f t="shared" si="1"/>
        <v>0</v>
      </c>
    </row>
    <row r="29" spans="1:7">
      <c r="A29" s="26" t="s">
        <v>319</v>
      </c>
      <c r="E29" s="31"/>
      <c r="F29" s="31"/>
      <c r="G29" s="31">
        <f t="shared" si="1"/>
        <v>0</v>
      </c>
    </row>
    <row r="30" spans="1:7">
      <c r="A30" s="26" t="s">
        <v>278</v>
      </c>
      <c r="E30" s="31"/>
      <c r="F30" s="31"/>
      <c r="G30" s="31">
        <f t="shared" si="1"/>
        <v>0</v>
      </c>
    </row>
    <row r="31" spans="1:7">
      <c r="A31" s="26" t="s">
        <v>279</v>
      </c>
      <c r="E31" s="31"/>
      <c r="F31" s="31"/>
      <c r="G31" s="31">
        <f t="shared" si="1"/>
        <v>0</v>
      </c>
    </row>
    <row r="32" spans="1:7">
      <c r="A32" s="26" t="s">
        <v>280</v>
      </c>
      <c r="E32" s="31"/>
      <c r="F32" s="31"/>
      <c r="G32" s="31">
        <f t="shared" si="1"/>
        <v>0</v>
      </c>
    </row>
    <row r="33" spans="1:8">
      <c r="A33" s="26" t="s">
        <v>261</v>
      </c>
      <c r="E33" s="30"/>
      <c r="F33" s="31"/>
      <c r="G33" s="31">
        <f t="shared" si="1"/>
        <v>0</v>
      </c>
    </row>
    <row r="34" spans="1:8">
      <c r="A34" s="26" t="s">
        <v>262</v>
      </c>
      <c r="E34" s="30"/>
      <c r="F34" s="31"/>
      <c r="G34" s="31">
        <f t="shared" si="1"/>
        <v>0</v>
      </c>
    </row>
    <row r="35" spans="1:8">
      <c r="A35" s="26" t="s">
        <v>263</v>
      </c>
      <c r="E35" s="30"/>
      <c r="F35" s="31"/>
      <c r="G35" s="31">
        <f t="shared" si="1"/>
        <v>0</v>
      </c>
    </row>
    <row r="36" spans="1:8">
      <c r="A36" s="32" t="s">
        <v>264</v>
      </c>
      <c r="B36" s="21"/>
      <c r="C36" s="21"/>
      <c r="E36" s="33"/>
      <c r="F36" s="34"/>
      <c r="G36" s="34">
        <f t="shared" si="1"/>
        <v>0</v>
      </c>
    </row>
    <row r="37" spans="1:8">
      <c r="A37" s="35">
        <v>45291</v>
      </c>
      <c r="B37" s="36" t="s">
        <v>35</v>
      </c>
      <c r="C37" s="36"/>
      <c r="D37" s="36"/>
      <c r="E37" s="37"/>
      <c r="F37" s="38"/>
      <c r="G37" s="39">
        <f t="shared" si="1"/>
        <v>0</v>
      </c>
    </row>
    <row r="38" spans="1:8">
      <c r="A38" s="26"/>
      <c r="E38" s="30"/>
      <c r="F38" s="30"/>
      <c r="G38" s="30"/>
    </row>
    <row r="39" spans="1:8">
      <c r="F39" s="3"/>
      <c r="G39" s="3"/>
    </row>
    <row r="40" spans="1:8">
      <c r="A40" s="88" t="s">
        <v>257</v>
      </c>
      <c r="B40" s="40" t="s">
        <v>167</v>
      </c>
      <c r="C40" s="40"/>
      <c r="D40" s="40"/>
      <c r="E40" s="41"/>
      <c r="F40" s="42"/>
      <c r="G40" s="43">
        <f>SUM(F41:F42)</f>
        <v>0</v>
      </c>
    </row>
    <row r="41" spans="1:8">
      <c r="B41" s="8"/>
      <c r="C41" s="8"/>
      <c r="D41" s="8"/>
      <c r="E41"/>
    </row>
    <row r="42" spans="1:8">
      <c r="G42" s="3"/>
      <c r="H42" s="3"/>
    </row>
    <row r="43" spans="1:8">
      <c r="G43" s="3"/>
      <c r="H43" s="3"/>
    </row>
    <row r="44" spans="1:8">
      <c r="G44" s="3"/>
      <c r="H44" s="3"/>
    </row>
    <row r="45" spans="1:8">
      <c r="G45" s="3"/>
      <c r="H45" s="3"/>
    </row>
    <row r="46" spans="1:8">
      <c r="A46" s="26">
        <v>45166</v>
      </c>
      <c r="B46" t="s">
        <v>43</v>
      </c>
      <c r="D46" s="30"/>
      <c r="E46" s="30"/>
      <c r="F46" s="30"/>
      <c r="G46" s="3"/>
      <c r="H46" s="3"/>
    </row>
    <row r="47" spans="1:8">
      <c r="A47" s="26"/>
      <c r="B47" t="s">
        <v>44</v>
      </c>
      <c r="D47" s="30"/>
      <c r="E47" s="30"/>
      <c r="F47" s="30"/>
      <c r="G47" s="3"/>
      <c r="H47" s="3"/>
    </row>
    <row r="48" spans="1:8">
      <c r="A48" s="26"/>
      <c r="B48" t="s">
        <v>45</v>
      </c>
      <c r="D48" s="30"/>
      <c r="E48" s="30"/>
      <c r="F48" s="30"/>
      <c r="G48" s="3"/>
      <c r="H48" s="3"/>
    </row>
    <row r="49" spans="1:8">
      <c r="A49" s="26">
        <v>45170</v>
      </c>
      <c r="B49" t="s">
        <v>46</v>
      </c>
      <c r="D49" s="30"/>
      <c r="E49" s="30"/>
      <c r="F49" s="30"/>
      <c r="G49" s="3"/>
      <c r="H49" s="3"/>
    </row>
    <row r="50" spans="1:8">
      <c r="A50" s="26">
        <v>45174</v>
      </c>
      <c r="B50" t="s">
        <v>47</v>
      </c>
      <c r="D50" s="30"/>
      <c r="E50" s="30"/>
      <c r="F50" s="30"/>
      <c r="G50" s="3"/>
      <c r="H50" s="3"/>
    </row>
    <row r="51" spans="1:8">
      <c r="A51" s="26"/>
      <c r="B51" t="s">
        <v>48</v>
      </c>
      <c r="D51" s="30"/>
      <c r="E51" s="30"/>
      <c r="F51" s="30"/>
      <c r="G51" s="3"/>
      <c r="H51" s="3"/>
    </row>
    <row r="52" spans="1:8">
      <c r="A52" s="26"/>
      <c r="B52" t="s">
        <v>49</v>
      </c>
      <c r="D52" s="30"/>
      <c r="E52" s="30"/>
      <c r="F52" s="30"/>
      <c r="G52" s="3"/>
      <c r="H52" s="3"/>
    </row>
    <row r="53" spans="1:8">
      <c r="A53" s="26"/>
      <c r="B53" t="s">
        <v>50</v>
      </c>
      <c r="D53" s="30"/>
      <c r="E53" s="30"/>
      <c r="F53" s="30"/>
      <c r="G53" s="3"/>
      <c r="H53" s="3"/>
    </row>
    <row r="54" spans="1:8">
      <c r="A54" s="26"/>
      <c r="B54" t="s">
        <v>51</v>
      </c>
      <c r="D54" s="30"/>
      <c r="E54" s="30"/>
      <c r="F54" s="30"/>
      <c r="G54" s="3"/>
      <c r="H54" s="3"/>
    </row>
    <row r="55" spans="1:8">
      <c r="A55" s="26"/>
      <c r="B55" t="s">
        <v>52</v>
      </c>
      <c r="D55" s="30"/>
      <c r="E55" s="30"/>
      <c r="F55" s="30"/>
      <c r="G55" s="3"/>
      <c r="H55" s="3"/>
    </row>
    <row r="56" spans="1:8">
      <c r="A56" s="26"/>
      <c r="B56" t="s">
        <v>53</v>
      </c>
      <c r="D56" s="30"/>
      <c r="E56" s="30"/>
      <c r="F56" s="30"/>
      <c r="G56" s="3"/>
      <c r="H56" s="3"/>
    </row>
    <row r="57" spans="1:8">
      <c r="A57" s="26">
        <v>45196</v>
      </c>
      <c r="B57" t="s">
        <v>259</v>
      </c>
      <c r="D57" s="30"/>
      <c r="E57" s="30"/>
      <c r="F57" s="30"/>
      <c r="G57" s="3"/>
      <c r="H57" s="3"/>
    </row>
    <row r="58" spans="1:8">
      <c r="A58" s="26"/>
      <c r="B58" t="s">
        <v>54</v>
      </c>
      <c r="D58" s="30"/>
      <c r="E58" s="30"/>
      <c r="F58" s="30"/>
      <c r="G58" s="3"/>
      <c r="H58" s="3"/>
    </row>
    <row r="59" spans="1:8">
      <c r="A59" s="7">
        <v>45196</v>
      </c>
      <c r="B59" t="s">
        <v>258</v>
      </c>
      <c r="D59" s="3"/>
      <c r="F59" s="3"/>
    </row>
    <row r="60" spans="1:8">
      <c r="D60" s="3"/>
      <c r="F60" s="3"/>
    </row>
    <row r="61" spans="1:8">
      <c r="B61" s="3"/>
      <c r="C61" s="3"/>
      <c r="D61" s="3"/>
      <c r="F61" s="44"/>
    </row>
    <row r="62" spans="1:8">
      <c r="B62" s="3"/>
      <c r="C62" s="3"/>
      <c r="D62" s="8"/>
      <c r="F62" s="45"/>
    </row>
    <row r="63" spans="1:8">
      <c r="B63" s="3"/>
      <c r="C63" s="3"/>
      <c r="D63" s="8"/>
      <c r="F63" s="45"/>
    </row>
    <row r="64" spans="1:8">
      <c r="B64" s="3"/>
      <c r="C64" s="3"/>
      <c r="D64" s="3"/>
      <c r="F64" s="8"/>
      <c r="G64" s="46"/>
      <c r="H64" s="45"/>
    </row>
    <row r="65" spans="1:8">
      <c r="B65" s="8"/>
      <c r="C65" s="8"/>
      <c r="E65" s="45"/>
      <c r="F65" s="3"/>
      <c r="G65" s="3"/>
      <c r="H65" s="3"/>
    </row>
    <row r="66" spans="1:8">
      <c r="B66" s="8" t="s">
        <v>55</v>
      </c>
      <c r="C66" s="8"/>
      <c r="D66" s="45" t="s">
        <v>56</v>
      </c>
      <c r="F66" s="3"/>
      <c r="G66" s="3"/>
      <c r="H66" s="3"/>
    </row>
    <row r="67" spans="1:8">
      <c r="B67" s="8"/>
      <c r="C67" s="8"/>
      <c r="D67" s="3"/>
      <c r="F67" s="3"/>
      <c r="G67" s="3"/>
      <c r="H67" s="3"/>
    </row>
    <row r="68" spans="1:8">
      <c r="B68" s="47" t="s">
        <v>20</v>
      </c>
      <c r="C68" s="47"/>
      <c r="D68" s="21"/>
      <c r="F68" s="3"/>
      <c r="G68" s="3"/>
      <c r="H68" s="3"/>
    </row>
    <row r="69" spans="1:8">
      <c r="B69" s="48" t="s">
        <v>57</v>
      </c>
      <c r="C69" s="48"/>
      <c r="D69" s="15">
        <f>SUM(D79:D81)</f>
        <v>42000</v>
      </c>
      <c r="F69" s="3"/>
      <c r="G69" s="3"/>
      <c r="H69" s="3"/>
    </row>
    <row r="70" spans="1:8">
      <c r="B70" s="48" t="s">
        <v>58</v>
      </c>
      <c r="C70" s="48"/>
      <c r="D70" s="16">
        <f>SUM(E79:E81)</f>
        <v>40000</v>
      </c>
      <c r="F70" s="3"/>
      <c r="G70" s="3"/>
      <c r="H70" s="3"/>
    </row>
    <row r="71" spans="1:8">
      <c r="B71" s="48" t="s">
        <v>26</v>
      </c>
      <c r="C71" s="48"/>
      <c r="D71" s="49">
        <f>F81</f>
        <v>2000</v>
      </c>
      <c r="F71" s="3"/>
      <c r="G71" s="3"/>
      <c r="H71" s="3"/>
    </row>
    <row r="72" spans="1:8">
      <c r="B72" s="48" t="s">
        <v>59</v>
      </c>
      <c r="C72" s="48"/>
      <c r="D72" s="45">
        <f>E103</f>
        <v>0</v>
      </c>
      <c r="F72" s="3"/>
      <c r="G72" s="3"/>
      <c r="H72" s="3"/>
    </row>
    <row r="73" spans="1:8">
      <c r="B73" s="48" t="s">
        <v>5</v>
      </c>
      <c r="C73" s="48"/>
      <c r="D73" s="45">
        <v>0</v>
      </c>
      <c r="F73" s="3"/>
      <c r="G73" s="3"/>
      <c r="H73" s="3"/>
    </row>
    <row r="74" spans="1:8">
      <c r="B74" s="33" t="s">
        <v>60</v>
      </c>
      <c r="C74" s="33"/>
      <c r="D74" s="50">
        <f>D70-D72</f>
        <v>40000</v>
      </c>
      <c r="F74" s="3"/>
      <c r="G74" s="3"/>
      <c r="H74" s="3"/>
    </row>
    <row r="75" spans="1:8">
      <c r="B75" s="8" t="s">
        <v>61</v>
      </c>
      <c r="C75" s="8"/>
      <c r="D75" s="3"/>
      <c r="F75" s="3"/>
      <c r="G75" s="3"/>
      <c r="H75" s="3"/>
    </row>
    <row r="76" spans="1:8">
      <c r="B76" t="s">
        <v>62</v>
      </c>
      <c r="D76" s="3"/>
      <c r="F76" s="3"/>
      <c r="G76" s="3"/>
      <c r="H76" s="3"/>
    </row>
    <row r="77" spans="1:8">
      <c r="D77" s="3"/>
      <c r="F77" s="3"/>
      <c r="G77" s="3"/>
      <c r="H77" s="3"/>
    </row>
    <row r="78" spans="1:8">
      <c r="D78" s="3"/>
      <c r="F78" s="3"/>
      <c r="G78" s="3"/>
      <c r="H78" s="3"/>
    </row>
    <row r="79" spans="1:8">
      <c r="B79" t="s">
        <v>63</v>
      </c>
      <c r="D79" s="3"/>
      <c r="F79" s="3"/>
      <c r="G79" s="3"/>
      <c r="H79" s="3"/>
    </row>
    <row r="80" spans="1:8">
      <c r="A80" s="7">
        <v>44885</v>
      </c>
      <c r="B80" t="s">
        <v>64</v>
      </c>
      <c r="D80" s="3">
        <v>42000</v>
      </c>
      <c r="E80" s="3">
        <v>40000</v>
      </c>
      <c r="F80" s="3">
        <f>F76+D80-E80</f>
        <v>2000</v>
      </c>
      <c r="G80" s="3"/>
      <c r="H80" s="3"/>
    </row>
    <row r="81" spans="1:8">
      <c r="D81" s="3"/>
      <c r="F81" s="3">
        <f>F80+D81-E81</f>
        <v>2000</v>
      </c>
      <c r="G81" s="3"/>
      <c r="H81" s="3"/>
    </row>
    <row r="82" spans="1:8">
      <c r="D82" s="3"/>
      <c r="F82" s="3"/>
      <c r="G82" s="3"/>
      <c r="H82" s="3"/>
    </row>
    <row r="83" spans="1:8">
      <c r="B83" t="s">
        <v>65</v>
      </c>
      <c r="D83" s="3"/>
      <c r="F83" s="3"/>
      <c r="G83" s="3"/>
      <c r="H83" s="3"/>
    </row>
    <row r="84" spans="1:8">
      <c r="B84" t="s">
        <v>66</v>
      </c>
      <c r="D84" s="3"/>
      <c r="F84" s="3"/>
      <c r="G84" s="3"/>
      <c r="H84" s="3"/>
    </row>
    <row r="85" spans="1:8">
      <c r="B85" s="8" t="s">
        <v>67</v>
      </c>
      <c r="C85" s="8"/>
      <c r="D85" s="3"/>
      <c r="F85" s="45"/>
      <c r="G85" s="3"/>
      <c r="H85" s="3"/>
    </row>
    <row r="86" spans="1:8">
      <c r="B86" s="1" t="s">
        <v>68</v>
      </c>
      <c r="C86" s="1"/>
      <c r="D86" s="3"/>
      <c r="F86" s="45"/>
      <c r="G86" s="3"/>
      <c r="H86" s="3"/>
    </row>
    <row r="87" spans="1:8">
      <c r="B87" s="8" t="s">
        <v>69</v>
      </c>
      <c r="C87" s="8"/>
      <c r="F87" s="45"/>
      <c r="G87" s="3"/>
      <c r="H87" s="3"/>
    </row>
    <row r="88" spans="1:8">
      <c r="B88" t="s">
        <v>70</v>
      </c>
      <c r="F88" s="45"/>
      <c r="G88" s="3"/>
      <c r="H88" s="3"/>
    </row>
    <row r="89" spans="1:8">
      <c r="B89" s="8" t="s">
        <v>71</v>
      </c>
      <c r="C89" s="8"/>
      <c r="E89"/>
      <c r="F89" s="45"/>
      <c r="G89" s="3"/>
      <c r="H89" s="3"/>
    </row>
    <row r="90" spans="1:8">
      <c r="B90" s="3"/>
      <c r="C90" s="3"/>
      <c r="D90" s="3"/>
      <c r="F90" s="3"/>
      <c r="G90" s="3"/>
      <c r="H90" s="3"/>
    </row>
    <row r="91" spans="1:8">
      <c r="A91" s="7">
        <v>45132</v>
      </c>
      <c r="B91" s="3" t="s">
        <v>72</v>
      </c>
      <c r="C91" s="3"/>
      <c r="D91" s="3"/>
      <c r="F91" s="3"/>
      <c r="G91" s="3"/>
      <c r="H91" s="3"/>
    </row>
    <row r="92" spans="1:8">
      <c r="A92" s="7">
        <v>45137</v>
      </c>
      <c r="B92" s="3" t="s">
        <v>477</v>
      </c>
      <c r="C92" s="3"/>
      <c r="D92" s="3"/>
      <c r="F92" s="3"/>
      <c r="G92" s="3"/>
      <c r="H92" s="3"/>
    </row>
    <row r="93" spans="1:8">
      <c r="A93" s="7">
        <v>45148</v>
      </c>
      <c r="B93" s="3" t="s">
        <v>73</v>
      </c>
      <c r="C93" s="3"/>
      <c r="D93" s="3"/>
      <c r="F93" s="3"/>
      <c r="G93" s="3"/>
      <c r="H93" s="3"/>
    </row>
    <row r="94" spans="1:8">
      <c r="A94" s="7">
        <v>45160</v>
      </c>
      <c r="B94" s="3" t="s">
        <v>74</v>
      </c>
      <c r="C94" s="3"/>
      <c r="D94" s="3"/>
      <c r="F94" s="3"/>
      <c r="G94" s="3"/>
      <c r="H94" s="3"/>
    </row>
    <row r="95" spans="1:8">
      <c r="B95" s="3" t="s">
        <v>75</v>
      </c>
      <c r="C95" s="3"/>
      <c r="D95" s="3"/>
      <c r="F95" s="3"/>
      <c r="G95" s="3"/>
      <c r="H95" s="3"/>
    </row>
    <row r="96" spans="1:8">
      <c r="B96" s="3" t="s">
        <v>76</v>
      </c>
      <c r="C96" s="3"/>
      <c r="D96" s="3"/>
      <c r="F96" s="3"/>
      <c r="G96" s="3"/>
      <c r="H96" s="3"/>
    </row>
    <row r="97" spans="1:8">
      <c r="B97" s="3" t="s">
        <v>77</v>
      </c>
      <c r="C97" s="3"/>
      <c r="D97" s="3"/>
      <c r="F97" s="3"/>
      <c r="G97" s="3"/>
      <c r="H97" s="3"/>
    </row>
    <row r="98" spans="1:8">
      <c r="B98" s="3" t="s">
        <v>78</v>
      </c>
      <c r="C98" s="3"/>
      <c r="D98" s="3"/>
      <c r="F98" s="3"/>
      <c r="G98" s="3"/>
      <c r="H98" s="3"/>
    </row>
    <row r="99" spans="1:8">
      <c r="B99" s="3" t="s">
        <v>79</v>
      </c>
      <c r="C99" s="3"/>
      <c r="D99" s="3"/>
      <c r="F99" s="3"/>
      <c r="G99" s="3"/>
      <c r="H99" s="3"/>
    </row>
    <row r="100" spans="1:8">
      <c r="B100" s="3" t="s">
        <v>80</v>
      </c>
      <c r="C100" s="3"/>
      <c r="D100" s="3"/>
      <c r="F100" s="3"/>
      <c r="G100" s="3"/>
      <c r="H100" s="3"/>
    </row>
    <row r="101" spans="1:8">
      <c r="A101" s="7">
        <v>45167</v>
      </c>
      <c r="B101" s="3" t="s">
        <v>81</v>
      </c>
      <c r="C101" s="3"/>
      <c r="D101" s="3"/>
      <c r="F101" s="3"/>
      <c r="G101" s="3"/>
      <c r="H101" s="3"/>
    </row>
    <row r="102" spans="1:8">
      <c r="B102" s="3" t="s">
        <v>82</v>
      </c>
      <c r="C102" s="3"/>
      <c r="D102" s="3"/>
      <c r="F102" s="3"/>
      <c r="G102" s="3"/>
      <c r="H102" s="3"/>
    </row>
    <row r="103" spans="1:8">
      <c r="B103" s="3" t="s">
        <v>83</v>
      </c>
      <c r="C103" s="3"/>
      <c r="D103" s="3"/>
      <c r="F103" s="3"/>
      <c r="G103" s="3"/>
      <c r="H103" s="3"/>
    </row>
    <row r="104" spans="1:8">
      <c r="B104" s="3" t="s">
        <v>84</v>
      </c>
      <c r="C104" s="3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6"/>
  <sheetViews>
    <sheetView topLeftCell="A17" zoomScale="145" zoomScaleNormal="145" workbookViewId="0">
      <selection activeCell="E27" sqref="E27"/>
    </sheetView>
  </sheetViews>
  <sheetFormatPr defaultRowHeight="12.75"/>
  <cols>
    <col min="1" max="1" width="9.42578125" style="7" customWidth="1"/>
    <col min="2" max="2" width="23.140625" customWidth="1"/>
    <col min="3" max="3" width="7.42578125" customWidth="1"/>
    <col min="4" max="4" width="12.140625" customWidth="1"/>
    <col min="5" max="5" width="12.140625" style="3" customWidth="1"/>
    <col min="6" max="8" width="12.140625" customWidth="1"/>
    <col min="9" max="9" width="9.140625" customWidth="1"/>
  </cols>
  <sheetData>
    <row r="1" spans="1:8">
      <c r="B1" s="8" t="s">
        <v>85</v>
      </c>
      <c r="C1" s="8"/>
      <c r="D1" s="45" t="s">
        <v>86</v>
      </c>
      <c r="F1" s="3"/>
      <c r="G1" s="3"/>
      <c r="H1" s="3"/>
    </row>
    <row r="2" spans="1:8">
      <c r="B2" s="8"/>
      <c r="C2" s="8"/>
      <c r="D2" s="3"/>
      <c r="F2" s="3"/>
      <c r="G2" s="3"/>
      <c r="H2" s="3"/>
    </row>
    <row r="3" spans="1:8" ht="13.5" thickBot="1">
      <c r="A3" s="10" t="s">
        <v>23</v>
      </c>
      <c r="B3" s="11" t="s">
        <v>24</v>
      </c>
      <c r="C3" s="11"/>
      <c r="D3" s="12" t="s">
        <v>25</v>
      </c>
      <c r="E3" s="12" t="s">
        <v>3</v>
      </c>
      <c r="F3" s="12" t="s">
        <v>26</v>
      </c>
      <c r="G3" s="3"/>
      <c r="H3" s="3"/>
    </row>
    <row r="4" spans="1:8">
      <c r="B4" s="13" t="s">
        <v>20</v>
      </c>
      <c r="C4" s="14"/>
      <c r="D4" s="15">
        <f>SUM(D9:D20)</f>
        <v>170000</v>
      </c>
      <c r="E4" s="16">
        <f>SUM(E9:E20)</f>
        <v>170000</v>
      </c>
      <c r="F4" s="17">
        <f>F20</f>
        <v>0</v>
      </c>
      <c r="G4" s="3"/>
      <c r="H4" s="3"/>
    </row>
    <row r="5" spans="1:8">
      <c r="B5" s="14" t="s">
        <v>27</v>
      </c>
      <c r="C5" s="14"/>
      <c r="D5" s="18">
        <f>F40</f>
        <v>0</v>
      </c>
      <c r="G5" s="3"/>
      <c r="H5" s="3"/>
    </row>
    <row r="6" spans="1:8">
      <c r="B6" s="14" t="s">
        <v>5</v>
      </c>
      <c r="D6" s="19">
        <f>F37</f>
        <v>-1225.58</v>
      </c>
      <c r="E6" s="14"/>
      <c r="F6" s="9"/>
      <c r="G6" s="3"/>
      <c r="H6" s="3"/>
    </row>
    <row r="7" spans="1:8">
      <c r="A7" s="20"/>
      <c r="B7" s="21"/>
      <c r="C7" s="22"/>
      <c r="D7" s="21"/>
      <c r="E7" s="22" t="s">
        <v>28</v>
      </c>
      <c r="F7" s="23">
        <f>E4-D5</f>
        <v>170000</v>
      </c>
      <c r="G7" s="3"/>
      <c r="H7" s="3"/>
    </row>
    <row r="8" spans="1:8">
      <c r="B8" s="14" t="s">
        <v>29</v>
      </c>
      <c r="F8" s="3"/>
      <c r="G8" s="3"/>
      <c r="H8" s="3"/>
    </row>
    <row r="9" spans="1:8">
      <c r="A9" s="7">
        <v>45291</v>
      </c>
      <c r="B9" t="s">
        <v>320</v>
      </c>
      <c r="D9" s="24"/>
      <c r="E9" s="25"/>
      <c r="F9" s="3">
        <f>D9-E9</f>
        <v>0</v>
      </c>
    </row>
    <row r="10" spans="1:8">
      <c r="B10" s="14" t="s">
        <v>321</v>
      </c>
      <c r="D10" s="24"/>
      <c r="E10" s="25"/>
      <c r="F10" s="3">
        <f t="shared" ref="F10:F20" si="0">D10-E10+F9</f>
        <v>0</v>
      </c>
    </row>
    <row r="11" spans="1:8">
      <c r="B11" t="s">
        <v>322</v>
      </c>
      <c r="D11" s="24"/>
      <c r="E11" s="25"/>
      <c r="F11" s="3">
        <f t="shared" si="0"/>
        <v>0</v>
      </c>
    </row>
    <row r="12" spans="1:8">
      <c r="A12" s="7">
        <v>45295</v>
      </c>
      <c r="B12" s="91" t="s">
        <v>323</v>
      </c>
      <c r="D12" s="24"/>
      <c r="E12" s="25"/>
      <c r="F12" s="3">
        <f t="shared" si="0"/>
        <v>0</v>
      </c>
    </row>
    <row r="13" spans="1:8">
      <c r="A13" s="7">
        <v>45295</v>
      </c>
      <c r="B13">
        <v>11402</v>
      </c>
      <c r="C13">
        <v>16</v>
      </c>
      <c r="D13" s="24">
        <f>C13*B13</f>
        <v>182432</v>
      </c>
      <c r="E13" s="25"/>
      <c r="F13" s="3">
        <f t="shared" si="0"/>
        <v>182432</v>
      </c>
    </row>
    <row r="14" spans="1:8">
      <c r="A14" s="26">
        <v>45295</v>
      </c>
      <c r="B14" s="14" t="s">
        <v>324</v>
      </c>
      <c r="D14" s="27">
        <v>-12432</v>
      </c>
      <c r="E14" s="28"/>
      <c r="F14" s="3">
        <f t="shared" si="0"/>
        <v>170000</v>
      </c>
    </row>
    <row r="15" spans="1:8">
      <c r="A15" s="26">
        <v>45295</v>
      </c>
      <c r="B15" t="s">
        <v>325</v>
      </c>
      <c r="D15" s="27"/>
      <c r="E15" s="28">
        <v>120000</v>
      </c>
      <c r="F15" s="3">
        <f t="shared" si="0"/>
        <v>50000</v>
      </c>
    </row>
    <row r="16" spans="1:8">
      <c r="A16" s="26">
        <v>45296</v>
      </c>
      <c r="B16" t="s">
        <v>325</v>
      </c>
      <c r="D16" s="27"/>
      <c r="E16" s="28">
        <v>26000</v>
      </c>
      <c r="F16" s="3">
        <f t="shared" si="0"/>
        <v>24000</v>
      </c>
    </row>
    <row r="17" spans="1:7">
      <c r="A17" s="26">
        <v>45299</v>
      </c>
      <c r="B17" t="s">
        <v>326</v>
      </c>
      <c r="D17" s="27"/>
      <c r="E17" s="28">
        <v>24000</v>
      </c>
      <c r="F17" s="3">
        <f t="shared" si="0"/>
        <v>0</v>
      </c>
    </row>
    <row r="18" spans="1:7">
      <c r="A18" s="26"/>
      <c r="D18" s="27"/>
      <c r="E18" s="28"/>
      <c r="F18" s="3">
        <f t="shared" si="0"/>
        <v>0</v>
      </c>
    </row>
    <row r="19" spans="1:7">
      <c r="A19" s="26"/>
      <c r="D19" s="27"/>
      <c r="E19" s="28"/>
      <c r="F19" s="3">
        <f t="shared" si="0"/>
        <v>0</v>
      </c>
    </row>
    <row r="20" spans="1:7">
      <c r="A20" s="26"/>
      <c r="D20" s="27"/>
      <c r="E20" s="28"/>
      <c r="F20" s="29">
        <f t="shared" si="0"/>
        <v>0</v>
      </c>
    </row>
    <row r="21" spans="1:7">
      <c r="A21" s="26"/>
      <c r="D21" s="30"/>
      <c r="E21" s="31"/>
      <c r="F21" s="31"/>
    </row>
    <row r="22" spans="1:7">
      <c r="A22" s="26"/>
      <c r="D22" s="30"/>
      <c r="E22" s="31"/>
      <c r="F22" s="31"/>
    </row>
    <row r="23" spans="1:7">
      <c r="A23" s="32" t="s">
        <v>31</v>
      </c>
      <c r="B23" s="21" t="s">
        <v>32</v>
      </c>
      <c r="C23" s="21" t="s">
        <v>33</v>
      </c>
      <c r="D23" s="33" t="s">
        <v>34</v>
      </c>
      <c r="E23" s="34"/>
      <c r="F23" s="34">
        <v>1600</v>
      </c>
    </row>
    <row r="24" spans="1:7">
      <c r="A24" s="26"/>
      <c r="B24" t="s">
        <v>35</v>
      </c>
      <c r="D24" s="30"/>
      <c r="E24" s="31"/>
      <c r="F24" s="31">
        <v>-1000.12</v>
      </c>
    </row>
    <row r="25" spans="1:7">
      <c r="A25" s="26"/>
      <c r="B25" t="s">
        <v>87</v>
      </c>
      <c r="C25">
        <v>0</v>
      </c>
      <c r="D25" s="31">
        <v>900.36</v>
      </c>
      <c r="E25" s="31">
        <v>999.4</v>
      </c>
      <c r="F25" s="31">
        <f t="shared" ref="F25:F36" si="1">D25-E25+F24</f>
        <v>-1099.1599999999999</v>
      </c>
      <c r="G25" s="3"/>
    </row>
    <row r="26" spans="1:7">
      <c r="A26" s="26"/>
      <c r="B26" t="s">
        <v>36</v>
      </c>
      <c r="C26">
        <v>0</v>
      </c>
      <c r="D26" s="31">
        <v>841.46</v>
      </c>
      <c r="E26" s="31">
        <v>967.88</v>
      </c>
      <c r="F26" s="31">
        <f t="shared" si="1"/>
        <v>-1225.58</v>
      </c>
      <c r="G26" s="3"/>
    </row>
    <row r="27" spans="1:7">
      <c r="A27" s="26"/>
      <c r="B27" t="s">
        <v>37</v>
      </c>
      <c r="D27" s="31"/>
      <c r="E27" s="31"/>
      <c r="F27" s="31">
        <f t="shared" si="1"/>
        <v>-1225.58</v>
      </c>
      <c r="G27" s="3"/>
    </row>
    <row r="28" spans="1:7">
      <c r="A28" s="26"/>
      <c r="B28" t="s">
        <v>38</v>
      </c>
      <c r="D28" s="31"/>
      <c r="E28" s="31"/>
      <c r="F28" s="31">
        <f t="shared" si="1"/>
        <v>-1225.58</v>
      </c>
      <c r="G28" s="3"/>
    </row>
    <row r="29" spans="1:7">
      <c r="A29" s="26"/>
      <c r="B29" t="s">
        <v>39</v>
      </c>
      <c r="D29" s="31"/>
      <c r="E29" s="31"/>
      <c r="F29" s="31">
        <f t="shared" si="1"/>
        <v>-1225.58</v>
      </c>
      <c r="G29" s="3"/>
    </row>
    <row r="30" spans="1:7">
      <c r="A30" s="26"/>
      <c r="B30" t="s">
        <v>88</v>
      </c>
      <c r="D30" s="31"/>
      <c r="E30" s="31"/>
      <c r="F30" s="31">
        <f t="shared" si="1"/>
        <v>-1225.58</v>
      </c>
      <c r="G30" s="3"/>
    </row>
    <row r="31" spans="1:7">
      <c r="A31" s="26"/>
      <c r="B31" t="s">
        <v>89</v>
      </c>
      <c r="D31" s="31"/>
      <c r="E31" s="31"/>
      <c r="F31" s="31">
        <f t="shared" si="1"/>
        <v>-1225.58</v>
      </c>
      <c r="G31" s="3"/>
    </row>
    <row r="32" spans="1:7">
      <c r="A32" s="26"/>
      <c r="B32" t="s">
        <v>90</v>
      </c>
      <c r="D32" s="31"/>
      <c r="E32" s="31"/>
      <c r="F32" s="31">
        <f t="shared" si="1"/>
        <v>-1225.58</v>
      </c>
      <c r="G32" s="3"/>
    </row>
    <row r="33" spans="1:8">
      <c r="A33" s="26"/>
      <c r="B33" t="s">
        <v>91</v>
      </c>
      <c r="D33" s="30"/>
      <c r="E33" s="31"/>
      <c r="F33" s="31">
        <f t="shared" si="1"/>
        <v>-1225.58</v>
      </c>
      <c r="G33" s="3"/>
    </row>
    <row r="34" spans="1:8">
      <c r="A34" s="26"/>
      <c r="B34" t="s">
        <v>40</v>
      </c>
      <c r="D34" s="30"/>
      <c r="E34" s="31"/>
      <c r="F34" s="31">
        <f t="shared" si="1"/>
        <v>-1225.58</v>
      </c>
      <c r="G34" s="3"/>
    </row>
    <row r="35" spans="1:8">
      <c r="A35" s="26"/>
      <c r="B35" t="s">
        <v>41</v>
      </c>
      <c r="D35" s="30"/>
      <c r="E35" s="31"/>
      <c r="F35" s="31">
        <f t="shared" si="1"/>
        <v>-1225.58</v>
      </c>
      <c r="G35" s="3"/>
    </row>
    <row r="36" spans="1:8">
      <c r="A36" s="32"/>
      <c r="B36" s="21" t="s">
        <v>42</v>
      </c>
      <c r="C36" s="21"/>
      <c r="D36" s="33"/>
      <c r="E36" s="34"/>
      <c r="F36" s="34">
        <f t="shared" si="1"/>
        <v>-1225.58</v>
      </c>
      <c r="G36" s="3"/>
    </row>
    <row r="37" spans="1:8">
      <c r="A37" s="35">
        <v>45291</v>
      </c>
      <c r="B37" s="36" t="s">
        <v>35</v>
      </c>
      <c r="C37" s="36">
        <f>SUM(C25:C36)</f>
        <v>0</v>
      </c>
      <c r="D37" s="37"/>
      <c r="E37" s="38"/>
      <c r="F37" s="39">
        <f>D37-E37+F36</f>
        <v>-1225.58</v>
      </c>
    </row>
    <row r="38" spans="1:8">
      <c r="A38" s="26"/>
      <c r="D38" s="30"/>
      <c r="E38" s="30"/>
      <c r="F38" s="30" t="s">
        <v>272</v>
      </c>
    </row>
    <row r="39" spans="1:8">
      <c r="D39" s="3"/>
      <c r="F39" s="3"/>
    </row>
    <row r="40" spans="1:8">
      <c r="A40" s="88" t="s">
        <v>256</v>
      </c>
      <c r="B40" s="40" t="s">
        <v>167</v>
      </c>
      <c r="C40" s="40"/>
      <c r="D40" s="41"/>
      <c r="E40" s="42"/>
      <c r="F40" s="43">
        <f>SUM(E41:E57)</f>
        <v>0</v>
      </c>
    </row>
    <row r="41" spans="1:8">
      <c r="B41" s="8"/>
      <c r="C41" s="8"/>
      <c r="E41"/>
    </row>
    <row r="42" spans="1:8">
      <c r="F42" s="3"/>
    </row>
    <row r="43" spans="1:8">
      <c r="F43" s="3"/>
    </row>
    <row r="44" spans="1:8">
      <c r="F44" s="44"/>
    </row>
    <row r="45" spans="1:8">
      <c r="B45" s="3"/>
      <c r="C45" s="3"/>
      <c r="D45" s="8"/>
      <c r="F45" s="45"/>
    </row>
    <row r="46" spans="1:8">
      <c r="B46" t="s">
        <v>327</v>
      </c>
      <c r="C46" s="3"/>
      <c r="D46" s="8"/>
      <c r="F46" s="45"/>
    </row>
    <row r="47" spans="1:8">
      <c r="B47" t="s">
        <v>329</v>
      </c>
      <c r="C47" s="3"/>
      <c r="D47" s="8"/>
      <c r="F47" s="8"/>
      <c r="G47" s="46"/>
      <c r="H47" s="51"/>
    </row>
    <row r="48" spans="1:8">
      <c r="B48" s="115" t="s">
        <v>328</v>
      </c>
      <c r="C48" s="115"/>
      <c r="D48" s="115">
        <v>170000</v>
      </c>
      <c r="F48" s="8"/>
      <c r="G48" s="46"/>
      <c r="H48" s="51"/>
    </row>
    <row r="49" spans="2:8">
      <c r="B49" s="3"/>
      <c r="C49" s="3"/>
      <c r="D49" s="3"/>
      <c r="F49" s="8"/>
      <c r="G49" s="46"/>
      <c r="H49" s="51"/>
    </row>
    <row r="50" spans="2:8">
      <c r="B50" t="s">
        <v>92</v>
      </c>
      <c r="D50" s="3"/>
      <c r="F50" s="8"/>
      <c r="G50" s="46"/>
      <c r="H50" s="51"/>
    </row>
    <row r="51" spans="2:8">
      <c r="B51" t="s">
        <v>93</v>
      </c>
      <c r="C51" s="3"/>
      <c r="D51" s="3"/>
      <c r="F51" s="8"/>
      <c r="G51" s="46"/>
      <c r="H51" s="51"/>
    </row>
    <row r="52" spans="2:8">
      <c r="B52" s="42" t="s">
        <v>270</v>
      </c>
      <c r="C52" s="42"/>
      <c r="D52" s="42">
        <v>84000</v>
      </c>
      <c r="F52" s="3"/>
      <c r="G52" s="3"/>
      <c r="H52" s="3"/>
    </row>
    <row r="53" spans="2:8">
      <c r="B53" s="3"/>
      <c r="C53" s="3"/>
      <c r="D53" s="3"/>
      <c r="F53" s="3"/>
      <c r="G53" s="3"/>
      <c r="H53" s="3"/>
    </row>
    <row r="54" spans="2:8">
      <c r="B54" s="3"/>
      <c r="C54" s="3"/>
      <c r="D54" s="3"/>
      <c r="F54" s="3"/>
      <c r="G54" s="3"/>
      <c r="H54" s="3"/>
    </row>
    <row r="55" spans="2:8">
      <c r="B55" s="3"/>
      <c r="C55" s="3"/>
      <c r="D55" s="3"/>
      <c r="F55" s="3"/>
      <c r="G55" s="3"/>
      <c r="H55" s="3"/>
    </row>
    <row r="56" spans="2:8">
      <c r="B56" s="3"/>
      <c r="C56" s="3"/>
      <c r="D56" s="3"/>
      <c r="F56" s="3"/>
      <c r="G56" s="3"/>
      <c r="H56" s="3"/>
    </row>
    <row r="57" spans="2:8">
      <c r="F57" s="3"/>
      <c r="G57" s="3"/>
      <c r="H57" s="3"/>
    </row>
    <row r="58" spans="2:8">
      <c r="F58" s="3"/>
      <c r="G58" s="3"/>
      <c r="H58" s="3"/>
    </row>
    <row r="59" spans="2:8">
      <c r="B59" s="8"/>
      <c r="C59" s="8"/>
      <c r="D59" s="45"/>
      <c r="F59" s="3"/>
      <c r="G59" s="3"/>
      <c r="H59" s="3"/>
    </row>
    <row r="60" spans="2:8">
      <c r="D60" s="3"/>
      <c r="F60" s="3"/>
      <c r="G60" s="3"/>
      <c r="H60" s="3"/>
    </row>
    <row r="61" spans="2:8">
      <c r="D61" s="3"/>
      <c r="F61" s="3"/>
      <c r="G61" s="3"/>
      <c r="H61" s="3"/>
    </row>
    <row r="62" spans="2:8">
      <c r="D62" s="3"/>
      <c r="F62" s="3"/>
      <c r="G62" s="3"/>
      <c r="H62" s="3"/>
    </row>
    <row r="63" spans="2:8">
      <c r="D63" s="3"/>
      <c r="F63" s="3"/>
      <c r="G63" s="3"/>
      <c r="H63" s="3"/>
    </row>
    <row r="64" spans="2:8">
      <c r="D64" s="3"/>
      <c r="F64" s="3"/>
      <c r="G64" s="3"/>
      <c r="H64" s="3"/>
    </row>
    <row r="65" spans="2:8">
      <c r="D65" s="3"/>
      <c r="F65" s="3"/>
      <c r="G65" s="3"/>
      <c r="H65" s="3"/>
    </row>
    <row r="66" spans="2:8">
      <c r="D66" s="3"/>
      <c r="F66" s="3"/>
      <c r="G66" s="3"/>
      <c r="H66" s="3"/>
    </row>
    <row r="67" spans="2:8">
      <c r="B67" s="8"/>
      <c r="C67" s="8"/>
      <c r="D67" s="3"/>
      <c r="F67" s="45"/>
      <c r="G67" s="3"/>
      <c r="H67" s="3"/>
    </row>
    <row r="68" spans="2:8">
      <c r="B68" s="1"/>
      <c r="C68" s="1"/>
      <c r="D68" s="3"/>
      <c r="F68" s="45"/>
      <c r="G68" s="3"/>
      <c r="H68" s="3"/>
    </row>
    <row r="69" spans="2:8">
      <c r="B69" s="8"/>
      <c r="C69" s="8"/>
      <c r="F69" s="45"/>
      <c r="G69" s="3"/>
      <c r="H69" s="3"/>
    </row>
    <row r="70" spans="2:8">
      <c r="F70" s="45"/>
      <c r="G70" s="3"/>
      <c r="H70" s="3"/>
    </row>
    <row r="71" spans="2:8">
      <c r="B71" s="8"/>
      <c r="C71" s="8"/>
      <c r="E71"/>
      <c r="F71" s="45"/>
      <c r="G71" s="3"/>
      <c r="H71" s="3"/>
    </row>
    <row r="72" spans="2:8">
      <c r="B72" s="3"/>
      <c r="C72" s="3"/>
      <c r="D72" s="3"/>
      <c r="F72" s="3"/>
      <c r="G72" s="3"/>
      <c r="H72" s="3"/>
    </row>
    <row r="73" spans="2:8">
      <c r="B73" s="3"/>
      <c r="C73" s="3"/>
      <c r="D73" s="3"/>
      <c r="F73" s="3"/>
      <c r="G73" s="3"/>
      <c r="H73" s="3"/>
    </row>
    <row r="74" spans="2:8">
      <c r="B74" s="3"/>
      <c r="C74" s="3"/>
      <c r="D74" s="3"/>
      <c r="F74" s="3"/>
      <c r="G74" s="3"/>
      <c r="H74" s="3"/>
    </row>
    <row r="75" spans="2:8">
      <c r="B75" s="3"/>
      <c r="C75" s="3"/>
      <c r="D75" s="3"/>
      <c r="F75" s="3"/>
      <c r="G75" s="3"/>
      <c r="H75" s="3"/>
    </row>
    <row r="76" spans="2:8">
      <c r="B76" s="3"/>
      <c r="C76" s="3"/>
      <c r="D76" s="3"/>
      <c r="F76" s="3"/>
      <c r="G76" s="3"/>
      <c r="H76" s="3"/>
    </row>
    <row r="77" spans="2:8">
      <c r="B77" s="3"/>
      <c r="C77" s="3"/>
      <c r="D77" s="3"/>
      <c r="F77" s="3"/>
      <c r="G77" s="3"/>
      <c r="H77" s="3"/>
    </row>
    <row r="78" spans="2:8">
      <c r="B78" s="3"/>
      <c r="C78" s="3"/>
      <c r="D78" s="3"/>
      <c r="F78" s="3"/>
      <c r="G78" s="3"/>
      <c r="H78" s="3"/>
    </row>
    <row r="79" spans="2:8">
      <c r="B79" s="3"/>
      <c r="C79" s="3"/>
      <c r="D79" s="3"/>
      <c r="F79" s="3"/>
      <c r="G79" s="3"/>
      <c r="H79" s="3"/>
    </row>
    <row r="80" spans="2:8">
      <c r="B80" s="3"/>
      <c r="C80" s="3"/>
      <c r="D80" s="3"/>
      <c r="F80" s="3"/>
      <c r="G80" s="3"/>
      <c r="H80" s="3"/>
    </row>
    <row r="81" spans="2:8">
      <c r="B81" s="3"/>
      <c r="C81" s="3"/>
      <c r="D81" s="3"/>
      <c r="F81" s="3"/>
      <c r="G81" s="3"/>
      <c r="H81" s="3"/>
    </row>
    <row r="82" spans="2:8">
      <c r="B82" s="3"/>
      <c r="C82" s="3"/>
      <c r="D82" s="3"/>
      <c r="F82" s="3"/>
      <c r="G82" s="3"/>
      <c r="H82" s="3"/>
    </row>
    <row r="83" spans="2:8">
      <c r="B83" s="3"/>
      <c r="C83" s="3"/>
      <c r="D83" s="3"/>
      <c r="F83" s="3"/>
      <c r="G83" s="3"/>
      <c r="H83" s="3"/>
    </row>
    <row r="84" spans="2:8">
      <c r="B84" s="3"/>
      <c r="C84" s="3"/>
      <c r="D84" s="3"/>
      <c r="F84" s="3"/>
      <c r="G84" s="3"/>
      <c r="H84" s="3"/>
    </row>
    <row r="85" spans="2:8">
      <c r="B85" s="3"/>
      <c r="C85" s="3"/>
      <c r="D85" s="3"/>
      <c r="F85" s="3"/>
    </row>
    <row r="86" spans="2:8">
      <c r="B86" s="3"/>
      <c r="C86" s="3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4"/>
  <sheetViews>
    <sheetView zoomScale="160" zoomScaleNormal="160" workbookViewId="0">
      <selection activeCell="G7" sqref="G7"/>
    </sheetView>
  </sheetViews>
  <sheetFormatPr defaultRowHeight="12.75"/>
  <cols>
    <col min="1" max="1" width="13" customWidth="1"/>
    <col min="2" max="2" width="28.42578125" style="3" customWidth="1"/>
    <col min="3" max="3" width="11.42578125" style="3" customWidth="1"/>
    <col min="4" max="4" width="13" style="3" customWidth="1"/>
    <col min="5" max="5" width="10.85546875" style="3" customWidth="1"/>
    <col min="6" max="6" width="12.140625" style="3" customWidth="1"/>
    <col min="7" max="7" width="11" style="3" bestFit="1" customWidth="1"/>
    <col min="8" max="8" width="11.28515625" style="3" customWidth="1"/>
    <col min="9" max="60" width="12.140625" customWidth="1"/>
    <col min="61" max="61" width="9.140625" customWidth="1"/>
  </cols>
  <sheetData>
    <row r="1" spans="1:7">
      <c r="A1" s="7"/>
      <c r="B1" s="8" t="s">
        <v>94</v>
      </c>
      <c r="C1" s="8"/>
      <c r="D1" s="8"/>
      <c r="E1" s="45" t="s">
        <v>95</v>
      </c>
    </row>
    <row r="2" spans="1:7">
      <c r="A2" s="7"/>
      <c r="B2" s="8"/>
      <c r="C2" s="8"/>
      <c r="D2" s="8"/>
    </row>
    <row r="3" spans="1:7" ht="13.5" thickBot="1">
      <c r="A3" s="10" t="s">
        <v>23</v>
      </c>
      <c r="B3" s="11" t="s">
        <v>24</v>
      </c>
      <c r="C3" s="11" t="s">
        <v>349</v>
      </c>
      <c r="D3" s="11"/>
      <c r="E3" s="12" t="s">
        <v>25</v>
      </c>
      <c r="F3" s="12" t="s">
        <v>3</v>
      </c>
      <c r="G3" s="12" t="s">
        <v>26</v>
      </c>
    </row>
    <row r="4" spans="1:7">
      <c r="A4" s="7"/>
      <c r="B4" s="13" t="s">
        <v>20</v>
      </c>
      <c r="C4" s="89"/>
      <c r="D4" s="14"/>
      <c r="E4" s="15">
        <f>SUM(E9:E21)</f>
        <v>162230</v>
      </c>
      <c r="F4" s="16">
        <f>SUM(F9:F21)</f>
        <v>135000</v>
      </c>
      <c r="G4" s="17">
        <f>G21</f>
        <v>27230</v>
      </c>
    </row>
    <row r="5" spans="1:7">
      <c r="A5" s="7"/>
      <c r="B5" s="14" t="s">
        <v>27</v>
      </c>
      <c r="C5" s="14"/>
      <c r="D5" s="14"/>
      <c r="E5" s="18">
        <f>G53</f>
        <v>0</v>
      </c>
      <c r="G5"/>
    </row>
    <row r="6" spans="1:7">
      <c r="A6" s="7"/>
      <c r="B6" s="14" t="s">
        <v>5</v>
      </c>
      <c r="C6" s="14"/>
      <c r="D6"/>
      <c r="E6" s="52">
        <f>G50</f>
        <v>-4079.59</v>
      </c>
      <c r="F6" s="14"/>
      <c r="G6" s="9"/>
    </row>
    <row r="7" spans="1:7">
      <c r="A7" s="20"/>
      <c r="B7" s="21"/>
      <c r="C7" s="21"/>
      <c r="D7" s="22"/>
      <c r="E7" s="21"/>
      <c r="F7" s="22" t="s">
        <v>28</v>
      </c>
      <c r="G7" s="23">
        <f>F4-E5</f>
        <v>135000</v>
      </c>
    </row>
    <row r="8" spans="1:7">
      <c r="A8" s="7"/>
      <c r="B8" t="s">
        <v>330</v>
      </c>
      <c r="C8" s="14"/>
      <c r="D8"/>
      <c r="E8"/>
    </row>
    <row r="9" spans="1:7">
      <c r="A9" s="7">
        <v>45259</v>
      </c>
      <c r="C9"/>
      <c r="D9"/>
      <c r="E9" s="24"/>
      <c r="F9" s="25"/>
      <c r="G9" s="3">
        <f>E9-F9</f>
        <v>0</v>
      </c>
    </row>
    <row r="10" spans="1:7">
      <c r="A10" s="7"/>
      <c r="B10" s="139"/>
      <c r="C10" s="46"/>
      <c r="D10" s="3">
        <f>C10*E9</f>
        <v>0</v>
      </c>
      <c r="E10" s="138">
        <f>D10+E9</f>
        <v>0</v>
      </c>
      <c r="F10" s="25"/>
      <c r="G10" s="3">
        <f t="shared" ref="G10:G21" si="0">E10-F10+G9</f>
        <v>0</v>
      </c>
    </row>
    <row r="11" spans="1:7">
      <c r="A11" s="7"/>
      <c r="B11" s="3" t="s">
        <v>264</v>
      </c>
      <c r="C11"/>
      <c r="D11"/>
      <c r="E11" s="24">
        <v>20000</v>
      </c>
      <c r="F11" s="25"/>
      <c r="G11" s="3">
        <f>E11-F11+G10</f>
        <v>20000</v>
      </c>
    </row>
    <row r="12" spans="1:7">
      <c r="A12" s="7"/>
      <c r="B12" s="3" t="s">
        <v>350</v>
      </c>
      <c r="C12"/>
      <c r="D12"/>
      <c r="E12" s="24"/>
      <c r="F12" s="25">
        <v>135000</v>
      </c>
      <c r="G12" s="3">
        <f t="shared" si="0"/>
        <v>-115000</v>
      </c>
    </row>
    <row r="13" spans="1:7">
      <c r="A13" s="32" t="s">
        <v>387</v>
      </c>
      <c r="B13" s="139">
        <v>45292</v>
      </c>
      <c r="C13" s="46"/>
      <c r="D13" s="3">
        <f>C13*E11</f>
        <v>0</v>
      </c>
      <c r="E13" s="138">
        <f>D13+E11</f>
        <v>20000</v>
      </c>
      <c r="F13" s="25"/>
      <c r="G13" s="3">
        <f t="shared" si="0"/>
        <v>-95000</v>
      </c>
    </row>
    <row r="14" spans="1:7">
      <c r="A14" s="7"/>
      <c r="B14" t="s">
        <v>274</v>
      </c>
      <c r="C14" s="46"/>
      <c r="D14" s="3">
        <f t="shared" ref="D14:D19" si="1">C14*E13</f>
        <v>0</v>
      </c>
      <c r="E14" s="138">
        <f t="shared" ref="E14:E19" si="2">D14+E13</f>
        <v>20000</v>
      </c>
      <c r="F14" s="25"/>
      <c r="G14" s="3">
        <f t="shared" si="0"/>
        <v>-75000</v>
      </c>
    </row>
    <row r="15" spans="1:7">
      <c r="A15" s="26"/>
      <c r="B15" t="s">
        <v>275</v>
      </c>
      <c r="C15" s="46"/>
      <c r="D15" s="3">
        <f t="shared" si="1"/>
        <v>0</v>
      </c>
      <c r="E15" s="138">
        <f t="shared" si="2"/>
        <v>20000</v>
      </c>
      <c r="F15" s="25"/>
      <c r="G15" s="3">
        <f t="shared" si="0"/>
        <v>-55000</v>
      </c>
    </row>
    <row r="16" spans="1:7">
      <c r="A16" s="26"/>
      <c r="B16" t="s">
        <v>318</v>
      </c>
      <c r="C16" s="46"/>
      <c r="D16" s="3">
        <f t="shared" si="1"/>
        <v>0</v>
      </c>
      <c r="E16" s="138">
        <f t="shared" si="2"/>
        <v>20000</v>
      </c>
      <c r="F16" s="25"/>
      <c r="G16" s="3">
        <f t="shared" si="0"/>
        <v>-35000</v>
      </c>
    </row>
    <row r="17" spans="1:7">
      <c r="A17" s="26"/>
      <c r="B17" t="s">
        <v>319</v>
      </c>
      <c r="C17" s="46"/>
      <c r="D17" s="3">
        <f t="shared" si="1"/>
        <v>0</v>
      </c>
      <c r="E17" s="138">
        <f t="shared" si="2"/>
        <v>20000</v>
      </c>
      <c r="F17" s="28"/>
      <c r="G17" s="3">
        <f t="shared" si="0"/>
        <v>-15000</v>
      </c>
    </row>
    <row r="18" spans="1:7">
      <c r="A18" s="26"/>
      <c r="B18" t="s">
        <v>278</v>
      </c>
      <c r="C18" s="46">
        <v>0.03</v>
      </c>
      <c r="D18" s="3">
        <f t="shared" si="1"/>
        <v>600</v>
      </c>
      <c r="E18" s="138">
        <f t="shared" si="2"/>
        <v>20600</v>
      </c>
      <c r="F18" s="28"/>
      <c r="G18" s="3">
        <f t="shared" si="0"/>
        <v>5600</v>
      </c>
    </row>
    <row r="19" spans="1:7">
      <c r="A19" s="26"/>
      <c r="B19" t="s">
        <v>279</v>
      </c>
      <c r="C19" s="46">
        <v>0.05</v>
      </c>
      <c r="D19" s="3">
        <f t="shared" si="1"/>
        <v>1030</v>
      </c>
      <c r="E19" s="138">
        <f t="shared" si="2"/>
        <v>21630</v>
      </c>
      <c r="F19" s="28"/>
      <c r="G19" s="3">
        <f t="shared" si="0"/>
        <v>27230</v>
      </c>
    </row>
    <row r="20" spans="1:7">
      <c r="A20" s="26"/>
      <c r="B20" t="s">
        <v>280</v>
      </c>
      <c r="C20"/>
      <c r="D20"/>
      <c r="E20" s="27"/>
      <c r="F20" s="28"/>
      <c r="G20" s="3">
        <f t="shared" si="0"/>
        <v>27230</v>
      </c>
    </row>
    <row r="21" spans="1:7">
      <c r="A21" s="26"/>
      <c r="B21" t="s">
        <v>261</v>
      </c>
      <c r="C21"/>
      <c r="D21"/>
      <c r="E21" s="27"/>
      <c r="F21" s="28"/>
      <c r="G21" s="3">
        <f t="shared" si="0"/>
        <v>27230</v>
      </c>
    </row>
    <row r="22" spans="1:7">
      <c r="A22" s="26"/>
      <c r="B22" t="s">
        <v>262</v>
      </c>
      <c r="C22"/>
      <c r="D22"/>
      <c r="E22" s="30"/>
      <c r="F22" s="31"/>
      <c r="G22" s="31"/>
    </row>
    <row r="23" spans="1:7">
      <c r="A23" s="26"/>
      <c r="B23" t="s">
        <v>263</v>
      </c>
      <c r="C23"/>
      <c r="D23"/>
      <c r="E23" s="30"/>
      <c r="F23" s="31"/>
      <c r="G23" s="31"/>
    </row>
    <row r="24" spans="1:7">
      <c r="A24" s="26"/>
      <c r="B24" t="s">
        <v>264</v>
      </c>
      <c r="C24"/>
      <c r="D24"/>
      <c r="E24" s="30"/>
      <c r="F24" s="31"/>
      <c r="G24" s="31"/>
    </row>
    <row r="25" spans="1:7">
      <c r="A25" s="32" t="s">
        <v>419</v>
      </c>
      <c r="B25" t="s">
        <v>273</v>
      </c>
      <c r="C25"/>
      <c r="D25"/>
      <c r="E25" s="30"/>
      <c r="F25" s="31"/>
      <c r="G25" s="31"/>
    </row>
    <row r="26" spans="1:7">
      <c r="A26" s="26"/>
      <c r="B26" t="s">
        <v>274</v>
      </c>
      <c r="C26"/>
      <c r="D26"/>
      <c r="E26" s="30"/>
      <c r="F26" s="31"/>
      <c r="G26" s="31"/>
    </row>
    <row r="27" spans="1:7">
      <c r="A27" s="26"/>
      <c r="B27" t="s">
        <v>275</v>
      </c>
      <c r="C27"/>
      <c r="D27"/>
      <c r="E27" s="30"/>
      <c r="F27" s="31"/>
      <c r="G27" s="31"/>
    </row>
    <row r="28" spans="1:7">
      <c r="A28" s="26"/>
      <c r="B28"/>
      <c r="C28"/>
      <c r="D28"/>
      <c r="E28" s="30"/>
      <c r="F28" s="31"/>
      <c r="G28" s="31"/>
    </row>
    <row r="29" spans="1:7">
      <c r="A29" s="26"/>
      <c r="B29"/>
      <c r="C29"/>
      <c r="D29"/>
      <c r="E29" s="30"/>
      <c r="F29" s="31"/>
      <c r="G29" s="31"/>
    </row>
    <row r="30" spans="1:7">
      <c r="A30" s="26"/>
      <c r="B30"/>
      <c r="C30"/>
      <c r="D30"/>
      <c r="E30" s="30"/>
      <c r="F30" s="31"/>
      <c r="G30" s="31"/>
    </row>
    <row r="31" spans="1:7">
      <c r="A31" s="26"/>
      <c r="B31"/>
      <c r="C31"/>
      <c r="D31"/>
      <c r="E31" s="30"/>
      <c r="F31" s="31"/>
      <c r="G31" s="31"/>
    </row>
    <row r="32" spans="1:7">
      <c r="A32" s="26"/>
      <c r="B32"/>
      <c r="C32"/>
      <c r="D32"/>
      <c r="E32" s="30"/>
      <c r="F32" s="31"/>
      <c r="G32" s="31"/>
    </row>
    <row r="33" spans="1:7">
      <c r="A33" s="26"/>
      <c r="B33"/>
      <c r="C33"/>
      <c r="D33"/>
      <c r="E33" s="30"/>
      <c r="F33" s="31"/>
      <c r="G33" s="31"/>
    </row>
    <row r="34" spans="1:7">
      <c r="A34" s="26"/>
      <c r="B34"/>
      <c r="C34"/>
      <c r="D34"/>
      <c r="E34" s="30"/>
      <c r="F34" s="31"/>
      <c r="G34" s="31"/>
    </row>
    <row r="35" spans="1:7">
      <c r="A35" s="26"/>
      <c r="B35"/>
      <c r="C35"/>
      <c r="D35"/>
      <c r="E35" s="30"/>
      <c r="F35" s="31"/>
      <c r="G35" s="31"/>
    </row>
    <row r="36" spans="1:7">
      <c r="A36" s="26"/>
      <c r="B36"/>
      <c r="C36"/>
      <c r="D36"/>
      <c r="E36" s="30"/>
      <c r="F36" s="31"/>
      <c r="G36" s="31"/>
    </row>
    <row r="37" spans="1:7">
      <c r="A37" s="32" t="s">
        <v>31</v>
      </c>
      <c r="B37" s="21" t="s">
        <v>32</v>
      </c>
      <c r="C37" s="21"/>
      <c r="D37" s="21" t="s">
        <v>33</v>
      </c>
      <c r="E37" s="33" t="s">
        <v>34</v>
      </c>
      <c r="F37" s="34"/>
      <c r="G37" s="34">
        <v>3000</v>
      </c>
    </row>
    <row r="38" spans="1:7">
      <c r="A38" s="26"/>
      <c r="B38" t="s">
        <v>35</v>
      </c>
      <c r="C38"/>
      <c r="D38"/>
      <c r="E38" s="30"/>
      <c r="F38" s="31"/>
      <c r="G38" s="31">
        <v>-3924.11</v>
      </c>
    </row>
    <row r="39" spans="1:7">
      <c r="A39" s="26"/>
      <c r="B39" t="s">
        <v>87</v>
      </c>
      <c r="C39"/>
      <c r="D39">
        <v>0</v>
      </c>
      <c r="E39" s="3">
        <v>875.64</v>
      </c>
      <c r="F39">
        <v>875.64</v>
      </c>
      <c r="G39" s="31">
        <f t="shared" ref="G39:G50" si="3">E39-F39+G38</f>
        <v>-3924.11</v>
      </c>
    </row>
    <row r="40" spans="1:7">
      <c r="A40" s="26"/>
      <c r="B40" t="s">
        <v>36</v>
      </c>
      <c r="C40"/>
      <c r="D40">
        <v>0</v>
      </c>
      <c r="E40" s="3">
        <v>1036.52</v>
      </c>
      <c r="F40">
        <v>1192</v>
      </c>
      <c r="G40" s="31">
        <f t="shared" si="3"/>
        <v>-4079.59</v>
      </c>
    </row>
    <row r="41" spans="1:7">
      <c r="A41" s="26"/>
      <c r="B41" t="s">
        <v>37</v>
      </c>
      <c r="C41"/>
      <c r="D41"/>
      <c r="F41"/>
      <c r="G41" s="31">
        <f t="shared" si="3"/>
        <v>-4079.59</v>
      </c>
    </row>
    <row r="42" spans="1:7">
      <c r="A42" s="26"/>
      <c r="B42" t="s">
        <v>38</v>
      </c>
      <c r="C42"/>
      <c r="D42"/>
      <c r="F42"/>
      <c r="G42" s="31">
        <f t="shared" si="3"/>
        <v>-4079.59</v>
      </c>
    </row>
    <row r="43" spans="1:7">
      <c r="A43" s="26"/>
      <c r="B43" t="s">
        <v>39</v>
      </c>
      <c r="C43"/>
      <c r="D43"/>
      <c r="F43"/>
      <c r="G43" s="31">
        <f t="shared" si="3"/>
        <v>-4079.59</v>
      </c>
    </row>
    <row r="44" spans="1:7">
      <c r="A44" s="26"/>
      <c r="B44" t="s">
        <v>88</v>
      </c>
      <c r="C44"/>
      <c r="D44"/>
      <c r="F44"/>
      <c r="G44" s="31">
        <f t="shared" si="3"/>
        <v>-4079.59</v>
      </c>
    </row>
    <row r="45" spans="1:7">
      <c r="A45" s="26"/>
      <c r="B45" t="s">
        <v>89</v>
      </c>
      <c r="C45"/>
      <c r="D45"/>
      <c r="F45"/>
      <c r="G45" s="31">
        <f t="shared" si="3"/>
        <v>-4079.59</v>
      </c>
    </row>
    <row r="46" spans="1:7">
      <c r="A46" s="26"/>
      <c r="B46" t="s">
        <v>90</v>
      </c>
      <c r="C46"/>
      <c r="D46"/>
      <c r="F46"/>
      <c r="G46" s="31">
        <f t="shared" si="3"/>
        <v>-4079.59</v>
      </c>
    </row>
    <row r="47" spans="1:7">
      <c r="A47" s="26"/>
      <c r="B47" t="s">
        <v>91</v>
      </c>
      <c r="C47"/>
      <c r="D47"/>
      <c r="F47"/>
      <c r="G47" s="31">
        <f t="shared" si="3"/>
        <v>-4079.59</v>
      </c>
    </row>
    <row r="48" spans="1:7">
      <c r="A48" s="26"/>
      <c r="B48" t="s">
        <v>40</v>
      </c>
      <c r="C48"/>
      <c r="D48"/>
      <c r="F48"/>
      <c r="G48" s="31">
        <f t="shared" si="3"/>
        <v>-4079.59</v>
      </c>
    </row>
    <row r="49" spans="1:7">
      <c r="A49" s="26"/>
      <c r="B49" t="s">
        <v>41</v>
      </c>
      <c r="C49"/>
      <c r="D49"/>
      <c r="E49" s="30"/>
      <c r="F49" s="31"/>
      <c r="G49" s="31">
        <f t="shared" si="3"/>
        <v>-4079.59</v>
      </c>
    </row>
    <row r="50" spans="1:7">
      <c r="A50" s="32"/>
      <c r="B50" s="21" t="s">
        <v>42</v>
      </c>
      <c r="C50" s="21"/>
      <c r="D50" s="21"/>
      <c r="E50" s="33"/>
      <c r="F50" s="34"/>
      <c r="G50" s="34">
        <f t="shared" si="3"/>
        <v>-4079.59</v>
      </c>
    </row>
    <row r="51" spans="1:7">
      <c r="A51" s="35">
        <v>45291</v>
      </c>
      <c r="B51" s="53" t="s">
        <v>35</v>
      </c>
      <c r="C51" s="53"/>
      <c r="D51" s="36">
        <f>SUM(D39:D50)</f>
        <v>0</v>
      </c>
      <c r="E51" s="37"/>
      <c r="F51" s="38"/>
      <c r="G51" s="39">
        <f>E51-F51+G50</f>
        <v>-4079.59</v>
      </c>
    </row>
    <row r="52" spans="1:7">
      <c r="A52" s="7"/>
      <c r="B52"/>
      <c r="C52"/>
      <c r="D52"/>
    </row>
    <row r="53" spans="1:7">
      <c r="A53" s="88" t="s">
        <v>255</v>
      </c>
      <c r="B53" s="40" t="s">
        <v>167</v>
      </c>
      <c r="C53" s="40"/>
      <c r="D53" s="40"/>
      <c r="E53" s="41"/>
      <c r="F53" s="42"/>
      <c r="G53" s="43">
        <f>SUM(F54:F58)</f>
        <v>0</v>
      </c>
    </row>
    <row r="54" spans="1:7">
      <c r="A54" s="7"/>
      <c r="B54" s="8"/>
      <c r="C54" s="8"/>
      <c r="D54" s="8"/>
      <c r="E54"/>
      <c r="F54"/>
      <c r="G54"/>
    </row>
    <row r="55" spans="1:7">
      <c r="A55" s="7"/>
      <c r="B55" t="s">
        <v>96</v>
      </c>
      <c r="C55"/>
      <c r="D55"/>
    </row>
    <row r="56" spans="1:7">
      <c r="A56" s="7"/>
      <c r="B56" t="s">
        <v>97</v>
      </c>
      <c r="C56"/>
      <c r="D56" s="3">
        <v>36000</v>
      </c>
    </row>
    <row r="57" spans="1:7">
      <c r="A57" s="7"/>
      <c r="B57" t="s">
        <v>98</v>
      </c>
      <c r="C57"/>
      <c r="D57" s="3">
        <v>43160</v>
      </c>
      <c r="G57" s="44"/>
    </row>
    <row r="58" spans="1:7">
      <c r="A58" s="7"/>
      <c r="B58" s="21" t="s">
        <v>99</v>
      </c>
      <c r="C58" s="21"/>
      <c r="D58" s="42">
        <v>82000</v>
      </c>
      <c r="E58" s="8"/>
      <c r="G58" s="45"/>
    </row>
    <row r="59" spans="1:7">
      <c r="A59" s="7"/>
      <c r="B59" t="s">
        <v>331</v>
      </c>
      <c r="C59"/>
      <c r="D59" s="3">
        <v>135000</v>
      </c>
      <c r="E59" s="8"/>
      <c r="G59" s="45"/>
    </row>
    <row r="60" spans="1:7">
      <c r="A60" s="54">
        <v>45214</v>
      </c>
      <c r="B60" t="s">
        <v>266</v>
      </c>
      <c r="C60"/>
      <c r="E60"/>
    </row>
    <row r="61" spans="1:7">
      <c r="A61" s="54">
        <v>45214</v>
      </c>
      <c r="B61" t="s">
        <v>267</v>
      </c>
      <c r="C61"/>
      <c r="E61"/>
    </row>
    <row r="62" spans="1:7">
      <c r="A62" s="54">
        <v>45214</v>
      </c>
      <c r="B62" t="s">
        <v>100</v>
      </c>
      <c r="C62"/>
      <c r="E62"/>
    </row>
    <row r="63" spans="1:7">
      <c r="A63" s="54">
        <v>44321</v>
      </c>
      <c r="B63" t="s">
        <v>101</v>
      </c>
      <c r="C63"/>
      <c r="E63"/>
    </row>
    <row r="64" spans="1:7">
      <c r="A64" s="54">
        <v>44367</v>
      </c>
      <c r="B64" t="s">
        <v>102</v>
      </c>
      <c r="C64"/>
      <c r="E64"/>
    </row>
    <row r="65" spans="1:8">
      <c r="A65" s="54">
        <v>44459</v>
      </c>
      <c r="B65" t="s">
        <v>103</v>
      </c>
      <c r="C65"/>
      <c r="E65"/>
    </row>
    <row r="66" spans="1:8">
      <c r="A66" s="54">
        <v>44459</v>
      </c>
      <c r="B66" t="s">
        <v>104</v>
      </c>
      <c r="C66"/>
      <c r="E66"/>
    </row>
    <row r="67" spans="1:8">
      <c r="A67" s="54">
        <v>44433</v>
      </c>
      <c r="B67" t="s">
        <v>105</v>
      </c>
      <c r="C67"/>
      <c r="E67"/>
    </row>
    <row r="68" spans="1:8">
      <c r="A68" s="54">
        <v>44449</v>
      </c>
      <c r="B68" t="s">
        <v>106</v>
      </c>
      <c r="C68"/>
      <c r="E68"/>
    </row>
    <row r="69" spans="1:8">
      <c r="A69" s="54">
        <v>44201</v>
      </c>
      <c r="B69" t="s">
        <v>107</v>
      </c>
      <c r="C69"/>
      <c r="E69" s="2">
        <v>500</v>
      </c>
    </row>
    <row r="70" spans="1:8">
      <c r="A70" s="54">
        <v>44931</v>
      </c>
      <c r="B70" t="s">
        <v>108</v>
      </c>
      <c r="C70"/>
      <c r="E70" s="2"/>
    </row>
    <row r="71" spans="1:8">
      <c r="A71" s="54">
        <v>44252</v>
      </c>
      <c r="B71" t="s">
        <v>109</v>
      </c>
      <c r="C71"/>
      <c r="E71" s="2" t="s">
        <v>110</v>
      </c>
    </row>
    <row r="72" spans="1:8">
      <c r="A72" s="54">
        <v>44285</v>
      </c>
      <c r="B72" t="s">
        <v>111</v>
      </c>
      <c r="C72"/>
      <c r="E72" s="2" t="s">
        <v>112</v>
      </c>
    </row>
    <row r="73" spans="1:8">
      <c r="A73" s="54">
        <v>44413</v>
      </c>
      <c r="B73" t="s">
        <v>113</v>
      </c>
      <c r="C73"/>
      <c r="E73" s="2" t="s">
        <v>112</v>
      </c>
    </row>
    <row r="74" spans="1:8">
      <c r="B74" t="s">
        <v>114</v>
      </c>
      <c r="C74"/>
      <c r="D74"/>
      <c r="E74" s="2" t="s">
        <v>110</v>
      </c>
    </row>
    <row r="75" spans="1:8">
      <c r="A75" s="54"/>
      <c r="B75"/>
      <c r="C75"/>
      <c r="E75"/>
    </row>
    <row r="76" spans="1:8">
      <c r="A76" s="54"/>
      <c r="B76"/>
      <c r="C76"/>
      <c r="E76"/>
    </row>
    <row r="77" spans="1:8">
      <c r="B77"/>
      <c r="C77"/>
      <c r="D77"/>
      <c r="E77"/>
    </row>
    <row r="78" spans="1:8">
      <c r="B78"/>
      <c r="C78"/>
      <c r="E78"/>
      <c r="G78" s="46"/>
      <c r="H78" s="51"/>
    </row>
    <row r="79" spans="1:8">
      <c r="B79"/>
      <c r="C79"/>
      <c r="E79"/>
      <c r="G79" s="46"/>
      <c r="H79" s="51"/>
    </row>
    <row r="80" spans="1:8">
      <c r="B80"/>
      <c r="C80"/>
      <c r="E80"/>
      <c r="G80" s="46"/>
      <c r="H80" s="51"/>
    </row>
    <row r="81" spans="2:8">
      <c r="B81" s="3" t="s">
        <v>115</v>
      </c>
      <c r="F81" s="1"/>
      <c r="G81" s="46"/>
      <c r="H81" s="51"/>
    </row>
    <row r="82" spans="2:8">
      <c r="F82" s="1"/>
      <c r="G82" s="46"/>
      <c r="H82" s="51"/>
    </row>
    <row r="83" spans="2:8">
      <c r="B83" t="s">
        <v>116</v>
      </c>
      <c r="C83"/>
      <c r="E83">
        <v>42.07</v>
      </c>
      <c r="F83" s="3">
        <f>D83-E83</f>
        <v>-42.07</v>
      </c>
      <c r="G83" s="46"/>
      <c r="H83" s="51"/>
    </row>
    <row r="84" spans="2:8">
      <c r="B84" t="s">
        <v>117</v>
      </c>
      <c r="C84"/>
      <c r="E84">
        <v>34.450000000000003</v>
      </c>
      <c r="F84" s="3">
        <f t="shared" ref="F84:F95" si="4">F83+D84-E84</f>
        <v>-76.52000000000001</v>
      </c>
    </row>
    <row r="85" spans="2:8">
      <c r="B85" t="s">
        <v>118</v>
      </c>
      <c r="C85"/>
      <c r="E85">
        <v>20.05</v>
      </c>
      <c r="F85" s="3">
        <f t="shared" si="4"/>
        <v>-96.570000000000007</v>
      </c>
    </row>
    <row r="86" spans="2:8">
      <c r="B86" t="s">
        <v>119</v>
      </c>
      <c r="C86"/>
      <c r="E86">
        <v>34.700000000000003</v>
      </c>
      <c r="F86" s="3">
        <f t="shared" si="4"/>
        <v>-131.27000000000001</v>
      </c>
    </row>
    <row r="87" spans="2:8">
      <c r="B87" t="s">
        <v>120</v>
      </c>
      <c r="C87"/>
      <c r="E87">
        <v>34.340000000000003</v>
      </c>
      <c r="F87" s="3">
        <f t="shared" si="4"/>
        <v>-165.61</v>
      </c>
    </row>
    <row r="88" spans="2:8">
      <c r="B88" t="s">
        <v>121</v>
      </c>
      <c r="C88"/>
      <c r="E88">
        <v>-65.91</v>
      </c>
      <c r="F88" s="3">
        <f t="shared" si="4"/>
        <v>-99.700000000000017</v>
      </c>
    </row>
    <row r="89" spans="2:8">
      <c r="B89" t="s">
        <v>122</v>
      </c>
      <c r="C89"/>
      <c r="E89">
        <v>31.54</v>
      </c>
      <c r="F89" s="3">
        <f t="shared" si="4"/>
        <v>-131.24</v>
      </c>
    </row>
    <row r="90" spans="2:8">
      <c r="B90" t="s">
        <v>123</v>
      </c>
      <c r="C90"/>
      <c r="E90">
        <v>0</v>
      </c>
      <c r="F90" s="3">
        <f t="shared" si="4"/>
        <v>-131.24</v>
      </c>
    </row>
    <row r="91" spans="2:8">
      <c r="B91" t="s">
        <v>124</v>
      </c>
      <c r="C91"/>
      <c r="E91">
        <v>45.99</v>
      </c>
      <c r="F91" s="3">
        <f t="shared" si="4"/>
        <v>-177.23000000000002</v>
      </c>
    </row>
    <row r="92" spans="2:8">
      <c r="B92" t="s">
        <v>125</v>
      </c>
      <c r="C92"/>
      <c r="E92">
        <v>42.89</v>
      </c>
      <c r="F92" s="3">
        <f t="shared" si="4"/>
        <v>-220.12</v>
      </c>
    </row>
    <row r="93" spans="2:8">
      <c r="B93" t="s">
        <v>126</v>
      </c>
      <c r="C93"/>
      <c r="E93">
        <v>34.979999999999997</v>
      </c>
      <c r="F93" s="3">
        <f t="shared" si="4"/>
        <v>-255.1</v>
      </c>
    </row>
    <row r="94" spans="2:8">
      <c r="B94" t="s">
        <v>127</v>
      </c>
      <c r="C94"/>
      <c r="E94">
        <v>0</v>
      </c>
      <c r="F94" s="3">
        <f t="shared" si="4"/>
        <v>-255.1</v>
      </c>
    </row>
    <row r="95" spans="2:8">
      <c r="B95" s="1" t="s">
        <v>128</v>
      </c>
      <c r="C95" s="1"/>
      <c r="D95" s="51"/>
      <c r="E95" s="1"/>
      <c r="F95" s="51">
        <f t="shared" si="4"/>
        <v>-255.1</v>
      </c>
    </row>
    <row r="98" spans="2:6">
      <c r="B98" s="1" t="s">
        <v>129</v>
      </c>
      <c r="C98" s="1"/>
      <c r="D98" s="51"/>
      <c r="E98" s="1"/>
      <c r="F98" s="51">
        <v>-255.1</v>
      </c>
    </row>
    <row r="99" spans="2:6">
      <c r="B99" t="s">
        <v>130</v>
      </c>
      <c r="C99"/>
      <c r="E99">
        <v>30.04</v>
      </c>
      <c r="F99" s="3">
        <f t="shared" ref="F99:F114" si="5">F98+D99-E99</f>
        <v>-285.14</v>
      </c>
    </row>
    <row r="100" spans="2:6">
      <c r="B100" s="55">
        <v>44593</v>
      </c>
      <c r="C100" s="55"/>
      <c r="E100">
        <v>135.32</v>
      </c>
      <c r="F100" s="3">
        <f t="shared" si="5"/>
        <v>-420.46</v>
      </c>
    </row>
    <row r="101" spans="2:6">
      <c r="B101" s="55">
        <v>44621</v>
      </c>
      <c r="C101" s="55"/>
      <c r="E101">
        <v>98.9</v>
      </c>
      <c r="F101" s="3">
        <f t="shared" si="5"/>
        <v>-519.36</v>
      </c>
    </row>
    <row r="102" spans="2:6">
      <c r="B102" s="55">
        <v>44652</v>
      </c>
      <c r="C102" s="55"/>
      <c r="E102">
        <v>135.6</v>
      </c>
      <c r="F102" s="3">
        <f t="shared" si="5"/>
        <v>-654.96</v>
      </c>
    </row>
    <row r="103" spans="2:6">
      <c r="B103" t="s">
        <v>131</v>
      </c>
      <c r="C103"/>
      <c r="E103">
        <v>214.37</v>
      </c>
      <c r="F103" s="3">
        <f t="shared" si="5"/>
        <v>-869.33</v>
      </c>
    </row>
    <row r="104" spans="2:6">
      <c r="B104" t="s">
        <v>132</v>
      </c>
      <c r="C104"/>
      <c r="E104">
        <v>427.65</v>
      </c>
      <c r="F104" s="3">
        <f t="shared" si="5"/>
        <v>-1296.98</v>
      </c>
    </row>
    <row r="105" spans="2:6">
      <c r="B105" t="s">
        <v>133</v>
      </c>
      <c r="C105"/>
      <c r="E105">
        <v>446.55</v>
      </c>
      <c r="F105" s="3">
        <f t="shared" si="5"/>
        <v>-1743.53</v>
      </c>
    </row>
    <row r="106" spans="2:6">
      <c r="B106" t="s">
        <v>134</v>
      </c>
      <c r="C106"/>
      <c r="E106">
        <v>333.96</v>
      </c>
      <c r="F106" s="3">
        <f t="shared" si="5"/>
        <v>-2077.4899999999998</v>
      </c>
    </row>
    <row r="107" spans="2:6">
      <c r="B107" t="s">
        <v>135</v>
      </c>
      <c r="C107"/>
      <c r="E107">
        <v>324.51</v>
      </c>
      <c r="F107" s="3">
        <f t="shared" si="5"/>
        <v>-2402</v>
      </c>
    </row>
    <row r="108" spans="2:6">
      <c r="B108" t="s">
        <v>136</v>
      </c>
      <c r="C108"/>
      <c r="E108">
        <v>331.27</v>
      </c>
      <c r="F108" s="3">
        <f t="shared" si="5"/>
        <v>-2733.27</v>
      </c>
    </row>
    <row r="109" spans="2:6">
      <c r="B109" t="s">
        <v>137</v>
      </c>
      <c r="C109"/>
      <c r="D109" s="3">
        <v>50</v>
      </c>
      <c r="E109"/>
      <c r="F109" s="3">
        <f t="shared" si="5"/>
        <v>-2683.27</v>
      </c>
    </row>
    <row r="110" spans="2:6">
      <c r="B110" s="55">
        <v>44866</v>
      </c>
      <c r="C110" s="55"/>
      <c r="E110">
        <v>412.42</v>
      </c>
      <c r="F110" s="3">
        <f t="shared" si="5"/>
        <v>-3095.69</v>
      </c>
    </row>
    <row r="111" spans="2:6">
      <c r="B111" t="s">
        <v>127</v>
      </c>
      <c r="C111"/>
      <c r="E111">
        <v>426.12</v>
      </c>
      <c r="F111" s="3">
        <f t="shared" si="5"/>
        <v>-3521.81</v>
      </c>
    </row>
    <row r="112" spans="2:6">
      <c r="B112" t="s">
        <v>138</v>
      </c>
      <c r="C112"/>
      <c r="D112" s="3">
        <v>2000</v>
      </c>
      <c r="E112"/>
      <c r="F112" s="3">
        <f t="shared" si="5"/>
        <v>-1521.81</v>
      </c>
    </row>
    <row r="113" spans="2:6">
      <c r="B113" t="s">
        <v>139</v>
      </c>
      <c r="C113"/>
      <c r="D113" s="3">
        <v>500</v>
      </c>
      <c r="E113"/>
      <c r="F113" s="3">
        <f t="shared" si="5"/>
        <v>-1021.81</v>
      </c>
    </row>
    <row r="114" spans="2:6">
      <c r="B114" t="s">
        <v>140</v>
      </c>
      <c r="C114"/>
      <c r="E114"/>
      <c r="F114" s="51">
        <f t="shared" si="5"/>
        <v>-1021.81</v>
      </c>
    </row>
  </sheetData>
  <phoneticPr fontId="49" type="noConversion"/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C87F-6CBB-48CF-9073-716B69FD2C1F}">
  <dimension ref="A1:K60"/>
  <sheetViews>
    <sheetView topLeftCell="A3" zoomScale="145" zoomScaleNormal="145" workbookViewId="0">
      <selection activeCell="A16" sqref="A16"/>
    </sheetView>
  </sheetViews>
  <sheetFormatPr defaultRowHeight="12.75"/>
  <cols>
    <col min="1" max="1" width="9.28515625" customWidth="1"/>
    <col min="2" max="2" width="30.85546875" customWidth="1"/>
    <col min="3" max="3" width="12.85546875" bestFit="1" customWidth="1"/>
    <col min="4" max="4" width="8.5703125" customWidth="1"/>
    <col min="5" max="5" width="11.5703125" bestFit="1" customWidth="1"/>
    <col min="6" max="7" width="11.28515625" bestFit="1" customWidth="1"/>
    <col min="8" max="8" width="12.7109375" bestFit="1" customWidth="1"/>
    <col min="10" max="10" width="10.5703125" bestFit="1" customWidth="1"/>
  </cols>
  <sheetData>
    <row r="1" spans="1:8" ht="15">
      <c r="A1" s="194"/>
      <c r="B1" s="195" t="s">
        <v>420</v>
      </c>
      <c r="C1" s="196"/>
      <c r="D1" s="197"/>
      <c r="E1" s="198"/>
      <c r="F1" s="199"/>
      <c r="G1" s="200"/>
      <c r="H1" s="200"/>
    </row>
    <row r="2" spans="1:8">
      <c r="A2" s="201"/>
      <c r="B2" s="202"/>
      <c r="C2" s="203"/>
      <c r="D2" s="204"/>
      <c r="E2" s="202"/>
      <c r="F2" s="205"/>
      <c r="G2" s="206"/>
      <c r="H2" s="206"/>
    </row>
    <row r="3" spans="1:8" ht="18">
      <c r="A3" s="207" t="s">
        <v>436</v>
      </c>
      <c r="B3" s="198"/>
      <c r="C3" s="196"/>
      <c r="D3" s="197"/>
      <c r="E3" s="208"/>
      <c r="F3" s="209">
        <f>SUM(F7:F60)</f>
        <v>523609.10782602523</v>
      </c>
      <c r="G3" s="209">
        <f>SUM(G7:G60)</f>
        <v>354000</v>
      </c>
      <c r="H3" s="210">
        <f>F3-G3</f>
        <v>169609.10782602523</v>
      </c>
    </row>
    <row r="4" spans="1:8" ht="18">
      <c r="A4" s="207"/>
      <c r="B4" s="198"/>
      <c r="C4" s="196"/>
      <c r="D4" s="197"/>
      <c r="E4" s="198" t="s">
        <v>433</v>
      </c>
      <c r="F4" s="209"/>
      <c r="G4" s="209"/>
      <c r="H4" s="210"/>
    </row>
    <row r="5" spans="1:8">
      <c r="A5" s="211" t="s">
        <v>23</v>
      </c>
      <c r="B5" s="212" t="s">
        <v>24</v>
      </c>
      <c r="C5" s="213" t="s">
        <v>421</v>
      </c>
      <c r="D5" s="214" t="s">
        <v>349</v>
      </c>
      <c r="E5" s="215" t="s">
        <v>422</v>
      </c>
      <c r="F5" s="216" t="s">
        <v>212</v>
      </c>
      <c r="G5" s="217" t="s">
        <v>3</v>
      </c>
      <c r="H5" s="217" t="s">
        <v>26</v>
      </c>
    </row>
    <row r="6" spans="1:8">
      <c r="A6" s="194"/>
      <c r="B6" s="198"/>
      <c r="C6" s="196"/>
      <c r="D6" s="197"/>
      <c r="E6" s="198"/>
      <c r="F6" s="199"/>
      <c r="G6" s="200"/>
      <c r="H6" s="200">
        <f t="shared" ref="H6:H33" si="0">H7+F6-G6</f>
        <v>169609.1078260252</v>
      </c>
    </row>
    <row r="7" spans="1:8">
      <c r="A7" s="194"/>
      <c r="B7" s="198"/>
      <c r="C7" s="196"/>
      <c r="D7" s="197"/>
      <c r="E7" s="198"/>
      <c r="F7" s="199"/>
      <c r="G7" s="200"/>
      <c r="H7" s="200">
        <f t="shared" si="0"/>
        <v>169609.1078260252</v>
      </c>
    </row>
    <row r="8" spans="1:8">
      <c r="A8" s="194"/>
      <c r="B8" s="198"/>
      <c r="C8" s="196"/>
      <c r="D8" s="197"/>
      <c r="E8" s="198"/>
      <c r="F8" s="199"/>
      <c r="G8" s="200"/>
      <c r="H8" s="200">
        <f t="shared" si="0"/>
        <v>169609.1078260252</v>
      </c>
    </row>
    <row r="9" spans="1:8">
      <c r="A9" s="194"/>
      <c r="B9" s="198"/>
      <c r="C9" s="196"/>
      <c r="D9" s="197"/>
      <c r="E9" s="198"/>
      <c r="F9" s="199"/>
      <c r="G9" s="200"/>
      <c r="H9" s="200">
        <f t="shared" si="0"/>
        <v>169609.1078260252</v>
      </c>
    </row>
    <row r="10" spans="1:8">
      <c r="A10" s="194"/>
      <c r="B10" s="198"/>
      <c r="C10" s="196"/>
      <c r="D10" s="197"/>
      <c r="E10" s="198"/>
      <c r="F10" s="199"/>
      <c r="G10" s="200"/>
      <c r="H10" s="200">
        <f t="shared" si="0"/>
        <v>169609.1078260252</v>
      </c>
    </row>
    <row r="11" spans="1:8">
      <c r="A11" s="194"/>
      <c r="B11" s="198"/>
      <c r="C11" s="196"/>
      <c r="D11" s="197"/>
      <c r="E11" s="198"/>
      <c r="F11" s="199"/>
      <c r="G11" s="200"/>
      <c r="H11" s="200">
        <f t="shared" si="0"/>
        <v>169609.1078260252</v>
      </c>
    </row>
    <row r="12" spans="1:8">
      <c r="A12" s="194"/>
      <c r="B12" s="198"/>
      <c r="C12" s="196"/>
      <c r="D12" s="197"/>
      <c r="E12" s="198"/>
      <c r="F12" s="199"/>
      <c r="G12" s="200"/>
      <c r="H12" s="200">
        <f t="shared" si="0"/>
        <v>169609.1078260252</v>
      </c>
    </row>
    <row r="13" spans="1:8">
      <c r="A13" s="194"/>
      <c r="B13" s="218" t="s">
        <v>474</v>
      </c>
      <c r="C13" s="196"/>
      <c r="D13" s="197"/>
      <c r="E13" s="199">
        <f>E15+E14</f>
        <v>49910.621210809761</v>
      </c>
      <c r="F13" s="199">
        <f>E13</f>
        <v>49910.621210809761</v>
      </c>
      <c r="G13" s="200"/>
      <c r="H13" s="200">
        <f t="shared" si="0"/>
        <v>169609.1078260252</v>
      </c>
    </row>
    <row r="14" spans="1:8">
      <c r="A14" s="194">
        <v>45716</v>
      </c>
      <c r="B14" s="218" t="s">
        <v>451</v>
      </c>
      <c r="C14" s="196">
        <v>3000</v>
      </c>
      <c r="D14" s="197">
        <f>(C14/C17)-1</f>
        <v>3.4482758620689724E-2</v>
      </c>
      <c r="E14" s="219">
        <f>F15*D14</f>
        <v>1663.6873736936618</v>
      </c>
      <c r="F14" s="199">
        <f>H15*D14</f>
        <v>3989.9495538405226</v>
      </c>
      <c r="G14" s="200"/>
      <c r="H14" s="200">
        <f t="shared" si="0"/>
        <v>119698.48661521544</v>
      </c>
    </row>
    <row r="15" spans="1:8">
      <c r="A15" s="194"/>
      <c r="B15" s="218" t="s">
        <v>473</v>
      </c>
      <c r="C15" s="196"/>
      <c r="D15" s="197"/>
      <c r="E15" s="199">
        <f>E18+E17</f>
        <v>48246.933837116099</v>
      </c>
      <c r="F15" s="199">
        <f>E15</f>
        <v>48246.933837116099</v>
      </c>
      <c r="G15" s="200"/>
      <c r="H15" s="200">
        <f t="shared" si="0"/>
        <v>115708.53706137493</v>
      </c>
    </row>
    <row r="16" spans="1:8" ht="15.75">
      <c r="A16" s="194"/>
      <c r="B16" s="259" t="s">
        <v>476</v>
      </c>
      <c r="C16" s="196"/>
      <c r="D16" s="197"/>
      <c r="E16" s="199"/>
      <c r="F16" s="260">
        <v>18000</v>
      </c>
      <c r="G16" s="200"/>
      <c r="H16" s="200">
        <f t="shared" si="0"/>
        <v>67461.603224258826</v>
      </c>
    </row>
    <row r="17" spans="1:11">
      <c r="A17" s="194">
        <v>45687</v>
      </c>
      <c r="B17" s="218" t="s">
        <v>452</v>
      </c>
      <c r="C17" s="196">
        <v>2900</v>
      </c>
      <c r="D17" s="197">
        <f>(C17/C19)-1</f>
        <v>3.5714285714285809E-2</v>
      </c>
      <c r="E17" s="219">
        <f>F18*D17</f>
        <v>1663.6873736936629</v>
      </c>
      <c r="F17" s="199">
        <f>H18*D17</f>
        <v>1705.5725249744467</v>
      </c>
      <c r="G17" s="200"/>
      <c r="H17" s="200">
        <f t="shared" si="0"/>
        <v>49461.603224258826</v>
      </c>
      <c r="J17" s="254">
        <v>45677</v>
      </c>
    </row>
    <row r="18" spans="1:11">
      <c r="A18" s="194"/>
      <c r="B18" s="218" t="s">
        <v>472</v>
      </c>
      <c r="C18" s="196"/>
      <c r="D18" s="197"/>
      <c r="E18" s="199">
        <f>E20+E19</f>
        <v>46583.246463422438</v>
      </c>
      <c r="F18" s="199">
        <f>E18</f>
        <v>46583.246463422438</v>
      </c>
      <c r="G18" s="200"/>
      <c r="H18" s="200">
        <f t="shared" si="0"/>
        <v>47756.030699284376</v>
      </c>
    </row>
    <row r="19" spans="1:11">
      <c r="A19" s="194">
        <v>45656</v>
      </c>
      <c r="B19" s="218" t="s">
        <v>453</v>
      </c>
      <c r="C19" s="196">
        <v>2800</v>
      </c>
      <c r="D19" s="197">
        <f>(C19/C23)-1</f>
        <v>5.372888308501711E-2</v>
      </c>
      <c r="E19" s="219">
        <f>F20*D19</f>
        <v>2375.2464634224366</v>
      </c>
      <c r="F19" s="199">
        <f>IF(H20&lt;=0,,(H20*D19))</f>
        <v>59.79943048357466</v>
      </c>
      <c r="G19" s="200"/>
      <c r="H19" s="200">
        <f t="shared" si="0"/>
        <v>1172.7842358619391</v>
      </c>
    </row>
    <row r="20" spans="1:11">
      <c r="A20" s="194"/>
      <c r="B20" s="218" t="s">
        <v>468</v>
      </c>
      <c r="C20" s="196"/>
      <c r="D20" s="197"/>
      <c r="E20" s="199">
        <v>44208</v>
      </c>
      <c r="F20" s="199">
        <f>E20</f>
        <v>44208</v>
      </c>
      <c r="G20" s="200"/>
      <c r="H20" s="200">
        <f t="shared" si="0"/>
        <v>1112.9848053783644</v>
      </c>
    </row>
    <row r="21" spans="1:11">
      <c r="A21" s="194"/>
      <c r="B21" s="218" t="s">
        <v>469</v>
      </c>
      <c r="C21" s="196"/>
      <c r="D21" s="197"/>
      <c r="E21" s="199"/>
      <c r="F21" s="199"/>
      <c r="G21" s="200">
        <v>219000</v>
      </c>
      <c r="H21" s="200">
        <f t="shared" si="0"/>
        <v>-43095.015194621636</v>
      </c>
      <c r="I21">
        <v>240</v>
      </c>
      <c r="J21">
        <v>60</v>
      </c>
      <c r="K21">
        <f>I21*J21/100</f>
        <v>144</v>
      </c>
    </row>
    <row r="22" spans="1:11">
      <c r="A22" s="194"/>
      <c r="B22" s="218" t="s">
        <v>449</v>
      </c>
      <c r="C22" s="196"/>
      <c r="D22" s="197"/>
      <c r="E22" s="199"/>
      <c r="F22" s="199">
        <v>7080</v>
      </c>
      <c r="G22" s="200"/>
      <c r="H22" s="200">
        <f t="shared" si="0"/>
        <v>175904.98480537836</v>
      </c>
      <c r="K22">
        <f>K21+I21</f>
        <v>384</v>
      </c>
    </row>
    <row r="23" spans="1:11" ht="13.5" thickBot="1">
      <c r="A23" s="194">
        <v>45626</v>
      </c>
      <c r="B23" s="218" t="s">
        <v>448</v>
      </c>
      <c r="C23" s="224">
        <v>2657.23</v>
      </c>
      <c r="D23" s="197">
        <f>(C23/C25)-1</f>
        <v>2.2440176843369075E-2</v>
      </c>
      <c r="E23" s="219">
        <f>C23</f>
        <v>2657.23</v>
      </c>
      <c r="F23" s="199">
        <f>H24*D23</f>
        <v>3705.3145997334518</v>
      </c>
      <c r="G23" s="200"/>
      <c r="H23" s="200">
        <f t="shared" si="0"/>
        <v>168824.98480537836</v>
      </c>
      <c r="K23">
        <f>K22/12</f>
        <v>32</v>
      </c>
    </row>
    <row r="24" spans="1:11">
      <c r="A24" s="194"/>
      <c r="B24" s="218" t="s">
        <v>450</v>
      </c>
      <c r="C24" s="196"/>
      <c r="D24" s="197"/>
      <c r="E24" s="199">
        <f>E26+E25</f>
        <v>28469.068917672856</v>
      </c>
      <c r="F24" s="199">
        <f>E24</f>
        <v>28469.068917672856</v>
      </c>
      <c r="G24" s="200"/>
      <c r="H24" s="200">
        <f t="shared" si="0"/>
        <v>165119.67020564491</v>
      </c>
    </row>
    <row r="25" spans="1:11" ht="13.5" thickBot="1">
      <c r="A25" s="194">
        <v>45595</v>
      </c>
      <c r="B25" s="218" t="s">
        <v>423</v>
      </c>
      <c r="C25" s="223">
        <v>2598.91</v>
      </c>
      <c r="D25" s="197">
        <f>(C25/C27)-1</f>
        <v>2.8798650916806556E-2</v>
      </c>
      <c r="E25" s="219">
        <f>F26*D25</f>
        <v>796.92054121177785</v>
      </c>
      <c r="F25" s="199">
        <f>H26*D25</f>
        <v>3825.1925783116671</v>
      </c>
      <c r="G25" s="200"/>
      <c r="H25" s="200">
        <f t="shared" si="0"/>
        <v>136650.60128797207</v>
      </c>
      <c r="I25" t="s">
        <v>471</v>
      </c>
      <c r="J25" t="s">
        <v>470</v>
      </c>
      <c r="K25" t="s">
        <v>177</v>
      </c>
    </row>
    <row r="26" spans="1:11">
      <c r="A26" s="194"/>
      <c r="B26" s="218" t="s">
        <v>447</v>
      </c>
      <c r="C26" s="196"/>
      <c r="D26" s="197"/>
      <c r="E26" s="199">
        <f>E28+E27</f>
        <v>27672.148376461078</v>
      </c>
      <c r="F26" s="199">
        <f>E26</f>
        <v>27672.148376461078</v>
      </c>
      <c r="G26" s="200"/>
      <c r="H26" s="200">
        <f t="shared" si="0"/>
        <v>132825.40870966041</v>
      </c>
      <c r="I26">
        <v>24</v>
      </c>
      <c r="J26">
        <v>22104</v>
      </c>
      <c r="K26">
        <f>J26*I26</f>
        <v>530496</v>
      </c>
    </row>
    <row r="27" spans="1:11">
      <c r="A27" s="194">
        <v>45565</v>
      </c>
      <c r="B27" s="218" t="s">
        <v>424</v>
      </c>
      <c r="C27" s="221">
        <v>2526.16</v>
      </c>
      <c r="D27" s="197">
        <f>(C27/C29)-1</f>
        <v>2.9681984559824404E-2</v>
      </c>
      <c r="E27" s="219">
        <f>F28*D27</f>
        <v>797.68733760881537</v>
      </c>
      <c r="F27" s="199">
        <f>IF(H28&lt;=0,,(H28*D27))</f>
        <v>3031.1858383726817</v>
      </c>
      <c r="G27" s="200"/>
      <c r="H27" s="200">
        <f t="shared" si="0"/>
        <v>105153.26033319932</v>
      </c>
      <c r="K27">
        <f>K26/12</f>
        <v>44208</v>
      </c>
    </row>
    <row r="28" spans="1:11">
      <c r="A28" s="194"/>
      <c r="B28" s="218" t="s">
        <v>446</v>
      </c>
      <c r="C28" s="196"/>
      <c r="D28" s="197"/>
      <c r="E28" s="199">
        <f>E30+E29</f>
        <v>26874.461038852263</v>
      </c>
      <c r="F28" s="199">
        <f>E28</f>
        <v>26874.461038852263</v>
      </c>
      <c r="G28" s="200"/>
      <c r="H28" s="200">
        <f t="shared" si="0"/>
        <v>102122.07449482664</v>
      </c>
      <c r="K28" t="s">
        <v>176</v>
      </c>
    </row>
    <row r="29" spans="1:11">
      <c r="A29" s="194">
        <v>45534</v>
      </c>
      <c r="B29" s="218" t="s">
        <v>425</v>
      </c>
      <c r="C29" s="196">
        <v>2453.34</v>
      </c>
      <c r="D29" s="197">
        <f>(C29/C31)-1</f>
        <v>2.4744162733386421E-2</v>
      </c>
      <c r="E29" s="219">
        <f>F30*D29</f>
        <v>648.92883658262588</v>
      </c>
      <c r="F29" s="199">
        <f>IF(H30&lt;=0,,(H30*D29))</f>
        <v>1816.9795548647776</v>
      </c>
      <c r="G29" s="200"/>
      <c r="H29" s="200">
        <f t="shared" si="0"/>
        <v>75247.61345597438</v>
      </c>
    </row>
    <row r="30" spans="1:11">
      <c r="A30" s="194"/>
      <c r="B30" s="218" t="s">
        <v>445</v>
      </c>
      <c r="C30" s="196"/>
      <c r="D30" s="197"/>
      <c r="E30" s="199">
        <f>E32+E31</f>
        <v>26225.532202269638</v>
      </c>
      <c r="F30" s="199">
        <f>E30</f>
        <v>26225.532202269638</v>
      </c>
      <c r="G30" s="200"/>
      <c r="H30" s="200">
        <f t="shared" si="0"/>
        <v>73430.633901109599</v>
      </c>
    </row>
    <row r="31" spans="1:11">
      <c r="A31" s="194">
        <v>45503</v>
      </c>
      <c r="B31" s="218" t="s">
        <v>426</v>
      </c>
      <c r="C31" s="196">
        <v>2394.1</v>
      </c>
      <c r="D31" s="197">
        <f>(C31/C33)-1</f>
        <v>3.2255560969089547E-2</v>
      </c>
      <c r="E31" s="219">
        <f>F32*D31</f>
        <v>819.48626375330343</v>
      </c>
      <c r="F31" s="199">
        <f>IF(H32&lt;=0,,(H32*D31))</f>
        <v>1475.0485184788452</v>
      </c>
      <c r="G31" s="200"/>
      <c r="H31" s="200">
        <f t="shared" si="0"/>
        <v>47205.101698839957</v>
      </c>
    </row>
    <row r="32" spans="1:11">
      <c r="A32" s="194"/>
      <c r="B32" s="218" t="s">
        <v>444</v>
      </c>
      <c r="C32" s="196"/>
      <c r="D32" s="197"/>
      <c r="E32" s="199">
        <f>E34+E33</f>
        <v>25406.045938516334</v>
      </c>
      <c r="F32" s="199">
        <f>E32</f>
        <v>25406.045938516334</v>
      </c>
      <c r="G32" s="200"/>
      <c r="H32" s="200">
        <f t="shared" si="0"/>
        <v>45730.053180361108</v>
      </c>
    </row>
    <row r="33" spans="1:8">
      <c r="A33" s="194">
        <v>45473</v>
      </c>
      <c r="B33" s="218" t="s">
        <v>427</v>
      </c>
      <c r="C33" s="196">
        <v>2319.29</v>
      </c>
      <c r="D33" s="197">
        <f>(C33/C35)-1</f>
        <v>1.6407739334312055E-2</v>
      </c>
      <c r="E33" s="219">
        <f>F34*D33</f>
        <v>410.12653007517417</v>
      </c>
      <c r="F33" s="199">
        <f>IF(H34&lt;=0,,(H34*D33))</f>
        <v>328.0878334036139</v>
      </c>
      <c r="G33" s="200"/>
      <c r="H33" s="200">
        <f t="shared" si="0"/>
        <v>20324.007241844774</v>
      </c>
    </row>
    <row r="34" spans="1:8">
      <c r="A34" s="194"/>
      <c r="B34" s="218" t="s">
        <v>443</v>
      </c>
      <c r="C34" s="196"/>
      <c r="D34" s="197"/>
      <c r="E34" s="199">
        <f>E36+E35</f>
        <v>24995.919408441161</v>
      </c>
      <c r="F34" s="199">
        <f>E34</f>
        <v>24995.919408441161</v>
      </c>
      <c r="G34" s="200"/>
      <c r="H34" s="200">
        <f t="shared" ref="H34:H46" si="1">H35+F34-G34</f>
        <v>19995.919408441161</v>
      </c>
    </row>
    <row r="35" spans="1:8">
      <c r="A35" s="194">
        <v>45442</v>
      </c>
      <c r="B35" s="218" t="s">
        <v>428</v>
      </c>
      <c r="C35" s="196">
        <v>2281.85</v>
      </c>
      <c r="D35" s="197">
        <f>(C35/C37)-1</f>
        <v>3.3680634201585402E-2</v>
      </c>
      <c r="E35" s="219">
        <f>F36*D35</f>
        <v>673.612684031708</v>
      </c>
      <c r="F35" s="199">
        <f>IF(H36&lt;=0,,(H36*D35))</f>
        <v>0</v>
      </c>
      <c r="G35" s="200"/>
      <c r="H35" s="200">
        <f t="shared" si="1"/>
        <v>-5000</v>
      </c>
    </row>
    <row r="36" spans="1:8">
      <c r="A36" s="194"/>
      <c r="B36" s="218" t="s">
        <v>442</v>
      </c>
      <c r="C36" s="196"/>
      <c r="D36" s="197"/>
      <c r="E36" s="199">
        <f>E38+E37</f>
        <v>24322.306724409453</v>
      </c>
      <c r="F36" s="199">
        <f>F38</f>
        <v>20000</v>
      </c>
      <c r="G36" s="200"/>
      <c r="H36" s="200">
        <f t="shared" si="1"/>
        <v>-5000</v>
      </c>
    </row>
    <row r="37" spans="1:8">
      <c r="A37" s="194">
        <v>45412</v>
      </c>
      <c r="B37" s="218" t="s">
        <v>429</v>
      </c>
      <c r="C37" s="196">
        <v>2207.5</v>
      </c>
      <c r="D37" s="197">
        <f>(C37/C39)-1</f>
        <v>3.1797594731405532E-2</v>
      </c>
      <c r="E37" s="219">
        <f>F38*D37</f>
        <v>635.95189462811061</v>
      </c>
      <c r="F37" s="199">
        <f>IF(H38&lt;=0,,(H38*D37))</f>
        <v>0</v>
      </c>
      <c r="G37" s="200"/>
      <c r="H37" s="200">
        <f t="shared" si="1"/>
        <v>-25000</v>
      </c>
    </row>
    <row r="38" spans="1:8">
      <c r="A38" s="194"/>
      <c r="B38" s="218" t="s">
        <v>441</v>
      </c>
      <c r="C38" s="196"/>
      <c r="D38" s="197"/>
      <c r="E38" s="199">
        <f>E40+E39</f>
        <v>23686.354829781343</v>
      </c>
      <c r="F38" s="199">
        <f>F40</f>
        <v>20000</v>
      </c>
      <c r="G38" s="200"/>
      <c r="H38" s="200">
        <f t="shared" si="1"/>
        <v>-25000</v>
      </c>
    </row>
    <row r="39" spans="1:8">
      <c r="A39" s="194">
        <v>45381</v>
      </c>
      <c r="B39" s="218" t="s">
        <v>430</v>
      </c>
      <c r="C39" s="196">
        <v>2139.4699999999998</v>
      </c>
      <c r="D39" s="197">
        <f>(C39/C41)-1</f>
        <v>3.1626709356375349E-2</v>
      </c>
      <c r="E39" s="219">
        <f>E40*D39</f>
        <v>726.15554940492348</v>
      </c>
      <c r="F39" s="199">
        <f>IF(H40&lt;=0,,(H40*D39))</f>
        <v>0</v>
      </c>
      <c r="G39" s="200"/>
      <c r="H39" s="200">
        <f t="shared" si="1"/>
        <v>-45000</v>
      </c>
    </row>
    <row r="40" spans="1:8">
      <c r="A40" s="194"/>
      <c r="B40" s="218" t="s">
        <v>440</v>
      </c>
      <c r="C40" s="196"/>
      <c r="D40" s="197"/>
      <c r="E40" s="199">
        <f>E42+E41</f>
        <v>22960.199280376419</v>
      </c>
      <c r="F40" s="199">
        <f>F42</f>
        <v>20000</v>
      </c>
      <c r="G40" s="200"/>
      <c r="H40" s="200">
        <f t="shared" si="1"/>
        <v>-45000</v>
      </c>
    </row>
    <row r="41" spans="1:8">
      <c r="A41" s="194">
        <v>45351</v>
      </c>
      <c r="B41" s="218" t="s">
        <v>431</v>
      </c>
      <c r="C41" s="196">
        <v>2073.88</v>
      </c>
      <c r="D41" s="197">
        <f>(C41/C43)-1</f>
        <v>4.5291882138285056E-2</v>
      </c>
      <c r="E41" s="219">
        <f>E42*D41</f>
        <v>994.85192360919234</v>
      </c>
      <c r="F41" s="199">
        <f>IF(H42&lt;=0,,(H42*D41))</f>
        <v>0</v>
      </c>
      <c r="G41" s="200"/>
      <c r="H41" s="200">
        <f t="shared" si="1"/>
        <v>-65000</v>
      </c>
    </row>
    <row r="42" spans="1:8">
      <c r="A42" s="194"/>
      <c r="B42" s="218" t="s">
        <v>439</v>
      </c>
      <c r="C42" s="196"/>
      <c r="D42" s="197"/>
      <c r="E42" s="199">
        <f>E45+E43</f>
        <v>21965.347356767226</v>
      </c>
      <c r="F42" s="253">
        <f>F45</f>
        <v>20000</v>
      </c>
      <c r="G42" s="200"/>
      <c r="H42" s="200">
        <f t="shared" si="1"/>
        <v>-65000</v>
      </c>
    </row>
    <row r="43" spans="1:8">
      <c r="A43" s="194">
        <v>45321</v>
      </c>
      <c r="B43" s="218" t="s">
        <v>432</v>
      </c>
      <c r="C43" s="196">
        <v>1984.02</v>
      </c>
      <c r="D43" s="197">
        <f>(C43/C46)-1</f>
        <v>6.7033097053856627E-2</v>
      </c>
      <c r="E43" s="219">
        <f>E45*D43</f>
        <v>1379.9058953778017</v>
      </c>
      <c r="F43" s="199">
        <f>IF(H44&lt;=0,,(H44*D43))</f>
        <v>0</v>
      </c>
      <c r="G43" s="200"/>
      <c r="H43" s="200">
        <f t="shared" si="1"/>
        <v>-85000</v>
      </c>
    </row>
    <row r="44" spans="1:8">
      <c r="A44" s="194"/>
      <c r="B44" s="218" t="s">
        <v>454</v>
      </c>
      <c r="C44" s="196"/>
      <c r="D44" s="197"/>
      <c r="E44" s="199"/>
      <c r="F44" s="199">
        <v>10000</v>
      </c>
      <c r="G44" s="200"/>
      <c r="H44" s="200">
        <f t="shared" si="1"/>
        <v>-85000</v>
      </c>
    </row>
    <row r="45" spans="1:8">
      <c r="A45" s="194"/>
      <c r="B45" s="218" t="s">
        <v>438</v>
      </c>
      <c r="C45" s="196"/>
      <c r="D45" s="197"/>
      <c r="E45" s="199">
        <f>F47+E46</f>
        <v>20585.441461389426</v>
      </c>
      <c r="F45" s="253">
        <f>F47</f>
        <v>20000</v>
      </c>
      <c r="G45" s="200"/>
      <c r="H45" s="200">
        <f>H46+F45-G45</f>
        <v>-95000</v>
      </c>
    </row>
    <row r="46" spans="1:8">
      <c r="A46" s="194">
        <v>45290</v>
      </c>
      <c r="B46" s="218" t="s">
        <v>434</v>
      </c>
      <c r="C46" s="196">
        <v>1859.38</v>
      </c>
      <c r="D46" s="197">
        <f>(C46/C49)-1</f>
        <v>2.9272073069471327E-2</v>
      </c>
      <c r="E46" s="219">
        <f>F47*D46</f>
        <v>585.44146138942654</v>
      </c>
      <c r="F46" s="199">
        <f>IF(H47&lt;=0,,(H47*D46))</f>
        <v>0</v>
      </c>
      <c r="G46" s="200"/>
      <c r="H46" s="200">
        <f t="shared" si="1"/>
        <v>-115000</v>
      </c>
    </row>
    <row r="47" spans="1:8">
      <c r="A47" s="194"/>
      <c r="B47" s="218" t="s">
        <v>437</v>
      </c>
      <c r="C47" s="196"/>
      <c r="D47" s="197"/>
      <c r="E47" s="198"/>
      <c r="F47" s="199">
        <v>20000</v>
      </c>
      <c r="G47" s="200"/>
      <c r="H47" s="200">
        <f>H48+F47-G47</f>
        <v>-115000</v>
      </c>
    </row>
    <row r="48" spans="1:8">
      <c r="A48" s="194"/>
      <c r="B48" s="218"/>
      <c r="C48" s="196"/>
      <c r="D48" s="197"/>
      <c r="E48" s="198"/>
      <c r="F48" s="199"/>
      <c r="G48" s="200">
        <v>135000</v>
      </c>
      <c r="H48" s="200">
        <f>H50+F48-G48</f>
        <v>-135000</v>
      </c>
    </row>
    <row r="49" spans="1:8">
      <c r="A49" s="194">
        <v>45260</v>
      </c>
      <c r="B49" s="218" t="s">
        <v>435</v>
      </c>
      <c r="C49" s="196">
        <v>1806.5</v>
      </c>
      <c r="D49" s="197"/>
      <c r="E49" s="219"/>
      <c r="F49" s="199"/>
      <c r="G49" s="200"/>
      <c r="H49" s="200"/>
    </row>
    <row r="50" spans="1:8">
      <c r="A50" s="194"/>
      <c r="B50" s="218"/>
      <c r="C50" s="196"/>
      <c r="D50" s="197"/>
      <c r="E50" s="199"/>
      <c r="F50" s="199"/>
      <c r="G50" s="200"/>
      <c r="H50" s="200"/>
    </row>
    <row r="51" spans="1:8">
      <c r="A51" s="194"/>
      <c r="B51" s="200"/>
      <c r="C51" s="196"/>
      <c r="D51" s="197"/>
      <c r="E51" s="198"/>
      <c r="F51" s="199"/>
      <c r="G51" s="200"/>
      <c r="H51" s="200"/>
    </row>
    <row r="52" spans="1:8">
      <c r="A52" s="194"/>
      <c r="B52" s="218"/>
      <c r="C52" s="196"/>
      <c r="D52" s="197"/>
      <c r="E52" s="219"/>
      <c r="F52" s="199"/>
      <c r="G52" s="200"/>
      <c r="H52" s="200"/>
    </row>
    <row r="53" spans="1:8">
      <c r="A53" s="194"/>
      <c r="B53" s="218"/>
      <c r="C53" s="196"/>
      <c r="D53" s="197"/>
      <c r="E53" s="199"/>
      <c r="F53" s="199"/>
      <c r="G53" s="200"/>
      <c r="H53" s="200"/>
    </row>
    <row r="54" spans="1:8">
      <c r="A54" s="194"/>
      <c r="B54" s="218"/>
      <c r="C54" s="196"/>
      <c r="D54" s="197"/>
      <c r="E54" s="198"/>
      <c r="F54" s="199"/>
      <c r="G54" s="200"/>
      <c r="H54" s="200"/>
    </row>
    <row r="55" spans="1:8">
      <c r="A55" s="194"/>
      <c r="B55" s="218"/>
      <c r="C55" s="196"/>
      <c r="D55" s="197"/>
      <c r="E55" s="198"/>
      <c r="F55" s="199"/>
      <c r="G55" s="200"/>
      <c r="H55" s="200"/>
    </row>
    <row r="56" spans="1:8">
      <c r="A56" s="194"/>
      <c r="B56" s="218"/>
      <c r="C56" s="196"/>
      <c r="D56" s="197"/>
      <c r="E56" s="198"/>
      <c r="F56" s="199"/>
      <c r="G56" s="200"/>
      <c r="H56" s="200"/>
    </row>
    <row r="57" spans="1:8">
      <c r="A57" s="194"/>
      <c r="B57" s="200"/>
      <c r="C57" s="196"/>
      <c r="D57" s="197"/>
      <c r="E57" s="198"/>
      <c r="F57" s="199"/>
      <c r="G57" s="200"/>
      <c r="H57" s="200"/>
    </row>
    <row r="58" spans="1:8">
      <c r="A58" s="194"/>
      <c r="B58" s="218"/>
      <c r="C58" s="196"/>
      <c r="D58" s="197"/>
      <c r="E58" s="219"/>
      <c r="F58" s="199"/>
      <c r="G58" s="220"/>
      <c r="H58" s="200"/>
    </row>
    <row r="59" spans="1:8">
      <c r="A59" s="194"/>
      <c r="B59" s="218"/>
      <c r="C59" s="196"/>
      <c r="D59" s="197"/>
      <c r="E59" s="199"/>
      <c r="F59" s="199"/>
      <c r="G59" s="220"/>
      <c r="H59" s="200"/>
    </row>
    <row r="60" spans="1:8">
      <c r="A60" s="194"/>
      <c r="B60" s="200"/>
      <c r="C60" s="196"/>
      <c r="D60" s="197"/>
      <c r="E60" s="198"/>
      <c r="F60" s="199"/>
      <c r="G60" s="200"/>
      <c r="H60" s="200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669E-8356-4324-A959-1EA6F446C492}">
  <dimension ref="A1:H77"/>
  <sheetViews>
    <sheetView zoomScale="145" zoomScaleNormal="145" workbookViewId="0">
      <selection activeCell="B9" sqref="B9"/>
    </sheetView>
  </sheetViews>
  <sheetFormatPr defaultRowHeight="12.75"/>
  <cols>
    <col min="1" max="1" width="13" style="7" customWidth="1"/>
    <col min="2" max="2" width="32" style="3" customWidth="1"/>
    <col min="3" max="3" width="7.28515625" style="3" customWidth="1"/>
    <col min="4" max="4" width="12.5703125" style="3" customWidth="1"/>
    <col min="5" max="5" width="12.140625" style="3" customWidth="1"/>
    <col min="6" max="6" width="13" style="3" bestFit="1" customWidth="1"/>
    <col min="7" max="7" width="10.5703125" style="3" customWidth="1"/>
    <col min="8" max="8" width="11.28515625" style="3" customWidth="1"/>
    <col min="9" max="60" width="12.140625" customWidth="1"/>
    <col min="61" max="61" width="9.140625" customWidth="1"/>
  </cols>
  <sheetData>
    <row r="1" spans="1:6" ht="15.75">
      <c r="B1" s="179" t="s">
        <v>411</v>
      </c>
      <c r="C1" s="8"/>
      <c r="F1" s="9" t="s">
        <v>142</v>
      </c>
    </row>
    <row r="2" spans="1:6">
      <c r="B2" s="8"/>
      <c r="C2" s="8"/>
    </row>
    <row r="3" spans="1:6" ht="13.5" thickBot="1">
      <c r="A3" s="10" t="s">
        <v>23</v>
      </c>
      <c r="B3" s="11" t="s">
        <v>24</v>
      </c>
      <c r="C3" s="11"/>
      <c r="D3" s="12" t="s">
        <v>25</v>
      </c>
      <c r="E3" s="12" t="s">
        <v>3</v>
      </c>
      <c r="F3" s="12" t="s">
        <v>26</v>
      </c>
    </row>
    <row r="4" spans="1:6">
      <c r="B4" s="13" t="s">
        <v>20</v>
      </c>
      <c r="C4" s="14"/>
      <c r="D4" s="15">
        <f>SUM(D9:D20)</f>
        <v>204024</v>
      </c>
      <c r="E4" s="16">
        <f>SUM(E9:E20)</f>
        <v>204024</v>
      </c>
      <c r="F4" s="17">
        <f>F20</f>
        <v>0</v>
      </c>
    </row>
    <row r="5" spans="1:6">
      <c r="B5" s="14" t="s">
        <v>27</v>
      </c>
      <c r="C5" s="14"/>
      <c r="D5" s="18">
        <f>F40</f>
        <v>0</v>
      </c>
      <c r="F5"/>
    </row>
    <row r="6" spans="1:6">
      <c r="B6" s="14" t="s">
        <v>5</v>
      </c>
      <c r="C6"/>
      <c r="D6" s="19">
        <f>F37</f>
        <v>-800</v>
      </c>
      <c r="E6" s="14"/>
      <c r="F6" s="9"/>
    </row>
    <row r="7" spans="1:6">
      <c r="A7" s="20"/>
      <c r="B7" s="21"/>
      <c r="C7" s="22"/>
      <c r="D7" s="21"/>
      <c r="E7" s="56" t="s">
        <v>28</v>
      </c>
      <c r="F7" s="23">
        <f>E4-D5</f>
        <v>204024</v>
      </c>
    </row>
    <row r="8" spans="1:6">
      <c r="B8" s="14" t="s">
        <v>29</v>
      </c>
      <c r="C8"/>
      <c r="D8"/>
    </row>
    <row r="9" spans="1:6">
      <c r="A9" s="7">
        <v>45167</v>
      </c>
      <c r="B9" t="s">
        <v>389</v>
      </c>
      <c r="C9"/>
      <c r="D9" s="24">
        <v>204024</v>
      </c>
      <c r="E9" s="25"/>
      <c r="F9" s="3">
        <f>D9-E9</f>
        <v>204024</v>
      </c>
    </row>
    <row r="10" spans="1:6">
      <c r="B10" s="14" t="s">
        <v>391</v>
      </c>
      <c r="C10"/>
      <c r="D10" s="24"/>
      <c r="E10" s="25">
        <v>1000</v>
      </c>
      <c r="F10" s="3">
        <f t="shared" ref="F10:F20" si="0">D10-E10+F9</f>
        <v>203024</v>
      </c>
    </row>
    <row r="11" spans="1:6">
      <c r="B11" t="s">
        <v>391</v>
      </c>
      <c r="C11"/>
      <c r="D11" s="24"/>
      <c r="E11" s="25">
        <v>50000</v>
      </c>
      <c r="F11" s="3">
        <f t="shared" si="0"/>
        <v>153024</v>
      </c>
    </row>
    <row r="12" spans="1:6">
      <c r="B12" t="s">
        <v>390</v>
      </c>
      <c r="C12" s="92"/>
      <c r="D12" s="24"/>
      <c r="E12" s="25">
        <v>33000</v>
      </c>
      <c r="F12" s="3">
        <f t="shared" si="0"/>
        <v>120024</v>
      </c>
    </row>
    <row r="13" spans="1:6">
      <c r="B13" t="s">
        <v>392</v>
      </c>
      <c r="C13" s="92"/>
      <c r="D13" s="24"/>
      <c r="E13" s="25">
        <v>24</v>
      </c>
      <c r="F13" s="3">
        <f t="shared" si="0"/>
        <v>120000</v>
      </c>
    </row>
    <row r="14" spans="1:6">
      <c r="B14" t="s">
        <v>391</v>
      </c>
      <c r="C14" s="92"/>
      <c r="D14" s="27"/>
      <c r="E14" s="28">
        <v>120000</v>
      </c>
      <c r="F14" s="3">
        <f t="shared" si="0"/>
        <v>0</v>
      </c>
    </row>
    <row r="15" spans="1:6">
      <c r="B15"/>
      <c r="C15" s="92"/>
      <c r="D15" s="27"/>
      <c r="E15" s="28"/>
      <c r="F15" s="3">
        <f t="shared" si="0"/>
        <v>0</v>
      </c>
    </row>
    <row r="16" spans="1:6">
      <c r="A16" s="26"/>
      <c r="B16"/>
      <c r="C16"/>
      <c r="D16" s="27"/>
      <c r="E16" s="28"/>
      <c r="F16" s="3">
        <f t="shared" si="0"/>
        <v>0</v>
      </c>
    </row>
    <row r="17" spans="1:6">
      <c r="A17" s="26"/>
      <c r="B17"/>
      <c r="C17"/>
      <c r="D17" s="27"/>
      <c r="E17" s="28"/>
      <c r="F17" s="3">
        <f t="shared" si="0"/>
        <v>0</v>
      </c>
    </row>
    <row r="18" spans="1:6">
      <c r="A18" s="26"/>
      <c r="B18"/>
      <c r="C18"/>
      <c r="D18" s="27"/>
      <c r="E18" s="28"/>
      <c r="F18" s="3">
        <f t="shared" si="0"/>
        <v>0</v>
      </c>
    </row>
    <row r="19" spans="1:6">
      <c r="A19" s="26"/>
      <c r="B19"/>
      <c r="C19"/>
      <c r="D19" s="27"/>
      <c r="E19" s="28"/>
      <c r="F19" s="3">
        <f t="shared" si="0"/>
        <v>0</v>
      </c>
    </row>
    <row r="20" spans="1:6">
      <c r="A20" s="26"/>
      <c r="B20"/>
      <c r="C20"/>
      <c r="D20" s="27"/>
      <c r="E20" s="28"/>
      <c r="F20" s="29">
        <f t="shared" si="0"/>
        <v>0</v>
      </c>
    </row>
    <row r="21" spans="1:6">
      <c r="A21" s="26"/>
      <c r="B21"/>
      <c r="C21"/>
      <c r="D21" s="30"/>
      <c r="E21" s="31"/>
      <c r="F21" s="31"/>
    </row>
    <row r="22" spans="1:6">
      <c r="A22" s="26"/>
      <c r="B22"/>
      <c r="C22"/>
      <c r="D22" s="30"/>
      <c r="E22" s="31"/>
      <c r="F22" s="31"/>
    </row>
    <row r="23" spans="1:6">
      <c r="A23" s="32" t="s">
        <v>31</v>
      </c>
      <c r="B23" s="21" t="s">
        <v>32</v>
      </c>
      <c r="C23" s="21" t="s">
        <v>33</v>
      </c>
      <c r="D23" s="33" t="s">
        <v>34</v>
      </c>
      <c r="E23" s="34"/>
      <c r="F23" s="34" t="s">
        <v>345</v>
      </c>
    </row>
    <row r="24" spans="1:6">
      <c r="A24" s="26"/>
      <c r="B24" t="s">
        <v>35</v>
      </c>
      <c r="C24"/>
      <c r="D24" s="30"/>
      <c r="E24" s="31"/>
      <c r="F24" s="31">
        <v>-800</v>
      </c>
    </row>
    <row r="25" spans="1:6">
      <c r="A25" s="26"/>
      <c r="B25" t="s">
        <v>87</v>
      </c>
      <c r="C25">
        <v>0</v>
      </c>
      <c r="D25" s="31"/>
      <c r="E25" s="31"/>
      <c r="F25" s="31">
        <f t="shared" ref="F25:F36" si="1">D25-E25+F24</f>
        <v>-800</v>
      </c>
    </row>
    <row r="26" spans="1:6">
      <c r="A26" s="26"/>
      <c r="B26" t="s">
        <v>36</v>
      </c>
      <c r="C26">
        <v>0</v>
      </c>
      <c r="D26" s="31"/>
      <c r="E26" s="31"/>
      <c r="F26" s="31">
        <f t="shared" si="1"/>
        <v>-800</v>
      </c>
    </row>
    <row r="27" spans="1:6">
      <c r="A27" s="26"/>
      <c r="B27" t="s">
        <v>37</v>
      </c>
      <c r="C27"/>
      <c r="D27" s="31"/>
      <c r="E27" s="31"/>
      <c r="F27" s="31">
        <f t="shared" si="1"/>
        <v>-800</v>
      </c>
    </row>
    <row r="28" spans="1:6">
      <c r="A28" s="26"/>
      <c r="B28" t="s">
        <v>38</v>
      </c>
      <c r="C28"/>
      <c r="D28" s="31"/>
      <c r="E28" s="31"/>
      <c r="F28" s="31">
        <f t="shared" si="1"/>
        <v>-800</v>
      </c>
    </row>
    <row r="29" spans="1:6">
      <c r="A29" s="26"/>
      <c r="B29" t="s">
        <v>39</v>
      </c>
      <c r="C29"/>
      <c r="D29" s="31"/>
      <c r="E29" s="31"/>
      <c r="F29" s="31">
        <f t="shared" si="1"/>
        <v>-800</v>
      </c>
    </row>
    <row r="30" spans="1:6">
      <c r="A30" s="26"/>
      <c r="B30" t="s">
        <v>88</v>
      </c>
      <c r="C30"/>
      <c r="D30" s="31"/>
      <c r="E30" s="31"/>
      <c r="F30" s="31">
        <f t="shared" si="1"/>
        <v>-800</v>
      </c>
    </row>
    <row r="31" spans="1:6">
      <c r="A31" s="26"/>
      <c r="B31" t="s">
        <v>89</v>
      </c>
      <c r="C31"/>
      <c r="D31" s="31"/>
      <c r="E31" s="31"/>
      <c r="F31" s="31">
        <f t="shared" si="1"/>
        <v>-800</v>
      </c>
    </row>
    <row r="32" spans="1:6">
      <c r="A32" s="26"/>
      <c r="B32" t="s">
        <v>90</v>
      </c>
      <c r="C32"/>
      <c r="D32" s="31"/>
      <c r="E32" s="31"/>
      <c r="F32" s="31">
        <f t="shared" si="1"/>
        <v>-800</v>
      </c>
    </row>
    <row r="33" spans="1:6">
      <c r="A33" s="26"/>
      <c r="B33" t="s">
        <v>91</v>
      </c>
      <c r="C33"/>
      <c r="D33" s="30"/>
      <c r="E33" s="31"/>
      <c r="F33" s="31">
        <f t="shared" si="1"/>
        <v>-800</v>
      </c>
    </row>
    <row r="34" spans="1:6">
      <c r="A34" s="26"/>
      <c r="B34" t="s">
        <v>40</v>
      </c>
      <c r="C34"/>
      <c r="D34" s="30"/>
      <c r="E34" s="31"/>
      <c r="F34" s="31">
        <f t="shared" si="1"/>
        <v>-800</v>
      </c>
    </row>
    <row r="35" spans="1:6">
      <c r="A35" s="26"/>
      <c r="B35" t="s">
        <v>41</v>
      </c>
      <c r="C35"/>
      <c r="D35" s="30"/>
      <c r="E35" s="31"/>
      <c r="F35" s="31">
        <f t="shared" si="1"/>
        <v>-800</v>
      </c>
    </row>
    <row r="36" spans="1:6">
      <c r="A36" s="32"/>
      <c r="B36" s="21" t="s">
        <v>42</v>
      </c>
      <c r="C36" s="21"/>
      <c r="D36" s="33"/>
      <c r="E36" s="34"/>
      <c r="F36" s="34">
        <f t="shared" si="1"/>
        <v>-800</v>
      </c>
    </row>
    <row r="37" spans="1:6">
      <c r="A37" s="35">
        <v>45291</v>
      </c>
      <c r="B37" s="36" t="s">
        <v>35</v>
      </c>
      <c r="C37" s="36">
        <f>SUM(C25:C36)</f>
        <v>0</v>
      </c>
      <c r="D37" s="37"/>
      <c r="E37" s="38"/>
      <c r="F37" s="39">
        <f>D37-E37+F36</f>
        <v>-800</v>
      </c>
    </row>
    <row r="38" spans="1:6">
      <c r="A38" s="26"/>
      <c r="B38"/>
      <c r="C38"/>
      <c r="D38" s="30"/>
      <c r="E38" s="30"/>
      <c r="F38" s="30"/>
    </row>
    <row r="39" spans="1:6">
      <c r="B39"/>
      <c r="C39"/>
    </row>
    <row r="40" spans="1:6">
      <c r="A40" s="88" t="s">
        <v>254</v>
      </c>
      <c r="B40" s="40" t="s">
        <v>167</v>
      </c>
      <c r="C40" s="40"/>
      <c r="D40" s="41"/>
      <c r="E40" s="42"/>
      <c r="F40" s="43">
        <f>SUM(E41:E49)</f>
        <v>0</v>
      </c>
    </row>
    <row r="41" spans="1:6">
      <c r="B41" s="8"/>
      <c r="C41" s="8"/>
      <c r="D41"/>
      <c r="E41"/>
      <c r="F41"/>
    </row>
    <row r="42" spans="1:6">
      <c r="B42" s="1" t="s">
        <v>145</v>
      </c>
      <c r="C42" s="1"/>
    </row>
    <row r="43" spans="1:6">
      <c r="A43" s="7">
        <v>45402</v>
      </c>
      <c r="B43" t="s">
        <v>393</v>
      </c>
      <c r="C43"/>
    </row>
    <row r="44" spans="1:6">
      <c r="B44" t="s">
        <v>394</v>
      </c>
      <c r="C44"/>
      <c r="D44" s="3">
        <v>204024</v>
      </c>
    </row>
    <row r="45" spans="1:6">
      <c r="A45" s="7">
        <v>45402</v>
      </c>
      <c r="B45" t="s">
        <v>148</v>
      </c>
      <c r="C45"/>
    </row>
    <row r="46" spans="1:6">
      <c r="B46"/>
      <c r="C46"/>
    </row>
    <row r="47" spans="1:6">
      <c r="A47" s="7">
        <v>45449</v>
      </c>
      <c r="B47" t="s">
        <v>149</v>
      </c>
      <c r="C47"/>
    </row>
    <row r="48" spans="1:6">
      <c r="A48" s="7">
        <v>45813</v>
      </c>
      <c r="B48" t="s">
        <v>150</v>
      </c>
      <c r="C48"/>
      <c r="E48"/>
    </row>
    <row r="49" spans="1:8">
      <c r="B49" t="s">
        <v>395</v>
      </c>
      <c r="C49">
        <f>A48-A45</f>
        <v>411</v>
      </c>
      <c r="D49"/>
      <c r="E49"/>
    </row>
    <row r="50" spans="1:8">
      <c r="B50"/>
      <c r="C50"/>
      <c r="D50"/>
      <c r="E50"/>
      <c r="G50"/>
      <c r="H50"/>
    </row>
    <row r="51" spans="1:8">
      <c r="E51" s="57"/>
      <c r="G51"/>
      <c r="H51"/>
    </row>
    <row r="52" spans="1:8">
      <c r="A52" s="145">
        <v>45402</v>
      </c>
      <c r="B52" t="s">
        <v>393</v>
      </c>
      <c r="C52" s="147"/>
      <c r="D52" s="148"/>
      <c r="E52" s="148"/>
      <c r="F52" s="148"/>
      <c r="G52"/>
      <c r="H52"/>
    </row>
    <row r="53" spans="1:8">
      <c r="A53" s="147"/>
      <c r="B53" s="146" t="s">
        <v>362</v>
      </c>
      <c r="C53" s="147"/>
      <c r="D53" s="148"/>
      <c r="E53" s="148"/>
      <c r="F53" s="148"/>
      <c r="G53"/>
      <c r="H53"/>
    </row>
    <row r="54" spans="1:8">
      <c r="A54" s="147"/>
      <c r="B54" s="147"/>
      <c r="C54" s="147"/>
      <c r="D54" s="148" t="s">
        <v>2</v>
      </c>
      <c r="E54" s="148" t="s">
        <v>3</v>
      </c>
      <c r="F54" s="148" t="s">
        <v>363</v>
      </c>
      <c r="G54"/>
      <c r="H54"/>
    </row>
    <row r="55" spans="1:8">
      <c r="A55" s="145"/>
      <c r="B55" s="147" t="s">
        <v>397</v>
      </c>
      <c r="C55" s="147"/>
      <c r="D55" s="148">
        <v>204024</v>
      </c>
      <c r="E55" s="148"/>
      <c r="F55" s="148">
        <f>D55-E55</f>
        <v>204024</v>
      </c>
      <c r="G55"/>
      <c r="H55"/>
    </row>
    <row r="56" spans="1:8">
      <c r="A56" s="145"/>
      <c r="B56" s="147"/>
      <c r="C56" s="147"/>
      <c r="D56" s="148"/>
      <c r="E56" s="148"/>
      <c r="F56" s="148">
        <f t="shared" ref="F56:F63" si="2">F55+D56-E56</f>
        <v>204024</v>
      </c>
      <c r="G56"/>
      <c r="H56"/>
    </row>
    <row r="57" spans="1:8">
      <c r="A57" s="145">
        <v>45402</v>
      </c>
      <c r="B57" s="147" t="s">
        <v>364</v>
      </c>
      <c r="C57" s="147"/>
      <c r="D57" s="148"/>
      <c r="E57" s="148"/>
      <c r="F57" s="148">
        <f t="shared" si="2"/>
        <v>204024</v>
      </c>
      <c r="G57"/>
      <c r="H57"/>
    </row>
    <row r="58" spans="1:8">
      <c r="A58" s="145">
        <v>45813</v>
      </c>
      <c r="B58" s="147" t="s">
        <v>365</v>
      </c>
      <c r="C58" s="147"/>
      <c r="E58"/>
      <c r="F58" s="148">
        <f t="shared" si="2"/>
        <v>204024</v>
      </c>
      <c r="G58"/>
      <c r="H58"/>
    </row>
    <row r="59" spans="1:8">
      <c r="A59" s="145">
        <v>45170</v>
      </c>
      <c r="B59" s="147" t="s">
        <v>396</v>
      </c>
      <c r="C59" s="147"/>
      <c r="E59">
        <v>1000</v>
      </c>
      <c r="F59" s="148">
        <f t="shared" si="2"/>
        <v>203024</v>
      </c>
      <c r="G59"/>
      <c r="H59"/>
    </row>
    <row r="60" spans="1:8">
      <c r="A60" s="145">
        <v>45199</v>
      </c>
      <c r="B60" s="147" t="s">
        <v>396</v>
      </c>
      <c r="C60" s="147"/>
      <c r="E60">
        <v>50000</v>
      </c>
      <c r="F60" s="148">
        <f t="shared" si="2"/>
        <v>153024</v>
      </c>
      <c r="G60" s="46"/>
      <c r="H60" s="51"/>
    </row>
    <row r="61" spans="1:8">
      <c r="A61" s="145">
        <v>45229</v>
      </c>
      <c r="B61" s="147" t="s">
        <v>396</v>
      </c>
      <c r="C61" s="147"/>
      <c r="E61">
        <v>33000</v>
      </c>
      <c r="F61" s="148">
        <f t="shared" si="2"/>
        <v>120024</v>
      </c>
      <c r="G61" s="46"/>
      <c r="H61" s="51"/>
    </row>
    <row r="62" spans="1:8">
      <c r="A62" s="145">
        <v>45260</v>
      </c>
      <c r="B62" s="147" t="s">
        <v>396</v>
      </c>
      <c r="C62" s="147"/>
      <c r="E62">
        <v>120000</v>
      </c>
      <c r="F62" s="148">
        <f t="shared" si="2"/>
        <v>24</v>
      </c>
      <c r="G62" s="46"/>
      <c r="H62" s="51"/>
    </row>
    <row r="63" spans="1:8">
      <c r="A63" s="145"/>
      <c r="B63" s="147" t="s">
        <v>392</v>
      </c>
      <c r="C63" s="147"/>
      <c r="E63">
        <v>24</v>
      </c>
      <c r="F63" s="148">
        <f t="shared" si="2"/>
        <v>0</v>
      </c>
      <c r="G63" s="46"/>
      <c r="H63" s="51"/>
    </row>
    <row r="64" spans="1:8">
      <c r="A64" s="145"/>
      <c r="B64" s="147"/>
      <c r="C64" s="147"/>
      <c r="E64"/>
      <c r="F64" s="148"/>
    </row>
    <row r="65" spans="1:6" ht="15">
      <c r="A65" s="145"/>
      <c r="B65" s="147" t="s">
        <v>373</v>
      </c>
      <c r="C65" s="150">
        <f>A58-A57</f>
        <v>411</v>
      </c>
      <c r="E65"/>
      <c r="F65" s="148"/>
    </row>
    <row r="66" spans="1:6">
      <c r="A66" s="145"/>
      <c r="B66" s="147" t="s">
        <v>374</v>
      </c>
      <c r="C66" s="146">
        <f>(D55-24)/C65</f>
        <v>496.35036496350364</v>
      </c>
      <c r="E66"/>
      <c r="F66" s="148"/>
    </row>
    <row r="67" spans="1:6" ht="15.75" thickBot="1">
      <c r="A67" s="151">
        <v>45813</v>
      </c>
      <c r="B67" s="152" t="s">
        <v>375</v>
      </c>
      <c r="C67" s="153"/>
      <c r="D67" s="154"/>
      <c r="E67"/>
      <c r="F67" s="148"/>
    </row>
    <row r="68" spans="1:6" ht="13.5" thickTop="1">
      <c r="A68"/>
      <c r="B68" s="147" t="s">
        <v>376</v>
      </c>
      <c r="C68" s="146">
        <f>A67-A57</f>
        <v>411</v>
      </c>
      <c r="D68"/>
      <c r="E68"/>
      <c r="F68" s="148"/>
    </row>
    <row r="69" spans="1:6">
      <c r="A69" s="145"/>
      <c r="B69" s="147" t="s">
        <v>377</v>
      </c>
      <c r="C69" s="147"/>
      <c r="D69" s="3">
        <f>C68*C66</f>
        <v>204000</v>
      </c>
      <c r="E69"/>
      <c r="F69" s="148"/>
    </row>
    <row r="70" spans="1:6">
      <c r="A70" s="145"/>
      <c r="B70" s="147" t="s">
        <v>378</v>
      </c>
      <c r="C70" s="147"/>
      <c r="D70" s="3">
        <f>D55-24-D69</f>
        <v>0</v>
      </c>
      <c r="E70"/>
      <c r="F70" s="148"/>
    </row>
    <row r="71" spans="1:6" ht="15.75" thickBot="1">
      <c r="A71" s="145"/>
      <c r="B71" s="155" t="s">
        <v>379</v>
      </c>
      <c r="C71" s="155" t="s">
        <v>380</v>
      </c>
      <c r="D71" s="156">
        <f>SUM(D70:D70)</f>
        <v>0</v>
      </c>
      <c r="E71"/>
      <c r="F71" s="148"/>
    </row>
    <row r="72" spans="1:6" ht="13.5" thickTop="1">
      <c r="A72" s="145"/>
      <c r="B72" s="147" t="s">
        <v>381</v>
      </c>
      <c r="C72" s="147" t="s">
        <v>380</v>
      </c>
      <c r="E72"/>
      <c r="F72" s="148"/>
    </row>
    <row r="73" spans="1:6">
      <c r="A73" s="145"/>
      <c r="B73" s="147" t="s">
        <v>382</v>
      </c>
      <c r="C73" s="147" t="s">
        <v>383</v>
      </c>
      <c r="E73"/>
      <c r="F73" s="148"/>
    </row>
    <row r="74" spans="1:6">
      <c r="A74" s="145"/>
      <c r="B74" s="147" t="s">
        <v>384</v>
      </c>
      <c r="C74" s="147" t="s">
        <v>383</v>
      </c>
      <c r="E74"/>
      <c r="F74" s="148"/>
    </row>
    <row r="75" spans="1:6" ht="13.5" thickBot="1">
      <c r="A75" s="145"/>
      <c r="B75" s="157"/>
      <c r="C75" s="147"/>
      <c r="E75"/>
      <c r="F75" s="148"/>
    </row>
    <row r="76" spans="1:6" s="3" customFormat="1" ht="16.5" thickTop="1" thickBot="1">
      <c r="A76" s="147"/>
      <c r="B76" s="158" t="s">
        <v>386</v>
      </c>
      <c r="C76" s="159" t="s">
        <v>380</v>
      </c>
      <c r="D76" s="156">
        <f>SUM(D71:D75)</f>
        <v>0</v>
      </c>
      <c r="E76" s="148"/>
      <c r="F76" s="148"/>
    </row>
    <row r="77" spans="1:6" s="3" customFormat="1" ht="13.5" thickTop="1">
      <c r="A77" s="7"/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7"/>
  <sheetViews>
    <sheetView zoomScale="145" zoomScaleNormal="145" workbookViewId="0">
      <selection activeCell="B106" sqref="B106:B107"/>
    </sheetView>
  </sheetViews>
  <sheetFormatPr defaultRowHeight="12.75"/>
  <cols>
    <col min="1" max="1" width="13" style="7" customWidth="1"/>
    <col min="2" max="2" width="32" style="3" customWidth="1"/>
    <col min="3" max="3" width="7.28515625" style="3" customWidth="1"/>
    <col min="4" max="4" width="12.5703125" style="3" customWidth="1"/>
    <col min="5" max="5" width="12.140625" style="3" customWidth="1"/>
    <col min="6" max="6" width="13" style="3" bestFit="1" customWidth="1"/>
    <col min="7" max="7" width="10.5703125" style="3" customWidth="1"/>
    <col min="8" max="8" width="11.28515625" style="3" customWidth="1"/>
    <col min="9" max="60" width="12.140625" customWidth="1"/>
    <col min="61" max="61" width="9.140625" customWidth="1"/>
  </cols>
  <sheetData>
    <row r="1" spans="1:6">
      <c r="B1" s="8" t="s">
        <v>141</v>
      </c>
      <c r="C1" s="8"/>
      <c r="F1" s="9" t="s">
        <v>142</v>
      </c>
    </row>
    <row r="2" spans="1:6">
      <c r="B2" s="8"/>
      <c r="C2" s="8"/>
    </row>
    <row r="3" spans="1:6" ht="13.5" thickBot="1">
      <c r="A3" s="10" t="s">
        <v>23</v>
      </c>
      <c r="B3" s="11" t="s">
        <v>24</v>
      </c>
      <c r="C3" s="11"/>
      <c r="D3" s="12" t="s">
        <v>25</v>
      </c>
      <c r="E3" s="12" t="s">
        <v>3</v>
      </c>
      <c r="F3" s="12" t="s">
        <v>26</v>
      </c>
    </row>
    <row r="4" spans="1:6">
      <c r="B4" s="13" t="s">
        <v>20</v>
      </c>
      <c r="C4" s="14"/>
      <c r="D4" s="15">
        <f>SUM(D9:D20)</f>
        <v>7000</v>
      </c>
      <c r="E4" s="16">
        <f>SUM(E9:E20)</f>
        <v>0</v>
      </c>
      <c r="F4" s="17">
        <f>F20</f>
        <v>7000</v>
      </c>
    </row>
    <row r="5" spans="1:6">
      <c r="B5" s="14" t="s">
        <v>27</v>
      </c>
      <c r="C5" s="14"/>
      <c r="D5" s="18">
        <f>F40</f>
        <v>0</v>
      </c>
      <c r="F5"/>
    </row>
    <row r="6" spans="1:6">
      <c r="B6" s="14" t="s">
        <v>5</v>
      </c>
      <c r="C6"/>
      <c r="D6" s="19">
        <f>F37</f>
        <v>-794.6</v>
      </c>
      <c r="E6" s="14"/>
      <c r="F6" s="9"/>
    </row>
    <row r="7" spans="1:6">
      <c r="A7" s="20"/>
      <c r="B7" s="21"/>
      <c r="C7" s="22"/>
      <c r="D7" s="21"/>
      <c r="E7" s="56" t="s">
        <v>28</v>
      </c>
      <c r="F7" s="23">
        <f>E4-D5</f>
        <v>0</v>
      </c>
    </row>
    <row r="8" spans="1:6">
      <c r="B8" s="14" t="s">
        <v>29</v>
      </c>
      <c r="C8"/>
      <c r="D8"/>
    </row>
    <row r="9" spans="1:6">
      <c r="A9" s="7">
        <v>45167</v>
      </c>
      <c r="B9"/>
      <c r="C9"/>
      <c r="D9" s="24"/>
      <c r="E9" s="25"/>
      <c r="F9" s="3">
        <f>D9-E9</f>
        <v>0</v>
      </c>
    </row>
    <row r="10" spans="1:6">
      <c r="B10" s="14"/>
      <c r="C10"/>
      <c r="D10" s="24"/>
      <c r="E10" s="25"/>
      <c r="F10" s="3">
        <f t="shared" ref="F10:F20" si="0">D10-E10+F9</f>
        <v>0</v>
      </c>
    </row>
    <row r="11" spans="1:6">
      <c r="B11"/>
      <c r="C11"/>
      <c r="D11" s="24"/>
      <c r="E11" s="25"/>
      <c r="F11" s="3">
        <f t="shared" si="0"/>
        <v>0</v>
      </c>
    </row>
    <row r="12" spans="1:6">
      <c r="B12"/>
      <c r="C12" s="92"/>
      <c r="D12" s="24"/>
      <c r="E12" s="25"/>
      <c r="F12" s="3">
        <f t="shared" si="0"/>
        <v>0</v>
      </c>
    </row>
    <row r="13" spans="1:6">
      <c r="B13"/>
      <c r="C13" s="92"/>
      <c r="D13" s="24"/>
      <c r="E13" s="25"/>
      <c r="F13" s="3">
        <f t="shared" si="0"/>
        <v>0</v>
      </c>
    </row>
    <row r="14" spans="1:6">
      <c r="B14"/>
      <c r="C14" s="92"/>
      <c r="D14" s="27"/>
      <c r="E14" s="28"/>
      <c r="F14" s="3">
        <f t="shared" si="0"/>
        <v>0</v>
      </c>
    </row>
    <row r="15" spans="1:6">
      <c r="A15" s="7">
        <v>44956</v>
      </c>
      <c r="B15" t="s">
        <v>144</v>
      </c>
      <c r="C15" s="92">
        <v>45322</v>
      </c>
      <c r="D15" s="27">
        <v>7000</v>
      </c>
      <c r="E15" s="28"/>
      <c r="F15" s="3">
        <f t="shared" si="0"/>
        <v>7000</v>
      </c>
    </row>
    <row r="16" spans="1:6">
      <c r="A16" s="26"/>
      <c r="B16"/>
      <c r="C16"/>
      <c r="D16" s="27"/>
      <c r="E16" s="28"/>
      <c r="F16" s="3">
        <f t="shared" si="0"/>
        <v>7000</v>
      </c>
    </row>
    <row r="17" spans="1:6">
      <c r="A17" s="26"/>
      <c r="B17"/>
      <c r="C17"/>
      <c r="D17" s="27"/>
      <c r="E17" s="28"/>
      <c r="F17" s="3">
        <f t="shared" si="0"/>
        <v>7000</v>
      </c>
    </row>
    <row r="18" spans="1:6">
      <c r="A18" s="26"/>
      <c r="B18"/>
      <c r="C18"/>
      <c r="D18" s="27"/>
      <c r="E18" s="28"/>
      <c r="F18" s="3">
        <f t="shared" si="0"/>
        <v>7000</v>
      </c>
    </row>
    <row r="19" spans="1:6">
      <c r="A19" s="26"/>
      <c r="B19"/>
      <c r="C19"/>
      <c r="D19" s="27"/>
      <c r="E19" s="28"/>
      <c r="F19" s="3">
        <f t="shared" si="0"/>
        <v>7000</v>
      </c>
    </row>
    <row r="20" spans="1:6">
      <c r="A20" s="26"/>
      <c r="B20"/>
      <c r="C20"/>
      <c r="D20" s="27"/>
      <c r="E20" s="28"/>
      <c r="F20" s="29">
        <f t="shared" si="0"/>
        <v>7000</v>
      </c>
    </row>
    <row r="21" spans="1:6">
      <c r="A21" s="26"/>
      <c r="B21"/>
      <c r="C21"/>
      <c r="D21" s="30"/>
      <c r="E21" s="31"/>
      <c r="F21" s="31"/>
    </row>
    <row r="22" spans="1:6">
      <c r="A22" s="26"/>
      <c r="B22"/>
      <c r="C22"/>
      <c r="D22" s="30"/>
      <c r="E22" s="31"/>
      <c r="F22" s="31"/>
    </row>
    <row r="23" spans="1:6">
      <c r="A23" s="32" t="s">
        <v>31</v>
      </c>
      <c r="B23" s="21" t="s">
        <v>32</v>
      </c>
      <c r="C23" s="21" t="s">
        <v>33</v>
      </c>
      <c r="D23" s="33" t="s">
        <v>34</v>
      </c>
      <c r="E23" s="34"/>
      <c r="F23" s="34" t="s">
        <v>345</v>
      </c>
    </row>
    <row r="24" spans="1:6">
      <c r="A24" s="26"/>
      <c r="B24" t="s">
        <v>35</v>
      </c>
      <c r="C24"/>
      <c r="D24" s="30"/>
      <c r="E24" s="31"/>
      <c r="F24" s="31">
        <v>-800</v>
      </c>
    </row>
    <row r="25" spans="1:6">
      <c r="A25" s="26"/>
      <c r="B25" t="s">
        <v>87</v>
      </c>
      <c r="C25">
        <v>0</v>
      </c>
      <c r="D25" s="31">
        <v>381.33</v>
      </c>
      <c r="E25" s="31">
        <v>431.36</v>
      </c>
      <c r="F25" s="31">
        <f t="shared" ref="F25:F36" si="1">D25-E25+F24</f>
        <v>-850.03</v>
      </c>
    </row>
    <row r="26" spans="1:6">
      <c r="A26" s="26"/>
      <c r="B26" t="s">
        <v>36</v>
      </c>
      <c r="C26">
        <v>0</v>
      </c>
      <c r="D26" s="31">
        <v>237.14</v>
      </c>
      <c r="E26" s="31">
        <v>237.11</v>
      </c>
      <c r="F26" s="31">
        <f t="shared" si="1"/>
        <v>-850</v>
      </c>
    </row>
    <row r="27" spans="1:6">
      <c r="A27" s="26"/>
      <c r="B27" t="s">
        <v>37</v>
      </c>
      <c r="C27"/>
      <c r="D27" s="31">
        <v>55.4</v>
      </c>
      <c r="E27" s="31"/>
      <c r="F27" s="31">
        <f t="shared" si="1"/>
        <v>-794.6</v>
      </c>
    </row>
    <row r="28" spans="1:6">
      <c r="A28" s="26"/>
      <c r="B28" t="s">
        <v>38</v>
      </c>
      <c r="C28"/>
      <c r="D28" s="31"/>
      <c r="E28" s="31"/>
      <c r="F28" s="31">
        <f t="shared" si="1"/>
        <v>-794.6</v>
      </c>
    </row>
    <row r="29" spans="1:6">
      <c r="A29" s="26"/>
      <c r="B29" t="s">
        <v>39</v>
      </c>
      <c r="C29"/>
      <c r="D29" s="31"/>
      <c r="E29" s="31"/>
      <c r="F29" s="31">
        <f t="shared" si="1"/>
        <v>-794.6</v>
      </c>
    </row>
    <row r="30" spans="1:6">
      <c r="A30" s="26"/>
      <c r="B30" t="s">
        <v>88</v>
      </c>
      <c r="C30"/>
      <c r="D30" s="31"/>
      <c r="E30" s="31"/>
      <c r="F30" s="31">
        <f t="shared" si="1"/>
        <v>-794.6</v>
      </c>
    </row>
    <row r="31" spans="1:6">
      <c r="A31" s="26"/>
      <c r="B31" t="s">
        <v>89</v>
      </c>
      <c r="C31"/>
      <c r="D31" s="31"/>
      <c r="E31" s="31"/>
      <c r="F31" s="31">
        <f t="shared" si="1"/>
        <v>-794.6</v>
      </c>
    </row>
    <row r="32" spans="1:6">
      <c r="A32" s="26"/>
      <c r="B32" t="s">
        <v>90</v>
      </c>
      <c r="C32"/>
      <c r="D32" s="31"/>
      <c r="E32" s="31"/>
      <c r="F32" s="31">
        <f t="shared" si="1"/>
        <v>-794.6</v>
      </c>
    </row>
    <row r="33" spans="1:6">
      <c r="A33" s="26"/>
      <c r="B33" t="s">
        <v>91</v>
      </c>
      <c r="C33"/>
      <c r="D33" s="30"/>
      <c r="E33" s="31"/>
      <c r="F33" s="31">
        <f t="shared" si="1"/>
        <v>-794.6</v>
      </c>
    </row>
    <row r="34" spans="1:6">
      <c r="A34" s="26"/>
      <c r="B34" t="s">
        <v>40</v>
      </c>
      <c r="C34"/>
      <c r="D34" s="30"/>
      <c r="E34" s="31"/>
      <c r="F34" s="31">
        <f t="shared" si="1"/>
        <v>-794.6</v>
      </c>
    </row>
    <row r="35" spans="1:6">
      <c r="A35" s="26"/>
      <c r="B35" t="s">
        <v>41</v>
      </c>
      <c r="C35"/>
      <c r="D35" s="30"/>
      <c r="E35" s="31"/>
      <c r="F35" s="31">
        <f t="shared" si="1"/>
        <v>-794.6</v>
      </c>
    </row>
    <row r="36" spans="1:6">
      <c r="A36" s="32"/>
      <c r="B36" s="21" t="s">
        <v>42</v>
      </c>
      <c r="C36" s="21"/>
      <c r="D36" s="33"/>
      <c r="E36" s="34"/>
      <c r="F36" s="34">
        <f t="shared" si="1"/>
        <v>-794.6</v>
      </c>
    </row>
    <row r="37" spans="1:6">
      <c r="A37" s="35">
        <v>45291</v>
      </c>
      <c r="B37" s="36" t="s">
        <v>35</v>
      </c>
      <c r="C37" s="36">
        <f>SUM(C25:C36)</f>
        <v>0</v>
      </c>
      <c r="D37" s="37"/>
      <c r="E37" s="38"/>
      <c r="F37" s="39">
        <f>D37-E37+F36</f>
        <v>-794.6</v>
      </c>
    </row>
    <row r="38" spans="1:6">
      <c r="A38" s="26"/>
      <c r="B38"/>
      <c r="C38"/>
      <c r="D38" s="30"/>
      <c r="E38" s="30"/>
      <c r="F38" s="30"/>
    </row>
    <row r="39" spans="1:6">
      <c r="B39"/>
      <c r="C39"/>
    </row>
    <row r="40" spans="1:6">
      <c r="A40" s="88" t="s">
        <v>254</v>
      </c>
      <c r="B40" s="40" t="s">
        <v>167</v>
      </c>
      <c r="C40" s="40"/>
      <c r="D40" s="41"/>
      <c r="E40" s="42"/>
      <c r="F40" s="43">
        <f>SUM(E41:E54)</f>
        <v>0</v>
      </c>
    </row>
    <row r="41" spans="1:6">
      <c r="B41" s="8"/>
      <c r="C41" s="8"/>
      <c r="D41"/>
      <c r="E41"/>
      <c r="F41"/>
    </row>
    <row r="42" spans="1:6">
      <c r="B42" s="1" t="s">
        <v>145</v>
      </c>
      <c r="C42" s="1"/>
    </row>
    <row r="43" spans="1:6">
      <c r="A43" s="7">
        <v>44774</v>
      </c>
      <c r="B43" t="s">
        <v>146</v>
      </c>
      <c r="C43"/>
    </row>
    <row r="44" spans="1:6">
      <c r="B44" t="s">
        <v>147</v>
      </c>
      <c r="C44"/>
      <c r="D44" s="3">
        <v>45000</v>
      </c>
    </row>
    <row r="45" spans="1:6">
      <c r="A45" s="7">
        <v>44774</v>
      </c>
      <c r="B45" t="s">
        <v>148</v>
      </c>
      <c r="C45"/>
    </row>
    <row r="46" spans="1:6">
      <c r="B46"/>
      <c r="C46"/>
    </row>
    <row r="47" spans="1:6">
      <c r="A47" s="7">
        <v>44803</v>
      </c>
      <c r="B47" t="s">
        <v>149</v>
      </c>
      <c r="C47"/>
    </row>
    <row r="48" spans="1:6">
      <c r="A48" s="7">
        <v>45167</v>
      </c>
      <c r="B48" t="s">
        <v>150</v>
      </c>
      <c r="C48"/>
      <c r="E48"/>
    </row>
    <row r="49" spans="1:6">
      <c r="B49" t="s">
        <v>151</v>
      </c>
      <c r="C49">
        <f>A48-A45</f>
        <v>393</v>
      </c>
      <c r="D49"/>
      <c r="E49"/>
    </row>
    <row r="50" spans="1:6">
      <c r="B50"/>
      <c r="C50"/>
      <c r="E50"/>
    </row>
    <row r="51" spans="1:6">
      <c r="A51" s="7">
        <v>45127</v>
      </c>
      <c r="B51" t="s">
        <v>152</v>
      </c>
      <c r="C51"/>
      <c r="D51"/>
      <c r="E51"/>
    </row>
    <row r="52" spans="1:6">
      <c r="B52" t="s">
        <v>153</v>
      </c>
      <c r="C52"/>
      <c r="D52"/>
      <c r="E52"/>
    </row>
    <row r="53" spans="1:6">
      <c r="B53" t="s">
        <v>154</v>
      </c>
      <c r="C53"/>
      <c r="D53"/>
      <c r="E53"/>
    </row>
    <row r="54" spans="1:6">
      <c r="B54" t="s">
        <v>155</v>
      </c>
      <c r="C54"/>
      <c r="D54"/>
      <c r="E54"/>
    </row>
    <row r="55" spans="1:6">
      <c r="B55" t="s">
        <v>143</v>
      </c>
      <c r="C55"/>
      <c r="D55">
        <v>96000</v>
      </c>
      <c r="E55"/>
    </row>
    <row r="57" spans="1:6">
      <c r="B57" s="2"/>
      <c r="C57"/>
      <c r="D57"/>
      <c r="E57"/>
    </row>
    <row r="58" spans="1:6">
      <c r="B58"/>
      <c r="C58"/>
      <c r="D58"/>
      <c r="E58"/>
    </row>
    <row r="59" spans="1:6">
      <c r="B59" s="1"/>
      <c r="C59" s="1"/>
      <c r="D59"/>
      <c r="E59"/>
      <c r="F59" s="3">
        <f t="shared" ref="F59:F69" si="2">F58+D59-E59</f>
        <v>0</v>
      </c>
    </row>
    <row r="60" spans="1:6">
      <c r="B60" s="1" t="s">
        <v>156</v>
      </c>
      <c r="C60" s="1"/>
      <c r="D60"/>
      <c r="E60"/>
      <c r="F60" s="3">
        <f t="shared" si="2"/>
        <v>0</v>
      </c>
    </row>
    <row r="61" spans="1:6">
      <c r="B61" t="s">
        <v>157</v>
      </c>
      <c r="C61"/>
      <c r="E61">
        <v>32.35</v>
      </c>
      <c r="F61" s="3">
        <f t="shared" si="2"/>
        <v>-32.35</v>
      </c>
    </row>
    <row r="62" spans="1:6">
      <c r="B62" t="s">
        <v>158</v>
      </c>
      <c r="C62"/>
      <c r="E62">
        <v>39.909999999999997</v>
      </c>
      <c r="F62" s="3">
        <f t="shared" si="2"/>
        <v>-72.259999999999991</v>
      </c>
    </row>
    <row r="63" spans="1:6">
      <c r="B63" t="s">
        <v>159</v>
      </c>
      <c r="C63"/>
      <c r="E63" s="3">
        <v>8.99</v>
      </c>
      <c r="F63" s="3">
        <f t="shared" si="2"/>
        <v>-81.249999999999986</v>
      </c>
    </row>
    <row r="64" spans="1:6" customFormat="1">
      <c r="A64" s="7"/>
      <c r="B64" t="s">
        <v>160</v>
      </c>
      <c r="D64" s="3"/>
      <c r="E64" s="3">
        <v>60.27</v>
      </c>
      <c r="F64" s="3">
        <f t="shared" si="2"/>
        <v>-141.51999999999998</v>
      </c>
    </row>
    <row r="65" spans="1:8">
      <c r="B65" t="s">
        <v>161</v>
      </c>
      <c r="C65"/>
      <c r="D65"/>
      <c r="E65">
        <v>500</v>
      </c>
      <c r="F65" s="3">
        <f t="shared" si="2"/>
        <v>-641.52</v>
      </c>
      <c r="G65"/>
      <c r="H65"/>
    </row>
    <row r="66" spans="1:8">
      <c r="B66" t="s">
        <v>162</v>
      </c>
      <c r="C66"/>
      <c r="D66"/>
      <c r="E66">
        <v>58.48</v>
      </c>
      <c r="F66" s="3">
        <f t="shared" si="2"/>
        <v>-700</v>
      </c>
      <c r="G66"/>
      <c r="H66"/>
    </row>
    <row r="67" spans="1:8">
      <c r="B67" t="s">
        <v>163</v>
      </c>
      <c r="C67"/>
      <c r="D67">
        <v>245.53</v>
      </c>
      <c r="E67">
        <v>295.52999999999997</v>
      </c>
      <c r="F67" s="3">
        <f t="shared" si="2"/>
        <v>-750</v>
      </c>
      <c r="G67"/>
      <c r="H67"/>
    </row>
    <row r="68" spans="1:8">
      <c r="B68" t="s">
        <v>164</v>
      </c>
      <c r="C68"/>
      <c r="D68"/>
      <c r="E68">
        <v>37.76</v>
      </c>
      <c r="F68" s="3">
        <f t="shared" si="2"/>
        <v>-787.76</v>
      </c>
      <c r="G68"/>
      <c r="H68"/>
    </row>
    <row r="69" spans="1:8">
      <c r="B69" t="s">
        <v>165</v>
      </c>
      <c r="C69"/>
      <c r="D69"/>
      <c r="E69">
        <v>12.24</v>
      </c>
      <c r="F69" s="3">
        <f t="shared" si="2"/>
        <v>-800</v>
      </c>
      <c r="G69"/>
      <c r="H69"/>
    </row>
    <row r="70" spans="1:8">
      <c r="B70"/>
      <c r="C70"/>
      <c r="D70"/>
      <c r="E70"/>
      <c r="G70"/>
      <c r="H70"/>
    </row>
    <row r="71" spans="1:8">
      <c r="E71" s="57"/>
      <c r="G71"/>
      <c r="H71"/>
    </row>
    <row r="72" spans="1:8">
      <c r="A72" s="145">
        <v>45139</v>
      </c>
      <c r="B72" s="146" t="s">
        <v>146</v>
      </c>
      <c r="C72" s="147"/>
      <c r="D72" s="148"/>
      <c r="E72" s="148"/>
      <c r="F72" s="148"/>
      <c r="G72"/>
      <c r="H72"/>
    </row>
    <row r="73" spans="1:8">
      <c r="A73" s="147"/>
      <c r="B73" s="146" t="s">
        <v>362</v>
      </c>
      <c r="C73" s="147"/>
      <c r="D73" s="148"/>
      <c r="E73" s="148"/>
      <c r="F73" s="148"/>
      <c r="G73"/>
      <c r="H73"/>
    </row>
    <row r="74" spans="1:8">
      <c r="A74" s="147"/>
      <c r="B74" s="147"/>
      <c r="C74" s="147"/>
      <c r="D74" s="148" t="s">
        <v>2</v>
      </c>
      <c r="E74" s="148" t="s">
        <v>3</v>
      </c>
      <c r="F74" s="148" t="s">
        <v>363</v>
      </c>
      <c r="G74"/>
      <c r="H74"/>
    </row>
    <row r="75" spans="1:8">
      <c r="A75" s="145"/>
      <c r="B75" s="147"/>
      <c r="C75" s="147"/>
      <c r="D75" s="148">
        <v>96000</v>
      </c>
      <c r="E75" s="148"/>
      <c r="F75" s="148">
        <f>D75-E75</f>
        <v>96000</v>
      </c>
      <c r="G75"/>
      <c r="H75"/>
    </row>
    <row r="76" spans="1:8">
      <c r="A76" s="145"/>
      <c r="B76" s="147"/>
      <c r="C76" s="147"/>
      <c r="D76" s="148"/>
      <c r="E76" s="148"/>
      <c r="F76" s="148">
        <f t="shared" ref="F76:F84" si="3">F75+D76-E76</f>
        <v>96000</v>
      </c>
      <c r="G76"/>
      <c r="H76"/>
    </row>
    <row r="77" spans="1:8">
      <c r="A77" s="145">
        <v>45168</v>
      </c>
      <c r="B77" s="147" t="s">
        <v>364</v>
      </c>
      <c r="C77" s="147"/>
      <c r="D77" s="148"/>
      <c r="E77" s="148"/>
      <c r="F77" s="148">
        <f t="shared" si="3"/>
        <v>96000</v>
      </c>
      <c r="G77"/>
      <c r="H77"/>
    </row>
    <row r="78" spans="1:8">
      <c r="A78" s="145">
        <v>45533</v>
      </c>
      <c r="B78" s="147" t="s">
        <v>365</v>
      </c>
      <c r="C78" s="147"/>
      <c r="E78"/>
      <c r="F78" s="148">
        <f t="shared" si="3"/>
        <v>96000</v>
      </c>
      <c r="G78"/>
      <c r="H78"/>
    </row>
    <row r="79" spans="1:8">
      <c r="A79" s="145">
        <v>45170</v>
      </c>
      <c r="B79" s="147" t="s">
        <v>366</v>
      </c>
      <c r="C79" s="147"/>
      <c r="E79">
        <v>65000</v>
      </c>
      <c r="F79" s="148">
        <f t="shared" si="3"/>
        <v>31000</v>
      </c>
      <c r="G79"/>
      <c r="H79"/>
    </row>
    <row r="80" spans="1:8">
      <c r="A80" s="145">
        <v>45199</v>
      </c>
      <c r="B80" s="147" t="s">
        <v>367</v>
      </c>
      <c r="C80" s="147"/>
      <c r="E80">
        <v>6000</v>
      </c>
      <c r="F80" s="148">
        <f t="shared" si="3"/>
        <v>25000</v>
      </c>
      <c r="G80" s="46"/>
      <c r="H80" s="51"/>
    </row>
    <row r="81" spans="1:8">
      <c r="A81" s="145">
        <v>45229</v>
      </c>
      <c r="B81" s="147" t="s">
        <v>368</v>
      </c>
      <c r="C81" s="147"/>
      <c r="E81">
        <v>6000</v>
      </c>
      <c r="F81" s="148">
        <f t="shared" si="3"/>
        <v>19000</v>
      </c>
      <c r="G81" s="46"/>
      <c r="H81" s="51"/>
    </row>
    <row r="82" spans="1:8">
      <c r="A82" s="145">
        <v>45260</v>
      </c>
      <c r="B82" s="147" t="s">
        <v>369</v>
      </c>
      <c r="C82" s="147"/>
      <c r="E82">
        <v>6000</v>
      </c>
      <c r="F82" s="148">
        <f t="shared" si="3"/>
        <v>13000</v>
      </c>
      <c r="G82" s="46"/>
      <c r="H82" s="51"/>
    </row>
    <row r="83" spans="1:8">
      <c r="A83" s="145">
        <v>45290</v>
      </c>
      <c r="B83" s="147" t="s">
        <v>370</v>
      </c>
      <c r="C83" s="147"/>
      <c r="E83">
        <v>6000</v>
      </c>
      <c r="F83" s="148">
        <f t="shared" si="3"/>
        <v>7000</v>
      </c>
      <c r="G83" s="46"/>
      <c r="H83" s="51"/>
    </row>
    <row r="84" spans="1:8" ht="13.5" thickBot="1">
      <c r="A84" s="145">
        <v>45321</v>
      </c>
      <c r="B84" s="147" t="s">
        <v>371</v>
      </c>
      <c r="C84" s="149" t="s">
        <v>372</v>
      </c>
      <c r="E84"/>
      <c r="F84" s="148">
        <f t="shared" si="3"/>
        <v>7000</v>
      </c>
      <c r="G84" s="46"/>
      <c r="H84" s="51"/>
    </row>
    <row r="85" spans="1:8" ht="13.5" thickTop="1">
      <c r="A85" s="145"/>
      <c r="B85" s="147"/>
      <c r="C85" s="147"/>
      <c r="E85"/>
      <c r="F85" s="148"/>
    </row>
    <row r="86" spans="1:8" ht="15">
      <c r="A86" s="145"/>
      <c r="B86" s="147" t="s">
        <v>373</v>
      </c>
      <c r="C86" s="150">
        <f>A78-A77</f>
        <v>365</v>
      </c>
      <c r="E86"/>
      <c r="F86" s="148"/>
    </row>
    <row r="87" spans="1:8">
      <c r="A87" s="145"/>
      <c r="B87" s="147" t="s">
        <v>374</v>
      </c>
      <c r="C87" s="146">
        <f>D75/C86</f>
        <v>263.01369863013701</v>
      </c>
      <c r="E87"/>
      <c r="F87" s="148"/>
    </row>
    <row r="88" spans="1:8" ht="15.75" thickBot="1">
      <c r="A88" s="151">
        <v>45413</v>
      </c>
      <c r="B88" s="152" t="s">
        <v>375</v>
      </c>
      <c r="C88" s="153"/>
      <c r="D88" s="154"/>
      <c r="E88"/>
    </row>
    <row r="89" spans="1:8" ht="13.5" thickTop="1">
      <c r="A89"/>
      <c r="B89" s="147" t="s">
        <v>376</v>
      </c>
      <c r="C89" s="146">
        <f>A88-A77</f>
        <v>245</v>
      </c>
      <c r="D89"/>
      <c r="E89"/>
    </row>
    <row r="90" spans="1:8">
      <c r="A90" s="145"/>
      <c r="B90" s="147" t="s">
        <v>377</v>
      </c>
      <c r="C90" s="147"/>
      <c r="D90" s="3">
        <f>C89*C87</f>
        <v>64438.356164383571</v>
      </c>
      <c r="E90"/>
    </row>
    <row r="91" spans="1:8">
      <c r="A91" s="145"/>
      <c r="B91" s="147" t="s">
        <v>378</v>
      </c>
      <c r="C91" s="147"/>
      <c r="D91" s="3">
        <f>D75-D90</f>
        <v>31561.643835616429</v>
      </c>
      <c r="E91"/>
      <c r="F91" s="148"/>
    </row>
    <row r="92" spans="1:8" ht="15.75" thickBot="1">
      <c r="A92" s="145"/>
      <c r="B92" s="155" t="s">
        <v>379</v>
      </c>
      <c r="C92" s="155" t="s">
        <v>380</v>
      </c>
      <c r="D92" s="156">
        <f>SUM(D91:D91)</f>
        <v>31561.643835616429</v>
      </c>
      <c r="E92"/>
      <c r="F92" s="148"/>
    </row>
    <row r="93" spans="1:8" ht="13.5" thickTop="1">
      <c r="A93" s="145"/>
      <c r="B93" s="147" t="s">
        <v>381</v>
      </c>
      <c r="C93" s="147" t="s">
        <v>380</v>
      </c>
      <c r="D93" s="3">
        <v>794.6</v>
      </c>
      <c r="E93"/>
      <c r="F93" s="148"/>
    </row>
    <row r="94" spans="1:8">
      <c r="A94" s="145"/>
      <c r="B94" s="147" t="s">
        <v>384</v>
      </c>
      <c r="C94" s="147" t="s">
        <v>383</v>
      </c>
      <c r="D94" s="3">
        <v>-30</v>
      </c>
      <c r="E94"/>
      <c r="F94" s="148"/>
    </row>
    <row r="95" spans="1:8" ht="13.5" thickBot="1">
      <c r="A95" s="145"/>
      <c r="B95" s="157" t="s">
        <v>385</v>
      </c>
      <c r="C95" s="147" t="s">
        <v>383</v>
      </c>
      <c r="D95" s="3">
        <f>F84*-1</f>
        <v>-7000</v>
      </c>
      <c r="E95"/>
      <c r="F95" s="148"/>
    </row>
    <row r="96" spans="1:8" ht="16.5" thickTop="1" thickBot="1">
      <c r="A96" s="147"/>
      <c r="B96" s="158" t="s">
        <v>386</v>
      </c>
      <c r="C96" s="159" t="s">
        <v>380</v>
      </c>
      <c r="D96" s="156">
        <f>SUM(D92:D95)</f>
        <v>25326.243835616428</v>
      </c>
      <c r="E96" s="148"/>
      <c r="F96" s="148"/>
    </row>
    <row r="97" spans="1:4" ht="13.5" thickTop="1">
      <c r="A97" s="7">
        <v>45412</v>
      </c>
      <c r="B97" s="3" t="s">
        <v>325</v>
      </c>
      <c r="D97" s="3">
        <v>24000</v>
      </c>
    </row>
    <row r="98" spans="1:4">
      <c r="B98" s="3" t="s">
        <v>409</v>
      </c>
      <c r="D98" s="3">
        <v>1000</v>
      </c>
    </row>
    <row r="99" spans="1:4">
      <c r="B99" s="178" t="s">
        <v>410</v>
      </c>
    </row>
    <row r="101" spans="1:4">
      <c r="D101" s="3" t="s">
        <v>398</v>
      </c>
    </row>
    <row r="102" spans="1:4">
      <c r="A102" s="7" t="s">
        <v>123</v>
      </c>
      <c r="D102" s="3">
        <v>2</v>
      </c>
    </row>
    <row r="103" spans="1:4">
      <c r="A103" s="7">
        <v>9</v>
      </c>
      <c r="D103" s="3">
        <v>30</v>
      </c>
    </row>
    <row r="104" spans="1:4">
      <c r="A104" s="7">
        <v>10</v>
      </c>
      <c r="D104" s="3">
        <v>31</v>
      </c>
    </row>
    <row r="105" spans="1:4">
      <c r="A105" s="7">
        <v>11</v>
      </c>
      <c r="D105" s="3">
        <v>30</v>
      </c>
    </row>
    <row r="106" spans="1:4">
      <c r="A106" s="7">
        <v>12</v>
      </c>
      <c r="D106" s="3">
        <v>31</v>
      </c>
    </row>
    <row r="107" spans="1:4">
      <c r="A107" s="7">
        <v>1</v>
      </c>
      <c r="D107" s="3">
        <v>31</v>
      </c>
    </row>
    <row r="108" spans="1:4">
      <c r="A108" s="7">
        <v>2</v>
      </c>
      <c r="D108" s="3">
        <v>29</v>
      </c>
    </row>
    <row r="109" spans="1:4">
      <c r="A109" s="7">
        <v>3</v>
      </c>
      <c r="D109" s="3">
        <v>31</v>
      </c>
    </row>
    <row r="110" spans="1:4">
      <c r="A110" s="7">
        <v>4</v>
      </c>
      <c r="D110" s="3">
        <v>30</v>
      </c>
    </row>
    <row r="111" spans="1:4">
      <c r="D111" s="3">
        <f>SUM(D102:D110)</f>
        <v>245</v>
      </c>
    </row>
    <row r="114" spans="1:5">
      <c r="A114" s="148"/>
      <c r="B114" s="3" t="s">
        <v>399</v>
      </c>
      <c r="D114" s="3">
        <v>7000</v>
      </c>
    </row>
    <row r="115" spans="1:5" ht="13.5" thickBot="1">
      <c r="A115" s="151">
        <v>45413</v>
      </c>
      <c r="B115" s="3">
        <v>1985</v>
      </c>
      <c r="D115" s="3">
        <f>D114/B115</f>
        <v>3.5264483627204029</v>
      </c>
      <c r="E115" s="3" t="s">
        <v>400</v>
      </c>
    </row>
    <row r="116" spans="1:5" ht="14.25" thickTop="1" thickBot="1">
      <c r="A116" s="151">
        <v>45412</v>
      </c>
      <c r="B116" s="3">
        <v>2410</v>
      </c>
      <c r="D116" s="3">
        <f>D115*B116</f>
        <v>8498.7405541561711</v>
      </c>
    </row>
    <row r="117" spans="1:5" ht="13.5" thickTop="1">
      <c r="D117" s="3">
        <f>D114/B116</f>
        <v>2.904564315352697</v>
      </c>
      <c r="E117" s="3" t="s">
        <v>400</v>
      </c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landscape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1"/>
  <sheetViews>
    <sheetView topLeftCell="A9" zoomScale="175" zoomScaleNormal="175" workbookViewId="0">
      <selection activeCell="E23" sqref="E23"/>
    </sheetView>
  </sheetViews>
  <sheetFormatPr defaultRowHeight="12.75"/>
  <cols>
    <col min="1" max="1" width="13.42578125" style="168" bestFit="1" customWidth="1"/>
    <col min="2" max="2" width="29.140625" style="3" customWidth="1"/>
    <col min="3" max="3" width="6.28515625" style="3" bestFit="1" customWidth="1"/>
    <col min="4" max="4" width="6.7109375" style="3" bestFit="1" customWidth="1"/>
    <col min="5" max="5" width="11.5703125" style="3" customWidth="1"/>
    <col min="6" max="6" width="11.42578125" style="3" customWidth="1"/>
    <col min="7" max="7" width="13.7109375" style="3" customWidth="1"/>
    <col min="8" max="8" width="1.5703125" style="3" customWidth="1"/>
    <col min="9" max="9" width="11.28515625" style="3" customWidth="1"/>
    <col min="10" max="11" width="12.140625" customWidth="1"/>
    <col min="12" max="14" width="9.42578125" bestFit="1" customWidth="1"/>
    <col min="15" max="61" width="12.140625" customWidth="1"/>
    <col min="62" max="62" width="9.140625" customWidth="1"/>
  </cols>
  <sheetData>
    <row r="1" spans="1:7">
      <c r="A1" s="161"/>
      <c r="B1" s="8" t="s">
        <v>166</v>
      </c>
      <c r="C1" s="8"/>
      <c r="D1" s="8"/>
      <c r="G1" s="9" t="s">
        <v>142</v>
      </c>
    </row>
    <row r="2" spans="1:7">
      <c r="A2" s="161"/>
      <c r="B2" s="8"/>
      <c r="C2" s="8"/>
      <c r="D2" s="8"/>
    </row>
    <row r="3" spans="1:7" ht="13.5" thickBot="1">
      <c r="A3" s="162" t="s">
        <v>23</v>
      </c>
      <c r="B3" s="11" t="s">
        <v>24</v>
      </c>
      <c r="C3" s="11"/>
      <c r="D3" s="11" t="s">
        <v>344</v>
      </c>
      <c r="E3" s="12" t="s">
        <v>2</v>
      </c>
      <c r="F3" s="12" t="s">
        <v>3</v>
      </c>
      <c r="G3" s="12" t="s">
        <v>26</v>
      </c>
    </row>
    <row r="4" spans="1:7">
      <c r="A4" s="161"/>
      <c r="B4" s="13" t="s">
        <v>20</v>
      </c>
      <c r="C4" s="14"/>
      <c r="D4" s="14"/>
      <c r="E4" s="15">
        <f>SUM(E9:E39)</f>
        <v>447218.53578899364</v>
      </c>
      <c r="F4" s="16">
        <f>SUM(F9:F39)</f>
        <v>184917.52</v>
      </c>
      <c r="G4" s="17" t="e">
        <f>#REF!</f>
        <v>#REF!</v>
      </c>
    </row>
    <row r="5" spans="1:7">
      <c r="A5" s="161"/>
      <c r="B5" s="14" t="s">
        <v>27</v>
      </c>
      <c r="C5" s="14"/>
      <c r="D5" s="14"/>
      <c r="E5" s="18">
        <f>G59</f>
        <v>0</v>
      </c>
      <c r="G5"/>
    </row>
    <row r="6" spans="1:7">
      <c r="A6" s="161"/>
      <c r="B6" s="14" t="s">
        <v>5</v>
      </c>
      <c r="C6"/>
      <c r="D6"/>
      <c r="E6" s="19">
        <f>G56</f>
        <v>-2824.5300000000007</v>
      </c>
      <c r="F6" s="14"/>
      <c r="G6" s="9"/>
    </row>
    <row r="7" spans="1:7">
      <c r="A7" s="164" t="s">
        <v>387</v>
      </c>
      <c r="B7" s="21"/>
      <c r="C7" s="22"/>
      <c r="D7" s="22"/>
      <c r="E7" s="21"/>
      <c r="F7" s="58" t="s">
        <v>28</v>
      </c>
      <c r="G7" s="59">
        <f>F4-E5</f>
        <v>184917.52</v>
      </c>
    </row>
    <row r="8" spans="1:7">
      <c r="A8" s="161"/>
      <c r="B8" s="14" t="s">
        <v>29</v>
      </c>
      <c r="C8"/>
      <c r="D8"/>
      <c r="E8"/>
    </row>
    <row r="9" spans="1:7">
      <c r="A9" s="167">
        <v>44957</v>
      </c>
      <c r="B9" s="141" t="s">
        <v>273</v>
      </c>
      <c r="C9">
        <v>6.65</v>
      </c>
      <c r="E9" s="60">
        <v>6920</v>
      </c>
      <c r="F9" s="25">
        <v>6920</v>
      </c>
      <c r="G9" s="3">
        <f>E9-F9</f>
        <v>0</v>
      </c>
    </row>
    <row r="10" spans="1:7">
      <c r="A10" s="167"/>
      <c r="B10" s="141" t="s">
        <v>274</v>
      </c>
      <c r="C10">
        <v>3.15</v>
      </c>
      <c r="E10" s="60">
        <f t="shared" ref="E10:E20" si="0">E9+(E9*C9/100)</f>
        <v>7380.18</v>
      </c>
      <c r="F10" s="25"/>
      <c r="G10" s="3">
        <f t="shared" ref="G10:G39" si="1">E10-F10+G9</f>
        <v>7380.18</v>
      </c>
    </row>
    <row r="11" spans="1:7">
      <c r="A11" s="167"/>
      <c r="B11" s="141" t="s">
        <v>275</v>
      </c>
      <c r="C11">
        <v>2.29</v>
      </c>
      <c r="E11" s="60">
        <f t="shared" si="0"/>
        <v>7612.6556700000001</v>
      </c>
      <c r="F11" s="25"/>
      <c r="G11" s="3">
        <f t="shared" si="1"/>
        <v>14992.83567</v>
      </c>
    </row>
    <row r="12" spans="1:7">
      <c r="A12" s="167"/>
      <c r="B12" s="141" t="s">
        <v>277</v>
      </c>
      <c r="C12">
        <v>2.39</v>
      </c>
      <c r="E12" s="60">
        <f t="shared" si="0"/>
        <v>7786.9854848430004</v>
      </c>
      <c r="F12" s="25">
        <v>8425.4599999999991</v>
      </c>
      <c r="G12" s="3">
        <f t="shared" si="1"/>
        <v>14354.361154843002</v>
      </c>
    </row>
    <row r="13" spans="1:7">
      <c r="A13" s="167"/>
      <c r="B13" s="141" t="s">
        <v>276</v>
      </c>
      <c r="C13">
        <v>0.04</v>
      </c>
      <c r="E13" s="60">
        <f t="shared" si="0"/>
        <v>7973.0944379307484</v>
      </c>
      <c r="F13" s="25">
        <v>28080</v>
      </c>
      <c r="G13" s="3">
        <f t="shared" si="1"/>
        <v>-5752.5444072262508</v>
      </c>
    </row>
    <row r="14" spans="1:7">
      <c r="A14" s="167"/>
      <c r="B14" s="141" t="s">
        <v>278</v>
      </c>
      <c r="C14">
        <v>3.92</v>
      </c>
      <c r="E14" s="60">
        <f t="shared" si="0"/>
        <v>7976.2836757059204</v>
      </c>
      <c r="F14" s="28"/>
      <c r="G14" s="3">
        <f t="shared" si="1"/>
        <v>2223.7392684796696</v>
      </c>
    </row>
    <row r="15" spans="1:7">
      <c r="A15" s="167"/>
      <c r="B15" s="141" t="s">
        <v>279</v>
      </c>
      <c r="C15">
        <v>9.49</v>
      </c>
      <c r="E15" s="60">
        <f t="shared" si="0"/>
        <v>8288.9539957935922</v>
      </c>
      <c r="F15" s="28">
        <v>50000</v>
      </c>
      <c r="G15" s="3">
        <f t="shared" si="1"/>
        <v>-39487.306735726735</v>
      </c>
    </row>
    <row r="16" spans="1:7">
      <c r="A16" s="167"/>
      <c r="B16" s="141" t="s">
        <v>280</v>
      </c>
      <c r="C16">
        <v>9.09</v>
      </c>
      <c r="E16" s="60">
        <f t="shared" si="0"/>
        <v>9075.5757299944034</v>
      </c>
      <c r="F16" s="28"/>
      <c r="G16" s="3">
        <f t="shared" si="1"/>
        <v>-30411.731005732334</v>
      </c>
    </row>
    <row r="17" spans="1:7">
      <c r="A17" s="167"/>
      <c r="B17" s="141" t="s">
        <v>281</v>
      </c>
      <c r="C17">
        <v>4.75</v>
      </c>
      <c r="E17" s="60">
        <f t="shared" si="0"/>
        <v>9900.5455638508938</v>
      </c>
      <c r="F17" s="28"/>
      <c r="G17" s="3">
        <f t="shared" si="1"/>
        <v>-20511.18544188144</v>
      </c>
    </row>
    <row r="18" spans="1:7">
      <c r="A18" s="167"/>
      <c r="B18" s="141" t="s">
        <v>262</v>
      </c>
      <c r="C18">
        <v>3.43</v>
      </c>
      <c r="E18" s="60">
        <f t="shared" si="0"/>
        <v>10370.821478133812</v>
      </c>
      <c r="F18" s="28"/>
      <c r="G18" s="3">
        <f t="shared" si="1"/>
        <v>-10140.363963747628</v>
      </c>
    </row>
    <row r="19" spans="1:7">
      <c r="A19" s="167">
        <v>45260</v>
      </c>
      <c r="B19" s="141" t="s">
        <v>388</v>
      </c>
      <c r="C19">
        <v>42.645099999999999</v>
      </c>
      <c r="E19" s="60">
        <f t="shared" si="0"/>
        <v>10726.540654833801</v>
      </c>
      <c r="F19" s="28">
        <v>15887.06</v>
      </c>
      <c r="G19" s="3">
        <f t="shared" si="1"/>
        <v>-15300.883308913826</v>
      </c>
    </row>
    <row r="20" spans="1:7">
      <c r="A20" s="167">
        <v>45291</v>
      </c>
      <c r="B20" s="141" t="s">
        <v>264</v>
      </c>
      <c r="C20">
        <v>2.93</v>
      </c>
      <c r="E20" s="60">
        <f t="shared" si="0"/>
        <v>15300.884643628331</v>
      </c>
      <c r="F20" s="28"/>
      <c r="G20" s="29">
        <f t="shared" si="1"/>
        <v>1.3347145049920073E-3</v>
      </c>
    </row>
    <row r="21" spans="1:7">
      <c r="A21" s="180"/>
      <c r="B21" s="181"/>
      <c r="C21" s="181"/>
      <c r="D21" s="182"/>
      <c r="E21" s="183"/>
      <c r="F21" s="184"/>
      <c r="G21" s="185"/>
    </row>
    <row r="22" spans="1:7">
      <c r="A22" s="167">
        <v>45322</v>
      </c>
      <c r="B22" s="142" t="s">
        <v>273</v>
      </c>
      <c r="C22">
        <v>6.71</v>
      </c>
      <c r="E22" s="60">
        <v>17002</v>
      </c>
      <c r="F22" s="28"/>
      <c r="G22" s="29">
        <f>E22-F22+G20</f>
        <v>17002.001334714507</v>
      </c>
    </row>
    <row r="23" spans="1:7">
      <c r="A23" s="167"/>
      <c r="B23" s="142" t="s">
        <v>274</v>
      </c>
      <c r="C23">
        <v>4.53</v>
      </c>
      <c r="E23" s="60">
        <f>E22+(E22*C22/100)</f>
        <v>18142.834200000001</v>
      </c>
      <c r="F23" s="28"/>
      <c r="G23" s="29">
        <f t="shared" si="1"/>
        <v>35144.835534714512</v>
      </c>
    </row>
    <row r="24" spans="1:7">
      <c r="A24" s="167"/>
      <c r="B24" s="142" t="s">
        <v>275</v>
      </c>
      <c r="C24">
        <v>3.16</v>
      </c>
      <c r="E24" s="60">
        <f>E23+(E23*C23/100)</f>
        <v>18964.70458926</v>
      </c>
      <c r="F24" s="28"/>
      <c r="G24" s="29">
        <f t="shared" si="1"/>
        <v>54109.540123974512</v>
      </c>
    </row>
    <row r="25" spans="1:7">
      <c r="A25" s="167"/>
      <c r="B25" s="144" t="s">
        <v>348</v>
      </c>
      <c r="C25"/>
      <c r="E25" s="60"/>
      <c r="F25" s="28">
        <v>-3795</v>
      </c>
      <c r="G25" s="29">
        <f t="shared" si="1"/>
        <v>57904.540123974512</v>
      </c>
    </row>
    <row r="26" spans="1:7">
      <c r="A26" s="167">
        <v>45397</v>
      </c>
      <c r="B26" s="142" t="s">
        <v>359</v>
      </c>
      <c r="C26">
        <v>3.18</v>
      </c>
      <c r="E26" s="60">
        <f>E24+(E24*C24/100)</f>
        <v>19563.989254280616</v>
      </c>
      <c r="F26" s="28">
        <v>85000</v>
      </c>
      <c r="G26" s="29">
        <f t="shared" si="1"/>
        <v>-7531.4706217448693</v>
      </c>
    </row>
    <row r="27" spans="1:7">
      <c r="A27" s="167"/>
      <c r="B27" s="144" t="s">
        <v>207</v>
      </c>
      <c r="C27"/>
      <c r="E27" s="60"/>
      <c r="F27" s="28">
        <v>-5600</v>
      </c>
      <c r="G27" s="29">
        <f t="shared" si="1"/>
        <v>-1931.4706217448693</v>
      </c>
    </row>
    <row r="28" spans="1:7">
      <c r="A28" s="167"/>
      <c r="B28" s="143" t="s">
        <v>360</v>
      </c>
      <c r="C28">
        <v>3.37</v>
      </c>
      <c r="E28" s="60">
        <f>E26+(E26*C26/100)</f>
        <v>20186.12411256674</v>
      </c>
      <c r="F28" s="28"/>
      <c r="G28" s="29">
        <f t="shared" si="1"/>
        <v>18254.653490821871</v>
      </c>
    </row>
    <row r="29" spans="1:7">
      <c r="A29" s="167"/>
      <c r="B29" s="143" t="s">
        <v>278</v>
      </c>
      <c r="C29">
        <v>3.6</v>
      </c>
      <c r="E29" s="60">
        <f>E28+(E28*C28/100)</f>
        <v>20866.396495160239</v>
      </c>
      <c r="F29"/>
      <c r="G29" s="29">
        <f t="shared" si="1"/>
        <v>39121.049985982114</v>
      </c>
    </row>
    <row r="30" spans="1:7">
      <c r="A30" s="167"/>
      <c r="B30" s="143" t="s">
        <v>279</v>
      </c>
      <c r="C30">
        <v>3.6</v>
      </c>
      <c r="E30" s="60">
        <f t="shared" ref="E30:E39" si="2">E29+(E29*C29/100)</f>
        <v>21617.58676898601</v>
      </c>
      <c r="F30"/>
      <c r="G30" s="29">
        <f t="shared" si="1"/>
        <v>60738.636754968124</v>
      </c>
    </row>
    <row r="31" spans="1:7">
      <c r="A31" s="167"/>
      <c r="B31" s="143" t="s">
        <v>280</v>
      </c>
      <c r="C31"/>
      <c r="E31" s="60">
        <f t="shared" si="2"/>
        <v>22395.819892669508</v>
      </c>
      <c r="F31"/>
      <c r="G31" s="29">
        <f t="shared" si="1"/>
        <v>83134.456647637635</v>
      </c>
    </row>
    <row r="32" spans="1:7">
      <c r="A32" s="167"/>
      <c r="B32" s="143" t="s">
        <v>361</v>
      </c>
      <c r="C32"/>
      <c r="E32" s="60">
        <f t="shared" si="2"/>
        <v>22395.819892669508</v>
      </c>
      <c r="F32"/>
      <c r="G32" s="29">
        <f t="shared" si="1"/>
        <v>105530.27654030714</v>
      </c>
    </row>
    <row r="33" spans="1:13">
      <c r="A33" s="167"/>
      <c r="B33" s="143" t="s">
        <v>262</v>
      </c>
      <c r="C33"/>
      <c r="E33" s="60">
        <f t="shared" si="2"/>
        <v>22395.819892669508</v>
      </c>
      <c r="F33"/>
      <c r="G33" s="29">
        <f t="shared" si="1"/>
        <v>127926.09643297664</v>
      </c>
    </row>
    <row r="34" spans="1:13">
      <c r="A34" s="167"/>
      <c r="B34" s="143" t="s">
        <v>263</v>
      </c>
      <c r="C34"/>
      <c r="E34" s="60">
        <f t="shared" si="2"/>
        <v>22395.819892669508</v>
      </c>
      <c r="F34"/>
      <c r="G34" s="29">
        <f t="shared" si="1"/>
        <v>150321.91632564616</v>
      </c>
    </row>
    <row r="35" spans="1:13">
      <c r="A35" s="167"/>
      <c r="B35" s="143" t="s">
        <v>264</v>
      </c>
      <c r="C35"/>
      <c r="E35" s="60">
        <f t="shared" si="2"/>
        <v>22395.819892669508</v>
      </c>
      <c r="F35"/>
      <c r="G35" s="29">
        <f t="shared" si="1"/>
        <v>172717.73621831567</v>
      </c>
    </row>
    <row r="36" spans="1:13">
      <c r="A36" s="167"/>
      <c r="B36" s="143" t="s">
        <v>273</v>
      </c>
      <c r="C36"/>
      <c r="E36" s="60">
        <f t="shared" si="2"/>
        <v>22395.819892669508</v>
      </c>
      <c r="F36"/>
      <c r="G36" s="29">
        <f t="shared" si="1"/>
        <v>195113.55611098517</v>
      </c>
    </row>
    <row r="37" spans="1:13">
      <c r="A37" s="167"/>
      <c r="B37" s="143" t="s">
        <v>274</v>
      </c>
      <c r="C37"/>
      <c r="E37" s="60">
        <f t="shared" si="2"/>
        <v>22395.819892669508</v>
      </c>
      <c r="F37"/>
      <c r="G37" s="29">
        <f t="shared" si="1"/>
        <v>217509.37600365467</v>
      </c>
    </row>
    <row r="38" spans="1:13">
      <c r="A38" s="167"/>
      <c r="B38" s="143" t="s">
        <v>275</v>
      </c>
      <c r="C38"/>
      <c r="E38" s="60">
        <f t="shared" si="2"/>
        <v>22395.819892669508</v>
      </c>
      <c r="F38"/>
      <c r="G38" s="29">
        <f t="shared" si="1"/>
        <v>239905.19589632418</v>
      </c>
    </row>
    <row r="39" spans="1:13">
      <c r="A39" s="167"/>
      <c r="B39" s="143" t="s">
        <v>359</v>
      </c>
      <c r="C39"/>
      <c r="E39" s="60">
        <f t="shared" si="2"/>
        <v>22395.819892669508</v>
      </c>
      <c r="F39"/>
      <c r="G39" s="29">
        <f t="shared" si="1"/>
        <v>262301.01578899368</v>
      </c>
    </row>
    <row r="40" spans="1:13">
      <c r="A40" s="163"/>
      <c r="B40"/>
      <c r="C40"/>
      <c r="D40"/>
      <c r="E40" s="30"/>
      <c r="F40" s="31"/>
      <c r="G40" s="31"/>
    </row>
    <row r="41" spans="1:13">
      <c r="A41" s="163"/>
      <c r="B41"/>
      <c r="C41"/>
      <c r="D41"/>
      <c r="E41" s="30"/>
      <c r="F41" s="31"/>
      <c r="G41" s="31"/>
    </row>
    <row r="42" spans="1:13">
      <c r="A42" s="164" t="str">
        <f>A7</f>
        <v xml:space="preserve"> - 2024 -</v>
      </c>
      <c r="B42" s="21" t="s">
        <v>32</v>
      </c>
      <c r="C42" s="21" t="s">
        <v>33</v>
      </c>
      <c r="D42" s="21"/>
      <c r="E42" s="33" t="s">
        <v>34</v>
      </c>
      <c r="F42" s="34"/>
      <c r="G42" s="34" t="s">
        <v>346</v>
      </c>
    </row>
    <row r="43" spans="1:13">
      <c r="A43" s="163"/>
      <c r="B43" t="s">
        <v>35</v>
      </c>
      <c r="C43"/>
      <c r="D43"/>
      <c r="E43" s="30"/>
      <c r="F43" s="31"/>
      <c r="G43" s="31">
        <v>-2510.63</v>
      </c>
      <c r="I43" s="1"/>
      <c r="J43" s="1"/>
      <c r="K43" s="51"/>
      <c r="L43" s="51"/>
      <c r="M43" s="51"/>
    </row>
    <row r="44" spans="1:13">
      <c r="A44" s="163"/>
      <c r="B44" t="s">
        <v>87</v>
      </c>
      <c r="C44">
        <v>0</v>
      </c>
      <c r="D44"/>
      <c r="E44" s="3">
        <v>781.86</v>
      </c>
      <c r="F44" s="3">
        <v>891.32</v>
      </c>
      <c r="G44" s="31">
        <f t="shared" ref="G44:G55" si="3">E44-F44+G43</f>
        <v>-2620.09</v>
      </c>
      <c r="K44" s="3"/>
      <c r="L44" s="3"/>
      <c r="M44" s="3"/>
    </row>
    <row r="45" spans="1:13">
      <c r="A45" s="163"/>
      <c r="B45" t="s">
        <v>36</v>
      </c>
      <c r="C45">
        <v>0</v>
      </c>
      <c r="D45"/>
      <c r="E45" s="3">
        <v>2044.36</v>
      </c>
      <c r="F45" s="3">
        <v>2248.8000000000002</v>
      </c>
      <c r="G45" s="31">
        <f t="shared" si="3"/>
        <v>-2824.5300000000007</v>
      </c>
      <c r="J45" s="1"/>
      <c r="K45" s="3"/>
      <c r="L45" s="3"/>
      <c r="M45" s="3"/>
    </row>
    <row r="46" spans="1:13">
      <c r="A46" s="163"/>
      <c r="B46" t="s">
        <v>37</v>
      </c>
      <c r="C46"/>
      <c r="D46"/>
      <c r="G46" s="31">
        <f t="shared" si="3"/>
        <v>-2824.5300000000007</v>
      </c>
      <c r="J46" s="1"/>
      <c r="K46" s="3"/>
      <c r="L46" s="3"/>
      <c r="M46" s="3"/>
    </row>
    <row r="47" spans="1:13">
      <c r="A47" s="163"/>
      <c r="B47" t="s">
        <v>38</v>
      </c>
      <c r="C47"/>
      <c r="D47"/>
      <c r="G47" s="31">
        <f t="shared" si="3"/>
        <v>-2824.5300000000007</v>
      </c>
      <c r="J47" s="1"/>
      <c r="K47" s="3"/>
      <c r="L47" s="3"/>
      <c r="M47" s="3"/>
    </row>
    <row r="48" spans="1:13">
      <c r="A48" s="163"/>
      <c r="B48" t="s">
        <v>39</v>
      </c>
      <c r="C48"/>
      <c r="D48"/>
      <c r="G48" s="31">
        <f t="shared" si="3"/>
        <v>-2824.5300000000007</v>
      </c>
      <c r="J48" s="1"/>
      <c r="K48" s="3"/>
      <c r="L48" s="3"/>
      <c r="M48" s="3"/>
    </row>
    <row r="49" spans="1:13">
      <c r="A49" s="163"/>
      <c r="B49" t="s">
        <v>88</v>
      </c>
      <c r="C49"/>
      <c r="D49"/>
      <c r="G49" s="31">
        <f t="shared" si="3"/>
        <v>-2824.5300000000007</v>
      </c>
      <c r="J49" s="1"/>
      <c r="K49" s="3"/>
      <c r="L49" s="3"/>
      <c r="M49" s="3"/>
    </row>
    <row r="50" spans="1:13">
      <c r="A50" s="163"/>
      <c r="B50" t="s">
        <v>89</v>
      </c>
      <c r="C50"/>
      <c r="D50"/>
      <c r="G50" s="31">
        <f t="shared" si="3"/>
        <v>-2824.5300000000007</v>
      </c>
      <c r="J50" s="1"/>
      <c r="K50" s="3"/>
      <c r="L50" s="3"/>
      <c r="M50" s="3"/>
    </row>
    <row r="51" spans="1:13">
      <c r="A51" s="163"/>
      <c r="B51" t="s">
        <v>90</v>
      </c>
      <c r="C51"/>
      <c r="D51"/>
      <c r="G51" s="31">
        <f t="shared" si="3"/>
        <v>-2824.5300000000007</v>
      </c>
      <c r="J51" s="1"/>
      <c r="K51" s="3"/>
      <c r="L51" s="3"/>
      <c r="M51" s="3"/>
    </row>
    <row r="52" spans="1:13">
      <c r="A52" s="163"/>
      <c r="B52" t="s">
        <v>91</v>
      </c>
      <c r="C52"/>
      <c r="D52"/>
      <c r="G52" s="31">
        <f t="shared" si="3"/>
        <v>-2824.5300000000007</v>
      </c>
      <c r="J52" s="1"/>
      <c r="K52" s="3"/>
      <c r="L52" s="3"/>
      <c r="M52" s="3"/>
    </row>
    <row r="53" spans="1:13">
      <c r="A53" s="163"/>
      <c r="B53" t="s">
        <v>40</v>
      </c>
      <c r="C53"/>
      <c r="D53"/>
      <c r="E53" s="51"/>
      <c r="F53" s="51"/>
      <c r="G53" s="31">
        <f t="shared" si="3"/>
        <v>-2824.5300000000007</v>
      </c>
      <c r="J53" s="1"/>
      <c r="K53" s="3"/>
      <c r="L53" s="3"/>
      <c r="M53" s="3"/>
    </row>
    <row r="54" spans="1:13">
      <c r="A54" s="163"/>
      <c r="B54" t="s">
        <v>41</v>
      </c>
      <c r="C54"/>
      <c r="D54"/>
      <c r="E54" s="30"/>
      <c r="F54" s="31"/>
      <c r="G54" s="31">
        <f t="shared" si="3"/>
        <v>-2824.5300000000007</v>
      </c>
      <c r="I54" s="1"/>
      <c r="J54" s="1"/>
      <c r="K54" s="3"/>
      <c r="L54" s="51"/>
      <c r="M54" s="3"/>
    </row>
    <row r="55" spans="1:13">
      <c r="A55" s="164"/>
      <c r="B55" s="21" t="s">
        <v>42</v>
      </c>
      <c r="C55" s="21"/>
      <c r="D55" s="21"/>
      <c r="E55" s="33"/>
      <c r="F55" s="34"/>
      <c r="G55" s="34">
        <f t="shared" si="3"/>
        <v>-2824.5300000000007</v>
      </c>
      <c r="I55" s="1"/>
      <c r="K55" s="61"/>
      <c r="L55" s="3"/>
      <c r="M55" s="3"/>
    </row>
    <row r="56" spans="1:13">
      <c r="A56" s="165">
        <v>45657</v>
      </c>
      <c r="B56" s="36" t="s">
        <v>35</v>
      </c>
      <c r="C56" s="36">
        <f>SUM(C44:C55)</f>
        <v>0</v>
      </c>
      <c r="D56" s="36"/>
      <c r="E56" s="37"/>
      <c r="F56" s="38"/>
      <c r="G56" s="39">
        <f>E56-F56+G55</f>
        <v>-2824.5300000000007</v>
      </c>
      <c r="I56" s="1"/>
      <c r="K56" s="61"/>
      <c r="L56" s="3"/>
      <c r="M56" s="3"/>
    </row>
    <row r="57" spans="1:13">
      <c r="A57" s="163"/>
      <c r="B57"/>
      <c r="C57"/>
      <c r="D57"/>
      <c r="E57" s="30"/>
      <c r="F57" s="30"/>
      <c r="G57" s="34"/>
      <c r="I57"/>
      <c r="K57" s="61"/>
      <c r="L57" s="3"/>
      <c r="M57" s="3"/>
    </row>
    <row r="58" spans="1:13">
      <c r="A58" s="161"/>
      <c r="B58"/>
      <c r="C58"/>
      <c r="D58"/>
      <c r="J58" s="3"/>
      <c r="K58" s="3"/>
      <c r="L58" s="3"/>
      <c r="M58" s="3"/>
    </row>
    <row r="59" spans="1:13">
      <c r="A59" s="166" t="s">
        <v>253</v>
      </c>
      <c r="B59" s="40" t="s">
        <v>167</v>
      </c>
      <c r="C59" s="40"/>
      <c r="D59" s="40"/>
      <c r="E59" s="41"/>
      <c r="F59" s="42"/>
      <c r="G59" s="43">
        <f>SUM(F60:F60)</f>
        <v>0</v>
      </c>
      <c r="J59" s="3"/>
      <c r="K59" s="3"/>
      <c r="L59" s="3"/>
      <c r="M59" s="3"/>
    </row>
    <row r="60" spans="1:13">
      <c r="A60" s="161"/>
      <c r="B60" s="8"/>
      <c r="C60" s="8"/>
      <c r="D60" s="8"/>
      <c r="E60"/>
      <c r="F60"/>
      <c r="G60"/>
    </row>
    <row r="61" spans="1:13">
      <c r="A61" s="161"/>
      <c r="B61" s="8"/>
      <c r="C61" s="8"/>
      <c r="D61" s="8"/>
      <c r="E61"/>
      <c r="F61"/>
      <c r="G61"/>
    </row>
    <row r="62" spans="1:13">
      <c r="A62" s="161"/>
      <c r="B62" s="8"/>
      <c r="C62" s="8"/>
      <c r="D62" s="8"/>
      <c r="E62"/>
      <c r="F62"/>
      <c r="G62"/>
    </row>
    <row r="63" spans="1:13">
      <c r="A63" s="167"/>
      <c r="B63" t="s">
        <v>353</v>
      </c>
      <c r="C63"/>
      <c r="D63"/>
      <c r="E63"/>
      <c r="F63"/>
      <c r="G63"/>
    </row>
    <row r="64" spans="1:13">
      <c r="A64" s="167"/>
      <c r="B64"/>
      <c r="C64"/>
      <c r="D64"/>
      <c r="E64"/>
      <c r="F64"/>
      <c r="G64"/>
    </row>
    <row r="65" spans="1:7">
      <c r="A65" s="167"/>
      <c r="B65" t="s">
        <v>284</v>
      </c>
      <c r="C65"/>
      <c r="E65" s="3">
        <v>48000</v>
      </c>
      <c r="G65" s="3">
        <f>G63+E65-F65</f>
        <v>48000</v>
      </c>
    </row>
    <row r="66" spans="1:7">
      <c r="A66" s="167">
        <v>44651</v>
      </c>
      <c r="B66" t="s">
        <v>285</v>
      </c>
      <c r="C66"/>
      <c r="F66">
        <v>28000</v>
      </c>
      <c r="G66" s="3">
        <f t="shared" ref="G66:G71" si="4">G65+E66-F66</f>
        <v>20000</v>
      </c>
    </row>
    <row r="67" spans="1:7">
      <c r="A67" s="167">
        <v>44681</v>
      </c>
      <c r="B67" t="s">
        <v>282</v>
      </c>
      <c r="C67"/>
      <c r="F67">
        <v>4000</v>
      </c>
      <c r="G67" s="3">
        <f t="shared" si="4"/>
        <v>16000</v>
      </c>
    </row>
    <row r="68" spans="1:7">
      <c r="A68" s="167">
        <v>44711</v>
      </c>
      <c r="B68" t="s">
        <v>283</v>
      </c>
      <c r="C68"/>
      <c r="F68">
        <v>4000</v>
      </c>
      <c r="G68" s="3">
        <f t="shared" si="4"/>
        <v>12000</v>
      </c>
    </row>
    <row r="69" spans="1:7">
      <c r="A69" s="167">
        <v>44742</v>
      </c>
      <c r="B69" t="s">
        <v>354</v>
      </c>
      <c r="C69"/>
      <c r="F69"/>
      <c r="G69" s="3">
        <f t="shared" si="4"/>
        <v>12000</v>
      </c>
    </row>
    <row r="70" spans="1:7">
      <c r="A70" s="167">
        <v>44772</v>
      </c>
      <c r="B70" t="s">
        <v>355</v>
      </c>
      <c r="C70"/>
      <c r="F70"/>
      <c r="G70" s="3">
        <f t="shared" si="4"/>
        <v>12000</v>
      </c>
    </row>
    <row r="71" spans="1:7">
      <c r="A71" s="167">
        <v>44803</v>
      </c>
      <c r="B71" t="s">
        <v>356</v>
      </c>
      <c r="C71"/>
      <c r="F71"/>
      <c r="G71" s="3">
        <f t="shared" si="4"/>
        <v>12000</v>
      </c>
    </row>
    <row r="72" spans="1:7">
      <c r="A72" s="167"/>
      <c r="B72"/>
      <c r="C72"/>
      <c r="D72"/>
      <c r="E72"/>
      <c r="F72"/>
      <c r="G72"/>
    </row>
    <row r="73" spans="1:7">
      <c r="B73" t="s">
        <v>358</v>
      </c>
      <c r="C73"/>
      <c r="D73"/>
      <c r="E73"/>
      <c r="F73"/>
      <c r="G73"/>
    </row>
    <row r="74" spans="1:7">
      <c r="B74" t="s">
        <v>357</v>
      </c>
      <c r="C74"/>
      <c r="D74"/>
      <c r="E74"/>
      <c r="F74"/>
      <c r="G74"/>
    </row>
    <row r="75" spans="1:7">
      <c r="A75" s="167"/>
      <c r="B75"/>
      <c r="C75"/>
      <c r="D75"/>
      <c r="E75"/>
      <c r="F75"/>
      <c r="G75"/>
    </row>
    <row r="76" spans="1:7">
      <c r="A76" s="161"/>
      <c r="B76" s="8"/>
      <c r="C76" s="8"/>
      <c r="D76" s="8"/>
      <c r="E76"/>
      <c r="F76"/>
      <c r="G76"/>
    </row>
    <row r="77" spans="1:7">
      <c r="A77" s="161"/>
      <c r="B77" s="8"/>
      <c r="C77" s="8"/>
      <c r="D77" s="8"/>
      <c r="E77"/>
      <c r="F77"/>
      <c r="G77"/>
    </row>
    <row r="78" spans="1:7">
      <c r="A78" s="161"/>
      <c r="B78" s="8"/>
      <c r="C78" s="8"/>
      <c r="D78" s="8"/>
      <c r="E78"/>
      <c r="F78"/>
      <c r="G78"/>
    </row>
    <row r="79" spans="1:7">
      <c r="A79" s="161"/>
      <c r="B79" s="8"/>
      <c r="C79" s="8"/>
      <c r="D79" s="8"/>
      <c r="E79"/>
      <c r="F79"/>
      <c r="G79"/>
    </row>
    <row r="80" spans="1:7">
      <c r="A80" s="161"/>
      <c r="B80" s="8"/>
      <c r="C80" s="8"/>
      <c r="D80" s="8"/>
      <c r="E80"/>
      <c r="F80"/>
      <c r="G80"/>
    </row>
    <row r="81" spans="1:7" ht="20.25">
      <c r="B81" s="160">
        <v>2023</v>
      </c>
      <c r="C81" s="8"/>
      <c r="D81" s="8"/>
      <c r="E81"/>
      <c r="F81"/>
      <c r="G81"/>
    </row>
    <row r="82" spans="1:7">
      <c r="A82" s="161"/>
      <c r="B82" s="8"/>
      <c r="C82" s="8"/>
      <c r="D82" s="8"/>
      <c r="E82"/>
      <c r="F82"/>
      <c r="G82"/>
    </row>
    <row r="83" spans="1:7">
      <c r="A83" s="161">
        <v>45315</v>
      </c>
      <c r="B83" s="8" t="s">
        <v>332</v>
      </c>
      <c r="C83" s="8"/>
      <c r="D83" s="8"/>
      <c r="E83"/>
      <c r="F83"/>
      <c r="G83"/>
    </row>
    <row r="84" spans="1:7">
      <c r="A84" s="168">
        <v>45236</v>
      </c>
      <c r="B84" t="s">
        <v>168</v>
      </c>
      <c r="C84"/>
      <c r="D84"/>
      <c r="E84" s="61"/>
    </row>
    <row r="85" spans="1:7">
      <c r="A85" s="168">
        <v>45236</v>
      </c>
      <c r="B85" s="1" t="s">
        <v>169</v>
      </c>
      <c r="C85"/>
      <c r="D85"/>
      <c r="E85" s="61"/>
    </row>
    <row r="86" spans="1:7">
      <c r="A86" s="170"/>
      <c r="B86"/>
      <c r="C86" s="62"/>
      <c r="D86" s="62"/>
      <c r="E86" s="57"/>
      <c r="F86" s="57"/>
    </row>
    <row r="87" spans="1:7">
      <c r="A87" s="168">
        <v>45236</v>
      </c>
      <c r="B87" t="s">
        <v>170</v>
      </c>
      <c r="C87"/>
      <c r="D87"/>
      <c r="E87" s="61"/>
    </row>
    <row r="88" spans="1:7">
      <c r="B88" t="s">
        <v>171</v>
      </c>
      <c r="C88"/>
      <c r="D88"/>
      <c r="E88" s="61"/>
    </row>
    <row r="89" spans="1:7">
      <c r="B89" t="s">
        <v>172</v>
      </c>
      <c r="C89"/>
      <c r="D89"/>
      <c r="E89" s="61"/>
    </row>
    <row r="90" spans="1:7">
      <c r="B90" s="3" t="s">
        <v>173</v>
      </c>
      <c r="C90"/>
      <c r="D90"/>
      <c r="E90"/>
    </row>
    <row r="91" spans="1:7">
      <c r="B91" t="s">
        <v>174</v>
      </c>
      <c r="C91"/>
      <c r="D91"/>
      <c r="E91"/>
    </row>
    <row r="92" spans="1:7">
      <c r="B92" s="3" t="s">
        <v>175</v>
      </c>
      <c r="C92"/>
      <c r="D92"/>
      <c r="E92"/>
    </row>
    <row r="93" spans="1:7">
      <c r="C93"/>
      <c r="D93"/>
      <c r="E93"/>
    </row>
    <row r="94" spans="1:7">
      <c r="B94"/>
      <c r="C94"/>
      <c r="D94"/>
      <c r="E94" t="s">
        <v>176</v>
      </c>
      <c r="F94" s="3" t="s">
        <v>177</v>
      </c>
    </row>
    <row r="95" spans="1:7">
      <c r="A95" s="168">
        <v>45236</v>
      </c>
      <c r="B95" s="3" t="s">
        <v>178</v>
      </c>
      <c r="C95">
        <v>0.65</v>
      </c>
      <c r="D95"/>
      <c r="E95" s="3">
        <v>84000</v>
      </c>
      <c r="F95" s="3">
        <f>E95*C95</f>
        <v>54600</v>
      </c>
      <c r="G95" s="3">
        <f>F95+E95</f>
        <v>138600</v>
      </c>
    </row>
    <row r="96" spans="1:7">
      <c r="B96"/>
    </row>
    <row r="97" spans="1:11">
      <c r="B97"/>
    </row>
    <row r="98" spans="1:11" ht="114.75">
      <c r="A98" s="168">
        <v>45236</v>
      </c>
      <c r="B98"/>
      <c r="E98" s="63" t="s">
        <v>179</v>
      </c>
      <c r="F98" s="63" t="s">
        <v>180</v>
      </c>
      <c r="G98" s="63" t="s">
        <v>181</v>
      </c>
    </row>
    <row r="99" spans="1:11" ht="25.5">
      <c r="B99" s="63" t="s">
        <v>182</v>
      </c>
      <c r="C99" s="3">
        <v>11.5</v>
      </c>
      <c r="E99" s="3">
        <v>138000</v>
      </c>
    </row>
    <row r="100" spans="1:11" ht="38.25">
      <c r="B100" s="64" t="s">
        <v>183</v>
      </c>
      <c r="C100" s="3">
        <v>12</v>
      </c>
      <c r="E100">
        <v>84000</v>
      </c>
      <c r="F100" s="3">
        <v>12000</v>
      </c>
      <c r="G100" s="3">
        <v>144000</v>
      </c>
    </row>
    <row r="101" spans="1:11" ht="37.5" customHeight="1">
      <c r="B101" s="63" t="s">
        <v>184</v>
      </c>
      <c r="C101" s="3">
        <v>14</v>
      </c>
      <c r="E101">
        <v>98000</v>
      </c>
      <c r="F101" s="3">
        <v>14000</v>
      </c>
      <c r="G101" s="3">
        <v>168000</v>
      </c>
    </row>
    <row r="102" spans="1:11">
      <c r="A102" s="171"/>
      <c r="B102"/>
      <c r="C102" s="1"/>
      <c r="D102" s="1"/>
      <c r="E102" s="51"/>
      <c r="F102" s="51"/>
    </row>
    <row r="103" spans="1:11">
      <c r="B103"/>
      <c r="C103"/>
      <c r="D103"/>
      <c r="J103" s="3"/>
    </row>
    <row r="104" spans="1:11">
      <c r="B104" s="3" t="s">
        <v>185</v>
      </c>
      <c r="G104" s="3">
        <f t="shared" ref="G104:G115" si="5">G103+E104-F104</f>
        <v>0</v>
      </c>
      <c r="J104" s="3"/>
    </row>
    <row r="105" spans="1:11">
      <c r="B105" t="s">
        <v>186</v>
      </c>
      <c r="C105"/>
      <c r="D105"/>
      <c r="F105" s="3">
        <v>20.95</v>
      </c>
      <c r="G105" s="3">
        <f t="shared" si="5"/>
        <v>-20.95</v>
      </c>
      <c r="J105" s="3"/>
    </row>
    <row r="106" spans="1:11">
      <c r="B106" t="s">
        <v>187</v>
      </c>
      <c r="C106"/>
      <c r="D106"/>
      <c r="F106" s="3">
        <v>11.93</v>
      </c>
      <c r="G106" s="3">
        <f t="shared" si="5"/>
        <v>-32.879999999999995</v>
      </c>
      <c r="J106" s="3"/>
    </row>
    <row r="107" spans="1:11">
      <c r="A107" s="171"/>
      <c r="B107" t="s">
        <v>188</v>
      </c>
      <c r="C107"/>
      <c r="D107"/>
      <c r="F107" s="3">
        <v>0</v>
      </c>
      <c r="G107" s="3">
        <f t="shared" si="5"/>
        <v>-32.879999999999995</v>
      </c>
      <c r="J107" s="3"/>
    </row>
    <row r="108" spans="1:11">
      <c r="A108" s="171"/>
      <c r="B108" t="s">
        <v>189</v>
      </c>
      <c r="C108"/>
      <c r="D108"/>
      <c r="F108" s="3">
        <v>23.25</v>
      </c>
      <c r="G108" s="3">
        <f t="shared" si="5"/>
        <v>-56.129999999999995</v>
      </c>
      <c r="J108" s="3"/>
    </row>
    <row r="109" spans="1:11">
      <c r="A109" s="172"/>
      <c r="B109" t="s">
        <v>157</v>
      </c>
      <c r="C109"/>
      <c r="D109"/>
      <c r="F109" s="3">
        <v>42.14</v>
      </c>
      <c r="G109" s="3">
        <f t="shared" si="5"/>
        <v>-98.27</v>
      </c>
      <c r="J109" s="3"/>
    </row>
    <row r="110" spans="1:11">
      <c r="B110" t="s">
        <v>158</v>
      </c>
      <c r="C110"/>
      <c r="D110"/>
      <c r="F110" s="3">
        <v>39.369999999999997</v>
      </c>
      <c r="G110" s="3">
        <f t="shared" si="5"/>
        <v>-137.63999999999999</v>
      </c>
      <c r="J110" s="3"/>
      <c r="K110" s="3"/>
    </row>
    <row r="111" spans="1:11">
      <c r="B111" t="s">
        <v>159</v>
      </c>
      <c r="C111"/>
      <c r="D111"/>
      <c r="F111" s="3">
        <v>150.16</v>
      </c>
      <c r="G111" s="3">
        <f t="shared" si="5"/>
        <v>-287.79999999999995</v>
      </c>
      <c r="J111" s="3"/>
      <c r="K111" s="3"/>
    </row>
    <row r="112" spans="1:11">
      <c r="B112" t="s">
        <v>160</v>
      </c>
      <c r="C112"/>
      <c r="D112"/>
      <c r="F112" s="3">
        <v>216.76</v>
      </c>
      <c r="G112" s="3">
        <f t="shared" si="5"/>
        <v>-504.55999999999995</v>
      </c>
      <c r="J112" s="3"/>
      <c r="K112" s="3"/>
    </row>
    <row r="113" spans="1:11">
      <c r="B113" t="s">
        <v>190</v>
      </c>
      <c r="C113"/>
      <c r="D113"/>
      <c r="F113" s="3">
        <v>132.72</v>
      </c>
      <c r="G113" s="3">
        <f t="shared" si="5"/>
        <v>-637.28</v>
      </c>
      <c r="J113" s="3"/>
      <c r="K113" s="3"/>
    </row>
    <row r="114" spans="1:11">
      <c r="B114"/>
      <c r="C114"/>
      <c r="D114"/>
      <c r="E114" s="3">
        <v>404.76</v>
      </c>
      <c r="G114" s="3">
        <f t="shared" si="5"/>
        <v>-232.51999999999998</v>
      </c>
      <c r="J114" s="3"/>
      <c r="K114" s="3"/>
    </row>
    <row r="115" spans="1:11">
      <c r="B115" s="1" t="s">
        <v>191</v>
      </c>
      <c r="C115" s="1"/>
      <c r="D115" s="1"/>
      <c r="E115" s="51"/>
      <c r="F115" s="51"/>
      <c r="G115" s="51">
        <f t="shared" si="5"/>
        <v>-232.51999999999998</v>
      </c>
      <c r="J115" s="3"/>
      <c r="K115" s="3"/>
    </row>
    <row r="116" spans="1:11">
      <c r="B116"/>
      <c r="C116"/>
      <c r="D116"/>
      <c r="J116" s="3"/>
      <c r="K116" s="3"/>
    </row>
    <row r="117" spans="1:11" ht="13.5" thickBot="1">
      <c r="B117"/>
      <c r="C117"/>
      <c r="D117"/>
      <c r="E117"/>
    </row>
    <row r="118" spans="1:11">
      <c r="A118" s="167"/>
      <c r="B118" s="65" t="s">
        <v>192</v>
      </c>
      <c r="C118" s="66"/>
      <c r="D118" s="66"/>
      <c r="E118" s="67"/>
      <c r="F118" s="68"/>
    </row>
    <row r="119" spans="1:11">
      <c r="A119" s="167"/>
      <c r="B119" s="69" t="s">
        <v>193</v>
      </c>
      <c r="C119"/>
      <c r="D119"/>
      <c r="E119" s="70">
        <v>48000</v>
      </c>
      <c r="F119" s="71">
        <f>E119</f>
        <v>48000</v>
      </c>
      <c r="G119"/>
    </row>
    <row r="120" spans="1:11">
      <c r="A120" s="167"/>
      <c r="B120" s="72" t="s">
        <v>194</v>
      </c>
      <c r="C120" s="1"/>
      <c r="D120" s="1"/>
      <c r="E120" s="51">
        <v>6920</v>
      </c>
      <c r="F120" s="73">
        <f t="shared" ref="F120:F127" si="6">F119-E120</f>
        <v>41080</v>
      </c>
      <c r="G120"/>
    </row>
    <row r="121" spans="1:11">
      <c r="B121" s="74" t="s">
        <v>195</v>
      </c>
      <c r="C121" s="1"/>
      <c r="D121" s="1"/>
      <c r="E121" s="51">
        <v>13000</v>
      </c>
      <c r="F121" s="73">
        <f t="shared" si="6"/>
        <v>28080</v>
      </c>
      <c r="G121"/>
    </row>
    <row r="122" spans="1:11">
      <c r="B122" s="75" t="s">
        <v>196</v>
      </c>
      <c r="C122"/>
      <c r="D122"/>
      <c r="E122"/>
      <c r="F122" s="73">
        <f t="shared" si="6"/>
        <v>28080</v>
      </c>
    </row>
    <row r="123" spans="1:11">
      <c r="B123" s="75" t="s">
        <v>197</v>
      </c>
      <c r="C123"/>
      <c r="D123"/>
      <c r="E123"/>
      <c r="F123" s="73">
        <f t="shared" si="6"/>
        <v>28080</v>
      </c>
      <c r="G123"/>
    </row>
    <row r="124" spans="1:11">
      <c r="B124" s="75" t="s">
        <v>198</v>
      </c>
      <c r="C124"/>
      <c r="D124"/>
      <c r="E124"/>
      <c r="F124" s="73">
        <f t="shared" si="6"/>
        <v>28080</v>
      </c>
      <c r="G124" s="51"/>
    </row>
    <row r="125" spans="1:11">
      <c r="B125" s="76" t="s">
        <v>199</v>
      </c>
      <c r="C125"/>
      <c r="D125"/>
      <c r="E125"/>
      <c r="F125" s="73">
        <f t="shared" si="6"/>
        <v>28080</v>
      </c>
      <c r="G125" s="51"/>
    </row>
    <row r="126" spans="1:11">
      <c r="B126" s="75" t="s">
        <v>200</v>
      </c>
      <c r="C126"/>
      <c r="D126"/>
      <c r="E126"/>
      <c r="F126" s="73">
        <f t="shared" si="6"/>
        <v>28080</v>
      </c>
      <c r="G126" s="51"/>
    </row>
    <row r="127" spans="1:11">
      <c r="B127" s="72" t="s">
        <v>201</v>
      </c>
      <c r="C127" s="1"/>
      <c r="D127" s="1"/>
      <c r="E127" s="51">
        <v>28080</v>
      </c>
      <c r="F127" s="73">
        <f t="shared" si="6"/>
        <v>0</v>
      </c>
      <c r="G127" s="51"/>
    </row>
    <row r="128" spans="1:11">
      <c r="B128" s="75"/>
      <c r="C128"/>
      <c r="D128"/>
      <c r="E128"/>
      <c r="F128" s="73"/>
      <c r="G128" s="51"/>
    </row>
    <row r="129" spans="1:7">
      <c r="B129" s="75"/>
      <c r="C129"/>
      <c r="D129"/>
      <c r="E129"/>
      <c r="F129" s="73"/>
      <c r="G129" s="77"/>
    </row>
    <row r="130" spans="1:7">
      <c r="B130" s="78" t="s">
        <v>202</v>
      </c>
      <c r="C130"/>
      <c r="D130"/>
      <c r="E130" s="3">
        <v>83000</v>
      </c>
      <c r="F130" s="73">
        <v>83000</v>
      </c>
    </row>
    <row r="131" spans="1:7">
      <c r="B131" s="75" t="s">
        <v>197</v>
      </c>
      <c r="C131"/>
      <c r="D131"/>
      <c r="F131" s="73">
        <f t="shared" ref="F131:F137" si="7">F130-E131</f>
        <v>83000</v>
      </c>
      <c r="G131"/>
    </row>
    <row r="132" spans="1:7">
      <c r="B132" s="75" t="s">
        <v>198</v>
      </c>
      <c r="C132"/>
      <c r="D132"/>
      <c r="F132" s="73">
        <f t="shared" si="7"/>
        <v>83000</v>
      </c>
      <c r="G132" s="51"/>
    </row>
    <row r="133" spans="1:7">
      <c r="B133" s="79" t="s">
        <v>203</v>
      </c>
      <c r="C133"/>
      <c r="D133"/>
      <c r="F133" s="73">
        <f t="shared" si="7"/>
        <v>83000</v>
      </c>
      <c r="G133" s="51"/>
    </row>
    <row r="134" spans="1:7">
      <c r="B134" s="78" t="s">
        <v>200</v>
      </c>
      <c r="C134"/>
      <c r="D134"/>
      <c r="F134" s="73">
        <f t="shared" si="7"/>
        <v>83000</v>
      </c>
      <c r="G134" s="51"/>
    </row>
    <row r="135" spans="1:7">
      <c r="B135" s="78"/>
      <c r="C135"/>
      <c r="D135"/>
      <c r="E135"/>
      <c r="F135" s="73">
        <f t="shared" si="7"/>
        <v>83000</v>
      </c>
      <c r="G135" s="51"/>
    </row>
    <row r="136" spans="1:7">
      <c r="B136" s="74" t="s">
        <v>204</v>
      </c>
      <c r="C136"/>
      <c r="D136"/>
      <c r="E136" s="51">
        <v>50000</v>
      </c>
      <c r="F136" s="73">
        <f t="shared" si="7"/>
        <v>33000</v>
      </c>
      <c r="G136" s="51"/>
    </row>
    <row r="137" spans="1:7" ht="13.5" thickBot="1">
      <c r="B137" s="80" t="s">
        <v>205</v>
      </c>
      <c r="C137" s="81"/>
      <c r="D137" s="81"/>
      <c r="E137" s="81"/>
      <c r="F137" s="82">
        <f t="shared" si="7"/>
        <v>33000</v>
      </c>
      <c r="G137" s="51"/>
    </row>
    <row r="138" spans="1:7">
      <c r="B138"/>
      <c r="C138"/>
      <c r="D138"/>
      <c r="E138"/>
      <c r="G138" s="51"/>
    </row>
    <row r="139" spans="1:7">
      <c r="B139" s="1" t="s">
        <v>206</v>
      </c>
      <c r="F139" s="51"/>
      <c r="G139" s="51"/>
    </row>
    <row r="140" spans="1:7">
      <c r="B140" t="s">
        <v>207</v>
      </c>
      <c r="C140"/>
      <c r="D140"/>
      <c r="E140" s="3">
        <v>1252.54</v>
      </c>
      <c r="G140" s="51"/>
    </row>
    <row r="141" spans="1:7">
      <c r="B141" t="s">
        <v>208</v>
      </c>
      <c r="C141"/>
      <c r="D141"/>
      <c r="E141" s="3">
        <v>375</v>
      </c>
      <c r="G141" s="51"/>
    </row>
    <row r="142" spans="1:7">
      <c r="B142" t="s">
        <v>209</v>
      </c>
      <c r="C142"/>
      <c r="D142"/>
      <c r="E142" s="3">
        <v>1500</v>
      </c>
      <c r="G142" s="51"/>
    </row>
    <row r="143" spans="1:7">
      <c r="A143" s="168">
        <v>45015</v>
      </c>
      <c r="B143" t="s">
        <v>210</v>
      </c>
      <c r="C143"/>
      <c r="D143"/>
      <c r="E143" s="3">
        <v>1447</v>
      </c>
      <c r="G143" s="51"/>
    </row>
    <row r="144" spans="1:7">
      <c r="B144" t="s">
        <v>211</v>
      </c>
      <c r="C144" s="1"/>
      <c r="D144" s="1"/>
      <c r="F144" s="51">
        <v>4574.54</v>
      </c>
      <c r="G144" s="51"/>
    </row>
    <row r="145" spans="1:7">
      <c r="B145"/>
      <c r="C145"/>
      <c r="D145"/>
      <c r="E145"/>
      <c r="G145" s="51"/>
    </row>
    <row r="146" spans="1:7" ht="20.25">
      <c r="A146" s="169">
        <v>2021</v>
      </c>
      <c r="B146"/>
      <c r="C146"/>
      <c r="D146"/>
      <c r="E146"/>
      <c r="F146"/>
    </row>
    <row r="147" spans="1:7">
      <c r="B147" s="1"/>
      <c r="C147" s="1"/>
      <c r="D147" s="1"/>
      <c r="E147" s="3" t="s">
        <v>212</v>
      </c>
      <c r="F147" s="3" t="s">
        <v>213</v>
      </c>
    </row>
    <row r="148" spans="1:7">
      <c r="B148" t="s">
        <v>214</v>
      </c>
      <c r="C148"/>
      <c r="D148"/>
      <c r="E148" s="3">
        <v>36000</v>
      </c>
    </row>
    <row r="149" spans="1:7">
      <c r="B149" t="s">
        <v>215</v>
      </c>
      <c r="C149"/>
      <c r="D149"/>
      <c r="F149" s="51">
        <v>28000</v>
      </c>
    </row>
    <row r="150" spans="1:7">
      <c r="A150" s="167"/>
      <c r="B150" t="s">
        <v>216</v>
      </c>
      <c r="C150"/>
      <c r="D150"/>
      <c r="F150" s="51">
        <v>4000</v>
      </c>
      <c r="G150"/>
    </row>
    <row r="151" spans="1:7">
      <c r="A151" s="167"/>
      <c r="B151" t="s">
        <v>217</v>
      </c>
      <c r="C151"/>
      <c r="D151"/>
      <c r="F151" s="51">
        <v>4000</v>
      </c>
      <c r="G151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9CE6-0D54-443A-AAB2-0B9FD02F7EE3}">
  <sheetPr>
    <tabColor theme="9" tint="0.39997558519241921"/>
  </sheetPr>
  <dimension ref="B4:J90"/>
  <sheetViews>
    <sheetView topLeftCell="A45" zoomScale="175" zoomScaleNormal="175" workbookViewId="0">
      <selection activeCell="H43" sqref="H43"/>
    </sheetView>
  </sheetViews>
  <sheetFormatPr defaultRowHeight="12.75"/>
  <cols>
    <col min="1" max="1" width="3" customWidth="1"/>
    <col min="2" max="2" width="10.42578125" bestFit="1" customWidth="1"/>
    <col min="3" max="3" width="31.42578125" customWidth="1"/>
    <col min="4" max="4" width="5.140625" bestFit="1" customWidth="1"/>
    <col min="5" max="5" width="9.42578125" bestFit="1" customWidth="1"/>
    <col min="6" max="6" width="9.42578125" customWidth="1"/>
    <col min="7" max="7" width="9.42578125" bestFit="1" customWidth="1"/>
    <col min="8" max="8" width="10.5703125" bestFit="1" customWidth="1"/>
    <col min="10" max="10" width="10.5703125" bestFit="1" customWidth="1"/>
    <col min="11" max="11" width="23.7109375" bestFit="1" customWidth="1"/>
    <col min="12" max="12" width="5.28515625" bestFit="1" customWidth="1"/>
    <col min="13" max="14" width="9.5703125" bestFit="1" customWidth="1"/>
    <col min="15" max="15" width="10.5703125" bestFit="1" customWidth="1"/>
  </cols>
  <sheetData>
    <row r="4" spans="2:10">
      <c r="C4" t="s">
        <v>353</v>
      </c>
    </row>
    <row r="6" spans="2:10">
      <c r="C6" t="s">
        <v>284</v>
      </c>
      <c r="E6" s="3">
        <v>48000</v>
      </c>
      <c r="F6" s="3"/>
      <c r="G6" s="3"/>
      <c r="H6" s="3">
        <f>I4+E6-G6</f>
        <v>48000</v>
      </c>
    </row>
    <row r="7" spans="2:10">
      <c r="B7" s="54">
        <v>44651</v>
      </c>
      <c r="C7" t="s">
        <v>285</v>
      </c>
      <c r="E7" s="3"/>
      <c r="F7" s="3"/>
      <c r="G7">
        <v>28000</v>
      </c>
      <c r="H7" s="3">
        <f t="shared" ref="H7:H12" si="0">H6+E7-G7</f>
        <v>20000</v>
      </c>
    </row>
    <row r="8" spans="2:10">
      <c r="B8" s="54">
        <v>44681</v>
      </c>
      <c r="C8" t="s">
        <v>282</v>
      </c>
      <c r="E8" s="3"/>
      <c r="F8" s="3"/>
      <c r="G8">
        <v>4000</v>
      </c>
      <c r="H8" s="3">
        <f t="shared" si="0"/>
        <v>16000</v>
      </c>
    </row>
    <row r="9" spans="2:10">
      <c r="B9" s="54">
        <v>44711</v>
      </c>
      <c r="C9" t="s">
        <v>283</v>
      </c>
      <c r="E9" s="3"/>
      <c r="F9" s="3"/>
      <c r="G9">
        <v>4000</v>
      </c>
      <c r="H9" s="3">
        <f t="shared" si="0"/>
        <v>12000</v>
      </c>
    </row>
    <row r="10" spans="2:10">
      <c r="B10" s="54">
        <v>44742</v>
      </c>
      <c r="C10" t="s">
        <v>354</v>
      </c>
      <c r="E10" s="3"/>
      <c r="F10" s="3"/>
      <c r="H10" s="3">
        <f t="shared" si="0"/>
        <v>12000</v>
      </c>
    </row>
    <row r="11" spans="2:10">
      <c r="B11" s="54">
        <v>44772</v>
      </c>
      <c r="C11" t="s">
        <v>355</v>
      </c>
      <c r="E11" s="3"/>
      <c r="F11" s="3"/>
      <c r="H11" s="3">
        <f t="shared" si="0"/>
        <v>12000</v>
      </c>
    </row>
    <row r="12" spans="2:10">
      <c r="B12" s="54">
        <v>44803</v>
      </c>
      <c r="C12" t="s">
        <v>356</v>
      </c>
      <c r="E12" s="3"/>
      <c r="F12" s="3"/>
      <c r="H12" s="3">
        <f t="shared" si="0"/>
        <v>12000</v>
      </c>
    </row>
    <row r="13" spans="2:10">
      <c r="J13" s="3"/>
    </row>
    <row r="14" spans="2:10">
      <c r="B14" t="s">
        <v>358</v>
      </c>
      <c r="J14" s="3"/>
    </row>
    <row r="15" spans="2:10">
      <c r="B15" t="s">
        <v>357</v>
      </c>
      <c r="E15" s="186" t="s">
        <v>415</v>
      </c>
      <c r="J15" s="3"/>
    </row>
    <row r="16" spans="2:10">
      <c r="D16" s="186" t="s">
        <v>414</v>
      </c>
      <c r="E16" s="186" t="s">
        <v>457</v>
      </c>
      <c r="F16" s="85" t="s">
        <v>458</v>
      </c>
      <c r="G16" s="186" t="s">
        <v>213</v>
      </c>
      <c r="H16" s="186" t="s">
        <v>416</v>
      </c>
      <c r="J16" s="3"/>
    </row>
    <row r="17" spans="2:8">
      <c r="B17" s="54">
        <v>44957</v>
      </c>
      <c r="C17" s="141" t="s">
        <v>273</v>
      </c>
      <c r="D17">
        <v>6.65</v>
      </c>
      <c r="E17" s="60">
        <v>6920</v>
      </c>
      <c r="F17" s="60"/>
      <c r="G17" s="25">
        <v>6920</v>
      </c>
      <c r="H17" s="3">
        <f>E17-G17</f>
        <v>0</v>
      </c>
    </row>
    <row r="18" spans="2:8">
      <c r="C18" s="141" t="s">
        <v>274</v>
      </c>
      <c r="D18">
        <v>3.15</v>
      </c>
      <c r="E18" s="60">
        <f t="shared" ref="E18:E31" si="1">E17+(E17*D17/100)</f>
        <v>7380.18</v>
      </c>
      <c r="F18" s="60">
        <f t="shared" ref="F18:F23" si="2">E18</f>
        <v>7380.18</v>
      </c>
      <c r="G18" s="25"/>
      <c r="H18" s="3">
        <f>F18-G18+H17</f>
        <v>7380.18</v>
      </c>
    </row>
    <row r="19" spans="2:8">
      <c r="C19" s="141" t="s">
        <v>275</v>
      </c>
      <c r="D19">
        <v>2.29</v>
      </c>
      <c r="E19" s="60">
        <f t="shared" si="1"/>
        <v>7612.6556700000001</v>
      </c>
      <c r="F19" s="60">
        <f t="shared" si="2"/>
        <v>7612.6556700000001</v>
      </c>
      <c r="G19" s="25"/>
      <c r="H19" s="3">
        <f t="shared" ref="H19:H50" si="3">F19-G19+H18</f>
        <v>14992.83567</v>
      </c>
    </row>
    <row r="20" spans="2:8">
      <c r="C20" s="141" t="s">
        <v>277</v>
      </c>
      <c r="D20">
        <v>2.39</v>
      </c>
      <c r="E20" s="60">
        <f t="shared" si="1"/>
        <v>7786.9854848430004</v>
      </c>
      <c r="F20" s="60">
        <f t="shared" si="2"/>
        <v>7786.9854848430004</v>
      </c>
      <c r="G20" s="25">
        <v>8425.4599999999991</v>
      </c>
      <c r="H20" s="3">
        <f t="shared" si="3"/>
        <v>14354.361154843002</v>
      </c>
    </row>
    <row r="21" spans="2:8">
      <c r="C21" s="141" t="s">
        <v>276</v>
      </c>
      <c r="D21">
        <v>0.04</v>
      </c>
      <c r="E21" s="60">
        <f t="shared" si="1"/>
        <v>7973.0944379307484</v>
      </c>
      <c r="F21" s="60">
        <f t="shared" si="2"/>
        <v>7973.0944379307484</v>
      </c>
      <c r="G21" s="25">
        <v>28080</v>
      </c>
      <c r="H21" s="3">
        <f t="shared" si="3"/>
        <v>-5752.5444072262508</v>
      </c>
    </row>
    <row r="22" spans="2:8">
      <c r="C22" s="141" t="s">
        <v>278</v>
      </c>
      <c r="D22">
        <v>3.92</v>
      </c>
      <c r="E22" s="60">
        <f t="shared" si="1"/>
        <v>7976.2836757059204</v>
      </c>
      <c r="F22" s="60">
        <f t="shared" si="2"/>
        <v>7976.2836757059204</v>
      </c>
      <c r="G22" s="28"/>
      <c r="H22" s="3">
        <f t="shared" si="3"/>
        <v>2223.7392684796696</v>
      </c>
    </row>
    <row r="23" spans="2:8">
      <c r="C23" s="141" t="s">
        <v>279</v>
      </c>
      <c r="D23">
        <v>9.49</v>
      </c>
      <c r="E23" s="188">
        <f t="shared" si="1"/>
        <v>8288.9539957935922</v>
      </c>
      <c r="F23" s="15">
        <f t="shared" si="2"/>
        <v>8288.9539957935922</v>
      </c>
      <c r="G23" s="189">
        <v>50000</v>
      </c>
      <c r="H23" s="3">
        <f t="shared" si="3"/>
        <v>-39487.306735726735</v>
      </c>
    </row>
    <row r="24" spans="2:8">
      <c r="C24" s="141" t="s">
        <v>280</v>
      </c>
      <c r="D24">
        <v>9.09</v>
      </c>
      <c r="E24" s="60">
        <f t="shared" si="1"/>
        <v>9075.5757299944034</v>
      </c>
      <c r="F24" s="15">
        <f>E23</f>
        <v>8288.9539957935922</v>
      </c>
      <c r="G24" s="28"/>
      <c r="H24" s="3">
        <f t="shared" si="3"/>
        <v>-31198.352739933143</v>
      </c>
    </row>
    <row r="25" spans="2:8">
      <c r="C25" s="141" t="s">
        <v>281</v>
      </c>
      <c r="D25">
        <v>4.75</v>
      </c>
      <c r="E25" s="60">
        <f t="shared" si="1"/>
        <v>9900.5455638508938</v>
      </c>
      <c r="F25" s="15">
        <f>E23</f>
        <v>8288.9539957935922</v>
      </c>
      <c r="G25" s="222"/>
      <c r="H25" s="3">
        <f t="shared" si="3"/>
        <v>-22909.398744139551</v>
      </c>
    </row>
    <row r="26" spans="2:8">
      <c r="C26" s="141" t="s">
        <v>262</v>
      </c>
      <c r="D26">
        <v>3.43</v>
      </c>
      <c r="E26" s="60">
        <f t="shared" si="1"/>
        <v>10370.821478133812</v>
      </c>
      <c r="F26" s="15">
        <f>E23</f>
        <v>8288.9539957935922</v>
      </c>
      <c r="G26" s="28"/>
      <c r="H26" s="3">
        <f t="shared" si="3"/>
        <v>-14620.444748345959</v>
      </c>
    </row>
    <row r="27" spans="2:8">
      <c r="C27" s="141" t="s">
        <v>263</v>
      </c>
      <c r="D27">
        <v>3.28</v>
      </c>
      <c r="E27" s="60">
        <f t="shared" si="1"/>
        <v>10726.540654833801</v>
      </c>
      <c r="F27" s="15">
        <f>E23</f>
        <v>8288.9539957935922</v>
      </c>
      <c r="G27" s="28">
        <v>15887.06</v>
      </c>
      <c r="H27" s="3">
        <f t="shared" si="3"/>
        <v>-22218.550752552364</v>
      </c>
    </row>
    <row r="28" spans="2:8">
      <c r="B28" s="140">
        <v>45291</v>
      </c>
      <c r="C28" s="141" t="s">
        <v>264</v>
      </c>
      <c r="D28">
        <v>2.93</v>
      </c>
      <c r="E28" s="60">
        <f t="shared" si="1"/>
        <v>11078.371188312351</v>
      </c>
      <c r="F28" s="15">
        <f>E23</f>
        <v>8288.9539957935922</v>
      </c>
      <c r="G28" s="28"/>
      <c r="H28" s="3">
        <f t="shared" si="3"/>
        <v>-13929.596756758772</v>
      </c>
    </row>
    <row r="29" spans="2:8">
      <c r="B29" s="140">
        <v>45322</v>
      </c>
      <c r="C29" s="142" t="s">
        <v>417</v>
      </c>
      <c r="D29">
        <v>6.71</v>
      </c>
      <c r="E29" s="60">
        <v>14000</v>
      </c>
      <c r="F29" s="15">
        <f>E23</f>
        <v>8288.9539957935922</v>
      </c>
      <c r="G29" s="28"/>
      <c r="H29" s="3">
        <f t="shared" si="3"/>
        <v>-5640.6427609651801</v>
      </c>
    </row>
    <row r="30" spans="2:8">
      <c r="C30" s="142" t="s">
        <v>274</v>
      </c>
      <c r="D30">
        <v>4.53</v>
      </c>
      <c r="E30" s="60">
        <f t="shared" si="1"/>
        <v>14939.4</v>
      </c>
      <c r="F30" s="60">
        <f t="shared" ref="F30:F36" si="4">E30</f>
        <v>14939.4</v>
      </c>
      <c r="G30" s="28"/>
      <c r="H30" s="3">
        <f t="shared" si="3"/>
        <v>9298.7572390348196</v>
      </c>
    </row>
    <row r="31" spans="2:8">
      <c r="C31" s="142" t="s">
        <v>275</v>
      </c>
      <c r="D31">
        <v>3.16</v>
      </c>
      <c r="E31" s="60">
        <f t="shared" si="1"/>
        <v>15616.15482</v>
      </c>
      <c r="F31" s="60">
        <f t="shared" si="4"/>
        <v>15616.15482</v>
      </c>
      <c r="G31" s="28"/>
      <c r="H31" s="3">
        <f t="shared" si="3"/>
        <v>24914.912059034818</v>
      </c>
    </row>
    <row r="32" spans="2:8">
      <c r="C32" s="144" t="s">
        <v>348</v>
      </c>
      <c r="E32" s="60">
        <v>3795</v>
      </c>
      <c r="F32" s="60">
        <f t="shared" si="4"/>
        <v>3795</v>
      </c>
      <c r="G32" s="28"/>
      <c r="H32" s="3">
        <f t="shared" si="3"/>
        <v>28709.912059034818</v>
      </c>
    </row>
    <row r="33" spans="2:8">
      <c r="C33" s="144" t="s">
        <v>207</v>
      </c>
      <c r="E33" s="60">
        <v>5600</v>
      </c>
      <c r="F33" s="60">
        <f t="shared" si="4"/>
        <v>5600</v>
      </c>
      <c r="G33" s="28"/>
      <c r="H33" s="3">
        <f t="shared" si="3"/>
        <v>34309.912059034818</v>
      </c>
    </row>
    <row r="34" spans="2:8">
      <c r="C34" s="143" t="s">
        <v>412</v>
      </c>
      <c r="E34" s="60">
        <v>278.97000000000003</v>
      </c>
      <c r="F34" s="60">
        <f t="shared" si="4"/>
        <v>278.97000000000003</v>
      </c>
      <c r="G34" s="28"/>
      <c r="H34" s="3">
        <f t="shared" si="3"/>
        <v>34588.882059034819</v>
      </c>
    </row>
    <row r="35" spans="2:8">
      <c r="C35" s="143" t="s">
        <v>413</v>
      </c>
      <c r="E35" s="60">
        <v>10000</v>
      </c>
      <c r="F35" s="60">
        <f t="shared" si="4"/>
        <v>10000</v>
      </c>
      <c r="G35" s="28"/>
      <c r="H35" s="3">
        <f t="shared" si="3"/>
        <v>44588.882059034819</v>
      </c>
    </row>
    <row r="36" spans="2:8">
      <c r="C36" s="142" t="s">
        <v>359</v>
      </c>
      <c r="D36">
        <v>3.18</v>
      </c>
      <c r="E36" s="188">
        <f>E31+(E31*D31/100)</f>
        <v>16109.625312312</v>
      </c>
      <c r="F36" s="15">
        <f t="shared" si="4"/>
        <v>16109.625312312</v>
      </c>
      <c r="G36" s="189">
        <v>85000</v>
      </c>
      <c r="H36" s="3">
        <f t="shared" si="3"/>
        <v>-24301.492628653185</v>
      </c>
    </row>
    <row r="37" spans="2:8">
      <c r="C37" s="190" t="s">
        <v>360</v>
      </c>
      <c r="D37">
        <v>3.37</v>
      </c>
      <c r="E37" s="60">
        <f>E36+(E36*D36/100)</f>
        <v>16621.911397243523</v>
      </c>
      <c r="F37" s="15">
        <f>E36</f>
        <v>16109.625312312</v>
      </c>
      <c r="G37" s="28"/>
      <c r="H37" s="3">
        <f t="shared" si="3"/>
        <v>-8191.8673163411841</v>
      </c>
    </row>
    <row r="38" spans="2:8">
      <c r="C38" s="190" t="s">
        <v>278</v>
      </c>
      <c r="D38" s="143">
        <v>1.64</v>
      </c>
      <c r="E38" s="187">
        <f>E37+(E37*D37/100)</f>
        <v>17182.069811330628</v>
      </c>
      <c r="F38" s="193">
        <f>E37</f>
        <v>16621.911397243523</v>
      </c>
      <c r="G38" s="143"/>
      <c r="H38" s="3">
        <f t="shared" si="3"/>
        <v>8430.0440809023385</v>
      </c>
    </row>
    <row r="39" spans="2:8">
      <c r="C39" s="190" t="s">
        <v>279</v>
      </c>
      <c r="D39" s="143">
        <v>3.23</v>
      </c>
      <c r="E39" s="187">
        <f t="shared" ref="E39:E43" si="5">E38+(E38*D38/100)</f>
        <v>17463.855756236451</v>
      </c>
      <c r="F39" s="187">
        <f>E39</f>
        <v>17463.855756236451</v>
      </c>
      <c r="G39" s="143"/>
      <c r="H39" s="3">
        <f t="shared" si="3"/>
        <v>25893.89983713879</v>
      </c>
    </row>
    <row r="40" spans="2:8">
      <c r="C40" s="190" t="s">
        <v>280</v>
      </c>
      <c r="D40" s="143">
        <v>2.4700000000000002</v>
      </c>
      <c r="E40" s="187">
        <f t="shared" si="5"/>
        <v>18027.938297162887</v>
      </c>
      <c r="F40" s="187">
        <f>E40</f>
        <v>18027.938297162887</v>
      </c>
      <c r="G40" s="143"/>
      <c r="H40" s="3">
        <f t="shared" si="3"/>
        <v>43921.838134301681</v>
      </c>
    </row>
    <row r="41" spans="2:8">
      <c r="C41" s="190" t="s">
        <v>361</v>
      </c>
      <c r="D41" s="143">
        <v>2.97</v>
      </c>
      <c r="E41" s="187">
        <f t="shared" si="5"/>
        <v>18473.228373102811</v>
      </c>
      <c r="F41" s="187">
        <f>E41</f>
        <v>18473.228373102811</v>
      </c>
      <c r="G41" s="143"/>
      <c r="H41" s="3">
        <f t="shared" si="3"/>
        <v>62395.066507404495</v>
      </c>
    </row>
    <row r="42" spans="2:8">
      <c r="C42" s="191" t="s">
        <v>262</v>
      </c>
      <c r="D42" s="143">
        <v>2.88</v>
      </c>
      <c r="E42" s="187">
        <f t="shared" si="5"/>
        <v>19021.883255783963</v>
      </c>
      <c r="F42" s="187">
        <f>E42</f>
        <v>19021.883255783963</v>
      </c>
      <c r="G42" s="192"/>
      <c r="H42" s="3">
        <f t="shared" si="3"/>
        <v>81416.949763188459</v>
      </c>
    </row>
    <row r="43" spans="2:8">
      <c r="C43" s="143" t="s">
        <v>263</v>
      </c>
      <c r="D43" s="143">
        <v>2.2400000000000002</v>
      </c>
      <c r="E43" s="60">
        <f t="shared" si="5"/>
        <v>19569.713493550542</v>
      </c>
      <c r="F43" s="187">
        <f>E43</f>
        <v>19569.713493550542</v>
      </c>
      <c r="H43" s="3">
        <f t="shared" si="3"/>
        <v>100986.663256739</v>
      </c>
    </row>
    <row r="44" spans="2:8">
      <c r="C44" s="143" t="s">
        <v>459</v>
      </c>
      <c r="D44" s="143"/>
      <c r="E44" s="60"/>
      <c r="F44" s="187">
        <v>5000</v>
      </c>
      <c r="H44" s="3">
        <f t="shared" si="3"/>
        <v>105986.663256739</v>
      </c>
    </row>
    <row r="45" spans="2:8">
      <c r="C45" s="143" t="s">
        <v>456</v>
      </c>
      <c r="D45" s="143"/>
      <c r="E45" s="60"/>
      <c r="F45" s="187"/>
      <c r="G45">
        <v>148500</v>
      </c>
      <c r="H45" s="3">
        <f t="shared" si="3"/>
        <v>-42513.336743260996</v>
      </c>
    </row>
    <row r="46" spans="2:8">
      <c r="C46" s="143" t="s">
        <v>264</v>
      </c>
      <c r="D46" s="143">
        <v>1.03</v>
      </c>
      <c r="E46" s="60">
        <f>E43+(E43*D43/100)</f>
        <v>20008.075075806075</v>
      </c>
      <c r="F46" s="187">
        <f>E46</f>
        <v>20008.075075806075</v>
      </c>
      <c r="H46" s="3">
        <f t="shared" si="3"/>
        <v>-22505.261667454921</v>
      </c>
    </row>
    <row r="47" spans="2:8">
      <c r="B47">
        <v>2025</v>
      </c>
      <c r="C47" s="142" t="s">
        <v>418</v>
      </c>
      <c r="D47" s="143">
        <v>5.03</v>
      </c>
      <c r="E47" s="60">
        <f t="shared" ref="E47" si="6">E46+(E46*D46/100)</f>
        <v>20214.158249086879</v>
      </c>
      <c r="F47" s="193">
        <f>E46</f>
        <v>20008.075075806075</v>
      </c>
      <c r="H47" s="3">
        <f t="shared" si="3"/>
        <v>-2497.1865916488459</v>
      </c>
    </row>
    <row r="48" spans="2:8">
      <c r="C48" s="142"/>
      <c r="E48" s="60"/>
      <c r="F48" s="60"/>
      <c r="H48" s="3">
        <f t="shared" si="3"/>
        <v>-2497.1865916488459</v>
      </c>
    </row>
    <row r="49" spans="2:9">
      <c r="B49" s="255">
        <v>45691</v>
      </c>
      <c r="C49" s="256" t="s">
        <v>475</v>
      </c>
      <c r="D49" s="256"/>
      <c r="E49" s="257"/>
      <c r="F49" s="257"/>
      <c r="G49" s="256"/>
      <c r="H49" s="258">
        <f t="shared" si="3"/>
        <v>-2497.1865916488459</v>
      </c>
      <c r="I49" s="256"/>
    </row>
    <row r="50" spans="2:9">
      <c r="C50" s="142"/>
      <c r="E50" s="60"/>
      <c r="F50" s="187"/>
      <c r="H50" s="3">
        <f t="shared" si="3"/>
        <v>-2497.1865916488459</v>
      </c>
    </row>
    <row r="51" spans="2:9">
      <c r="C51" s="143"/>
      <c r="E51" s="60"/>
      <c r="F51" s="60"/>
      <c r="H51" s="29"/>
    </row>
    <row r="52" spans="2:9">
      <c r="C52" s="143"/>
      <c r="E52" s="60"/>
      <c r="F52" s="60"/>
      <c r="H52" s="29"/>
    </row>
    <row r="53" spans="2:9">
      <c r="C53" s="143"/>
      <c r="E53" s="60"/>
      <c r="F53" s="60"/>
      <c r="H53" s="29"/>
    </row>
    <row r="58" spans="2:9">
      <c r="B58" s="92">
        <v>45421</v>
      </c>
      <c r="C58" t="s">
        <v>401</v>
      </c>
    </row>
    <row r="59" spans="2:9">
      <c r="B59" s="92"/>
      <c r="C59" t="s">
        <v>402</v>
      </c>
    </row>
    <row r="60" spans="2:9">
      <c r="B60" s="92"/>
      <c r="C60" t="s">
        <v>403</v>
      </c>
    </row>
    <row r="61" spans="2:9">
      <c r="B61" s="92"/>
      <c r="C61" t="s">
        <v>404</v>
      </c>
    </row>
    <row r="62" spans="2:9">
      <c r="B62" s="92"/>
    </row>
    <row r="63" spans="2:9">
      <c r="B63" s="92"/>
    </row>
    <row r="65" spans="2:8">
      <c r="B65" s="54">
        <v>44957</v>
      </c>
      <c r="C65" s="141" t="s">
        <v>273</v>
      </c>
      <c r="D65">
        <v>6.65</v>
      </c>
      <c r="E65" s="60">
        <v>6920</v>
      </c>
      <c r="F65" s="60"/>
      <c r="G65" s="25">
        <v>6920</v>
      </c>
      <c r="H65" s="3">
        <f>E65-G65</f>
        <v>0</v>
      </c>
    </row>
    <row r="66" spans="2:8">
      <c r="C66" s="141" t="s">
        <v>274</v>
      </c>
      <c r="D66">
        <v>3.15</v>
      </c>
      <c r="E66" s="60">
        <f t="shared" ref="E66:E71" si="7">E65+(E65*D65/100)</f>
        <v>7380.18</v>
      </c>
      <c r="F66" s="60"/>
      <c r="G66" s="25"/>
      <c r="H66" s="3">
        <f t="shared" ref="H66:H90" si="8">E66-G66+H65</f>
        <v>7380.18</v>
      </c>
    </row>
    <row r="67" spans="2:8">
      <c r="C67" s="141" t="s">
        <v>275</v>
      </c>
      <c r="D67">
        <v>2.29</v>
      </c>
      <c r="E67" s="60">
        <f t="shared" si="7"/>
        <v>7612.6556700000001</v>
      </c>
      <c r="F67" s="60"/>
      <c r="G67" s="25"/>
      <c r="H67" s="3">
        <f t="shared" si="8"/>
        <v>14992.83567</v>
      </c>
    </row>
    <row r="68" spans="2:8">
      <c r="C68" s="141" t="s">
        <v>277</v>
      </c>
      <c r="D68">
        <v>2.39</v>
      </c>
      <c r="E68" s="60">
        <f t="shared" si="7"/>
        <v>7786.9854848430004</v>
      </c>
      <c r="F68" s="60"/>
      <c r="G68" s="25">
        <v>8425.4599999999991</v>
      </c>
      <c r="H68" s="3">
        <f t="shared" si="8"/>
        <v>14354.361154843002</v>
      </c>
    </row>
    <row r="69" spans="2:8">
      <c r="C69" s="141" t="s">
        <v>276</v>
      </c>
      <c r="D69">
        <v>0.04</v>
      </c>
      <c r="E69" s="60">
        <f t="shared" si="7"/>
        <v>7973.0944379307484</v>
      </c>
      <c r="F69" s="60"/>
      <c r="G69" s="25">
        <v>28080</v>
      </c>
      <c r="H69" s="3">
        <f t="shared" si="8"/>
        <v>-5752.5444072262508</v>
      </c>
    </row>
    <row r="70" spans="2:8">
      <c r="C70" s="141" t="s">
        <v>278</v>
      </c>
      <c r="D70">
        <v>3.92</v>
      </c>
      <c r="E70" s="60">
        <f t="shared" si="7"/>
        <v>7976.2836757059204</v>
      </c>
      <c r="F70" s="60"/>
      <c r="G70" s="28"/>
      <c r="H70" s="3">
        <f t="shared" si="8"/>
        <v>2223.7392684796696</v>
      </c>
    </row>
    <row r="71" spans="2:8">
      <c r="C71" s="141" t="s">
        <v>279</v>
      </c>
      <c r="D71">
        <v>9.49</v>
      </c>
      <c r="E71" s="60">
        <f t="shared" si="7"/>
        <v>8288.9539957935922</v>
      </c>
      <c r="F71" s="60"/>
      <c r="G71" s="28">
        <v>50000</v>
      </c>
      <c r="H71" s="3">
        <f t="shared" si="8"/>
        <v>-39487.306735726735</v>
      </c>
    </row>
    <row r="72" spans="2:8">
      <c r="C72" s="141" t="s">
        <v>280</v>
      </c>
      <c r="D72">
        <v>9.09</v>
      </c>
      <c r="E72" s="60">
        <f>E71</f>
        <v>8288.9539957935922</v>
      </c>
      <c r="F72" s="60"/>
      <c r="G72" s="28"/>
      <c r="H72" s="3">
        <f t="shared" si="8"/>
        <v>-31198.352739933143</v>
      </c>
    </row>
    <row r="73" spans="2:8">
      <c r="C73" s="141" t="s">
        <v>281</v>
      </c>
      <c r="D73">
        <v>4.75</v>
      </c>
      <c r="E73" s="60">
        <f t="shared" ref="E73:E76" si="9">E72</f>
        <v>8288.9539957935922</v>
      </c>
      <c r="F73" s="60"/>
      <c r="G73" s="28"/>
      <c r="H73" s="3">
        <f t="shared" si="8"/>
        <v>-22909.398744139551</v>
      </c>
    </row>
    <row r="74" spans="2:8">
      <c r="C74" s="141" t="s">
        <v>262</v>
      </c>
      <c r="D74">
        <v>3.43</v>
      </c>
      <c r="E74" s="60">
        <f t="shared" si="9"/>
        <v>8288.9539957935922</v>
      </c>
      <c r="F74" s="60"/>
      <c r="G74" s="28"/>
      <c r="H74" s="3">
        <f t="shared" si="8"/>
        <v>-14620.444748345959</v>
      </c>
    </row>
    <row r="75" spans="2:8">
      <c r="C75" s="141" t="s">
        <v>263</v>
      </c>
      <c r="D75">
        <v>3.28</v>
      </c>
      <c r="E75" s="60">
        <f t="shared" si="9"/>
        <v>8288.9539957935922</v>
      </c>
      <c r="F75" s="60"/>
      <c r="G75" s="28">
        <v>15887.06</v>
      </c>
      <c r="H75" s="3">
        <f t="shared" si="8"/>
        <v>-22218.550752552364</v>
      </c>
    </row>
    <row r="76" spans="2:8">
      <c r="B76" s="140">
        <v>45291</v>
      </c>
      <c r="C76" s="141" t="s">
        <v>264</v>
      </c>
      <c r="D76">
        <v>2.93</v>
      </c>
      <c r="E76" s="60">
        <f t="shared" si="9"/>
        <v>8288.9539957935922</v>
      </c>
      <c r="F76" s="60"/>
      <c r="G76" s="28"/>
      <c r="H76" s="29">
        <f t="shared" si="8"/>
        <v>-13929.596756758772</v>
      </c>
    </row>
    <row r="77" spans="2:8">
      <c r="B77" s="140">
        <v>45322</v>
      </c>
      <c r="C77" s="142" t="s">
        <v>273</v>
      </c>
      <c r="D77">
        <v>6.71</v>
      </c>
      <c r="E77" s="60">
        <v>14000</v>
      </c>
      <c r="F77" s="60"/>
      <c r="G77" s="28"/>
      <c r="H77" s="29">
        <f t="shared" si="8"/>
        <v>70.403243241227756</v>
      </c>
    </row>
    <row r="78" spans="2:8">
      <c r="C78" s="142" t="s">
        <v>274</v>
      </c>
      <c r="D78">
        <v>4.53</v>
      </c>
      <c r="E78" s="60">
        <f t="shared" ref="E78:E79" si="10">E77+(E77*D77/100)</f>
        <v>14939.4</v>
      </c>
      <c r="F78" s="60"/>
      <c r="G78" s="28"/>
      <c r="H78" s="29">
        <f t="shared" si="8"/>
        <v>15009.803243241227</v>
      </c>
    </row>
    <row r="79" spans="2:8">
      <c r="C79" s="142" t="s">
        <v>275</v>
      </c>
      <c r="D79">
        <v>3.16</v>
      </c>
      <c r="E79" s="60">
        <f t="shared" si="10"/>
        <v>15616.15482</v>
      </c>
      <c r="F79" s="60"/>
      <c r="G79" s="28"/>
      <c r="H79" s="29">
        <f t="shared" si="8"/>
        <v>30625.958063241225</v>
      </c>
    </row>
    <row r="80" spans="2:8">
      <c r="C80" s="144" t="s">
        <v>348</v>
      </c>
      <c r="E80" s="60"/>
      <c r="F80" s="60"/>
      <c r="G80" s="28">
        <v>-3795</v>
      </c>
      <c r="H80" s="29">
        <f t="shared" si="8"/>
        <v>34420.958063241225</v>
      </c>
    </row>
    <row r="81" spans="3:8">
      <c r="C81" s="142" t="s">
        <v>359</v>
      </c>
      <c r="D81">
        <v>3.16</v>
      </c>
      <c r="E81" s="60">
        <f>E79+(E79*D79/100)</f>
        <v>16109.625312312</v>
      </c>
      <c r="F81" s="60"/>
      <c r="G81" s="28">
        <v>85000</v>
      </c>
      <c r="H81" s="29">
        <f>E81-G81+H80</f>
        <v>-34469.416624446778</v>
      </c>
    </row>
    <row r="82" spans="3:8">
      <c r="C82" s="144" t="s">
        <v>207</v>
      </c>
      <c r="D82">
        <v>5.54</v>
      </c>
      <c r="E82" s="60"/>
      <c r="F82" s="60"/>
      <c r="G82" s="28">
        <v>-5600</v>
      </c>
      <c r="H82" s="29">
        <f>E82-G82+H81</f>
        <v>-28869.416624446778</v>
      </c>
    </row>
    <row r="83" spans="3:8">
      <c r="C83" s="143" t="s">
        <v>360</v>
      </c>
      <c r="E83" s="60">
        <f>E81+(E81*D82/100)</f>
        <v>17002.098554614084</v>
      </c>
      <c r="F83" s="60"/>
      <c r="G83" s="28"/>
      <c r="H83" s="29">
        <f>E83-G83+H82</f>
        <v>-11867.318069832694</v>
      </c>
    </row>
    <row r="84" spans="3:8">
      <c r="C84" s="143" t="s">
        <v>278</v>
      </c>
      <c r="E84" s="60">
        <f>E83+(E83*D83/100)</f>
        <v>17002.098554614084</v>
      </c>
      <c r="F84" s="60"/>
      <c r="H84" s="29">
        <f t="shared" si="8"/>
        <v>5134.7804847813895</v>
      </c>
    </row>
    <row r="85" spans="3:8">
      <c r="C85" s="143" t="s">
        <v>279</v>
      </c>
      <c r="E85" s="60">
        <f t="shared" ref="E85:E90" si="11">E84+(E84*D84/100)</f>
        <v>17002.098554614084</v>
      </c>
      <c r="F85" s="60"/>
      <c r="H85" s="29">
        <f t="shared" si="8"/>
        <v>22136.879039395473</v>
      </c>
    </row>
    <row r="86" spans="3:8">
      <c r="C86" s="143" t="s">
        <v>280</v>
      </c>
      <c r="E86" s="60">
        <f t="shared" si="11"/>
        <v>17002.098554614084</v>
      </c>
      <c r="F86" s="60"/>
      <c r="H86" s="29">
        <f t="shared" si="8"/>
        <v>39138.977594009557</v>
      </c>
    </row>
    <row r="87" spans="3:8">
      <c r="C87" s="143" t="s">
        <v>361</v>
      </c>
      <c r="E87" s="60">
        <f t="shared" si="11"/>
        <v>17002.098554614084</v>
      </c>
      <c r="F87" s="60"/>
      <c r="H87" s="29">
        <f t="shared" si="8"/>
        <v>56141.076148623644</v>
      </c>
    </row>
    <row r="88" spans="3:8">
      <c r="C88" s="143" t="s">
        <v>262</v>
      </c>
      <c r="E88" s="60">
        <f t="shared" si="11"/>
        <v>17002.098554614084</v>
      </c>
      <c r="F88" s="60"/>
      <c r="H88" s="29">
        <f t="shared" si="8"/>
        <v>73143.174703237732</v>
      </c>
    </row>
    <row r="89" spans="3:8">
      <c r="C89" s="143" t="s">
        <v>263</v>
      </c>
      <c r="E89" s="60">
        <f t="shared" si="11"/>
        <v>17002.098554614084</v>
      </c>
      <c r="F89" s="60"/>
      <c r="H89" s="29">
        <f t="shared" si="8"/>
        <v>90145.273257851819</v>
      </c>
    </row>
    <row r="90" spans="3:8">
      <c r="C90" s="143" t="s">
        <v>264</v>
      </c>
      <c r="E90" s="60">
        <f t="shared" si="11"/>
        <v>17002.098554614084</v>
      </c>
      <c r="F90" s="60"/>
      <c r="H90" s="29">
        <f t="shared" si="8"/>
        <v>107147.37181246591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1"/>
  <sheetViews>
    <sheetView topLeftCell="B1" zoomScale="145" zoomScaleNormal="145" workbookViewId="0">
      <selection activeCell="E27" sqref="E27"/>
    </sheetView>
  </sheetViews>
  <sheetFormatPr defaultRowHeight="12.75"/>
  <cols>
    <col min="1" max="1" width="12.140625" customWidth="1"/>
    <col min="2" max="2" width="33.140625" customWidth="1"/>
    <col min="3" max="6" width="12.140625" customWidth="1"/>
    <col min="7" max="7" width="9.140625" customWidth="1"/>
  </cols>
  <sheetData>
    <row r="1" spans="1:6">
      <c r="A1" s="7"/>
      <c r="B1" s="8" t="s">
        <v>218</v>
      </c>
      <c r="C1" s="8"/>
      <c r="D1" s="45"/>
      <c r="E1" s="3"/>
      <c r="F1" s="83" t="s">
        <v>219</v>
      </c>
    </row>
    <row r="2" spans="1:6">
      <c r="A2" s="7"/>
      <c r="B2" s="8"/>
      <c r="C2" s="8"/>
      <c r="D2" s="3"/>
      <c r="E2" s="3"/>
      <c r="F2" s="3"/>
    </row>
    <row r="3" spans="1:6" ht="13.5" thickBot="1">
      <c r="A3" s="10" t="s">
        <v>23</v>
      </c>
      <c r="B3" s="11" t="s">
        <v>24</v>
      </c>
      <c r="C3" s="11"/>
      <c r="D3" s="12" t="s">
        <v>25</v>
      </c>
      <c r="E3" s="12" t="s">
        <v>3</v>
      </c>
      <c r="F3" s="12" t="s">
        <v>26</v>
      </c>
    </row>
    <row r="4" spans="1:6">
      <c r="A4" s="7"/>
      <c r="B4" s="13" t="s">
        <v>20</v>
      </c>
      <c r="C4" s="14"/>
      <c r="D4" s="15">
        <f>SUM(D9:D20)</f>
        <v>51000</v>
      </c>
      <c r="E4" s="16">
        <f>SUM(E9:E20)</f>
        <v>0</v>
      </c>
      <c r="F4" s="17">
        <f>F20</f>
        <v>51000</v>
      </c>
    </row>
    <row r="5" spans="1:6">
      <c r="A5" s="7"/>
      <c r="B5" s="14" t="s">
        <v>27</v>
      </c>
      <c r="C5" s="14"/>
      <c r="D5" s="18">
        <f>F40</f>
        <v>0</v>
      </c>
      <c r="E5" s="3"/>
    </row>
    <row r="6" spans="1:6">
      <c r="A6" s="7"/>
      <c r="B6" s="14" t="s">
        <v>5</v>
      </c>
      <c r="D6" s="19">
        <f>F37</f>
        <v>-1200</v>
      </c>
      <c r="E6" s="14"/>
      <c r="F6" s="9"/>
    </row>
    <row r="7" spans="1:6">
      <c r="A7" s="20"/>
      <c r="B7" s="21"/>
      <c r="C7" s="22"/>
      <c r="D7" s="21"/>
      <c r="E7" s="22" t="s">
        <v>28</v>
      </c>
      <c r="F7" s="23">
        <f>E4-D5</f>
        <v>0</v>
      </c>
    </row>
    <row r="8" spans="1:6">
      <c r="A8" s="7"/>
      <c r="B8" s="14" t="s">
        <v>29</v>
      </c>
      <c r="E8" s="3"/>
      <c r="F8" s="3"/>
    </row>
    <row r="9" spans="1:6">
      <c r="A9" s="7">
        <v>45198</v>
      </c>
      <c r="B9" t="s">
        <v>30</v>
      </c>
      <c r="D9" s="24">
        <v>51000</v>
      </c>
      <c r="E9" s="25"/>
      <c r="F9" s="3">
        <f>D9-E9</f>
        <v>51000</v>
      </c>
    </row>
    <row r="10" spans="1:6">
      <c r="A10" s="54">
        <v>45194</v>
      </c>
      <c r="B10" s="91" t="s">
        <v>333</v>
      </c>
      <c r="D10" s="24"/>
      <c r="E10" s="25"/>
      <c r="F10" s="3">
        <f t="shared" ref="F10:F20" si="0">D10-E10+F9</f>
        <v>51000</v>
      </c>
    </row>
    <row r="11" spans="1:6">
      <c r="A11" s="54">
        <v>45195</v>
      </c>
      <c r="D11" s="24"/>
      <c r="E11" s="25"/>
      <c r="F11" s="3">
        <f t="shared" si="0"/>
        <v>51000</v>
      </c>
    </row>
    <row r="12" spans="1:6">
      <c r="A12" s="54">
        <v>45229</v>
      </c>
      <c r="D12" s="24"/>
      <c r="E12" s="25"/>
      <c r="F12" s="3">
        <f t="shared" si="0"/>
        <v>51000</v>
      </c>
    </row>
    <row r="13" spans="1:6">
      <c r="A13" s="92">
        <v>45244</v>
      </c>
      <c r="D13" s="24"/>
      <c r="E13" s="25"/>
      <c r="F13" s="3">
        <f t="shared" si="0"/>
        <v>51000</v>
      </c>
    </row>
    <row r="14" spans="1:6">
      <c r="A14" s="26"/>
      <c r="D14" s="27"/>
      <c r="E14" s="28"/>
      <c r="F14" s="3">
        <f t="shared" si="0"/>
        <v>51000</v>
      </c>
    </row>
    <row r="15" spans="1:6">
      <c r="A15" s="26"/>
      <c r="D15" s="27"/>
      <c r="E15" s="28"/>
      <c r="F15" s="3">
        <f t="shared" si="0"/>
        <v>51000</v>
      </c>
    </row>
    <row r="16" spans="1:6">
      <c r="A16" s="26"/>
      <c r="D16" s="27"/>
      <c r="E16" s="28"/>
      <c r="F16" s="3">
        <f t="shared" si="0"/>
        <v>51000</v>
      </c>
    </row>
    <row r="17" spans="1:7">
      <c r="A17" s="26">
        <v>45258</v>
      </c>
      <c r="D17" s="27"/>
      <c r="E17" s="28"/>
      <c r="F17" s="3">
        <f t="shared" si="0"/>
        <v>51000</v>
      </c>
    </row>
    <row r="18" spans="1:7">
      <c r="A18" s="26"/>
      <c r="D18" s="27"/>
      <c r="E18" s="28"/>
      <c r="F18" s="3">
        <f t="shared" si="0"/>
        <v>51000</v>
      </c>
    </row>
    <row r="19" spans="1:7">
      <c r="A19" s="26"/>
      <c r="D19" s="27"/>
      <c r="E19" s="28"/>
      <c r="F19" s="3">
        <f t="shared" si="0"/>
        <v>51000</v>
      </c>
    </row>
    <row r="20" spans="1:7">
      <c r="A20" s="26"/>
      <c r="D20" s="27"/>
      <c r="E20" s="28"/>
      <c r="F20" s="29">
        <f t="shared" si="0"/>
        <v>51000</v>
      </c>
    </row>
    <row r="21" spans="1:7">
      <c r="A21" s="26"/>
      <c r="D21" s="30"/>
      <c r="E21" s="31"/>
      <c r="F21" s="31"/>
    </row>
    <row r="22" spans="1:7">
      <c r="A22" s="26"/>
      <c r="D22" s="30"/>
      <c r="E22" s="31"/>
      <c r="F22" s="31"/>
    </row>
    <row r="23" spans="1:7">
      <c r="A23" s="32" t="s">
        <v>31</v>
      </c>
      <c r="B23" s="21" t="s">
        <v>32</v>
      </c>
      <c r="C23" s="21" t="s">
        <v>33</v>
      </c>
      <c r="D23" s="33" t="s">
        <v>34</v>
      </c>
      <c r="E23" s="34"/>
      <c r="F23" s="34" t="s">
        <v>269</v>
      </c>
    </row>
    <row r="24" spans="1:7">
      <c r="A24" s="26"/>
      <c r="B24" t="s">
        <v>35</v>
      </c>
      <c r="D24" s="30"/>
      <c r="E24" s="31"/>
      <c r="F24" s="31">
        <v>-1200</v>
      </c>
    </row>
    <row r="25" spans="1:7">
      <c r="A25" s="26"/>
      <c r="B25" t="s">
        <v>87</v>
      </c>
      <c r="C25">
        <v>40</v>
      </c>
      <c r="D25" s="31">
        <v>483.72</v>
      </c>
      <c r="E25" s="31">
        <v>483.72</v>
      </c>
      <c r="F25" s="31">
        <f t="shared" ref="F25:F36" si="1">D25-E25+F24</f>
        <v>-1200</v>
      </c>
      <c r="G25" s="3"/>
    </row>
    <row r="26" spans="1:7">
      <c r="A26" s="26"/>
      <c r="B26" t="s">
        <v>36</v>
      </c>
      <c r="D26" s="31">
        <v>439.85</v>
      </c>
      <c r="E26" s="31">
        <v>439.85</v>
      </c>
      <c r="F26" s="31">
        <f t="shared" si="1"/>
        <v>-1200</v>
      </c>
      <c r="G26" s="3"/>
    </row>
    <row r="27" spans="1:7">
      <c r="A27" s="26"/>
      <c r="B27" t="s">
        <v>37</v>
      </c>
      <c r="D27" s="31"/>
      <c r="E27" s="31"/>
      <c r="F27" s="31">
        <f t="shared" si="1"/>
        <v>-1200</v>
      </c>
      <c r="G27" s="3"/>
    </row>
    <row r="28" spans="1:7">
      <c r="A28" s="26"/>
      <c r="B28" t="s">
        <v>38</v>
      </c>
      <c r="D28" s="31"/>
      <c r="E28" s="31"/>
      <c r="F28" s="31">
        <f t="shared" si="1"/>
        <v>-1200</v>
      </c>
      <c r="G28" s="3"/>
    </row>
    <row r="29" spans="1:7">
      <c r="A29" s="26"/>
      <c r="B29" t="s">
        <v>39</v>
      </c>
      <c r="D29" s="31"/>
      <c r="E29" s="31"/>
      <c r="F29" s="31">
        <f t="shared" si="1"/>
        <v>-1200</v>
      </c>
      <c r="G29" s="3"/>
    </row>
    <row r="30" spans="1:7">
      <c r="A30" s="26"/>
      <c r="B30" t="s">
        <v>88</v>
      </c>
      <c r="D30" s="31"/>
      <c r="E30" s="31"/>
      <c r="F30" s="31">
        <f t="shared" si="1"/>
        <v>-1200</v>
      </c>
      <c r="G30" s="3"/>
    </row>
    <row r="31" spans="1:7">
      <c r="A31" s="26"/>
      <c r="B31" t="s">
        <v>89</v>
      </c>
      <c r="D31" s="31"/>
      <c r="E31" s="31"/>
      <c r="F31" s="31">
        <f t="shared" si="1"/>
        <v>-1200</v>
      </c>
      <c r="G31" s="3"/>
    </row>
    <row r="32" spans="1:7">
      <c r="A32" s="26"/>
      <c r="B32" t="s">
        <v>90</v>
      </c>
      <c r="D32" s="31"/>
      <c r="E32" s="31"/>
      <c r="F32" s="31">
        <f t="shared" si="1"/>
        <v>-1200</v>
      </c>
      <c r="G32" s="3"/>
    </row>
    <row r="33" spans="1:7">
      <c r="A33" s="26"/>
      <c r="B33" t="s">
        <v>91</v>
      </c>
      <c r="D33" s="30"/>
      <c r="E33" s="31"/>
      <c r="F33" s="31">
        <f t="shared" si="1"/>
        <v>-1200</v>
      </c>
      <c r="G33" s="3"/>
    </row>
    <row r="34" spans="1:7">
      <c r="A34" s="26"/>
      <c r="B34" t="s">
        <v>40</v>
      </c>
      <c r="D34" s="30"/>
      <c r="E34" s="31"/>
      <c r="F34" s="31">
        <f t="shared" si="1"/>
        <v>-1200</v>
      </c>
      <c r="G34" s="3"/>
    </row>
    <row r="35" spans="1:7">
      <c r="A35" s="26"/>
      <c r="B35" t="s">
        <v>41</v>
      </c>
      <c r="D35" s="30"/>
      <c r="E35" s="31"/>
      <c r="F35" s="31">
        <f t="shared" si="1"/>
        <v>-1200</v>
      </c>
      <c r="G35" s="3"/>
    </row>
    <row r="36" spans="1:7">
      <c r="A36" s="32"/>
      <c r="B36" s="21" t="s">
        <v>42</v>
      </c>
      <c r="C36" s="21"/>
      <c r="D36" s="33"/>
      <c r="E36" s="34"/>
      <c r="F36" s="34">
        <f t="shared" si="1"/>
        <v>-1200</v>
      </c>
    </row>
    <row r="37" spans="1:7">
      <c r="A37" s="35">
        <v>45291</v>
      </c>
      <c r="B37" s="36" t="s">
        <v>35</v>
      </c>
      <c r="C37" s="36">
        <f>SUM(C25:C36)</f>
        <v>40</v>
      </c>
      <c r="D37" s="37"/>
      <c r="E37" s="38"/>
      <c r="F37" s="39">
        <f>D37-E37+F36</f>
        <v>-1200</v>
      </c>
    </row>
    <row r="38" spans="1:7">
      <c r="A38" s="26"/>
      <c r="D38" s="30"/>
      <c r="E38" s="30"/>
      <c r="F38" s="30"/>
    </row>
    <row r="39" spans="1:7">
      <c r="A39" s="7"/>
      <c r="D39" s="3"/>
      <c r="E39" s="3"/>
      <c r="F39" s="3"/>
    </row>
    <row r="40" spans="1:7">
      <c r="A40" s="88" t="s">
        <v>252</v>
      </c>
      <c r="B40" s="40" t="s">
        <v>167</v>
      </c>
      <c r="C40" s="40"/>
      <c r="D40" s="41"/>
      <c r="E40" s="42"/>
      <c r="F40" s="43">
        <f>SUM(E41:E55)</f>
        <v>0</v>
      </c>
    </row>
    <row r="41" spans="1:7">
      <c r="A41" s="7"/>
      <c r="B41" s="8"/>
      <c r="C41" s="8"/>
    </row>
    <row r="42" spans="1:7">
      <c r="A42" s="7"/>
      <c r="B42" t="s">
        <v>220</v>
      </c>
      <c r="D42" s="3"/>
      <c r="E42" s="3"/>
      <c r="F42" s="3"/>
    </row>
    <row r="43" spans="1:7">
      <c r="A43" s="7"/>
      <c r="B43" t="s">
        <v>93</v>
      </c>
      <c r="C43" s="3"/>
      <c r="D43" s="3"/>
      <c r="E43" s="3"/>
      <c r="F43" s="3"/>
    </row>
    <row r="44" spans="1:7">
      <c r="A44" s="7"/>
      <c r="B44" s="42" t="s">
        <v>221</v>
      </c>
      <c r="C44" s="42"/>
      <c r="D44" s="42">
        <v>96000</v>
      </c>
      <c r="E44" s="3"/>
      <c r="F44" s="44"/>
    </row>
    <row r="45" spans="1:7">
      <c r="A45" s="84">
        <v>45237</v>
      </c>
      <c r="B45" s="1" t="s">
        <v>222</v>
      </c>
      <c r="E45" s="3"/>
      <c r="F45" s="3"/>
    </row>
    <row r="46" spans="1:7">
      <c r="B46" s="1" t="s">
        <v>223</v>
      </c>
      <c r="E46" s="3"/>
      <c r="F46" s="3"/>
    </row>
    <row r="47" spans="1:7">
      <c r="B47" s="1" t="s">
        <v>224</v>
      </c>
      <c r="E47" s="3"/>
      <c r="F47" s="3"/>
    </row>
    <row r="48" spans="1:7">
      <c r="B48" s="1" t="s">
        <v>225</v>
      </c>
      <c r="E48" s="3"/>
      <c r="F48" s="3"/>
    </row>
    <row r="49" spans="1:6">
      <c r="B49" s="1" t="s">
        <v>226</v>
      </c>
      <c r="E49" s="3"/>
      <c r="F49" s="3"/>
    </row>
    <row r="50" spans="1:6">
      <c r="B50" s="1" t="s">
        <v>227</v>
      </c>
      <c r="E50" s="3"/>
      <c r="F50" s="3"/>
    </row>
    <row r="51" spans="1:6">
      <c r="B51" s="1" t="s">
        <v>228</v>
      </c>
      <c r="E51" s="3"/>
      <c r="F51" s="3"/>
    </row>
    <row r="52" spans="1:6">
      <c r="B52" s="1" t="s">
        <v>229</v>
      </c>
      <c r="E52" s="3"/>
      <c r="F52" s="3"/>
    </row>
    <row r="56" spans="1:6">
      <c r="B56" t="s">
        <v>230</v>
      </c>
      <c r="C56" s="3"/>
      <c r="D56" s="3"/>
      <c r="E56" s="3"/>
    </row>
    <row r="57" spans="1:6">
      <c r="B57" t="s">
        <v>231</v>
      </c>
      <c r="C57" s="3"/>
      <c r="D57" s="3"/>
      <c r="E57" s="3">
        <f t="shared" ref="E57:E71" si="2">E56+C57-D57</f>
        <v>0</v>
      </c>
    </row>
    <row r="58" spans="1:6">
      <c r="A58" s="54"/>
      <c r="C58" s="3"/>
      <c r="E58" s="3">
        <f t="shared" si="2"/>
        <v>0</v>
      </c>
    </row>
    <row r="59" spans="1:6">
      <c r="A59" s="54">
        <v>44956</v>
      </c>
      <c r="B59" t="s">
        <v>232</v>
      </c>
      <c r="C59" s="3">
        <v>1000</v>
      </c>
      <c r="E59" s="3">
        <f t="shared" si="2"/>
        <v>1000</v>
      </c>
    </row>
    <row r="60" spans="1:6">
      <c r="A60" s="54">
        <v>44985</v>
      </c>
      <c r="B60" t="s">
        <v>233</v>
      </c>
      <c r="C60" s="3">
        <v>1000</v>
      </c>
      <c r="E60" s="3">
        <f t="shared" si="2"/>
        <v>2000</v>
      </c>
    </row>
    <row r="61" spans="1:6">
      <c r="A61" s="54">
        <v>45015</v>
      </c>
      <c r="B61" t="s">
        <v>234</v>
      </c>
      <c r="C61" s="3">
        <v>1000</v>
      </c>
      <c r="D61" s="3"/>
      <c r="E61" s="3">
        <f t="shared" si="2"/>
        <v>3000</v>
      </c>
    </row>
    <row r="62" spans="1:6">
      <c r="A62" s="54">
        <v>45046</v>
      </c>
      <c r="B62" t="s">
        <v>235</v>
      </c>
      <c r="C62" s="3">
        <v>1000</v>
      </c>
      <c r="D62" s="3"/>
      <c r="E62" s="3">
        <f t="shared" si="2"/>
        <v>4000</v>
      </c>
    </row>
    <row r="63" spans="1:6">
      <c r="A63" s="54"/>
      <c r="E63" s="3">
        <f t="shared" si="2"/>
        <v>4000</v>
      </c>
    </row>
    <row r="64" spans="1:6">
      <c r="A64" s="54"/>
      <c r="B64" s="1" t="s">
        <v>236</v>
      </c>
      <c r="C64" s="3">
        <v>400</v>
      </c>
      <c r="E64" s="3">
        <f t="shared" si="2"/>
        <v>4400</v>
      </c>
    </row>
    <row r="65" spans="1:5">
      <c r="A65" s="54"/>
      <c r="B65" t="s">
        <v>237</v>
      </c>
      <c r="C65" s="3"/>
      <c r="D65" s="3"/>
      <c r="E65" s="3">
        <f t="shared" si="2"/>
        <v>4400</v>
      </c>
    </row>
    <row r="66" spans="1:5">
      <c r="A66" s="54"/>
      <c r="B66" t="s">
        <v>238</v>
      </c>
      <c r="C66" s="3"/>
      <c r="D66" s="3"/>
      <c r="E66" s="3">
        <f t="shared" si="2"/>
        <v>4400</v>
      </c>
    </row>
    <row r="67" spans="1:5">
      <c r="A67" s="54"/>
      <c r="C67" s="3"/>
      <c r="E67" s="3">
        <f t="shared" si="2"/>
        <v>4400</v>
      </c>
    </row>
    <row r="68" spans="1:5">
      <c r="A68" s="54">
        <v>44998</v>
      </c>
      <c r="B68" t="s">
        <v>239</v>
      </c>
      <c r="C68" s="3"/>
      <c r="D68">
        <v>2400</v>
      </c>
      <c r="E68" s="3">
        <f t="shared" si="2"/>
        <v>2000</v>
      </c>
    </row>
    <row r="69" spans="1:5">
      <c r="A69" s="54">
        <v>44998</v>
      </c>
      <c r="B69" t="s">
        <v>239</v>
      </c>
      <c r="D69">
        <v>2400</v>
      </c>
      <c r="E69" s="3">
        <f t="shared" si="2"/>
        <v>-400</v>
      </c>
    </row>
    <row r="70" spans="1:5">
      <c r="B70" s="1" t="s">
        <v>240</v>
      </c>
      <c r="D70">
        <v>-342.4</v>
      </c>
      <c r="E70" s="3">
        <f t="shared" si="2"/>
        <v>-57.600000000000023</v>
      </c>
    </row>
    <row r="71" spans="1:5">
      <c r="B71" s="1" t="s">
        <v>241</v>
      </c>
      <c r="D71">
        <v>-57.6</v>
      </c>
      <c r="E71" s="3">
        <f t="shared" si="2"/>
        <v>0</v>
      </c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portrait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7"/>
  <sheetViews>
    <sheetView zoomScale="235" zoomScaleNormal="235" workbookViewId="0">
      <selection activeCell="F20" sqref="F20"/>
    </sheetView>
  </sheetViews>
  <sheetFormatPr defaultRowHeight="12.75"/>
  <cols>
    <col min="1" max="1" width="10.7109375" customWidth="1"/>
    <col min="2" max="2" width="23.7109375" customWidth="1"/>
    <col min="3" max="3" width="11.7109375" style="3" customWidth="1"/>
    <col min="4" max="4" width="10.5703125" style="3" customWidth="1"/>
    <col min="5" max="5" width="9.42578125" style="3" customWidth="1"/>
    <col min="6" max="6" width="10.5703125" style="3" customWidth="1"/>
    <col min="7" max="7" width="11.28515625" style="3" customWidth="1"/>
    <col min="8" max="59" width="12.140625" customWidth="1"/>
    <col min="60" max="60" width="9.140625" customWidth="1"/>
  </cols>
  <sheetData>
    <row r="1" spans="1:7">
      <c r="B1" s="1"/>
    </row>
    <row r="2" spans="1:7" ht="18">
      <c r="A2" s="114">
        <v>2023</v>
      </c>
      <c r="B2" s="1" t="s">
        <v>271</v>
      </c>
      <c r="D2" s="3" t="s">
        <v>242</v>
      </c>
      <c r="F2" s="51">
        <f>SUM(F6:F55)</f>
        <v>3999.1</v>
      </c>
      <c r="G2" s="51">
        <f>F2</f>
        <v>3999.1</v>
      </c>
    </row>
    <row r="4" spans="1:7">
      <c r="A4" s="85" t="s">
        <v>23</v>
      </c>
      <c r="B4" s="85" t="s">
        <v>24</v>
      </c>
      <c r="C4" s="86" t="s">
        <v>25</v>
      </c>
      <c r="D4" s="86" t="s">
        <v>3</v>
      </c>
      <c r="E4" s="86" t="s">
        <v>26</v>
      </c>
      <c r="F4" s="86" t="s">
        <v>27</v>
      </c>
      <c r="G4" s="86" t="s">
        <v>26</v>
      </c>
    </row>
    <row r="5" spans="1:7">
      <c r="F5" s="83"/>
      <c r="G5" s="51"/>
    </row>
    <row r="6" spans="1:7">
      <c r="A6" s="54">
        <v>45321</v>
      </c>
      <c r="B6" t="s">
        <v>302</v>
      </c>
      <c r="C6"/>
      <c r="D6"/>
      <c r="F6" s="3">
        <v>169.14</v>
      </c>
      <c r="G6" s="3">
        <f t="shared" ref="G6:G22" si="0">G5+E6-F6</f>
        <v>-169.14</v>
      </c>
    </row>
    <row r="7" spans="1:7">
      <c r="A7" s="54">
        <v>45350</v>
      </c>
      <c r="B7" t="s">
        <v>313</v>
      </c>
      <c r="C7"/>
      <c r="D7"/>
      <c r="F7" s="3">
        <v>67.09</v>
      </c>
      <c r="G7" s="3">
        <f t="shared" si="0"/>
        <v>-236.23</v>
      </c>
    </row>
    <row r="8" spans="1:7">
      <c r="A8" s="54">
        <v>45381</v>
      </c>
      <c r="B8" t="s">
        <v>303</v>
      </c>
      <c r="C8"/>
      <c r="D8"/>
      <c r="F8" s="3">
        <v>225.66</v>
      </c>
      <c r="G8" s="3">
        <f t="shared" si="0"/>
        <v>-461.89</v>
      </c>
    </row>
    <row r="9" spans="1:7">
      <c r="A9" s="54">
        <v>45412</v>
      </c>
      <c r="B9" t="s">
        <v>304</v>
      </c>
      <c r="C9"/>
      <c r="D9"/>
      <c r="F9" s="3">
        <v>286.72000000000003</v>
      </c>
      <c r="G9" s="3">
        <f t="shared" si="0"/>
        <v>-748.61</v>
      </c>
    </row>
    <row r="10" spans="1:7">
      <c r="A10" s="54">
        <v>45442</v>
      </c>
      <c r="B10" t="s">
        <v>305</v>
      </c>
      <c r="C10"/>
      <c r="D10"/>
      <c r="F10" s="3">
        <v>100</v>
      </c>
      <c r="G10" s="3">
        <f t="shared" si="0"/>
        <v>-848.61</v>
      </c>
    </row>
    <row r="11" spans="1:7">
      <c r="A11" s="87">
        <v>45426</v>
      </c>
      <c r="B11" s="1" t="s">
        <v>243</v>
      </c>
      <c r="C11"/>
      <c r="D11"/>
      <c r="F11" s="3">
        <v>1415</v>
      </c>
      <c r="G11" s="3">
        <f t="shared" si="0"/>
        <v>-2263.61</v>
      </c>
    </row>
    <row r="12" spans="1:7">
      <c r="A12" s="87">
        <v>45426</v>
      </c>
      <c r="B12" s="1" t="s">
        <v>244</v>
      </c>
      <c r="C12"/>
      <c r="D12"/>
      <c r="F12" s="3">
        <v>141.5</v>
      </c>
      <c r="G12" s="3">
        <f t="shared" si="0"/>
        <v>-2405.11</v>
      </c>
    </row>
    <row r="13" spans="1:7">
      <c r="A13" s="54">
        <v>45473</v>
      </c>
      <c r="B13" t="s">
        <v>306</v>
      </c>
      <c r="C13"/>
      <c r="D13"/>
      <c r="F13" s="3">
        <v>37.49</v>
      </c>
      <c r="G13" s="3">
        <f t="shared" si="0"/>
        <v>-2442.6</v>
      </c>
    </row>
    <row r="14" spans="1:7">
      <c r="A14" s="54">
        <v>45503</v>
      </c>
      <c r="B14" t="s">
        <v>307</v>
      </c>
      <c r="C14"/>
      <c r="D14"/>
      <c r="G14" s="3">
        <f t="shared" si="0"/>
        <v>-2442.6</v>
      </c>
    </row>
    <row r="15" spans="1:7">
      <c r="A15" s="54">
        <v>45534</v>
      </c>
      <c r="B15" t="s">
        <v>308</v>
      </c>
      <c r="C15"/>
      <c r="D15"/>
      <c r="G15" s="3">
        <f t="shared" si="0"/>
        <v>-2442.6</v>
      </c>
    </row>
    <row r="16" spans="1:7">
      <c r="A16" s="54">
        <v>45565</v>
      </c>
      <c r="B16" t="s">
        <v>309</v>
      </c>
      <c r="C16"/>
      <c r="D16"/>
      <c r="G16" s="3">
        <f t="shared" si="0"/>
        <v>-2442.6</v>
      </c>
    </row>
    <row r="17" spans="1:7">
      <c r="A17" s="54">
        <v>45595</v>
      </c>
      <c r="B17" t="s">
        <v>310</v>
      </c>
      <c r="C17"/>
      <c r="D17"/>
      <c r="G17" s="3">
        <f t="shared" si="0"/>
        <v>-2442.6</v>
      </c>
    </row>
    <row r="18" spans="1:7">
      <c r="A18" s="87">
        <v>45579</v>
      </c>
      <c r="B18" s="1" t="s">
        <v>245</v>
      </c>
      <c r="C18"/>
      <c r="D18"/>
      <c r="F18" s="3">
        <v>1415</v>
      </c>
      <c r="G18" s="3">
        <f t="shared" si="0"/>
        <v>-3857.6</v>
      </c>
    </row>
    <row r="19" spans="1:7">
      <c r="A19" s="87">
        <v>45579</v>
      </c>
      <c r="B19" s="1" t="s">
        <v>246</v>
      </c>
      <c r="C19"/>
      <c r="D19"/>
      <c r="F19" s="3">
        <v>141.5</v>
      </c>
      <c r="G19" s="3">
        <f t="shared" si="0"/>
        <v>-3999.1</v>
      </c>
    </row>
    <row r="20" spans="1:7">
      <c r="A20" s="54">
        <v>45626</v>
      </c>
      <c r="B20" t="s">
        <v>311</v>
      </c>
      <c r="C20"/>
      <c r="D20"/>
      <c r="G20" s="3">
        <f t="shared" si="0"/>
        <v>-3999.1</v>
      </c>
    </row>
    <row r="21" spans="1:7">
      <c r="A21" s="54">
        <v>45656</v>
      </c>
      <c r="B21" t="s">
        <v>312</v>
      </c>
      <c r="C21"/>
      <c r="G21" s="3">
        <f t="shared" si="0"/>
        <v>-3999.1</v>
      </c>
    </row>
    <row r="22" spans="1:7">
      <c r="B22" t="s">
        <v>137</v>
      </c>
      <c r="C22"/>
      <c r="D22"/>
      <c r="E22"/>
      <c r="F22">
        <v>0</v>
      </c>
      <c r="G22" s="3">
        <f t="shared" si="0"/>
        <v>-3999.1</v>
      </c>
    </row>
    <row r="23" spans="1:7">
      <c r="C23"/>
      <c r="D23"/>
      <c r="E23"/>
      <c r="F23"/>
    </row>
    <row r="24" spans="1:7">
      <c r="D24"/>
    </row>
    <row r="25" spans="1:7">
      <c r="A25" s="54"/>
    </row>
    <row r="26" spans="1:7">
      <c r="A26" s="54"/>
      <c r="B26" s="3"/>
      <c r="D26"/>
    </row>
    <row r="27" spans="1:7">
      <c r="A27" s="54"/>
      <c r="B27" s="3"/>
      <c r="D27"/>
    </row>
    <row r="31" spans="1:7">
      <c r="E31" s="1"/>
    </row>
    <row r="32" spans="1:7">
      <c r="E32" s="1"/>
    </row>
    <row r="33" spans="1:7">
      <c r="E33" s="1"/>
    </row>
    <row r="34" spans="1:7">
      <c r="A34" s="54"/>
      <c r="E34" s="1"/>
    </row>
    <row r="35" spans="1:7">
      <c r="A35" s="54"/>
      <c r="E35" s="1"/>
    </row>
    <row r="36" spans="1:7">
      <c r="E36" s="1"/>
    </row>
    <row r="37" spans="1:7">
      <c r="A37" s="54"/>
      <c r="E37" s="1"/>
    </row>
    <row r="47" spans="1:7">
      <c r="G47" s="51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landscape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B4BF-5428-4CFE-9CCD-7224C312B45E}">
  <dimension ref="A2:J53"/>
  <sheetViews>
    <sheetView topLeftCell="A23" zoomScale="220" zoomScaleNormal="220" workbookViewId="0">
      <selection activeCell="D6" sqref="D6"/>
    </sheetView>
  </sheetViews>
  <sheetFormatPr defaultRowHeight="12.75"/>
  <cols>
    <col min="1" max="1" width="10.5703125" bestFit="1" customWidth="1"/>
    <col min="2" max="2" width="16" customWidth="1"/>
    <col min="3" max="3" width="11.140625" bestFit="1" customWidth="1"/>
    <col min="4" max="4" width="12" bestFit="1" customWidth="1"/>
    <col min="5" max="5" width="12.28515625" customWidth="1"/>
    <col min="6" max="6" width="13" customWidth="1"/>
    <col min="7" max="7" width="12.5703125" customWidth="1"/>
    <col min="8" max="8" width="12.7109375" bestFit="1" customWidth="1"/>
    <col min="9" max="9" width="15.140625" customWidth="1"/>
  </cols>
  <sheetData>
    <row r="2" spans="1:8">
      <c r="B2" s="93" t="s">
        <v>463</v>
      </c>
    </row>
    <row r="3" spans="1:8">
      <c r="C3" s="5" t="s">
        <v>334</v>
      </c>
      <c r="D3" s="1" t="s">
        <v>335</v>
      </c>
      <c r="E3" s="5" t="s">
        <v>336</v>
      </c>
      <c r="F3" s="1"/>
      <c r="H3" s="5" t="s">
        <v>4</v>
      </c>
    </row>
    <row r="4" spans="1:8">
      <c r="C4" s="119" t="s">
        <v>3</v>
      </c>
      <c r="D4" s="1" t="s">
        <v>26</v>
      </c>
      <c r="E4" s="5" t="s">
        <v>3</v>
      </c>
      <c r="F4" s="1"/>
      <c r="H4" s="5" t="s">
        <v>26</v>
      </c>
    </row>
    <row r="5" spans="1:8" ht="14.25">
      <c r="D5" s="242">
        <v>138749.71</v>
      </c>
      <c r="E5" s="102"/>
      <c r="F5" s="102"/>
      <c r="G5" s="120" t="s">
        <v>466</v>
      </c>
      <c r="H5" s="121">
        <f>D5</f>
        <v>138749.71</v>
      </c>
    </row>
    <row r="6" spans="1:8" ht="14.25">
      <c r="D6" s="95"/>
      <c r="G6" s="2" t="s">
        <v>462</v>
      </c>
      <c r="H6" s="122">
        <f>H25*-1</f>
        <v>68261.360000000015</v>
      </c>
    </row>
    <row r="7" spans="1:8" ht="14.25">
      <c r="D7" s="95"/>
      <c r="H7" s="122">
        <f>H6+H5</f>
        <v>207011.07</v>
      </c>
    </row>
    <row r="8" spans="1:8">
      <c r="A8" s="123">
        <v>45661</v>
      </c>
      <c r="C8" s="94">
        <v>15000</v>
      </c>
      <c r="D8" s="90">
        <f>H7-C8</f>
        <v>192011.07</v>
      </c>
      <c r="E8" s="124"/>
      <c r="F8" s="125"/>
      <c r="G8" s="125"/>
      <c r="H8" s="126">
        <f t="shared" ref="H8:H19" si="0">H7-E8</f>
        <v>207011.07</v>
      </c>
    </row>
    <row r="9" spans="1:8">
      <c r="A9" s="123">
        <v>45689</v>
      </c>
      <c r="C9" s="94">
        <f>C8</f>
        <v>15000</v>
      </c>
      <c r="D9" s="90">
        <f t="shared" ref="D9:D19" si="1">D8-C9</f>
        <v>177011.07</v>
      </c>
      <c r="E9" s="124"/>
      <c r="F9" s="125"/>
      <c r="G9" s="125"/>
      <c r="H9" s="90">
        <f t="shared" si="0"/>
        <v>207011.07</v>
      </c>
    </row>
    <row r="10" spans="1:8">
      <c r="A10" s="123">
        <v>45717</v>
      </c>
      <c r="C10" s="94">
        <f t="shared" ref="C10:C19" si="2">C9</f>
        <v>15000</v>
      </c>
      <c r="D10" s="90">
        <f t="shared" si="1"/>
        <v>162011.07</v>
      </c>
      <c r="E10" s="124"/>
      <c r="F10" s="125"/>
      <c r="G10" s="125"/>
      <c r="H10" s="90">
        <f t="shared" si="0"/>
        <v>207011.07</v>
      </c>
    </row>
    <row r="11" spans="1:8">
      <c r="A11" s="123">
        <v>45748</v>
      </c>
      <c r="C11" s="94">
        <f t="shared" si="2"/>
        <v>15000</v>
      </c>
      <c r="D11" s="90">
        <f t="shared" si="1"/>
        <v>147011.07</v>
      </c>
      <c r="E11" s="124"/>
      <c r="F11" s="125"/>
      <c r="G11" s="125"/>
      <c r="H11" s="90">
        <f t="shared" si="0"/>
        <v>207011.07</v>
      </c>
    </row>
    <row r="12" spans="1:8">
      <c r="A12" s="123">
        <v>45778</v>
      </c>
      <c r="C12" s="94">
        <f t="shared" si="2"/>
        <v>15000</v>
      </c>
      <c r="D12" s="90">
        <f t="shared" si="1"/>
        <v>132011.07</v>
      </c>
      <c r="E12" s="124"/>
      <c r="F12" s="125"/>
      <c r="G12" s="125"/>
      <c r="H12" s="90">
        <f t="shared" si="0"/>
        <v>207011.07</v>
      </c>
    </row>
    <row r="13" spans="1:8">
      <c r="A13" s="123">
        <v>45809</v>
      </c>
      <c r="C13" s="94">
        <f t="shared" si="2"/>
        <v>15000</v>
      </c>
      <c r="D13" s="90">
        <f t="shared" si="1"/>
        <v>117011.07</v>
      </c>
      <c r="E13" s="124"/>
      <c r="G13" s="125"/>
      <c r="H13" s="90">
        <f t="shared" si="0"/>
        <v>207011.07</v>
      </c>
    </row>
    <row r="14" spans="1:8">
      <c r="A14" s="123">
        <v>45839</v>
      </c>
      <c r="C14" s="94">
        <f t="shared" si="2"/>
        <v>15000</v>
      </c>
      <c r="D14" s="90">
        <f t="shared" si="1"/>
        <v>102011.07</v>
      </c>
      <c r="E14" s="124"/>
      <c r="G14" s="125"/>
      <c r="H14" s="90">
        <f t="shared" si="0"/>
        <v>207011.07</v>
      </c>
    </row>
    <row r="15" spans="1:8">
      <c r="A15" s="123">
        <v>45870</v>
      </c>
      <c r="C15" s="94">
        <f t="shared" si="2"/>
        <v>15000</v>
      </c>
      <c r="D15" s="90">
        <f t="shared" si="1"/>
        <v>87011.07</v>
      </c>
      <c r="H15" s="90">
        <f t="shared" si="0"/>
        <v>207011.07</v>
      </c>
    </row>
    <row r="16" spans="1:8">
      <c r="A16" s="123">
        <v>45901</v>
      </c>
      <c r="C16" s="94">
        <f t="shared" si="2"/>
        <v>15000</v>
      </c>
      <c r="D16" s="90">
        <f t="shared" si="1"/>
        <v>72011.070000000007</v>
      </c>
      <c r="H16" s="90">
        <f t="shared" si="0"/>
        <v>207011.07</v>
      </c>
    </row>
    <row r="17" spans="1:10">
      <c r="A17" s="123">
        <v>45931</v>
      </c>
      <c r="C17" s="94">
        <f t="shared" si="2"/>
        <v>15000</v>
      </c>
      <c r="D17" s="90">
        <f t="shared" si="1"/>
        <v>57011.070000000007</v>
      </c>
      <c r="H17" s="90">
        <f t="shared" si="0"/>
        <v>207011.07</v>
      </c>
    </row>
    <row r="18" spans="1:10">
      <c r="A18" s="123">
        <v>45988</v>
      </c>
      <c r="B18" t="s">
        <v>253</v>
      </c>
      <c r="C18" s="94">
        <f t="shared" si="2"/>
        <v>15000</v>
      </c>
      <c r="D18" s="90">
        <f t="shared" si="1"/>
        <v>42011.070000000007</v>
      </c>
      <c r="E18" s="124"/>
      <c r="H18" s="90">
        <f t="shared" si="0"/>
        <v>207011.07</v>
      </c>
    </row>
    <row r="19" spans="1:10">
      <c r="A19" s="123">
        <v>45992</v>
      </c>
      <c r="B19" t="s">
        <v>255</v>
      </c>
      <c r="C19" s="94">
        <f t="shared" si="2"/>
        <v>15000</v>
      </c>
      <c r="D19" s="90">
        <f t="shared" si="1"/>
        <v>27011.070000000007</v>
      </c>
      <c r="E19" s="124"/>
      <c r="H19" s="90">
        <f t="shared" si="0"/>
        <v>207011.07</v>
      </c>
    </row>
    <row r="20" spans="1:10">
      <c r="A20" s="123"/>
      <c r="C20" s="94"/>
      <c r="D20" s="90"/>
      <c r="E20" s="124"/>
      <c r="H20" s="90"/>
    </row>
    <row r="21" spans="1:10">
      <c r="A21" s="123"/>
      <c r="C21" s="94"/>
      <c r="D21" s="90"/>
      <c r="E21" s="124"/>
      <c r="H21" s="90"/>
    </row>
    <row r="22" spans="1:10">
      <c r="C22" s="94"/>
      <c r="D22" s="90"/>
      <c r="G22" s="90"/>
      <c r="H22" s="95"/>
    </row>
    <row r="23" spans="1:10" ht="15.75">
      <c r="B23" s="96" t="s">
        <v>286</v>
      </c>
      <c r="D23" s="251">
        <v>0.76461599999999996</v>
      </c>
      <c r="E23" s="251">
        <f>1-D23</f>
        <v>0.23538400000000004</v>
      </c>
      <c r="H23" s="95"/>
    </row>
    <row r="24" spans="1:10">
      <c r="A24" s="116" t="s">
        <v>23</v>
      </c>
      <c r="B24" s="116" t="s">
        <v>24</v>
      </c>
      <c r="C24" s="127" t="s">
        <v>287</v>
      </c>
      <c r="D24" s="128" t="s">
        <v>288</v>
      </c>
      <c r="E24" s="127" t="s">
        <v>289</v>
      </c>
      <c r="F24" s="129" t="s">
        <v>290</v>
      </c>
      <c r="G24" s="127" t="s">
        <v>291</v>
      </c>
      <c r="H24" s="130" t="s">
        <v>247</v>
      </c>
    </row>
    <row r="25" spans="1:10">
      <c r="A25" s="116"/>
      <c r="B25" s="117" t="s">
        <v>294</v>
      </c>
      <c r="C25" s="118">
        <f>SUBTOTAL(109,C26:C40)</f>
        <v>290000</v>
      </c>
      <c r="D25" s="118">
        <f>SUBTOTAL(109,D26:D40)</f>
        <v>290000</v>
      </c>
      <c r="E25" s="118">
        <f>SUM(E26:E40)</f>
        <v>0</v>
      </c>
      <c r="F25" s="117"/>
      <c r="G25" s="118">
        <f>SUBTOTAL(109,$G$26:$G$40)</f>
        <v>-68261.360000000015</v>
      </c>
      <c r="H25" s="118">
        <f>H26</f>
        <v>-68261.360000000015</v>
      </c>
      <c r="J25" s="98"/>
    </row>
    <row r="26" spans="1:10">
      <c r="A26" s="99">
        <v>46021</v>
      </c>
      <c r="B26" t="s">
        <v>292</v>
      </c>
      <c r="D26" s="100">
        <f t="shared" ref="D26:D40" si="3">IF(F26=1,$C26,0)</f>
        <v>0</v>
      </c>
      <c r="E26" s="101">
        <f t="shared" ref="E26:E40" si="4">IF(F26=0,C26*$E$23*-1,0)</f>
        <v>0</v>
      </c>
      <c r="F26" s="97">
        <v>0</v>
      </c>
      <c r="G26" s="100">
        <f t="shared" ref="G26:G40" si="5">IF(F26=1,C26*$E$23*-1,0)</f>
        <v>0</v>
      </c>
      <c r="H26" s="95">
        <f t="shared" ref="H26:H39" si="6">H27+G26</f>
        <v>-68261.360000000015</v>
      </c>
      <c r="J26" s="98"/>
    </row>
    <row r="27" spans="1:10">
      <c r="A27" s="227"/>
      <c r="B27" s="228"/>
      <c r="C27" s="233"/>
      <c r="D27" s="100">
        <f t="shared" si="3"/>
        <v>0</v>
      </c>
      <c r="E27" s="101">
        <f t="shared" si="4"/>
        <v>0</v>
      </c>
      <c r="F27" s="97">
        <v>0</v>
      </c>
      <c r="G27" s="100">
        <f t="shared" si="5"/>
        <v>0</v>
      </c>
      <c r="H27" s="95">
        <f t="shared" si="6"/>
        <v>-68261.360000000015</v>
      </c>
    </row>
    <row r="28" spans="1:10">
      <c r="A28" s="229"/>
      <c r="B28" s="230"/>
      <c r="C28" s="234"/>
      <c r="D28" s="100">
        <f t="shared" si="3"/>
        <v>0</v>
      </c>
      <c r="E28" s="101">
        <f t="shared" si="4"/>
        <v>0</v>
      </c>
      <c r="F28" s="97">
        <v>0</v>
      </c>
      <c r="G28" s="100">
        <f t="shared" si="5"/>
        <v>0</v>
      </c>
      <c r="H28" s="95">
        <f t="shared" si="6"/>
        <v>-68261.360000000015</v>
      </c>
    </row>
    <row r="29" spans="1:10">
      <c r="A29" s="229"/>
      <c r="B29" s="230"/>
      <c r="C29" s="234"/>
      <c r="D29" s="100">
        <f t="shared" si="3"/>
        <v>0</v>
      </c>
      <c r="E29" s="101">
        <f t="shared" si="4"/>
        <v>0</v>
      </c>
      <c r="F29" s="97">
        <v>0</v>
      </c>
      <c r="G29" s="100">
        <f t="shared" si="5"/>
        <v>0</v>
      </c>
      <c r="H29" s="95">
        <f t="shared" si="6"/>
        <v>-68261.360000000015</v>
      </c>
    </row>
    <row r="30" spans="1:10">
      <c r="A30" s="227"/>
      <c r="B30" s="231"/>
      <c r="C30" s="233"/>
      <c r="D30" s="100">
        <f t="shared" si="3"/>
        <v>0</v>
      </c>
      <c r="E30" s="101">
        <f t="shared" si="4"/>
        <v>0</v>
      </c>
      <c r="F30" s="97">
        <v>0</v>
      </c>
      <c r="G30" s="100">
        <f t="shared" si="5"/>
        <v>0</v>
      </c>
      <c r="H30" s="95">
        <f t="shared" si="6"/>
        <v>-68261.360000000015</v>
      </c>
    </row>
    <row r="31" spans="1:10">
      <c r="A31" s="227"/>
      <c r="B31" s="232"/>
      <c r="C31" s="235"/>
      <c r="D31" s="100">
        <f t="shared" si="3"/>
        <v>0</v>
      </c>
      <c r="E31" s="101">
        <f t="shared" si="4"/>
        <v>0</v>
      </c>
      <c r="F31" s="97">
        <v>0</v>
      </c>
      <c r="G31" s="100">
        <f t="shared" si="5"/>
        <v>0</v>
      </c>
      <c r="H31" s="95">
        <f t="shared" si="6"/>
        <v>-68261.360000000015</v>
      </c>
    </row>
    <row r="32" spans="1:10">
      <c r="A32" s="227"/>
      <c r="B32" s="228"/>
      <c r="C32" s="233"/>
      <c r="D32" s="100">
        <f t="shared" si="3"/>
        <v>0</v>
      </c>
      <c r="E32" s="101">
        <f t="shared" si="4"/>
        <v>0</v>
      </c>
      <c r="F32" s="97">
        <v>0</v>
      </c>
      <c r="G32" s="100">
        <f t="shared" si="5"/>
        <v>0</v>
      </c>
      <c r="H32" s="95">
        <f t="shared" si="6"/>
        <v>-68261.360000000015</v>
      </c>
    </row>
    <row r="33" spans="1:10">
      <c r="A33" s="227"/>
      <c r="B33" s="228"/>
      <c r="C33" s="233"/>
      <c r="D33" s="100">
        <f t="shared" si="3"/>
        <v>0</v>
      </c>
      <c r="E33" s="101">
        <f t="shared" si="4"/>
        <v>0</v>
      </c>
      <c r="F33" s="97">
        <v>0</v>
      </c>
      <c r="G33" s="100">
        <f t="shared" si="5"/>
        <v>0</v>
      </c>
      <c r="H33" s="95">
        <f t="shared" si="6"/>
        <v>-68261.360000000015</v>
      </c>
    </row>
    <row r="34" spans="1:10">
      <c r="A34" s="227"/>
      <c r="B34" s="228"/>
      <c r="C34" s="233"/>
      <c r="D34" s="100">
        <f t="shared" si="3"/>
        <v>0</v>
      </c>
      <c r="E34" s="101">
        <f t="shared" si="4"/>
        <v>0</v>
      </c>
      <c r="F34" s="97">
        <v>0</v>
      </c>
      <c r="G34" s="100">
        <f t="shared" si="5"/>
        <v>0</v>
      </c>
      <c r="H34" s="95">
        <f t="shared" si="6"/>
        <v>-68261.360000000015</v>
      </c>
    </row>
    <row r="35" spans="1:10">
      <c r="A35" s="229"/>
      <c r="B35" s="231"/>
      <c r="C35" s="234"/>
      <c r="D35" s="100">
        <f t="shared" si="3"/>
        <v>0</v>
      </c>
      <c r="E35" s="101">
        <f t="shared" si="4"/>
        <v>0</v>
      </c>
      <c r="F35" s="97">
        <v>0</v>
      </c>
      <c r="G35" s="100">
        <f t="shared" si="5"/>
        <v>0</v>
      </c>
      <c r="H35" s="95">
        <f t="shared" si="6"/>
        <v>-68261.360000000015</v>
      </c>
    </row>
    <row r="36" spans="1:10">
      <c r="A36" s="225"/>
      <c r="B36" s="226"/>
      <c r="C36" s="236"/>
      <c r="D36" s="100">
        <f t="shared" si="3"/>
        <v>0</v>
      </c>
      <c r="E36" s="101">
        <f t="shared" si="4"/>
        <v>0</v>
      </c>
      <c r="F36" s="97">
        <v>0</v>
      </c>
      <c r="G36" s="100">
        <f t="shared" si="5"/>
        <v>0</v>
      </c>
      <c r="H36" s="95">
        <f t="shared" si="6"/>
        <v>-68261.360000000015</v>
      </c>
    </row>
    <row r="37" spans="1:10">
      <c r="A37" s="229"/>
      <c r="B37" s="231"/>
      <c r="C37" s="237"/>
      <c r="D37" s="100">
        <f t="shared" si="3"/>
        <v>0</v>
      </c>
      <c r="E37" s="101">
        <f t="shared" si="4"/>
        <v>0</v>
      </c>
      <c r="F37" s="97">
        <v>0</v>
      </c>
      <c r="G37" s="100">
        <f t="shared" si="5"/>
        <v>0</v>
      </c>
      <c r="H37" s="95">
        <f t="shared" si="6"/>
        <v>-68261.360000000015</v>
      </c>
    </row>
    <row r="38" spans="1:10">
      <c r="A38" s="229"/>
      <c r="B38" s="230"/>
      <c r="C38" s="234"/>
      <c r="D38" s="100">
        <f t="shared" si="3"/>
        <v>0</v>
      </c>
      <c r="E38" s="101">
        <f t="shared" si="4"/>
        <v>0</v>
      </c>
      <c r="F38" s="97">
        <v>0</v>
      </c>
      <c r="G38" s="100">
        <f t="shared" si="5"/>
        <v>0</v>
      </c>
      <c r="H38" s="95">
        <f t="shared" si="6"/>
        <v>-68261.360000000015</v>
      </c>
    </row>
    <row r="39" spans="1:10">
      <c r="A39" s="227"/>
      <c r="B39" s="230"/>
      <c r="C39" s="233"/>
      <c r="D39" s="100">
        <f t="shared" si="3"/>
        <v>0</v>
      </c>
      <c r="E39" s="101">
        <f t="shared" si="4"/>
        <v>0</v>
      </c>
      <c r="F39" s="97">
        <v>0</v>
      </c>
      <c r="G39" s="100">
        <f t="shared" si="5"/>
        <v>0</v>
      </c>
      <c r="H39" s="95">
        <f t="shared" si="6"/>
        <v>-68261.360000000015</v>
      </c>
    </row>
    <row r="40" spans="1:10">
      <c r="A40" s="174">
        <v>45660</v>
      </c>
      <c r="B40" s="175" t="s">
        <v>464</v>
      </c>
      <c r="C40" s="176">
        <v>290000</v>
      </c>
      <c r="D40" s="100">
        <f t="shared" si="3"/>
        <v>290000</v>
      </c>
      <c r="E40" s="101">
        <f t="shared" si="4"/>
        <v>0</v>
      </c>
      <c r="F40" s="105">
        <v>1</v>
      </c>
      <c r="G40" s="100">
        <f t="shared" si="5"/>
        <v>-68261.360000000015</v>
      </c>
      <c r="H40" s="95">
        <f>G40</f>
        <v>-68261.360000000015</v>
      </c>
    </row>
    <row r="42" spans="1:10">
      <c r="C42" s="95"/>
      <c r="D42" s="95"/>
      <c r="E42" s="95"/>
      <c r="G42" s="95"/>
      <c r="H42" s="95"/>
    </row>
    <row r="43" spans="1:10">
      <c r="C43" s="100" t="s">
        <v>251</v>
      </c>
      <c r="D43" s="95" t="s">
        <v>295</v>
      </c>
      <c r="E43" s="95" t="s">
        <v>296</v>
      </c>
      <c r="G43" s="106"/>
      <c r="H43" s="106"/>
      <c r="I43" s="107"/>
    </row>
    <row r="44" spans="1:10" ht="15.75">
      <c r="B44" t="s">
        <v>249</v>
      </c>
      <c r="C44" s="108">
        <v>1</v>
      </c>
      <c r="D44" s="252">
        <f>D23</f>
        <v>0.76461599999999996</v>
      </c>
      <c r="E44" s="252">
        <f>1-D44</f>
        <v>0.23538400000000004</v>
      </c>
      <c r="H44" s="95"/>
    </row>
    <row r="45" spans="1:10">
      <c r="B45" t="s">
        <v>297</v>
      </c>
      <c r="C45" s="109">
        <f>$D$25*C44</f>
        <v>290000</v>
      </c>
      <c r="D45" s="110">
        <f>$D$25*D44</f>
        <v>221738.63999999998</v>
      </c>
      <c r="E45" s="110">
        <f>$D$25*E44</f>
        <v>68261.360000000015</v>
      </c>
      <c r="H45" s="95"/>
    </row>
    <row r="46" spans="1:10">
      <c r="B46" t="s">
        <v>250</v>
      </c>
      <c r="C46" s="100">
        <f>D46+E46</f>
        <v>290000</v>
      </c>
      <c r="D46" s="95">
        <f>C45-E46</f>
        <v>221738.63999999998</v>
      </c>
      <c r="E46" s="95">
        <f>$H$25*-1</f>
        <v>68261.360000000015</v>
      </c>
      <c r="G46" s="111"/>
      <c r="H46" s="95"/>
      <c r="J46" s="95"/>
    </row>
    <row r="47" spans="1:10">
      <c r="B47" t="s">
        <v>298</v>
      </c>
      <c r="C47" s="100">
        <f>C45-C46</f>
        <v>0</v>
      </c>
      <c r="D47" s="95">
        <f>D45-D46</f>
        <v>0</v>
      </c>
      <c r="E47" s="95">
        <f>E45-E46</f>
        <v>0</v>
      </c>
      <c r="G47" s="95"/>
      <c r="H47" s="95"/>
      <c r="J47" s="95"/>
    </row>
    <row r="48" spans="1:10" ht="13.5" thickBot="1">
      <c r="C48" s="112"/>
      <c r="D48" s="112"/>
      <c r="E48" s="112"/>
      <c r="G48" s="95"/>
      <c r="H48" s="95"/>
      <c r="J48" s="95"/>
    </row>
    <row r="49" spans="2:10">
      <c r="H49" s="95"/>
      <c r="J49" s="95"/>
    </row>
    <row r="50" spans="2:10">
      <c r="C50" s="5" t="s">
        <v>299</v>
      </c>
      <c r="D50" s="5" t="s">
        <v>300</v>
      </c>
      <c r="E50" s="5" t="s">
        <v>301</v>
      </c>
      <c r="G50" s="95"/>
      <c r="H50" s="95"/>
      <c r="J50" s="95"/>
    </row>
    <row r="51" spans="2:10">
      <c r="C51" s="95"/>
      <c r="D51" s="113"/>
      <c r="E51" s="95"/>
      <c r="H51" s="95"/>
      <c r="J51" s="95"/>
    </row>
    <row r="52" spans="2:10">
      <c r="B52" s="95" t="s">
        <v>248</v>
      </c>
      <c r="C52" s="95">
        <f>D46</f>
        <v>221738.63999999998</v>
      </c>
      <c r="D52" s="46">
        <v>2.5000000000000001E-2</v>
      </c>
      <c r="E52" s="95">
        <f>C52*D52</f>
        <v>5543.4660000000003</v>
      </c>
      <c r="H52" s="95"/>
    </row>
    <row r="53" spans="2:10">
      <c r="E53" s="95"/>
      <c r="G53" s="95"/>
      <c r="H53" s="9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478E-2956-4964-9AD6-7F9D21C896C5}">
  <dimension ref="A2:J53"/>
  <sheetViews>
    <sheetView topLeftCell="A15" zoomScale="220" zoomScaleNormal="220" workbookViewId="0">
      <selection activeCell="C27" sqref="C27"/>
    </sheetView>
  </sheetViews>
  <sheetFormatPr defaultRowHeight="12.75"/>
  <cols>
    <col min="1" max="1" width="10.5703125" bestFit="1" customWidth="1"/>
    <col min="2" max="2" width="16" customWidth="1"/>
    <col min="3" max="3" width="11.140625" bestFit="1" customWidth="1"/>
    <col min="4" max="4" width="12" bestFit="1" customWidth="1"/>
    <col min="5" max="5" width="12.28515625" customWidth="1"/>
    <col min="6" max="6" width="13" customWidth="1"/>
    <col min="7" max="7" width="12.5703125" customWidth="1"/>
    <col min="8" max="8" width="12.7109375" bestFit="1" customWidth="1"/>
    <col min="9" max="9" width="15.140625" customWidth="1"/>
  </cols>
  <sheetData>
    <row r="2" spans="1:8">
      <c r="B2" s="93" t="s">
        <v>341</v>
      </c>
    </row>
    <row r="3" spans="1:8">
      <c r="C3" s="5" t="s">
        <v>334</v>
      </c>
      <c r="D3" s="1" t="s">
        <v>335</v>
      </c>
      <c r="E3" s="5" t="s">
        <v>336</v>
      </c>
      <c r="F3" s="1"/>
      <c r="H3" s="5" t="s">
        <v>4</v>
      </c>
    </row>
    <row r="4" spans="1:8">
      <c r="C4" s="119" t="s">
        <v>3</v>
      </c>
      <c r="D4" s="1" t="s">
        <v>26</v>
      </c>
      <c r="E4" s="5" t="s">
        <v>3</v>
      </c>
      <c r="F4" s="1"/>
      <c r="H4" s="5" t="s">
        <v>26</v>
      </c>
    </row>
    <row r="5" spans="1:8" ht="14.25">
      <c r="D5" s="103">
        <v>121030.76</v>
      </c>
      <c r="E5" s="102"/>
      <c r="F5" s="102"/>
      <c r="G5" s="120" t="s">
        <v>337</v>
      </c>
      <c r="H5" s="121">
        <f>D5</f>
        <v>121030.76</v>
      </c>
    </row>
    <row r="6" spans="1:8" ht="14.25">
      <c r="D6" s="95"/>
      <c r="G6" s="2" t="s">
        <v>338</v>
      </c>
      <c r="H6" s="122">
        <f>H25*-1</f>
        <v>187718.95184560007</v>
      </c>
    </row>
    <row r="7" spans="1:8" ht="14.25">
      <c r="D7" s="95"/>
      <c r="H7" s="122">
        <f>H6+H5</f>
        <v>308749.71184560005</v>
      </c>
    </row>
    <row r="8" spans="1:8">
      <c r="A8" s="123">
        <v>45295</v>
      </c>
      <c r="C8" s="94">
        <v>10000</v>
      </c>
      <c r="D8" s="90">
        <f>H7-C8</f>
        <v>298749.71184560005</v>
      </c>
      <c r="E8" s="124">
        <v>10000</v>
      </c>
      <c r="F8" s="125"/>
      <c r="G8" s="125" t="s">
        <v>339</v>
      </c>
      <c r="H8" s="126">
        <f t="shared" ref="H8:H19" si="0">H7-E8</f>
        <v>298749.71184560005</v>
      </c>
    </row>
    <row r="9" spans="1:8">
      <c r="A9" s="123">
        <v>45323</v>
      </c>
      <c r="C9" s="94">
        <v>10000</v>
      </c>
      <c r="D9" s="90">
        <f t="shared" ref="D9:D19" si="1">D8-C9</f>
        <v>288749.71184560005</v>
      </c>
      <c r="E9" s="124">
        <v>10000</v>
      </c>
      <c r="F9" s="125"/>
      <c r="G9" s="125" t="s">
        <v>339</v>
      </c>
      <c r="H9" s="90">
        <f t="shared" si="0"/>
        <v>288749.71184560005</v>
      </c>
    </row>
    <row r="10" spans="1:8">
      <c r="A10" s="123">
        <v>45352</v>
      </c>
      <c r="C10" s="94">
        <v>10000</v>
      </c>
      <c r="D10" s="90">
        <f t="shared" si="1"/>
        <v>278749.71184560005</v>
      </c>
      <c r="E10" s="124">
        <v>10000</v>
      </c>
      <c r="F10" s="125"/>
      <c r="G10" s="125" t="s">
        <v>339</v>
      </c>
      <c r="H10" s="90">
        <f t="shared" si="0"/>
        <v>278749.71184560005</v>
      </c>
    </row>
    <row r="11" spans="1:8">
      <c r="A11" s="123">
        <v>45383</v>
      </c>
      <c r="C11" s="94">
        <v>10000</v>
      </c>
      <c r="D11" s="90">
        <f t="shared" si="1"/>
        <v>268749.71184560005</v>
      </c>
      <c r="E11" s="124">
        <v>10000</v>
      </c>
      <c r="F11" s="125"/>
      <c r="G11" s="125" t="s">
        <v>339</v>
      </c>
      <c r="H11" s="90">
        <f t="shared" si="0"/>
        <v>268749.71184560005</v>
      </c>
    </row>
    <row r="12" spans="1:8">
      <c r="A12" s="123">
        <v>45413</v>
      </c>
      <c r="C12" s="94">
        <v>10000</v>
      </c>
      <c r="D12" s="90">
        <f t="shared" si="1"/>
        <v>258749.71184560005</v>
      </c>
      <c r="E12" s="124">
        <v>10000</v>
      </c>
      <c r="F12" s="125"/>
      <c r="G12" s="125" t="s">
        <v>339</v>
      </c>
      <c r="H12" s="90">
        <f t="shared" si="0"/>
        <v>258749.71184560005</v>
      </c>
    </row>
    <row r="13" spans="1:8">
      <c r="A13" s="123">
        <v>45444</v>
      </c>
      <c r="C13" s="94">
        <v>10000</v>
      </c>
      <c r="D13" s="90">
        <f t="shared" si="1"/>
        <v>248749.71184560005</v>
      </c>
      <c r="E13" s="124">
        <v>10000</v>
      </c>
      <c r="G13" s="125" t="s">
        <v>339</v>
      </c>
      <c r="H13" s="90">
        <f t="shared" si="0"/>
        <v>248749.71184560005</v>
      </c>
    </row>
    <row r="14" spans="1:8">
      <c r="A14" s="123">
        <v>45474</v>
      </c>
      <c r="C14" s="94">
        <v>10000</v>
      </c>
      <c r="D14" s="90">
        <f t="shared" si="1"/>
        <v>238749.71184560005</v>
      </c>
      <c r="E14" s="124">
        <v>10000</v>
      </c>
      <c r="G14" s="125" t="s">
        <v>339</v>
      </c>
      <c r="H14" s="90">
        <f t="shared" si="0"/>
        <v>238749.71184560005</v>
      </c>
    </row>
    <row r="15" spans="1:8">
      <c r="A15" s="123">
        <v>45505</v>
      </c>
      <c r="C15" s="94">
        <v>10000</v>
      </c>
      <c r="D15" s="90">
        <f t="shared" si="1"/>
        <v>228749.71184560005</v>
      </c>
      <c r="F15" t="s">
        <v>455</v>
      </c>
      <c r="H15" s="90">
        <f t="shared" si="0"/>
        <v>238749.71184560005</v>
      </c>
    </row>
    <row r="16" spans="1:8">
      <c r="A16" s="123">
        <v>45536</v>
      </c>
      <c r="C16" s="94">
        <v>10000</v>
      </c>
      <c r="D16" s="90">
        <f t="shared" si="1"/>
        <v>218749.71184560005</v>
      </c>
      <c r="F16" t="s">
        <v>455</v>
      </c>
      <c r="H16" s="90">
        <f t="shared" si="0"/>
        <v>238749.71184560005</v>
      </c>
    </row>
    <row r="17" spans="1:10">
      <c r="A17" s="123">
        <v>45566</v>
      </c>
      <c r="C17" s="94">
        <v>10000</v>
      </c>
      <c r="D17" s="90">
        <f t="shared" si="1"/>
        <v>208749.71184560005</v>
      </c>
      <c r="F17" t="s">
        <v>455</v>
      </c>
      <c r="H17" s="90">
        <f t="shared" si="0"/>
        <v>238749.71184560005</v>
      </c>
    </row>
    <row r="18" spans="1:10" ht="13.5" thickBot="1">
      <c r="A18" s="123">
        <v>45623</v>
      </c>
      <c r="B18" t="s">
        <v>253</v>
      </c>
      <c r="C18" s="94">
        <v>10000</v>
      </c>
      <c r="D18" s="90">
        <f t="shared" si="1"/>
        <v>198749.71184560005</v>
      </c>
      <c r="E18" s="124">
        <v>40000</v>
      </c>
      <c r="H18" s="90">
        <f t="shared" si="0"/>
        <v>198749.71184560005</v>
      </c>
    </row>
    <row r="19" spans="1:10" ht="13.5" thickBot="1">
      <c r="A19" s="123">
        <v>45627</v>
      </c>
      <c r="B19" t="s">
        <v>255</v>
      </c>
      <c r="C19" s="94">
        <v>11030.76</v>
      </c>
      <c r="D19" s="90">
        <f t="shared" si="1"/>
        <v>187718.95184560004</v>
      </c>
      <c r="E19" s="124">
        <v>60000</v>
      </c>
      <c r="G19" s="250" t="s">
        <v>467</v>
      </c>
      <c r="H19" s="241">
        <f t="shared" si="0"/>
        <v>138749.71184560005</v>
      </c>
    </row>
    <row r="20" spans="1:10" ht="13.5" thickBot="1">
      <c r="A20" s="123"/>
      <c r="C20" s="238"/>
      <c r="D20" s="239" t="s">
        <v>465</v>
      </c>
      <c r="E20" s="240">
        <f>SUM(E8:E19)</f>
        <v>170000</v>
      </c>
      <c r="H20" s="90"/>
    </row>
    <row r="21" spans="1:10">
      <c r="A21" s="123"/>
      <c r="C21" s="94"/>
      <c r="D21" s="90"/>
      <c r="E21" s="124"/>
      <c r="H21" s="90"/>
    </row>
    <row r="22" spans="1:10">
      <c r="C22" s="94"/>
      <c r="D22" s="90"/>
      <c r="G22" s="90"/>
      <c r="H22" s="95"/>
    </row>
    <row r="23" spans="1:10" ht="15.75">
      <c r="B23" s="96" t="s">
        <v>286</v>
      </c>
      <c r="D23" s="251">
        <v>0.76461599999999996</v>
      </c>
      <c r="E23" s="251">
        <f>1-D23</f>
        <v>0.23538400000000004</v>
      </c>
      <c r="H23" s="95"/>
    </row>
    <row r="24" spans="1:10">
      <c r="A24" s="116" t="s">
        <v>23</v>
      </c>
      <c r="B24" s="116" t="s">
        <v>24</v>
      </c>
      <c r="C24" s="127" t="s">
        <v>287</v>
      </c>
      <c r="D24" s="128" t="s">
        <v>288</v>
      </c>
      <c r="E24" s="127" t="s">
        <v>289</v>
      </c>
      <c r="F24" s="129" t="s">
        <v>290</v>
      </c>
      <c r="G24" s="127" t="s">
        <v>291</v>
      </c>
      <c r="H24" s="130" t="s">
        <v>247</v>
      </c>
    </row>
    <row r="25" spans="1:10">
      <c r="A25" s="116"/>
      <c r="B25" s="117" t="s">
        <v>294</v>
      </c>
      <c r="C25" s="118">
        <f>SUBTOTAL(109,C26:C40)</f>
        <v>804500.9</v>
      </c>
      <c r="D25" s="118">
        <f>SUBTOTAL(109,D26:D40)</f>
        <v>797500.9</v>
      </c>
      <c r="E25" s="118">
        <f>SUM(E26:E40)</f>
        <v>-1647.6880000000003</v>
      </c>
      <c r="F25" s="117"/>
      <c r="G25" s="118">
        <f>SUBTOTAL(109,$G$26:$G$40)</f>
        <v>-187718.95184560007</v>
      </c>
      <c r="H25" s="118">
        <f>H26</f>
        <v>-187718.95184560007</v>
      </c>
      <c r="J25" s="98"/>
    </row>
    <row r="26" spans="1:10">
      <c r="A26" s="99">
        <v>45656</v>
      </c>
      <c r="B26" t="s">
        <v>292</v>
      </c>
      <c r="C26">
        <v>-3999.1</v>
      </c>
      <c r="D26" s="100">
        <f>IF(F26=1,$C26,0)</f>
        <v>-3999.1</v>
      </c>
      <c r="E26" s="101">
        <f t="shared" ref="E26:E40" si="2">IF(F26=0,C26*$E$23*-1,0)</f>
        <v>0</v>
      </c>
      <c r="F26" s="97">
        <v>1</v>
      </c>
      <c r="G26" s="100">
        <f t="shared" ref="G26:G40" si="3">IF(F26=1,C26*$E$23*-1,0)</f>
        <v>941.32415440000011</v>
      </c>
      <c r="H26" s="95">
        <f t="shared" ref="H26:H39" si="4">H27+G26</f>
        <v>-187718.95184560007</v>
      </c>
      <c r="J26" s="98"/>
    </row>
    <row r="27" spans="1:10">
      <c r="A27" s="131"/>
      <c r="B27" s="132"/>
      <c r="C27" s="133"/>
      <c r="D27" s="100">
        <f t="shared" ref="D27:D40" si="5">IF(F27=1,$C27,0)</f>
        <v>0</v>
      </c>
      <c r="E27" s="101">
        <f t="shared" si="2"/>
        <v>0</v>
      </c>
      <c r="F27" s="97">
        <v>0</v>
      </c>
      <c r="G27" s="100">
        <f t="shared" si="3"/>
        <v>0</v>
      </c>
      <c r="H27" s="95">
        <f t="shared" si="4"/>
        <v>-188660.27600000007</v>
      </c>
    </row>
    <row r="28" spans="1:10">
      <c r="A28" s="134"/>
      <c r="B28" s="135"/>
      <c r="C28" s="136"/>
      <c r="D28" s="100">
        <f t="shared" si="5"/>
        <v>0</v>
      </c>
      <c r="E28" s="101">
        <f t="shared" si="2"/>
        <v>0</v>
      </c>
      <c r="F28" s="97">
        <v>0</v>
      </c>
      <c r="G28" s="100">
        <f t="shared" si="3"/>
        <v>0</v>
      </c>
      <c r="H28" s="95">
        <f t="shared" si="4"/>
        <v>-188660.27600000007</v>
      </c>
    </row>
    <row r="29" spans="1:10">
      <c r="A29" s="134">
        <v>45631</v>
      </c>
      <c r="B29" s="243" t="s">
        <v>461</v>
      </c>
      <c r="C29" s="244">
        <v>219000</v>
      </c>
      <c r="D29" s="249">
        <f t="shared" si="5"/>
        <v>219000</v>
      </c>
      <c r="E29" s="101">
        <f t="shared" si="2"/>
        <v>0</v>
      </c>
      <c r="F29" s="97">
        <v>1</v>
      </c>
      <c r="G29" s="100">
        <f t="shared" si="3"/>
        <v>-51549.096000000005</v>
      </c>
      <c r="H29" s="95">
        <f t="shared" si="4"/>
        <v>-188660.27600000007</v>
      </c>
    </row>
    <row r="30" spans="1:10">
      <c r="A30" s="131">
        <v>45607</v>
      </c>
      <c r="B30" s="177" t="s">
        <v>460</v>
      </c>
      <c r="C30" s="133">
        <v>148500</v>
      </c>
      <c r="D30" s="100">
        <f t="shared" si="5"/>
        <v>148500</v>
      </c>
      <c r="E30" s="101">
        <f t="shared" si="2"/>
        <v>0</v>
      </c>
      <c r="F30" s="97">
        <v>1</v>
      </c>
      <c r="G30" s="100">
        <f t="shared" si="3"/>
        <v>-34954.524000000005</v>
      </c>
      <c r="H30" s="95">
        <f t="shared" si="4"/>
        <v>-137111.18000000005</v>
      </c>
    </row>
    <row r="31" spans="1:10">
      <c r="A31" s="131">
        <v>45405</v>
      </c>
      <c r="B31" s="245" t="s">
        <v>352</v>
      </c>
      <c r="C31" s="246">
        <v>33000</v>
      </c>
      <c r="D31" s="249">
        <f t="shared" si="5"/>
        <v>33000</v>
      </c>
      <c r="E31" s="101">
        <f t="shared" si="2"/>
        <v>0</v>
      </c>
      <c r="F31" s="97">
        <v>1</v>
      </c>
      <c r="G31" s="100">
        <f t="shared" si="3"/>
        <v>-7767.6720000000014</v>
      </c>
      <c r="H31" s="95">
        <f t="shared" si="4"/>
        <v>-102156.65600000003</v>
      </c>
    </row>
    <row r="32" spans="1:10">
      <c r="A32" s="131">
        <v>45405</v>
      </c>
      <c r="B32" s="132" t="s">
        <v>407</v>
      </c>
      <c r="C32" s="133">
        <v>170000</v>
      </c>
      <c r="D32" s="100">
        <f t="shared" si="5"/>
        <v>170000</v>
      </c>
      <c r="E32" s="101">
        <f t="shared" si="2"/>
        <v>0</v>
      </c>
      <c r="F32" s="97">
        <v>1</v>
      </c>
      <c r="G32" s="100">
        <f t="shared" si="3"/>
        <v>-40015.280000000006</v>
      </c>
      <c r="H32" s="95">
        <f t="shared" si="4"/>
        <v>-94388.984000000026</v>
      </c>
    </row>
    <row r="33" spans="1:10">
      <c r="A33" s="131">
        <v>45405</v>
      </c>
      <c r="B33" s="132" t="s">
        <v>406</v>
      </c>
      <c r="C33" s="133">
        <v>-25000</v>
      </c>
      <c r="D33" s="100">
        <f t="shared" si="5"/>
        <v>-25000</v>
      </c>
      <c r="E33" s="101">
        <f t="shared" si="2"/>
        <v>0</v>
      </c>
      <c r="F33" s="97">
        <v>1</v>
      </c>
      <c r="G33" s="100">
        <f t="shared" si="3"/>
        <v>5884.6000000000013</v>
      </c>
      <c r="H33" s="95">
        <f t="shared" si="4"/>
        <v>-54373.704000000012</v>
      </c>
    </row>
    <row r="34" spans="1:10">
      <c r="A34" s="131">
        <v>45397</v>
      </c>
      <c r="B34" s="132" t="s">
        <v>405</v>
      </c>
      <c r="C34" s="133">
        <v>1000</v>
      </c>
      <c r="D34" s="100">
        <f t="shared" si="5"/>
        <v>1000</v>
      </c>
      <c r="E34" s="101">
        <f t="shared" ref="E34" si="6">IF(F34=0,C34*$E$23*-1,0)</f>
        <v>0</v>
      </c>
      <c r="F34" s="97">
        <v>1</v>
      </c>
      <c r="G34" s="100">
        <f t="shared" ref="G34" si="7">IF(F34=1,C34*$E$23*-1,0)</f>
        <v>-235.38400000000004</v>
      </c>
      <c r="H34" s="95">
        <f t="shared" si="4"/>
        <v>-60258.304000000011</v>
      </c>
    </row>
    <row r="35" spans="1:10">
      <c r="A35" s="134">
        <v>45397</v>
      </c>
      <c r="B35" s="247" t="s">
        <v>351</v>
      </c>
      <c r="C35" s="244">
        <v>85000</v>
      </c>
      <c r="D35" s="249">
        <f t="shared" si="5"/>
        <v>85000</v>
      </c>
      <c r="E35" s="101">
        <f t="shared" si="2"/>
        <v>0</v>
      </c>
      <c r="F35" s="97">
        <v>1</v>
      </c>
      <c r="G35" s="100">
        <f t="shared" si="3"/>
        <v>-20007.640000000003</v>
      </c>
      <c r="H35" s="95">
        <f t="shared" si="4"/>
        <v>-60022.920000000013</v>
      </c>
    </row>
    <row r="36" spans="1:10">
      <c r="A36" s="99">
        <v>45321</v>
      </c>
      <c r="B36" s="104" t="s">
        <v>293</v>
      </c>
      <c r="C36" s="173">
        <v>7000</v>
      </c>
      <c r="D36" s="100">
        <f t="shared" si="5"/>
        <v>0</v>
      </c>
      <c r="E36" s="101">
        <f t="shared" si="2"/>
        <v>-1647.6880000000003</v>
      </c>
      <c r="F36" s="97">
        <v>0</v>
      </c>
      <c r="G36" s="100">
        <f t="shared" si="3"/>
        <v>0</v>
      </c>
      <c r="H36" s="95">
        <f t="shared" si="4"/>
        <v>-40015.280000000006</v>
      </c>
    </row>
    <row r="37" spans="1:10">
      <c r="A37" s="134"/>
      <c r="B37" s="247" t="s">
        <v>408</v>
      </c>
      <c r="C37" s="248">
        <v>24000</v>
      </c>
      <c r="D37" s="249">
        <f t="shared" si="5"/>
        <v>24000</v>
      </c>
      <c r="E37" s="101">
        <f t="shared" si="2"/>
        <v>0</v>
      </c>
      <c r="F37" s="97">
        <v>1</v>
      </c>
      <c r="G37" s="100">
        <f t="shared" si="3"/>
        <v>-5649.2160000000013</v>
      </c>
      <c r="H37" s="95">
        <f t="shared" si="4"/>
        <v>-40015.280000000006</v>
      </c>
    </row>
    <row r="38" spans="1:10">
      <c r="A38" s="134">
        <v>45296</v>
      </c>
      <c r="B38" s="135" t="s">
        <v>340</v>
      </c>
      <c r="C38" s="136">
        <v>26000</v>
      </c>
      <c r="D38" s="100">
        <f t="shared" si="5"/>
        <v>26000</v>
      </c>
      <c r="E38" s="101">
        <f t="shared" si="2"/>
        <v>0</v>
      </c>
      <c r="F38" s="97">
        <v>1</v>
      </c>
      <c r="G38" s="100">
        <f t="shared" si="3"/>
        <v>-6119.9840000000013</v>
      </c>
      <c r="H38" s="95">
        <f t="shared" si="4"/>
        <v>-34366.064000000006</v>
      </c>
    </row>
    <row r="39" spans="1:10">
      <c r="A39" s="131">
        <v>45295</v>
      </c>
      <c r="B39" s="135" t="s">
        <v>340</v>
      </c>
      <c r="C39" s="133">
        <v>120000</v>
      </c>
      <c r="D39" s="100">
        <f t="shared" si="5"/>
        <v>120000</v>
      </c>
      <c r="E39" s="101">
        <f t="shared" si="2"/>
        <v>0</v>
      </c>
      <c r="F39" s="97">
        <v>1</v>
      </c>
      <c r="G39" s="100">
        <f t="shared" si="3"/>
        <v>-28246.080000000005</v>
      </c>
      <c r="H39" s="95">
        <f t="shared" si="4"/>
        <v>-28246.080000000005</v>
      </c>
    </row>
    <row r="40" spans="1:10">
      <c r="A40" s="174">
        <v>45292</v>
      </c>
      <c r="B40" s="175" t="s">
        <v>253</v>
      </c>
      <c r="C40" s="176"/>
      <c r="D40" s="100">
        <f t="shared" si="5"/>
        <v>0</v>
      </c>
      <c r="E40" s="101">
        <f t="shared" si="2"/>
        <v>0</v>
      </c>
      <c r="F40" s="105">
        <v>0</v>
      </c>
      <c r="G40" s="100">
        <f t="shared" si="3"/>
        <v>0</v>
      </c>
      <c r="H40" s="95">
        <f>G40</f>
        <v>0</v>
      </c>
    </row>
    <row r="42" spans="1:10">
      <c r="C42" s="95"/>
      <c r="D42" s="95"/>
      <c r="E42" s="95"/>
      <c r="G42" s="95"/>
      <c r="H42" s="95"/>
    </row>
    <row r="43" spans="1:10">
      <c r="C43" s="100" t="s">
        <v>251</v>
      </c>
      <c r="D43" s="95" t="s">
        <v>295</v>
      </c>
      <c r="E43" s="95" t="s">
        <v>296</v>
      </c>
      <c r="G43" s="106"/>
      <c r="H43" s="106"/>
      <c r="I43" s="107"/>
    </row>
    <row r="44" spans="1:10" ht="15.75">
      <c r="B44" t="s">
        <v>249</v>
      </c>
      <c r="C44" s="108">
        <v>1</v>
      </c>
      <c r="D44" s="252">
        <f>D23</f>
        <v>0.76461599999999996</v>
      </c>
      <c r="E44" s="252">
        <f>1-D44</f>
        <v>0.23538400000000004</v>
      </c>
      <c r="H44" s="95"/>
    </row>
    <row r="45" spans="1:10">
      <c r="B45" t="s">
        <v>297</v>
      </c>
      <c r="C45" s="109">
        <f>$D$25*C44</f>
        <v>797500.9</v>
      </c>
      <c r="D45" s="110">
        <f>$D$25*D44</f>
        <v>609781.94815439999</v>
      </c>
      <c r="E45" s="110">
        <f>$D$25*E44</f>
        <v>187718.95184560004</v>
      </c>
      <c r="H45" s="95"/>
    </row>
    <row r="46" spans="1:10">
      <c r="B46" t="s">
        <v>250</v>
      </c>
      <c r="C46" s="100">
        <f>D46+E46</f>
        <v>797500.9</v>
      </c>
      <c r="D46" s="95">
        <f>C45-E46</f>
        <v>609781.94815439999</v>
      </c>
      <c r="E46" s="95">
        <f>$H$25*-1</f>
        <v>187718.95184560007</v>
      </c>
      <c r="G46" s="111"/>
      <c r="H46" s="95"/>
      <c r="J46" s="95"/>
    </row>
    <row r="47" spans="1:10">
      <c r="B47" t="s">
        <v>298</v>
      </c>
      <c r="C47" s="100">
        <f>C45-C46</f>
        <v>0</v>
      </c>
      <c r="D47" s="95">
        <f>D45-D46</f>
        <v>0</v>
      </c>
      <c r="E47" s="95">
        <f>E45-E46</f>
        <v>0</v>
      </c>
      <c r="G47" s="95"/>
      <c r="H47" s="95"/>
      <c r="J47" s="95"/>
    </row>
    <row r="48" spans="1:10" ht="13.5" thickBot="1">
      <c r="C48" s="112"/>
      <c r="D48" s="112"/>
      <c r="E48" s="112"/>
      <c r="G48" s="95"/>
      <c r="H48" s="95"/>
      <c r="J48" s="95"/>
    </row>
    <row r="49" spans="2:10">
      <c r="H49" s="95"/>
      <c r="J49" s="95"/>
    </row>
    <row r="50" spans="2:10">
      <c r="C50" s="5" t="s">
        <v>299</v>
      </c>
      <c r="D50" s="5" t="s">
        <v>300</v>
      </c>
      <c r="E50" s="5" t="s">
        <v>301</v>
      </c>
      <c r="G50" s="95"/>
      <c r="H50" s="95"/>
      <c r="J50" s="95"/>
    </row>
    <row r="51" spans="2:10">
      <c r="C51" s="95"/>
      <c r="D51" s="113"/>
      <c r="E51" s="95"/>
      <c r="H51" s="95"/>
      <c r="J51" s="95"/>
    </row>
    <row r="52" spans="2:10">
      <c r="B52" s="95" t="s">
        <v>248</v>
      </c>
      <c r="C52" s="95">
        <f>D46</f>
        <v>609781.94815439999</v>
      </c>
      <c r="D52" s="46">
        <v>2.5000000000000001E-2</v>
      </c>
      <c r="E52" s="95">
        <f>C52*D52</f>
        <v>15244.54870386</v>
      </c>
      <c r="H52" s="95"/>
    </row>
    <row r="53" spans="2:10">
      <c r="E53" s="95"/>
      <c r="G53" s="95"/>
      <c r="H53" s="9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1010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TPLM</vt:lpstr>
      <vt:lpstr>SnyA105-22</vt:lpstr>
      <vt:lpstr>SnyB202-22</vt:lpstr>
      <vt:lpstr>SnyC301-22</vt:lpstr>
      <vt:lpstr>SnyCD-HSP</vt:lpstr>
      <vt:lpstr>SnyE503-24</vt:lpstr>
      <vt:lpstr>SnyE502-22</vt:lpstr>
      <vt:lpstr>SnyF601-22</vt:lpstr>
      <vt:lpstr>snyF-HSP</vt:lpstr>
      <vt:lpstr>SnyG702-22</vt:lpstr>
      <vt:lpstr>SnH_yazıhane</vt:lpstr>
      <vt:lpstr>NAZAN_25</vt:lpstr>
      <vt:lpstr>NAZAN_24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cp:revision>322</cp:revision>
  <cp:lastPrinted>2024-01-22T10:23:13Z</cp:lastPrinted>
  <dcterms:created xsi:type="dcterms:W3CDTF">2019-12-25T12:06:09Z</dcterms:created>
  <dcterms:modified xsi:type="dcterms:W3CDTF">2025-02-05T03:59:03Z</dcterms:modified>
</cp:coreProperties>
</file>