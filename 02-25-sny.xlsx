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F8D6108-6187-465B-943D-5CFFE69D7C0F}" xr6:coauthVersionLast="47" xr6:coauthVersionMax="47" xr10:uidLastSave="{00000000-0000-0000-0000-000000000000}"/>
  <bookViews>
    <workbookView xWindow="-120" yWindow="-120" windowWidth="29040" windowHeight="15720" tabRatio="912" activeTab="9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9" i="20" l="1"/>
  <c r="F48" i="20"/>
  <c r="H48" i="20"/>
  <c r="F17" i="20"/>
  <c r="E18" i="20"/>
  <c r="E19" i="20" s="1"/>
  <c r="E20" i="20" s="1"/>
  <c r="E21" i="20" s="1"/>
  <c r="E22" i="20" s="1"/>
  <c r="E23" i="20" s="1"/>
  <c r="E24" i="20" s="1"/>
  <c r="E25" i="20" s="1"/>
  <c r="E26" i="20" s="1"/>
  <c r="E27" i="20" s="1"/>
  <c r="E28" i="20" s="1"/>
  <c r="E29" i="20" s="1"/>
  <c r="E30" i="20" s="1"/>
  <c r="E8" i="20"/>
  <c r="E9" i="20" s="1"/>
  <c r="E10" i="20" s="1"/>
  <c r="E11" i="20" s="1"/>
  <c r="E12" i="20" s="1"/>
  <c r="E13" i="20" s="1"/>
  <c r="E14" i="20" s="1"/>
  <c r="E15" i="20" s="1"/>
  <c r="E16" i="20" s="1"/>
  <c r="F35" i="20"/>
  <c r="F34" i="20"/>
  <c r="F33" i="20"/>
  <c r="F32" i="20"/>
  <c r="H6" i="20"/>
  <c r="H7" i="20" s="1"/>
  <c r="H8" i="20" s="1"/>
  <c r="H9" i="20" s="1"/>
  <c r="H10" i="20" s="1"/>
  <c r="H11" i="20" s="1"/>
  <c r="H12" i="20" s="1"/>
  <c r="H13" i="20" s="1"/>
  <c r="H19" i="18"/>
  <c r="H18" i="18" s="1"/>
  <c r="E47" i="15"/>
  <c r="F47" i="15"/>
  <c r="G3" i="18"/>
  <c r="K26" i="18"/>
  <c r="K27" i="18" s="1"/>
  <c r="K21" i="18"/>
  <c r="K22" i="18" s="1"/>
  <c r="K23" i="18" s="1"/>
  <c r="F45" i="18"/>
  <c r="F42" i="18" s="1"/>
  <c r="F40" i="18" s="1"/>
  <c r="F38" i="18" s="1"/>
  <c r="F36" i="18" s="1"/>
  <c r="D26" i="16"/>
  <c r="G10" i="8"/>
  <c r="G11" i="8" s="1"/>
  <c r="G12" i="8" s="1"/>
  <c r="G13" i="8" s="1"/>
  <c r="H49" i="20" l="1"/>
  <c r="H50" i="20" s="1"/>
  <c r="F29" i="20"/>
  <c r="H14" i="20"/>
  <c r="H15" i="20" s="1"/>
  <c r="H16" i="20" s="1"/>
  <c r="H17" i="20" s="1"/>
  <c r="F30" i="20"/>
  <c r="E31" i="20"/>
  <c r="E36" i="20" s="1"/>
  <c r="F37" i="20" s="1"/>
  <c r="F19" i="20"/>
  <c r="F18" i="20"/>
  <c r="C9" i="19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E20" i="16"/>
  <c r="D44" i="19"/>
  <c r="E44" i="19" s="1"/>
  <c r="D40" i="19"/>
  <c r="D39" i="19"/>
  <c r="D38" i="19"/>
  <c r="D37" i="19"/>
  <c r="G36" i="19"/>
  <c r="D36" i="19"/>
  <c r="G35" i="19"/>
  <c r="D35" i="19"/>
  <c r="D34" i="19"/>
  <c r="E33" i="19"/>
  <c r="D33" i="19"/>
  <c r="E32" i="19"/>
  <c r="D32" i="19"/>
  <c r="G31" i="19"/>
  <c r="D31" i="19"/>
  <c r="D30" i="19"/>
  <c r="G29" i="19"/>
  <c r="D29" i="19"/>
  <c r="G28" i="19"/>
  <c r="D28" i="19"/>
  <c r="G27" i="19"/>
  <c r="D27" i="19"/>
  <c r="G26" i="19"/>
  <c r="D26" i="19"/>
  <c r="C25" i="19"/>
  <c r="E23" i="19"/>
  <c r="G30" i="19" s="1"/>
  <c r="H5" i="19"/>
  <c r="D46" i="18"/>
  <c r="E46" i="18" s="1"/>
  <c r="E45" i="18" s="1"/>
  <c r="E23" i="18"/>
  <c r="H18" i="20" l="1"/>
  <c r="H19" i="20" s="1"/>
  <c r="F31" i="20"/>
  <c r="F36" i="20"/>
  <c r="E37" i="20"/>
  <c r="E38" i="20"/>
  <c r="F20" i="20"/>
  <c r="E34" i="19"/>
  <c r="E35" i="19"/>
  <c r="E29" i="19"/>
  <c r="E38" i="19"/>
  <c r="E36" i="19"/>
  <c r="E39" i="19"/>
  <c r="E30" i="19"/>
  <c r="E37" i="19"/>
  <c r="G40" i="19"/>
  <c r="H40" i="19" s="1"/>
  <c r="E31" i="19"/>
  <c r="D25" i="19"/>
  <c r="E45" i="19" s="1"/>
  <c r="G37" i="19"/>
  <c r="E26" i="19"/>
  <c r="G32" i="19"/>
  <c r="G38" i="19"/>
  <c r="G33" i="19"/>
  <c r="E28" i="19"/>
  <c r="E40" i="19"/>
  <c r="E27" i="19"/>
  <c r="G39" i="19"/>
  <c r="H39" i="19" s="1"/>
  <c r="H38" i="19" s="1"/>
  <c r="H37" i="19" s="1"/>
  <c r="H36" i="19" s="1"/>
  <c r="H35" i="19" s="1"/>
  <c r="G34" i="19"/>
  <c r="F35" i="15"/>
  <c r="F34" i="15"/>
  <c r="F33" i="15"/>
  <c r="F32" i="15"/>
  <c r="D14" i="18"/>
  <c r="D17" i="18"/>
  <c r="D19" i="18"/>
  <c r="D23" i="18"/>
  <c r="H48" i="18"/>
  <c r="H47" i="18" s="1"/>
  <c r="F46" i="18" s="1"/>
  <c r="D43" i="18"/>
  <c r="E43" i="18" s="1"/>
  <c r="D41" i="18"/>
  <c r="D39" i="18"/>
  <c r="D37" i="18"/>
  <c r="D35" i="18"/>
  <c r="D33" i="18"/>
  <c r="D31" i="18"/>
  <c r="D29" i="18"/>
  <c r="D27" i="18"/>
  <c r="D25" i="18"/>
  <c r="E39" i="20" l="1"/>
  <c r="F38" i="20"/>
  <c r="H20" i="20"/>
  <c r="F21" i="20"/>
  <c r="H21" i="20" s="1"/>
  <c r="F39" i="20"/>
  <c r="E40" i="20"/>
  <c r="C45" i="19"/>
  <c r="D45" i="19"/>
  <c r="H34" i="19"/>
  <c r="H33" i="19" s="1"/>
  <c r="H32" i="19" s="1"/>
  <c r="H31" i="19" s="1"/>
  <c r="H30" i="19" s="1"/>
  <c r="H29" i="19" s="1"/>
  <c r="H28" i="19" s="1"/>
  <c r="H27" i="19" s="1"/>
  <c r="H26" i="19" s="1"/>
  <c r="H25" i="19" s="1"/>
  <c r="H6" i="19" s="1"/>
  <c r="H7" i="19" s="1"/>
  <c r="G25" i="19"/>
  <c r="E25" i="19"/>
  <c r="H46" i="18"/>
  <c r="H45" i="18" s="1"/>
  <c r="H44" i="18" s="1"/>
  <c r="E78" i="15"/>
  <c r="E66" i="15"/>
  <c r="H65" i="15"/>
  <c r="D117" i="5"/>
  <c r="D115" i="5"/>
  <c r="D116" i="5" s="1"/>
  <c r="D111" i="5"/>
  <c r="E41" i="20" l="1"/>
  <c r="F40" i="20"/>
  <c r="F22" i="20"/>
  <c r="H22" i="20" s="1"/>
  <c r="E46" i="19"/>
  <c r="D46" i="19" s="1"/>
  <c r="D47" i="19" s="1"/>
  <c r="D8" i="19"/>
  <c r="D9" i="19" s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H8" i="19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66" i="15"/>
  <c r="E67" i="15"/>
  <c r="E79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28" i="20" l="1"/>
  <c r="F27" i="20"/>
  <c r="F26" i="20"/>
  <c r="F25" i="20"/>
  <c r="F24" i="20"/>
  <c r="F23" i="20"/>
  <c r="H23" i="20" s="1"/>
  <c r="E42" i="20"/>
  <c r="F41" i="20"/>
  <c r="C46" i="19"/>
  <c r="C47" i="19" s="1"/>
  <c r="C52" i="19"/>
  <c r="E52" i="19" s="1"/>
  <c r="E47" i="19"/>
  <c r="E81" i="15"/>
  <c r="E83" i="15" s="1"/>
  <c r="E68" i="15"/>
  <c r="H67" i="15"/>
  <c r="D69" i="17"/>
  <c r="E43" i="20" l="1"/>
  <c r="F42" i="20"/>
  <c r="H24" i="20"/>
  <c r="H25" i="20" s="1"/>
  <c r="H26" i="20" s="1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D70" i="17"/>
  <c r="D71" i="17" s="1"/>
  <c r="D76" i="17" s="1"/>
  <c r="E42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3" i="20" l="1"/>
  <c r="H43" i="20" s="1"/>
  <c r="H44" i="20" s="1"/>
  <c r="H45" i="20" s="1"/>
  <c r="E46" i="20"/>
  <c r="E41" i="18"/>
  <c r="E40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F47" i="20" l="1"/>
  <c r="E47" i="20"/>
  <c r="F46" i="20"/>
  <c r="H46" i="20" s="1"/>
  <c r="H47" i="20" s="1"/>
  <c r="E39" i="18"/>
  <c r="E38" i="18"/>
  <c r="E31" i="15"/>
  <c r="F30" i="15"/>
  <c r="F43" i="18"/>
  <c r="H43" i="18" s="1"/>
  <c r="H42" i="18" s="1"/>
  <c r="E37" i="18"/>
  <c r="D18" i="4"/>
  <c r="E18" i="4" s="1"/>
  <c r="D19" i="4" s="1"/>
  <c r="E19" i="4" s="1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48" i="20" l="1"/>
  <c r="E49" i="20" s="1"/>
  <c r="E36" i="18"/>
  <c r="E36" i="15"/>
  <c r="F31" i="15"/>
  <c r="E35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13" i="3"/>
  <c r="D25" i="2"/>
  <c r="D26" i="2" s="1"/>
  <c r="H51" i="20" l="1"/>
  <c r="E34" i="18"/>
  <c r="F34" i="18"/>
  <c r="G29" i="16"/>
  <c r="G37" i="16"/>
  <c r="G34" i="16"/>
  <c r="G15" i="6"/>
  <c r="F37" i="15"/>
  <c r="F36" i="15"/>
  <c r="E37" i="15"/>
  <c r="F41" i="18"/>
  <c r="H41" i="18" s="1"/>
  <c r="H40" i="18" s="1"/>
  <c r="E33" i="18"/>
  <c r="H72" i="15"/>
  <c r="E16" i="6"/>
  <c r="G16" i="6" s="1"/>
  <c r="E28" i="1"/>
  <c r="E30" i="1" s="1"/>
  <c r="E27" i="16"/>
  <c r="E33" i="16"/>
  <c r="E26" i="16"/>
  <c r="E35" i="16"/>
  <c r="G38" i="16"/>
  <c r="G25" i="16" s="1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E40" i="16"/>
  <c r="E30" i="16"/>
  <c r="E31" i="16"/>
  <c r="E32" i="18" l="1"/>
  <c r="F38" i="15"/>
  <c r="E38" i="15"/>
  <c r="E39" i="15" s="1"/>
  <c r="F39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C37" i="7"/>
  <c r="C56" i="6"/>
  <c r="C37" i="5"/>
  <c r="D51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F32" i="18" l="1"/>
  <c r="E31" i="18" s="1"/>
  <c r="H39" i="18"/>
  <c r="H38" i="18" s="1"/>
  <c r="H18" i="15"/>
  <c r="F39" i="15"/>
  <c r="E40" i="15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0" i="18" l="1"/>
  <c r="F37" i="18"/>
  <c r="H37" i="18" s="1"/>
  <c r="H36" i="18" s="1"/>
  <c r="F35" i="18" s="1"/>
  <c r="H35" i="18" s="1"/>
  <c r="H34" i="18" s="1"/>
  <c r="F33" i="18" s="1"/>
  <c r="H33" i="18" s="1"/>
  <c r="H32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0" i="18" l="1"/>
  <c r="E29" i="18" s="1"/>
  <c r="E28" i="18" s="1"/>
  <c r="E42" i="15"/>
  <c r="F41" i="15"/>
  <c r="H21" i="15"/>
  <c r="F31" i="18"/>
  <c r="H31" i="18" s="1"/>
  <c r="H30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28" i="18" l="1"/>
  <c r="E27" i="18" s="1"/>
  <c r="E26" i="18" s="1"/>
  <c r="E43" i="15"/>
  <c r="F42" i="15"/>
  <c r="H22" i="15"/>
  <c r="F29" i="18"/>
  <c r="H29" i="18" s="1"/>
  <c r="H28" i="18" s="1"/>
  <c r="E23" i="15"/>
  <c r="F26" i="18" l="1"/>
  <c r="E25" i="18" s="1"/>
  <c r="E24" i="18" s="1"/>
  <c r="F29" i="15"/>
  <c r="F28" i="15"/>
  <c r="F27" i="15"/>
  <c r="F26" i="15"/>
  <c r="F25" i="15"/>
  <c r="F24" i="15"/>
  <c r="F23" i="15"/>
  <c r="H23" i="15" s="1"/>
  <c r="E46" i="15"/>
  <c r="F46" i="15" s="1"/>
  <c r="F43" i="15"/>
  <c r="E24" i="15"/>
  <c r="F20" i="18" l="1"/>
  <c r="E19" i="18" s="1"/>
  <c r="E18" i="18" s="1"/>
  <c r="F24" i="18"/>
  <c r="F27" i="18"/>
  <c r="H27" i="18" s="1"/>
  <c r="H26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5" i="18"/>
  <c r="H25" i="18" s="1"/>
  <c r="H24" i="18" s="1"/>
  <c r="E26" i="15"/>
  <c r="F15" i="18" l="1"/>
  <c r="E14" i="18" s="1"/>
  <c r="E13" i="18"/>
  <c r="F13" i="18" s="1"/>
  <c r="F23" i="18"/>
  <c r="H23" i="18" s="1"/>
  <c r="H22" i="18" s="1"/>
  <c r="E27" i="15"/>
  <c r="H21" i="18" l="1"/>
  <c r="H20" i="18" s="1"/>
  <c r="F4" i="4"/>
  <c r="E28" i="15"/>
  <c r="F19" i="18" l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<sst xmlns="http://schemas.openxmlformats.org/spreadsheetml/2006/main" count="901" uniqueCount="482">
  <si>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</si>
  <si>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</si>
  <si>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</si>
  <si>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</si>
  <si>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</si>
  <si>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</si>
  <si>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</si>
  <si>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</si>
  <si>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</si>
  <si>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</si>
  <si>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</si>
  <si>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</si>
  <si>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</si>
  <si>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</si>
  <si>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</si>
  <si>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</si>
  <si>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</si>
  <si>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</si>
  <si>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</si>
  <si>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</si>
  <si>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</si>
  <si>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</si>
  <si>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</si>
  <si>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</si>
  <si>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</si>
  <si>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</si>
  <si>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</si>
  <si>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</si>
  <si>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</si>
  <si>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</si>
  <si>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</si>
  <si>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</si>
  <si>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</si>
  <si>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</si>
  <si>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</si>
  <si>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</si>
  <si>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</si>
  <si>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</si>
  <si>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</si>
  <si>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</si>
  <si>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</si>
  <si>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</si>
  <si>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</si>
  <si>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</si>
  <si>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</si>
  <si>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</si>
  <si>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</si>
  <si>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</si>
  <si>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</si>
  <si>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</si>
  <si>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</si>
  <si>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</si>
  <si>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</si>
  <si>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</si>
  <si>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</si>
  <si>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</si>
  <si>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</si>
  <si>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</si>
  <si>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</si>
  <si>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</si>
  <si>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</si>
  <si>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</si>
  <si>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</si>
  <si>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</si>
  <si>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</si>
  <si>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</si>
  <si>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</si>
  <si>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</si>
  <si>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</si>
  <si>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</si>
  <si>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</si>
  <si>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</si>
  <si>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</si>
  <si>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</si>
  <si>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</si>
  <si>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</si>
  <si>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</si>
  <si>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</si>
  <si>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</si>
  <si>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</si>
  <si>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</si>
  <si>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</si>
  <si>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</si>
  <si>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</si>
  <si>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</si>
  <si>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</si>
  <si>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</si>
  <si>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</si>
  <si>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</si>
  <si>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</si>
  <si>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</si>
  <si>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</si>
  <si>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</si>
  <si>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</si>
  <si>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</si>
  <si>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</si>
  <si>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</si>
  <si>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</si>
  <si>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</si>
  <si>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</si>
  <si>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</si>
  <si>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</si>
  <si>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</si>
  <si>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</si>
  <si>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</si>
  <si>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</si>
  <si>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</si>
  <si>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</si>
  <si>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</si>
  <si>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</si>
  <si>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</si>
  <si>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</si>
  <si>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</si>
  <si>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</si>
  <si>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</si>
  <si>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</si>
  <si>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</si>
  <si>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</si>
  <si>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</si>
  <si>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</si>
  <si>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</si>
  <si>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</si>
  <si>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</si>
  <si>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</si>
  <si>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</si>
  <si>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</si>
  <si>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</si>
  <si>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</si>
  <si>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</si>
  <si>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</si>
  <si>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</si>
  <si>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</si>
  <si>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</si>
  <si>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</si>
  <si>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</si>
  <si>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</si>
  <si>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</si>
  <si>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</si>
  <si>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</si>
  <si>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</si>
  <si>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</si>
  <si>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</si>
  <si>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</si>
  <si>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</si>
  <si>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</si>
  <si>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</si>
  <si>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</si>
  <si>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</si>
  <si>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</si>
  <si>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</si>
  <si>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</si>
  <si>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</si>
  <si>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</si>
  <si>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</si>
  <si>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</si>
  <si>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</si>
  <si>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</si>
  <si>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</si>
  <si>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</si>
  <si>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</si>
  <si>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</si>
  <si>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</si>
  <si>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</si>
  <si>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</si>
  <si>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</si>
  <si>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</si>
  <si>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</si>
  <si>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</si>
  <si>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</si>
  <si>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</si>
  <si>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</si>
  <si>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</si>
  <si>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</si>
  <si>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</si>
  <si>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</si>
  <si>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</si>
  <si>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</si>
  <si>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</si>
  <si>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</si>
  <si>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</si>
  <si>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</si>
  <si>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</si>
  <si>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</si>
  <si>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</si>
  <si>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</si>
  <si>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</si>
  <si>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</si>
  <si>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</si>
  <si>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</si>
  <si>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</si>
  <si>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</si>
  <si>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</si>
  <si>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</si>
  <si>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</si>
  <si>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</si>
  <si>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</si>
  <si>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</si>
  <si>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</si>
  <si>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</si>
  <si>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</si>
  <si>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</si>
  <si>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</si>
  <si>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</si>
  <si>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</si>
  <si>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</si>
  <si>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</si>
  <si>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</si>
  <si>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</si>
  <si>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</si>
  <si>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</si>
  <si>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</si>
  <si>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</si>
  <si>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</si>
  <si>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</si>
  <si>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</si>
  <si>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</si>
  <si>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</si>
  <si>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</si>
  <si>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</si>
  <si>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</si>
  <si>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</si>
  <si>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</si>
  <si>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</si>
  <si>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</si>
  <si>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</si>
  <si>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</si>
  <si>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</si>
  <si>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</si>
  <si>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</si>
  <si>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</si>
  <si>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</si>
  <si>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</si>
  <si>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</si>
  <si>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</si>
  <si>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</si>
  <si>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</si>
  <si>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</si>
  <si>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</si>
  <si>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</si>
  <si>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</si>
  <si>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</si>
  <si>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</si>
  <si>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</si>
  <si>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</si>
  <si>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</si>
  <si>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</si>
  <si>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</si>
  <si>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</si>
  <si>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</si>
  <si>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</si>
  <si>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</si>
  <si>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</si>
  <si>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</si>
  <si>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</si>
  <si>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</si>
  <si>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</si>
  <si>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</si>
  <si>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</si>
  <si>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</si>
  <si>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</si>
  <si>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</si>
  <si>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</si>
  <si>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</si>
  <si>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</si>
  <si>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</si>
  <si>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</si>
  <si>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</si>
  <si>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</si>
  <si>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</si>
  <si>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</si>
  <si>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</si>
  <si>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</si>
  <si>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</si>
  <si>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</si>
  <si>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</si>
  <si>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</si>
  <si>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</si>
  <si>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</si>
  <si>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</si>
  <si>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</si>
  <si>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</si>
  <si>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</si>
  <si>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</si>
  <si>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</si>
  <si>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</si>
  <si>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</si>
  <si>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</si>
  <si>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</si>
  <si>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</si>
  <si>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</si>
  <si>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</si>
  <si>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</si>
  <si>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</si>
  <si>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</si>
  <si>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</si>
  <si>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</si>
  <si>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</si>
  <si>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</si>
  <si>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</si>
  <si>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</si>
  <si>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</si>
  <si>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</si>
  <si>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</si>
  <si>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</si>
  <si>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</si>
  <si>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</si>
  <si>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</si>
  <si>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</si>
  <si>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</si>
  <si>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</si>
  <si>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</si>
  <si>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</si>
  <si>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</si>
  <si>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</si>
  <si>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</si>
  <si>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</si>
  <si>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</si>
  <si>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</si>
  <si>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</si>
  <si>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</si>
  <si>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</si>
  <si>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</si>
  <si>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</si>
  <si>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</si>
  <si>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</si>
  <si>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</si>
  <si>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</si>
  <si>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</si>
  <si>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</si>
  <si>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</si>
  <si>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</si>
  <si>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</si>
  <si>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</si>
  <si>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</si>
  <si>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</si>
  <si>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</si>
  <si>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</si>
  <si>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</si>
  <si>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</si>
  <si>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</si>
  <si>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</si>
  <si>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</si>
  <si>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</si>
  <si>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</si>
  <si>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</si>
  <si>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</si>
  <si>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</si>
  <si>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</si>
  <si>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</si>
  <si>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</si>
  <si>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</si>
  <si>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</si>
  <si>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</si>
  <si>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</si>
  <si>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</si>
  <si>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</si>
  <si>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</si>
  <si>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</si>
  <si>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</si>
  <si>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</si>
  <si>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</si>
  <si>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</si>
  <si>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</si>
  <si>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</si>
  <si>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</si>
  <si>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</si>
  <si>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</si>
  <si>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</si>
  <si>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</si>
  <si>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</si>
  <si>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</si>
  <si>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</si>
  <si>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</si>
  <si>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</si>
  <si>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</si>
  <si>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</si>
  <si>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</si>
  <si>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</si>
  <si>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</si>
  <si>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</si>
  <si>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</si>
  <si>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</si>
  <si>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</si>
  <si>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</si>
  <si>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</si>
  <si>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</si>
  <si>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</si>
  <si>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</si>
  <si>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</si>
  <si>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</si>
  <si>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</si>
  <si>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</si>
  <si>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</si>
  <si>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</si>
  <si>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</si>
  <si>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</si>
  <si>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</si>
  <si>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</si>
  <si>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</si>
  <si>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</si>
  <si>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</si>
  <si>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</si>
  <si>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</si>
  <si>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</si>
  <si>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</si>
  <si>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</si>
  <si>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</si>
  <si>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</si>
  <si>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</si>
  <si>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</si>
  <si>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</si>
  <si>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</si>
  <si>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</si>
  <si>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</si>
  <si>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</si>
  <si>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</si>
  <si>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</si>
  <si>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</si>
  <si>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</si>
  <si>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</si>
  <si>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</si>
  <si>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</si>
  <si>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</si>
  <si>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</si>
  <si>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</si>
  <si>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</si>
  <si>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</si>
  <si>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</si>
  <si>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</si>
  <si>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</si>
  <si>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</si>
  <si>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</si>
  <si>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</si>
  <si>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</si>
  <si>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</si>
  <si>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</si>
  <si>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</si>
  <si>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</si>
  <si>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</si>
  <si>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</si>
  <si>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</si>
  <si>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</si>
  <si>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</si>
  <si>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</si>
  <si>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</si>
  <si>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</si>
  <si>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</si>
  <si>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</si>
  <si>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</si>
  <si>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</si>
  <si>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</si>
  <si>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</si>
  <si>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</si>
  <si>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</si>
  <si>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</si>
  <si>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</si>
  <si>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</si>
  <si>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</si>
  <si>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</si>
  <si>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</si>
  <si>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</si>
  <si>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</si>
  <si>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</si>
  <si>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</si>
  <si>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</si>
  <si>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</si>
  <si>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</si>
  <si>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</si>
  <si>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</si>
  <si>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240000* % 60 tüfe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</si>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</sst>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</numFmts>
  <fonts count="59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3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</cellStyleXfs>
  <cellXfs count="296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80" fontId="0" fillId="0" borderId="0" xfId="0" applyNumberFormat="1"/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43" fontId="3" fillId="0" borderId="0" xfId="22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</cellXfs>
  <cellStyles count="23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4:H40" totalsRowShown="0">
  <autoFilter ref="A24:H40" xr:uid="{2302621F-B3C3-4429-8379-CD484CA39087}"/>
  <tableColumns count="8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/>
    <tableColumn id="7" xr3:uid="{DA0E4B3E-9561-4A95-BB81-1101733DF7BB}" name="Oran TL"/>
    <tableColumn id="8" xr3:uid="{92FAC635-681E-4D15-B288-C760EFC78F48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H40" totalsRowShown="0">
  <autoFilter ref="A24:H40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878449.43578899361</v>
      </c>
      <c r="D16" s="6">
        <f>SUM(D8:D14)</f>
        <v>485918.42000000004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343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342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15" zoomScale="205" zoomScaleNormal="205" workbookViewId="0">
      <selection activeCell="C96" sqref="C96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314</v>
      </c>
      <c r="E9" s="24">
        <v>45000</v>
      </c>
      <c r="F9" s="25"/>
      <c r="G9" s="3">
        <f>E9-F9</f>
        <v>45000</v>
      </c>
    </row>
    <row r="10" spans="1:7">
      <c r="B10" s="14" t="s">
        <v>315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260</v>
      </c>
      <c r="C23" s="21"/>
      <c r="D23" s="21" t="s">
        <v>265</v>
      </c>
      <c r="E23" s="33" t="s">
        <v>34</v>
      </c>
      <c r="F23" s="34"/>
      <c r="G23" s="34" t="s">
        <v>268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273</v>
      </c>
      <c r="B25" t="s">
        <v>316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274</v>
      </c>
      <c r="B26" t="s">
        <v>317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275</v>
      </c>
      <c r="B27" t="s">
        <v>347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318</v>
      </c>
      <c r="E28" s="31"/>
      <c r="F28" s="31"/>
      <c r="G28" s="31">
        <f t="shared" si="1"/>
        <v>0</v>
      </c>
    </row>
    <row r="29" spans="1:7">
      <c r="A29" s="26" t="s">
        <v>319</v>
      </c>
      <c r="E29" s="31"/>
      <c r="F29" s="31"/>
      <c r="G29" s="31">
        <f t="shared" si="1"/>
        <v>0</v>
      </c>
    </row>
    <row r="30" spans="1:7">
      <c r="A30" s="26" t="s">
        <v>278</v>
      </c>
      <c r="E30" s="31"/>
      <c r="F30" s="31"/>
      <c r="G30" s="31">
        <f t="shared" si="1"/>
        <v>0</v>
      </c>
    </row>
    <row r="31" spans="1:7">
      <c r="A31" s="26" t="s">
        <v>279</v>
      </c>
      <c r="E31" s="31"/>
      <c r="F31" s="31"/>
      <c r="G31" s="31">
        <f t="shared" si="1"/>
        <v>0</v>
      </c>
    </row>
    <row r="32" spans="1:7">
      <c r="A32" s="26" t="s">
        <v>280</v>
      </c>
      <c r="E32" s="31"/>
      <c r="F32" s="31"/>
      <c r="G32" s="31">
        <f t="shared" si="1"/>
        <v>0</v>
      </c>
    </row>
    <row r="33" spans="1:8">
      <c r="A33" s="26" t="s">
        <v>261</v>
      </c>
      <c r="E33" s="30"/>
      <c r="F33" s="31"/>
      <c r="G33" s="31">
        <f t="shared" si="1"/>
        <v>0</v>
      </c>
    </row>
    <row r="34" spans="1:8">
      <c r="A34" s="26" t="s">
        <v>262</v>
      </c>
      <c r="E34" s="30"/>
      <c r="F34" s="31"/>
      <c r="G34" s="31">
        <f t="shared" si="1"/>
        <v>0</v>
      </c>
    </row>
    <row r="35" spans="1:8">
      <c r="A35" s="26" t="s">
        <v>263</v>
      </c>
      <c r="E35" s="30"/>
      <c r="F35" s="31"/>
      <c r="G35" s="31">
        <f t="shared" si="1"/>
        <v>0</v>
      </c>
    </row>
    <row r="36" spans="1:8">
      <c r="A36" s="32" t="s">
        <v>264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257</v>
      </c>
      <c r="B40" s="40" t="s">
        <v>167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259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258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477</v>
      </c>
      <c r="C92" s="3"/>
      <c r="D92" s="3"/>
      <c r="F92" s="3"/>
      <c r="G92" s="3"/>
      <c r="H92" s="3"/>
    </row>
    <row r="93" spans="1:8">
      <c r="A93" s="7">
        <v>45148</v>
      </c>
      <c r="B93" s="3" t="s">
        <v>73</v>
      </c>
      <c r="C93" s="3"/>
      <c r="D93" s="3"/>
      <c r="F93" s="3"/>
      <c r="G93" s="3"/>
      <c r="H93" s="3"/>
    </row>
    <row r="94" spans="1:8">
      <c r="A94" s="7">
        <v>45160</v>
      </c>
      <c r="B94" s="3" t="s">
        <v>74</v>
      </c>
      <c r="C94" s="3"/>
      <c r="D94" s="3"/>
      <c r="F94" s="3"/>
      <c r="G94" s="3"/>
      <c r="H94" s="3"/>
    </row>
    <row r="95" spans="1:8">
      <c r="B95" s="3" t="s">
        <v>75</v>
      </c>
      <c r="C95" s="3"/>
      <c r="D95" s="3"/>
      <c r="F95" s="3"/>
      <c r="G95" s="3"/>
      <c r="H95" s="3"/>
    </row>
    <row r="96" spans="1:8">
      <c r="B96" s="3" t="s">
        <v>76</v>
      </c>
      <c r="C96" s="3"/>
      <c r="D96" s="3"/>
      <c r="F96" s="3"/>
      <c r="G96" s="3"/>
      <c r="H96" s="3"/>
    </row>
    <row r="97" spans="1:8">
      <c r="B97" s="3" t="s">
        <v>77</v>
      </c>
      <c r="C97" s="3"/>
      <c r="D97" s="3"/>
      <c r="F97" s="3"/>
      <c r="G97" s="3"/>
      <c r="H97" s="3"/>
    </row>
    <row r="98" spans="1:8">
      <c r="B98" s="3" t="s">
        <v>78</v>
      </c>
      <c r="C98" s="3"/>
      <c r="D98" s="3"/>
      <c r="F98" s="3"/>
      <c r="G98" s="3"/>
      <c r="H98" s="3"/>
    </row>
    <row r="99" spans="1:8">
      <c r="B99" s="3" t="s">
        <v>79</v>
      </c>
      <c r="C99" s="3"/>
      <c r="D99" s="3"/>
      <c r="F99" s="3"/>
      <c r="G99" s="3"/>
      <c r="H99" s="3"/>
    </row>
    <row r="100" spans="1:8">
      <c r="B100" s="3" t="s">
        <v>80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81</v>
      </c>
      <c r="C101" s="3"/>
      <c r="D101" s="3"/>
      <c r="F101" s="3"/>
      <c r="G101" s="3"/>
      <c r="H101" s="3"/>
    </row>
    <row r="102" spans="1:8">
      <c r="B102" s="3" t="s">
        <v>82</v>
      </c>
      <c r="C102" s="3"/>
      <c r="D102" s="3"/>
      <c r="F102" s="3"/>
      <c r="G102" s="3"/>
      <c r="H102" s="3"/>
    </row>
    <row r="103" spans="1:8">
      <c r="B103" s="3" t="s">
        <v>83</v>
      </c>
      <c r="C103" s="3"/>
      <c r="D103" s="3"/>
      <c r="F103" s="3"/>
      <c r="G103" s="3"/>
      <c r="H103" s="3"/>
    </row>
    <row r="104" spans="1:8">
      <c r="B104" s="3" t="s">
        <v>84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opLeftCell="A17"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85</v>
      </c>
      <c r="C1" s="8"/>
      <c r="D1" s="45" t="s">
        <v>86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320</v>
      </c>
      <c r="D9" s="24"/>
      <c r="E9" s="25"/>
      <c r="F9" s="3">
        <f>D9-E9</f>
        <v>0</v>
      </c>
    </row>
    <row r="10" spans="1:8">
      <c r="B10" s="14" t="s">
        <v>321</v>
      </c>
      <c r="D10" s="24"/>
      <c r="E10" s="25"/>
      <c r="F10" s="3">
        <f t="shared" ref="F10:F20" si="0">D10-E10+F9</f>
        <v>0</v>
      </c>
    </row>
    <row r="11" spans="1:8">
      <c r="B11" t="s">
        <v>322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323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324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325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325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326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87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88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89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90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91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272</v>
      </c>
    </row>
    <row r="39" spans="1:8">
      <c r="D39" s="3"/>
      <c r="F39" s="3"/>
    </row>
    <row r="40" spans="1:8">
      <c r="A40" s="88" t="s">
        <v>256</v>
      </c>
      <c r="B40" s="40" t="s">
        <v>167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327</v>
      </c>
      <c r="C46" s="3"/>
      <c r="D46" s="8"/>
      <c r="F46" s="45"/>
    </row>
    <row r="47" spans="1:8">
      <c r="B47" t="s">
        <v>329</v>
      </c>
      <c r="C47" s="3"/>
      <c r="D47" s="8"/>
      <c r="F47" s="8"/>
      <c r="G47" s="46"/>
      <c r="H47" s="51"/>
    </row>
    <row r="48" spans="1:8">
      <c r="B48" s="115" t="s">
        <v>328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92</v>
      </c>
      <c r="D50" s="3"/>
      <c r="F50" s="8"/>
      <c r="G50" s="46"/>
      <c r="H50" s="51"/>
    </row>
    <row r="51" spans="2:8">
      <c r="B51" t="s">
        <v>93</v>
      </c>
      <c r="C51" s="3"/>
      <c r="D51" s="3"/>
      <c r="F51" s="8"/>
      <c r="G51" s="46"/>
      <c r="H51" s="51"/>
    </row>
    <row r="52" spans="2:8">
      <c r="B52" s="42" t="s">
        <v>270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94</v>
      </c>
      <c r="C1" s="8"/>
      <c r="D1" s="8"/>
      <c r="E1" s="45" t="s">
        <v>95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349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330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264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350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387</v>
      </c>
      <c r="B13" s="139">
        <v>45292</v>
      </c>
      <c r="C13" s="46"/>
      <c r="D13" s="3">
        <f>C13*E11</f>
        <v>0</v>
      </c>
      <c r="E13" s="138">
        <f>D13+E11</f>
        <v>20000</v>
      </c>
      <c r="F13" s="25"/>
      <c r="G13" s="3">
        <f t="shared" si="0"/>
        <v>-95000</v>
      </c>
    </row>
    <row r="14" spans="1:7">
      <c r="A14" s="7"/>
      <c r="B14" t="s">
        <v>274</v>
      </c>
      <c r="C14" s="46"/>
      <c r="D14" s="3">
        <f t="shared" ref="D14:D19" si="1">C14*E13</f>
        <v>0</v>
      </c>
      <c r="E14" s="138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275</v>
      </c>
      <c r="C15" s="46"/>
      <c r="D15" s="3">
        <f t="shared" si="1"/>
        <v>0</v>
      </c>
      <c r="E15" s="138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318</v>
      </c>
      <c r="C16" s="46"/>
      <c r="D16" s="3">
        <f t="shared" si="1"/>
        <v>0</v>
      </c>
      <c r="E16" s="138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319</v>
      </c>
      <c r="C17" s="46"/>
      <c r="D17" s="3">
        <f t="shared" si="1"/>
        <v>0</v>
      </c>
      <c r="E17" s="138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278</v>
      </c>
      <c r="C18" s="46">
        <v>0.03</v>
      </c>
      <c r="D18" s="3">
        <f t="shared" si="1"/>
        <v>600</v>
      </c>
      <c r="E18" s="138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279</v>
      </c>
      <c r="C19" s="46">
        <v>0.05</v>
      </c>
      <c r="D19" s="3">
        <f t="shared" si="1"/>
        <v>1030</v>
      </c>
      <c r="E19" s="138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280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261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262</v>
      </c>
      <c r="C22"/>
      <c r="D22"/>
      <c r="E22" s="30"/>
      <c r="F22" s="31"/>
      <c r="G22" s="31"/>
    </row>
    <row r="23" spans="1:7">
      <c r="A23" s="26"/>
      <c r="B23" t="s">
        <v>263</v>
      </c>
      <c r="C23"/>
      <c r="D23"/>
      <c r="E23" s="30"/>
      <c r="F23" s="31"/>
      <c r="G23" s="31"/>
    </row>
    <row r="24" spans="1:7">
      <c r="A24" s="26"/>
      <c r="B24" t="s">
        <v>264</v>
      </c>
      <c r="C24"/>
      <c r="D24"/>
      <c r="E24" s="30"/>
      <c r="F24" s="31"/>
      <c r="G24" s="31"/>
    </row>
    <row r="25" spans="1:7">
      <c r="A25" s="32" t="s">
        <v>419</v>
      </c>
      <c r="B25" t="s">
        <v>273</v>
      </c>
      <c r="C25"/>
      <c r="D25"/>
      <c r="E25" s="30"/>
      <c r="F25" s="31"/>
      <c r="G25" s="31"/>
    </row>
    <row r="26" spans="1:7">
      <c r="A26" s="26"/>
      <c r="B26" t="s">
        <v>274</v>
      </c>
      <c r="C26"/>
      <c r="D26"/>
      <c r="E26" s="30"/>
      <c r="F26" s="31"/>
      <c r="G26" s="31"/>
    </row>
    <row r="27" spans="1:7">
      <c r="A27" s="26"/>
      <c r="B27" t="s">
        <v>275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87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88</v>
      </c>
      <c r="C44"/>
      <c r="D44"/>
      <c r="F44"/>
      <c r="G44" s="31">
        <f t="shared" si="3"/>
        <v>-4079.59</v>
      </c>
    </row>
    <row r="45" spans="1:7">
      <c r="A45" s="26"/>
      <c r="B45" t="s">
        <v>89</v>
      </c>
      <c r="C45"/>
      <c r="D45"/>
      <c r="F45"/>
      <c r="G45" s="31">
        <f t="shared" si="3"/>
        <v>-4079.59</v>
      </c>
    </row>
    <row r="46" spans="1:7">
      <c r="A46" s="26"/>
      <c r="B46" t="s">
        <v>90</v>
      </c>
      <c r="C46"/>
      <c r="D46"/>
      <c r="F46"/>
      <c r="G46" s="31">
        <f t="shared" si="3"/>
        <v>-4079.59</v>
      </c>
    </row>
    <row r="47" spans="1:7">
      <c r="A47" s="26"/>
      <c r="B47" t="s">
        <v>91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255</v>
      </c>
      <c r="B53" s="40" t="s">
        <v>167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96</v>
      </c>
      <c r="C55"/>
      <c r="D55"/>
    </row>
    <row r="56" spans="1:7">
      <c r="A56" s="7"/>
      <c r="B56" t="s">
        <v>97</v>
      </c>
      <c r="C56"/>
      <c r="D56" s="3">
        <v>36000</v>
      </c>
    </row>
    <row r="57" spans="1:7">
      <c r="A57" s="7"/>
      <c r="B57" t="s">
        <v>98</v>
      </c>
      <c r="C57"/>
      <c r="D57" s="3">
        <v>43160</v>
      </c>
      <c r="G57" s="44"/>
    </row>
    <row r="58" spans="1:7">
      <c r="A58" s="7"/>
      <c r="B58" s="21" t="s">
        <v>99</v>
      </c>
      <c r="C58" s="21"/>
      <c r="D58" s="42">
        <v>82000</v>
      </c>
      <c r="E58" s="8"/>
      <c r="G58" s="45"/>
    </row>
    <row r="59" spans="1:7">
      <c r="A59" s="7"/>
      <c r="B59" t="s">
        <v>331</v>
      </c>
      <c r="C59"/>
      <c r="D59" s="3">
        <v>135000</v>
      </c>
      <c r="E59" s="8"/>
      <c r="G59" s="45"/>
    </row>
    <row r="60" spans="1:7">
      <c r="A60" s="54">
        <v>45214</v>
      </c>
      <c r="B60" t="s">
        <v>266</v>
      </c>
      <c r="C60"/>
      <c r="E60"/>
    </row>
    <row r="61" spans="1:7">
      <c r="A61" s="54">
        <v>45214</v>
      </c>
      <c r="B61" t="s">
        <v>267</v>
      </c>
      <c r="C61"/>
      <c r="E61"/>
    </row>
    <row r="62" spans="1:7">
      <c r="A62" s="54">
        <v>45214</v>
      </c>
      <c r="B62" t="s">
        <v>100</v>
      </c>
      <c r="C62"/>
      <c r="E62"/>
    </row>
    <row r="63" spans="1:7">
      <c r="A63" s="54">
        <v>44321</v>
      </c>
      <c r="B63" t="s">
        <v>101</v>
      </c>
      <c r="C63"/>
      <c r="E63"/>
    </row>
    <row r="64" spans="1:7">
      <c r="A64" s="54">
        <v>44367</v>
      </c>
      <c r="B64" t="s">
        <v>102</v>
      </c>
      <c r="C64"/>
      <c r="E64"/>
    </row>
    <row r="65" spans="1:8">
      <c r="A65" s="54">
        <v>44459</v>
      </c>
      <c r="B65" t="s">
        <v>103</v>
      </c>
      <c r="C65"/>
      <c r="E65"/>
    </row>
    <row r="66" spans="1:8">
      <c r="A66" s="54">
        <v>44459</v>
      </c>
      <c r="B66" t="s">
        <v>104</v>
      </c>
      <c r="C66"/>
      <c r="E66"/>
    </row>
    <row r="67" spans="1:8">
      <c r="A67" s="54">
        <v>44433</v>
      </c>
      <c r="B67" t="s">
        <v>105</v>
      </c>
      <c r="C67"/>
      <c r="E67"/>
    </row>
    <row r="68" spans="1:8">
      <c r="A68" s="54">
        <v>44449</v>
      </c>
      <c r="B68" t="s">
        <v>106</v>
      </c>
      <c r="C68"/>
      <c r="E68"/>
    </row>
    <row r="69" spans="1:8">
      <c r="A69" s="54">
        <v>44201</v>
      </c>
      <c r="B69" t="s">
        <v>107</v>
      </c>
      <c r="C69"/>
      <c r="E69" s="2">
        <v>500</v>
      </c>
    </row>
    <row r="70" spans="1:8">
      <c r="A70" s="54">
        <v>44931</v>
      </c>
      <c r="B70" t="s">
        <v>108</v>
      </c>
      <c r="C70"/>
      <c r="E70" s="2"/>
    </row>
    <row r="71" spans="1:8">
      <c r="A71" s="54">
        <v>44252</v>
      </c>
      <c r="B71" t="s">
        <v>109</v>
      </c>
      <c r="C71"/>
      <c r="E71" s="2" t="s">
        <v>110</v>
      </c>
    </row>
    <row r="72" spans="1:8">
      <c r="A72" s="54">
        <v>44285</v>
      </c>
      <c r="B72" t="s">
        <v>111</v>
      </c>
      <c r="C72"/>
      <c r="E72" s="2" t="s">
        <v>112</v>
      </c>
    </row>
    <row r="73" spans="1:8">
      <c r="A73" s="54">
        <v>44413</v>
      </c>
      <c r="B73" t="s">
        <v>113</v>
      </c>
      <c r="C73"/>
      <c r="E73" s="2" t="s">
        <v>112</v>
      </c>
    </row>
    <row r="74" spans="1:8">
      <c r="B74" t="s">
        <v>114</v>
      </c>
      <c r="C74"/>
      <c r="D74"/>
      <c r="E74" s="2" t="s">
        <v>110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115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116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117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118</v>
      </c>
      <c r="C85"/>
      <c r="E85">
        <v>20.05</v>
      </c>
      <c r="F85" s="3">
        <f t="shared" si="4"/>
        <v>-96.570000000000007</v>
      </c>
    </row>
    <row r="86" spans="2:8">
      <c r="B86" t="s">
        <v>119</v>
      </c>
      <c r="C86"/>
      <c r="E86">
        <v>34.700000000000003</v>
      </c>
      <c r="F86" s="3">
        <f t="shared" si="4"/>
        <v>-131.27000000000001</v>
      </c>
    </row>
    <row r="87" spans="2:8">
      <c r="B87" t="s">
        <v>120</v>
      </c>
      <c r="C87"/>
      <c r="E87">
        <v>34.340000000000003</v>
      </c>
      <c r="F87" s="3">
        <f t="shared" si="4"/>
        <v>-165.61</v>
      </c>
    </row>
    <row r="88" spans="2:8">
      <c r="B88" t="s">
        <v>121</v>
      </c>
      <c r="C88"/>
      <c r="E88">
        <v>-65.91</v>
      </c>
      <c r="F88" s="3">
        <f t="shared" si="4"/>
        <v>-99.700000000000017</v>
      </c>
    </row>
    <row r="89" spans="2:8">
      <c r="B89" t="s">
        <v>122</v>
      </c>
      <c r="C89"/>
      <c r="E89">
        <v>31.54</v>
      </c>
      <c r="F89" s="3">
        <f t="shared" si="4"/>
        <v>-131.24</v>
      </c>
    </row>
    <row r="90" spans="2:8">
      <c r="B90" t="s">
        <v>123</v>
      </c>
      <c r="C90"/>
      <c r="E90">
        <v>0</v>
      </c>
      <c r="F90" s="3">
        <f t="shared" si="4"/>
        <v>-131.24</v>
      </c>
    </row>
    <row r="91" spans="2:8">
      <c r="B91" t="s">
        <v>124</v>
      </c>
      <c r="C91"/>
      <c r="E91">
        <v>45.99</v>
      </c>
      <c r="F91" s="3">
        <f t="shared" si="4"/>
        <v>-177.23000000000002</v>
      </c>
    </row>
    <row r="92" spans="2:8">
      <c r="B92" t="s">
        <v>125</v>
      </c>
      <c r="C92"/>
      <c r="E92">
        <v>42.89</v>
      </c>
      <c r="F92" s="3">
        <f t="shared" si="4"/>
        <v>-220.12</v>
      </c>
    </row>
    <row r="93" spans="2:8">
      <c r="B93" t="s">
        <v>126</v>
      </c>
      <c r="C93"/>
      <c r="E93">
        <v>34.979999999999997</v>
      </c>
      <c r="F93" s="3">
        <f t="shared" si="4"/>
        <v>-255.1</v>
      </c>
    </row>
    <row r="94" spans="2:8">
      <c r="B94" t="s">
        <v>127</v>
      </c>
      <c r="C94"/>
      <c r="E94">
        <v>0</v>
      </c>
      <c r="F94" s="3">
        <f t="shared" si="4"/>
        <v>-255.1</v>
      </c>
    </row>
    <row r="95" spans="2:8">
      <c r="B95" s="1" t="s">
        <v>128</v>
      </c>
      <c r="C95" s="1"/>
      <c r="D95" s="51"/>
      <c r="E95" s="1"/>
      <c r="F95" s="51">
        <f t="shared" si="4"/>
        <v>-255.1</v>
      </c>
    </row>
    <row r="98" spans="2:6">
      <c r="B98" s="1" t="s">
        <v>129</v>
      </c>
      <c r="C98" s="1"/>
      <c r="D98" s="51"/>
      <c r="E98" s="1"/>
      <c r="F98" s="51">
        <v>-255.1</v>
      </c>
    </row>
    <row r="99" spans="2:6">
      <c r="B99" t="s">
        <v>130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131</v>
      </c>
      <c r="C103"/>
      <c r="E103">
        <v>214.37</v>
      </c>
      <c r="F103" s="3">
        <f t="shared" si="5"/>
        <v>-869.33</v>
      </c>
    </row>
    <row r="104" spans="2:6">
      <c r="B104" t="s">
        <v>132</v>
      </c>
      <c r="C104"/>
      <c r="E104">
        <v>427.65</v>
      </c>
      <c r="F104" s="3">
        <f t="shared" si="5"/>
        <v>-1296.98</v>
      </c>
    </row>
    <row r="105" spans="2:6">
      <c r="B105" t="s">
        <v>133</v>
      </c>
      <c r="C105"/>
      <c r="E105">
        <v>446.55</v>
      </c>
      <c r="F105" s="3">
        <f t="shared" si="5"/>
        <v>-1743.53</v>
      </c>
    </row>
    <row r="106" spans="2:6">
      <c r="B106" t="s">
        <v>134</v>
      </c>
      <c r="C106"/>
      <c r="E106">
        <v>333.96</v>
      </c>
      <c r="F106" s="3">
        <f t="shared" si="5"/>
        <v>-2077.4899999999998</v>
      </c>
    </row>
    <row r="107" spans="2:6">
      <c r="B107" t="s">
        <v>135</v>
      </c>
      <c r="C107"/>
      <c r="E107">
        <v>324.51</v>
      </c>
      <c r="F107" s="3">
        <f t="shared" si="5"/>
        <v>-2402</v>
      </c>
    </row>
    <row r="108" spans="2:6">
      <c r="B108" t="s">
        <v>136</v>
      </c>
      <c r="C108"/>
      <c r="E108">
        <v>331.27</v>
      </c>
      <c r="F108" s="3">
        <f t="shared" si="5"/>
        <v>-2733.27</v>
      </c>
    </row>
    <row r="109" spans="2:6">
      <c r="B109" t="s">
        <v>137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127</v>
      </c>
      <c r="C111"/>
      <c r="E111">
        <v>426.12</v>
      </c>
      <c r="F111" s="3">
        <f t="shared" si="5"/>
        <v>-3521.81</v>
      </c>
    </row>
    <row r="112" spans="2:6">
      <c r="B112" t="s">
        <v>138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139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140</v>
      </c>
      <c r="C114"/>
      <c r="E114"/>
      <c r="F114" s="51">
        <f t="shared" si="5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0"/>
  <sheetViews>
    <sheetView topLeftCell="A3" zoomScale="145" zoomScaleNormal="145" workbookViewId="0">
      <selection activeCell="A16" sqref="A16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420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436</v>
      </c>
      <c r="B3" s="198"/>
      <c r="C3" s="196"/>
      <c r="D3" s="197"/>
      <c r="E3" s="208"/>
      <c r="F3" s="209">
        <f>SUM(F7:F60)</f>
        <v>523609.10782602523</v>
      </c>
      <c r="G3" s="209">
        <f>SUM(G7:G60)</f>
        <v>354000</v>
      </c>
      <c r="H3" s="210">
        <f>F3-G3</f>
        <v>169609.10782602523</v>
      </c>
    </row>
    <row r="4" spans="1:8" ht="18">
      <c r="A4" s="207"/>
      <c r="B4" s="198"/>
      <c r="C4" s="196"/>
      <c r="D4" s="197"/>
      <c r="E4" s="198" t="s">
        <v>433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421</v>
      </c>
      <c r="D5" s="214" t="s">
        <v>349</v>
      </c>
      <c r="E5" s="215" t="s">
        <v>422</v>
      </c>
      <c r="F5" s="216" t="s">
        <v>212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3" si="0">H7+F6-G6</f>
        <v>169609.1078260252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169609.1078260252</v>
      </c>
    </row>
    <row r="8" spans="1:8">
      <c r="A8" s="194"/>
      <c r="B8" s="198"/>
      <c r="C8" s="196"/>
      <c r="D8" s="197"/>
      <c r="E8" s="198"/>
      <c r="F8" s="199"/>
      <c r="G8" s="200"/>
      <c r="H8" s="200">
        <f t="shared" si="0"/>
        <v>169609.1078260252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169609.1078260252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169609.1078260252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169609.1078260252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169609.1078260252</v>
      </c>
    </row>
    <row r="13" spans="1:8">
      <c r="A13" s="194"/>
      <c r="B13" s="218" t="s">
        <v>474</v>
      </c>
      <c r="C13" s="196"/>
      <c r="D13" s="197"/>
      <c r="E13" s="199">
        <f>E15+E14</f>
        <v>49910.621210809761</v>
      </c>
      <c r="F13" s="199">
        <f>E13</f>
        <v>49910.621210809761</v>
      </c>
      <c r="G13" s="200"/>
      <c r="H13" s="200">
        <f t="shared" si="0"/>
        <v>169609.1078260252</v>
      </c>
    </row>
    <row r="14" spans="1:8">
      <c r="A14" s="194">
        <v>45716</v>
      </c>
      <c r="B14" s="218" t="s">
        <v>451</v>
      </c>
      <c r="C14" s="196">
        <v>3000</v>
      </c>
      <c r="D14" s="197">
        <f>(C14/C17)-1</f>
        <v>3.4482758620689724E-2</v>
      </c>
      <c r="E14" s="219">
        <f>F15*D14</f>
        <v>1663.6873736936618</v>
      </c>
      <c r="F14" s="199">
        <f>H15*D14</f>
        <v>3989.9495538405226</v>
      </c>
      <c r="G14" s="200"/>
      <c r="H14" s="200">
        <f t="shared" si="0"/>
        <v>119698.48661521544</v>
      </c>
    </row>
    <row r="15" spans="1:8">
      <c r="A15" s="194"/>
      <c r="B15" s="218" t="s">
        <v>473</v>
      </c>
      <c r="C15" s="196"/>
      <c r="D15" s="197"/>
      <c r="E15" s="199">
        <f>E18+E17</f>
        <v>48246.933837116099</v>
      </c>
      <c r="F15" s="199">
        <f>E15</f>
        <v>48246.933837116099</v>
      </c>
      <c r="G15" s="200"/>
      <c r="H15" s="200">
        <f t="shared" si="0"/>
        <v>115708.53706137493</v>
      </c>
    </row>
    <row r="16" spans="1:8" ht="15.75">
      <c r="A16" s="194"/>
      <c r="B16" s="259" t="s">
        <v>476</v>
      </c>
      <c r="C16" s="196"/>
      <c r="D16" s="197"/>
      <c r="E16" s="199"/>
      <c r="F16" s="260">
        <v>18000</v>
      </c>
      <c r="G16" s="200"/>
      <c r="H16" s="200">
        <f t="shared" si="0"/>
        <v>67461.603224258826</v>
      </c>
    </row>
    <row r="17" spans="1:11">
      <c r="A17" s="194">
        <v>45687</v>
      </c>
      <c r="B17" s="218" t="s">
        <v>452</v>
      </c>
      <c r="C17" s="196">
        <v>2900</v>
      </c>
      <c r="D17" s="197">
        <f>(C17/C19)-1</f>
        <v>3.5714285714285809E-2</v>
      </c>
      <c r="E17" s="219">
        <f>F18*D17</f>
        <v>1663.6873736936629</v>
      </c>
      <c r="F17" s="199">
        <f>H18*D17</f>
        <v>1705.5725249744467</v>
      </c>
      <c r="G17" s="200"/>
      <c r="H17" s="200">
        <f t="shared" si="0"/>
        <v>49461.603224258826</v>
      </c>
      <c r="J17" s="254">
        <v>45677</v>
      </c>
    </row>
    <row r="18" spans="1:11">
      <c r="A18" s="194"/>
      <c r="B18" s="218" t="s">
        <v>472</v>
      </c>
      <c r="C18" s="196"/>
      <c r="D18" s="197"/>
      <c r="E18" s="199">
        <f>E20+E19</f>
        <v>46583.246463422438</v>
      </c>
      <c r="F18" s="199">
        <f>E18</f>
        <v>46583.246463422438</v>
      </c>
      <c r="G18" s="200"/>
      <c r="H18" s="200">
        <f t="shared" si="0"/>
        <v>47756.030699284376</v>
      </c>
    </row>
    <row r="19" spans="1:11">
      <c r="A19" s="194">
        <v>45656</v>
      </c>
      <c r="B19" s="218" t="s">
        <v>453</v>
      </c>
      <c r="C19" s="196">
        <v>2800</v>
      </c>
      <c r="D19" s="197">
        <f>(C19/C23)-1</f>
        <v>5.372888308501711E-2</v>
      </c>
      <c r="E19" s="219">
        <f>F20*D19</f>
        <v>2375.2464634224366</v>
      </c>
      <c r="F19" s="199">
        <f>IF(H20&lt;=0,,(H20*D19))</f>
        <v>59.79943048357466</v>
      </c>
      <c r="G19" s="200"/>
      <c r="H19" s="200">
        <f t="shared" si="0"/>
        <v>1172.7842358619391</v>
      </c>
    </row>
    <row r="20" spans="1:11">
      <c r="A20" s="194"/>
      <c r="B20" s="218" t="s">
        <v>468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>
      <c r="A21" s="194"/>
      <c r="B21" s="218" t="s">
        <v>469</v>
      </c>
      <c r="C21" s="196"/>
      <c r="D21" s="197"/>
      <c r="E21" s="199"/>
      <c r="F21" s="199"/>
      <c r="G21" s="200">
        <v>219000</v>
      </c>
      <c r="H21" s="200">
        <f t="shared" si="0"/>
        <v>-43095.015194621636</v>
      </c>
      <c r="I21">
        <v>240</v>
      </c>
      <c r="J21">
        <v>60</v>
      </c>
      <c r="K21">
        <f>I21*J21/100</f>
        <v>144</v>
      </c>
    </row>
    <row r="22" spans="1:11">
      <c r="A22" s="194"/>
      <c r="B22" s="218" t="s">
        <v>449</v>
      </c>
      <c r="C22" s="196"/>
      <c r="D22" s="197"/>
      <c r="E22" s="199"/>
      <c r="F22" s="199">
        <v>7080</v>
      </c>
      <c r="G22" s="200"/>
      <c r="H22" s="200">
        <f t="shared" si="0"/>
        <v>175904.98480537836</v>
      </c>
      <c r="K22">
        <f>K21+I21</f>
        <v>384</v>
      </c>
    </row>
    <row r="23" spans="1:11" ht="13.5" thickBot="1">
      <c r="A23" s="194">
        <v>45626</v>
      </c>
      <c r="B23" s="218" t="s">
        <v>448</v>
      </c>
      <c r="C23" s="224">
        <v>2657.23</v>
      </c>
      <c r="D23" s="197">
        <f>(C23/C25)-1</f>
        <v>2.2440176843369075E-2</v>
      </c>
      <c r="E23" s="219">
        <f>C23</f>
        <v>2657.23</v>
      </c>
      <c r="F23" s="199">
        <f>H24*D23</f>
        <v>3705.3145997334518</v>
      </c>
      <c r="G23" s="200"/>
      <c r="H23" s="200">
        <f t="shared" si="0"/>
        <v>168824.98480537836</v>
      </c>
      <c r="K23">
        <f>K22/12</f>
        <v>32</v>
      </c>
    </row>
    <row r="24" spans="1:11">
      <c r="A24" s="194"/>
      <c r="B24" s="218" t="s">
        <v>450</v>
      </c>
      <c r="C24" s="196"/>
      <c r="D24" s="197"/>
      <c r="E24" s="199">
        <f>E26+E25</f>
        <v>28469.068917672856</v>
      </c>
      <c r="F24" s="199">
        <f>E24</f>
        <v>28469.068917672856</v>
      </c>
      <c r="G24" s="200"/>
      <c r="H24" s="200">
        <f t="shared" si="0"/>
        <v>165119.67020564491</v>
      </c>
    </row>
    <row r="25" spans="1:11" ht="13.5" thickBot="1">
      <c r="A25" s="194">
        <v>45595</v>
      </c>
      <c r="B25" s="218" t="s">
        <v>423</v>
      </c>
      <c r="C25" s="223">
        <v>2598.91</v>
      </c>
      <c r="D25" s="197">
        <f>(C25/C27)-1</f>
        <v>2.8798650916806556E-2</v>
      </c>
      <c r="E25" s="219">
        <f>F26*D25</f>
        <v>796.92054121177785</v>
      </c>
      <c r="F25" s="199">
        <f>H26*D25</f>
        <v>3825.1925783116671</v>
      </c>
      <c r="G25" s="200"/>
      <c r="H25" s="200">
        <f t="shared" si="0"/>
        <v>136650.60128797207</v>
      </c>
      <c r="I25" t="s">
        <v>471</v>
      </c>
      <c r="J25" t="s">
        <v>470</v>
      </c>
      <c r="K25" t="s">
        <v>177</v>
      </c>
    </row>
    <row r="26" spans="1:11">
      <c r="A26" s="194"/>
      <c r="B26" s="218" t="s">
        <v>447</v>
      </c>
      <c r="C26" s="196"/>
      <c r="D26" s="197"/>
      <c r="E26" s="199">
        <f>E28+E27</f>
        <v>27672.148376461078</v>
      </c>
      <c r="F26" s="199">
        <f>E26</f>
        <v>27672.148376461078</v>
      </c>
      <c r="G26" s="200"/>
      <c r="H26" s="200">
        <f t="shared" si="0"/>
        <v>132825.40870966041</v>
      </c>
      <c r="I26">
        <v>24</v>
      </c>
      <c r="J26">
        <v>22104</v>
      </c>
      <c r="K26">
        <f>J26*I26</f>
        <v>530496</v>
      </c>
    </row>
    <row r="27" spans="1:11">
      <c r="A27" s="194">
        <v>45565</v>
      </c>
      <c r="B27" s="218" t="s">
        <v>424</v>
      </c>
      <c r="C27" s="221">
        <v>2526.16</v>
      </c>
      <c r="D27" s="197">
        <f>(C27/C29)-1</f>
        <v>2.9681984559824404E-2</v>
      </c>
      <c r="E27" s="219">
        <f>F28*D27</f>
        <v>797.68733760881537</v>
      </c>
      <c r="F27" s="199">
        <f>IF(H28&lt;=0,,(H28*D27))</f>
        <v>3031.1858383726817</v>
      </c>
      <c r="G27" s="200"/>
      <c r="H27" s="200">
        <f t="shared" si="0"/>
        <v>105153.26033319932</v>
      </c>
      <c r="K27">
        <f>K26/12</f>
        <v>44208</v>
      </c>
    </row>
    <row r="28" spans="1:11">
      <c r="A28" s="194"/>
      <c r="B28" s="218" t="s">
        <v>446</v>
      </c>
      <c r="C28" s="196"/>
      <c r="D28" s="197"/>
      <c r="E28" s="199">
        <f>E30+E29</f>
        <v>26874.461038852263</v>
      </c>
      <c r="F28" s="199">
        <f>E28</f>
        <v>26874.461038852263</v>
      </c>
      <c r="G28" s="200"/>
      <c r="H28" s="200">
        <f t="shared" si="0"/>
        <v>102122.07449482664</v>
      </c>
      <c r="K28" t="s">
        <v>176</v>
      </c>
    </row>
    <row r="29" spans="1:11">
      <c r="A29" s="194">
        <v>45534</v>
      </c>
      <c r="B29" s="218" t="s">
        <v>425</v>
      </c>
      <c r="C29" s="196">
        <v>2453.34</v>
      </c>
      <c r="D29" s="197">
        <f>(C29/C31)-1</f>
        <v>2.4744162733386421E-2</v>
      </c>
      <c r="E29" s="219">
        <f>F30*D29</f>
        <v>648.92883658262588</v>
      </c>
      <c r="F29" s="199">
        <f>IF(H30&lt;=0,,(H30*D29))</f>
        <v>1816.9795548647776</v>
      </c>
      <c r="G29" s="200"/>
      <c r="H29" s="200">
        <f t="shared" si="0"/>
        <v>75247.61345597438</v>
      </c>
    </row>
    <row r="30" spans="1:11">
      <c r="A30" s="194"/>
      <c r="B30" s="218" t="s">
        <v>445</v>
      </c>
      <c r="C30" s="196"/>
      <c r="D30" s="197"/>
      <c r="E30" s="199">
        <f>E32+E31</f>
        <v>26225.532202269638</v>
      </c>
      <c r="F30" s="199">
        <f>E30</f>
        <v>26225.532202269638</v>
      </c>
      <c r="G30" s="200"/>
      <c r="H30" s="200">
        <f t="shared" si="0"/>
        <v>73430.633901109599</v>
      </c>
    </row>
    <row r="31" spans="1:11">
      <c r="A31" s="194">
        <v>45503</v>
      </c>
      <c r="B31" s="218" t="s">
        <v>426</v>
      </c>
      <c r="C31" s="196">
        <v>2394.1</v>
      </c>
      <c r="D31" s="197">
        <f>(C31/C33)-1</f>
        <v>3.2255560969089547E-2</v>
      </c>
      <c r="E31" s="219">
        <f>F32*D31</f>
        <v>819.48626375330343</v>
      </c>
      <c r="F31" s="199">
        <f>IF(H32&lt;=0,,(H32*D31))</f>
        <v>1475.0485184788452</v>
      </c>
      <c r="G31" s="200"/>
      <c r="H31" s="200">
        <f t="shared" si="0"/>
        <v>47205.101698839957</v>
      </c>
    </row>
    <row r="32" spans="1:11">
      <c r="A32" s="194"/>
      <c r="B32" s="218" t="s">
        <v>444</v>
      </c>
      <c r="C32" s="196"/>
      <c r="D32" s="197"/>
      <c r="E32" s="199">
        <f>E34+E33</f>
        <v>25406.045938516334</v>
      </c>
      <c r="F32" s="199">
        <f>E32</f>
        <v>25406.045938516334</v>
      </c>
      <c r="G32" s="200"/>
      <c r="H32" s="200">
        <f t="shared" si="0"/>
        <v>45730.053180361108</v>
      </c>
    </row>
    <row r="33" spans="1:8">
      <c r="A33" s="194">
        <v>45473</v>
      </c>
      <c r="B33" s="218" t="s">
        <v>427</v>
      </c>
      <c r="C33" s="196">
        <v>2319.29</v>
      </c>
      <c r="D33" s="197">
        <f>(C33/C35)-1</f>
        <v>1.6407739334312055E-2</v>
      </c>
      <c r="E33" s="219">
        <f>F34*D33</f>
        <v>410.12653007517417</v>
      </c>
      <c r="F33" s="199">
        <f>IF(H34&lt;=0,,(H34*D33))</f>
        <v>328.0878334036139</v>
      </c>
      <c r="G33" s="200"/>
      <c r="H33" s="200">
        <f t="shared" si="0"/>
        <v>20324.007241844774</v>
      </c>
    </row>
    <row r="34" spans="1:8">
      <c r="A34" s="194"/>
      <c r="B34" s="218" t="s">
        <v>443</v>
      </c>
      <c r="C34" s="196"/>
      <c r="D34" s="197"/>
      <c r="E34" s="199">
        <f>E36+E35</f>
        <v>24995.919408441161</v>
      </c>
      <c r="F34" s="199">
        <f>E34</f>
        <v>24995.919408441161</v>
      </c>
      <c r="G34" s="200"/>
      <c r="H34" s="200">
        <f t="shared" ref="H34:H46" si="1">H35+F34-G34</f>
        <v>19995.919408441161</v>
      </c>
    </row>
    <row r="35" spans="1:8">
      <c r="A35" s="194">
        <v>45442</v>
      </c>
      <c r="B35" s="218" t="s">
        <v>428</v>
      </c>
      <c r="C35" s="196">
        <v>2281.85</v>
      </c>
      <c r="D35" s="197">
        <f>(C35/C37)-1</f>
        <v>3.3680634201585402E-2</v>
      </c>
      <c r="E35" s="219">
        <f>F36*D35</f>
        <v>673.612684031708</v>
      </c>
      <c r="F35" s="199">
        <f>IF(H36&lt;=0,,(H36*D35))</f>
        <v>0</v>
      </c>
      <c r="G35" s="200"/>
      <c r="H35" s="200">
        <f t="shared" si="1"/>
        <v>-5000</v>
      </c>
    </row>
    <row r="36" spans="1:8">
      <c r="A36" s="194"/>
      <c r="B36" s="218" t="s">
        <v>442</v>
      </c>
      <c r="C36" s="196"/>
      <c r="D36" s="197"/>
      <c r="E36" s="199">
        <f>E38+E37</f>
        <v>24322.306724409453</v>
      </c>
      <c r="F36" s="199">
        <f>F38</f>
        <v>20000</v>
      </c>
      <c r="G36" s="200"/>
      <c r="H36" s="200">
        <f t="shared" si="1"/>
        <v>-5000</v>
      </c>
    </row>
    <row r="37" spans="1:8">
      <c r="A37" s="194">
        <v>45412</v>
      </c>
      <c r="B37" s="218" t="s">
        <v>429</v>
      </c>
      <c r="C37" s="196">
        <v>2207.5</v>
      </c>
      <c r="D37" s="197">
        <f>(C37/C39)-1</f>
        <v>3.1797594731405532E-2</v>
      </c>
      <c r="E37" s="219">
        <f>F38*D37</f>
        <v>635.95189462811061</v>
      </c>
      <c r="F37" s="199">
        <f>IF(H38&lt;=0,,(H38*D37))</f>
        <v>0</v>
      </c>
      <c r="G37" s="200"/>
      <c r="H37" s="200">
        <f t="shared" si="1"/>
        <v>-25000</v>
      </c>
    </row>
    <row r="38" spans="1:8">
      <c r="A38" s="194"/>
      <c r="B38" s="218" t="s">
        <v>441</v>
      </c>
      <c r="C38" s="196"/>
      <c r="D38" s="197"/>
      <c r="E38" s="199">
        <f>E40+E39</f>
        <v>23686.354829781343</v>
      </c>
      <c r="F38" s="199">
        <f>F40</f>
        <v>20000</v>
      </c>
      <c r="G38" s="200"/>
      <c r="H38" s="200">
        <f t="shared" si="1"/>
        <v>-25000</v>
      </c>
    </row>
    <row r="39" spans="1:8">
      <c r="A39" s="194">
        <v>45381</v>
      </c>
      <c r="B39" s="218" t="s">
        <v>430</v>
      </c>
      <c r="C39" s="196">
        <v>2139.4699999999998</v>
      </c>
      <c r="D39" s="197">
        <f>(C39/C41)-1</f>
        <v>3.1626709356375349E-2</v>
      </c>
      <c r="E39" s="219">
        <f>E40*D39</f>
        <v>726.15554940492348</v>
      </c>
      <c r="F39" s="199">
        <f>IF(H40&lt;=0,,(H40*D39))</f>
        <v>0</v>
      </c>
      <c r="G39" s="200"/>
      <c r="H39" s="200">
        <f t="shared" si="1"/>
        <v>-45000</v>
      </c>
    </row>
    <row r="40" spans="1:8">
      <c r="A40" s="194"/>
      <c r="B40" s="218" t="s">
        <v>440</v>
      </c>
      <c r="C40" s="196"/>
      <c r="D40" s="197"/>
      <c r="E40" s="199">
        <f>E42+E41</f>
        <v>22960.199280376419</v>
      </c>
      <c r="F40" s="199">
        <f>F42</f>
        <v>20000</v>
      </c>
      <c r="G40" s="200"/>
      <c r="H40" s="200">
        <f t="shared" si="1"/>
        <v>-45000</v>
      </c>
    </row>
    <row r="41" spans="1:8">
      <c r="A41" s="194">
        <v>45351</v>
      </c>
      <c r="B41" s="218" t="s">
        <v>431</v>
      </c>
      <c r="C41" s="196">
        <v>2073.88</v>
      </c>
      <c r="D41" s="197">
        <f>(C41/C43)-1</f>
        <v>4.5291882138285056E-2</v>
      </c>
      <c r="E41" s="219">
        <f>E42*D41</f>
        <v>994.85192360919234</v>
      </c>
      <c r="F41" s="199">
        <f>IF(H42&lt;=0,,(H42*D41))</f>
        <v>0</v>
      </c>
      <c r="G41" s="200"/>
      <c r="H41" s="200">
        <f t="shared" si="1"/>
        <v>-65000</v>
      </c>
    </row>
    <row r="42" spans="1:8">
      <c r="A42" s="194"/>
      <c r="B42" s="218" t="s">
        <v>439</v>
      </c>
      <c r="C42" s="196"/>
      <c r="D42" s="197"/>
      <c r="E42" s="199">
        <f>E45+E43</f>
        <v>21965.347356767226</v>
      </c>
      <c r="F42" s="253">
        <f>F45</f>
        <v>20000</v>
      </c>
      <c r="G42" s="200"/>
      <c r="H42" s="200">
        <f t="shared" si="1"/>
        <v>-65000</v>
      </c>
    </row>
    <row r="43" spans="1:8">
      <c r="A43" s="194">
        <v>45321</v>
      </c>
      <c r="B43" s="218" t="s">
        <v>432</v>
      </c>
      <c r="C43" s="196">
        <v>1984.02</v>
      </c>
      <c r="D43" s="197">
        <f>(C43/C46)-1</f>
        <v>6.7033097053856627E-2</v>
      </c>
      <c r="E43" s="219">
        <f>E45*D43</f>
        <v>1379.9058953778017</v>
      </c>
      <c r="F43" s="199">
        <f>IF(H44&lt;=0,,(H44*D43))</f>
        <v>0</v>
      </c>
      <c r="G43" s="200"/>
      <c r="H43" s="200">
        <f t="shared" si="1"/>
        <v>-85000</v>
      </c>
    </row>
    <row r="44" spans="1:8">
      <c r="A44" s="194"/>
      <c r="B44" s="218" t="s">
        <v>454</v>
      </c>
      <c r="C44" s="196"/>
      <c r="D44" s="197"/>
      <c r="E44" s="199"/>
      <c r="F44" s="199">
        <v>10000</v>
      </c>
      <c r="G44" s="200"/>
      <c r="H44" s="200">
        <f t="shared" si="1"/>
        <v>-85000</v>
      </c>
    </row>
    <row r="45" spans="1:8">
      <c r="A45" s="194"/>
      <c r="B45" s="218" t="s">
        <v>438</v>
      </c>
      <c r="C45" s="196"/>
      <c r="D45" s="197"/>
      <c r="E45" s="199">
        <f>F47+E46</f>
        <v>20585.441461389426</v>
      </c>
      <c r="F45" s="253">
        <f>F47</f>
        <v>20000</v>
      </c>
      <c r="G45" s="200"/>
      <c r="H45" s="200">
        <f>H46+F45-G45</f>
        <v>-95000</v>
      </c>
    </row>
    <row r="46" spans="1:8">
      <c r="A46" s="194">
        <v>45290</v>
      </c>
      <c r="B46" s="218" t="s">
        <v>434</v>
      </c>
      <c r="C46" s="196">
        <v>1859.38</v>
      </c>
      <c r="D46" s="197">
        <f>(C46/C49)-1</f>
        <v>2.9272073069471327E-2</v>
      </c>
      <c r="E46" s="219">
        <f>F47*D46</f>
        <v>585.44146138942654</v>
      </c>
      <c r="F46" s="199">
        <f>IF(H47&lt;=0,,(H47*D46))</f>
        <v>0</v>
      </c>
      <c r="G46" s="200"/>
      <c r="H46" s="200">
        <f t="shared" si="1"/>
        <v>-115000</v>
      </c>
    </row>
    <row r="47" spans="1:8">
      <c r="A47" s="194"/>
      <c r="B47" s="218" t="s">
        <v>437</v>
      </c>
      <c r="C47" s="196"/>
      <c r="D47" s="197"/>
      <c r="E47" s="198"/>
      <c r="F47" s="199">
        <v>20000</v>
      </c>
      <c r="G47" s="200"/>
      <c r="H47" s="200">
        <f>H48+F47-G47</f>
        <v>-115000</v>
      </c>
    </row>
    <row r="48" spans="1:8">
      <c r="A48" s="194"/>
      <c r="B48" s="218"/>
      <c r="C48" s="196"/>
      <c r="D48" s="197"/>
      <c r="E48" s="198"/>
      <c r="F48" s="199"/>
      <c r="G48" s="200">
        <v>135000</v>
      </c>
      <c r="H48" s="200">
        <f>H50+F48-G48</f>
        <v>-135000</v>
      </c>
    </row>
    <row r="49" spans="1:8">
      <c r="A49" s="194">
        <v>45260</v>
      </c>
      <c r="B49" s="218" t="s">
        <v>435</v>
      </c>
      <c r="C49" s="196">
        <v>1806.5</v>
      </c>
      <c r="D49" s="197"/>
      <c r="E49" s="219"/>
      <c r="F49" s="199"/>
      <c r="G49" s="200"/>
      <c r="H49" s="200"/>
    </row>
    <row r="50" spans="1:8">
      <c r="A50" s="194"/>
      <c r="B50" s="218"/>
      <c r="C50" s="196"/>
      <c r="D50" s="197"/>
      <c r="E50" s="199"/>
      <c r="F50" s="199"/>
      <c r="G50" s="200"/>
      <c r="H50" s="200"/>
    </row>
    <row r="51" spans="1:8">
      <c r="A51" s="194"/>
      <c r="B51" s="200"/>
      <c r="C51" s="196"/>
      <c r="D51" s="197"/>
      <c r="E51" s="198"/>
      <c r="F51" s="199"/>
      <c r="G51" s="200"/>
      <c r="H51" s="200"/>
    </row>
    <row r="52" spans="1:8">
      <c r="A52" s="194"/>
      <c r="B52" s="218"/>
      <c r="C52" s="196"/>
      <c r="D52" s="197"/>
      <c r="E52" s="219"/>
      <c r="F52" s="199"/>
      <c r="G52" s="200"/>
      <c r="H52" s="200"/>
    </row>
    <row r="53" spans="1:8">
      <c r="A53" s="194"/>
      <c r="B53" s="218"/>
      <c r="C53" s="196"/>
      <c r="D53" s="197"/>
      <c r="E53" s="199"/>
      <c r="F53" s="199"/>
      <c r="G53" s="200"/>
      <c r="H53" s="200"/>
    </row>
    <row r="54" spans="1:8">
      <c r="A54" s="194"/>
      <c r="B54" s="218"/>
      <c r="C54" s="196"/>
      <c r="D54" s="197"/>
      <c r="E54" s="198"/>
      <c r="F54" s="199"/>
      <c r="G54" s="200"/>
      <c r="H54" s="200"/>
    </row>
    <row r="55" spans="1:8">
      <c r="A55" s="194"/>
      <c r="B55" s="218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198"/>
      <c r="F56" s="199"/>
      <c r="G56" s="200"/>
      <c r="H56" s="200"/>
    </row>
    <row r="57" spans="1:8">
      <c r="A57" s="194"/>
      <c r="B57" s="200"/>
      <c r="C57" s="196"/>
      <c r="D57" s="197"/>
      <c r="E57" s="198"/>
      <c r="F57" s="199"/>
      <c r="G57" s="200"/>
      <c r="H57" s="200"/>
    </row>
    <row r="58" spans="1:8">
      <c r="A58" s="194"/>
      <c r="B58" s="218"/>
      <c r="C58" s="196"/>
      <c r="D58" s="197"/>
      <c r="E58" s="219"/>
      <c r="F58" s="199"/>
      <c r="G58" s="220"/>
      <c r="H58" s="200"/>
    </row>
    <row r="59" spans="1:8">
      <c r="A59" s="194"/>
      <c r="B59" s="218"/>
      <c r="C59" s="196"/>
      <c r="D59" s="197"/>
      <c r="E59" s="199"/>
      <c r="F59" s="199"/>
      <c r="G59" s="220"/>
      <c r="H59" s="200"/>
    </row>
    <row r="60" spans="1:8">
      <c r="A60" s="194"/>
      <c r="B60" s="200"/>
      <c r="C60" s="196"/>
      <c r="D60" s="197"/>
      <c r="E60" s="198"/>
      <c r="F60" s="199"/>
      <c r="G60" s="200"/>
      <c r="H60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79" t="s">
        <v>411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389</v>
      </c>
      <c r="C9"/>
      <c r="D9" s="24">
        <v>204024</v>
      </c>
      <c r="E9" s="25"/>
      <c r="F9" s="3">
        <f>D9-E9</f>
        <v>204024</v>
      </c>
    </row>
    <row r="10" spans="1:6">
      <c r="B10" s="14" t="s">
        <v>391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391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390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392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391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345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88</v>
      </c>
      <c r="C30"/>
      <c r="D30" s="31"/>
      <c r="E30" s="31"/>
      <c r="F30" s="31">
        <f t="shared" si="1"/>
        <v>-800</v>
      </c>
    </row>
    <row r="31" spans="1:6">
      <c r="A31" s="26"/>
      <c r="B31" t="s">
        <v>89</v>
      </c>
      <c r="C31"/>
      <c r="D31" s="31"/>
      <c r="E31" s="31"/>
      <c r="F31" s="31">
        <f t="shared" si="1"/>
        <v>-800</v>
      </c>
    </row>
    <row r="32" spans="1:6">
      <c r="A32" s="26"/>
      <c r="B32" t="s">
        <v>90</v>
      </c>
      <c r="C32"/>
      <c r="D32" s="31"/>
      <c r="E32" s="31"/>
      <c r="F32" s="31">
        <f t="shared" si="1"/>
        <v>-800</v>
      </c>
    </row>
    <row r="33" spans="1:6">
      <c r="A33" s="26"/>
      <c r="B33" t="s">
        <v>91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45402</v>
      </c>
      <c r="B43" t="s">
        <v>393</v>
      </c>
      <c r="C43"/>
    </row>
    <row r="44" spans="1:6">
      <c r="B44" t="s">
        <v>394</v>
      </c>
      <c r="C44"/>
      <c r="D44" s="3">
        <v>204024</v>
      </c>
    </row>
    <row r="45" spans="1:6">
      <c r="A45" s="7">
        <v>45402</v>
      </c>
      <c r="B45" t="s">
        <v>148</v>
      </c>
      <c r="C45"/>
    </row>
    <row r="46" spans="1:6">
      <c r="B46"/>
      <c r="C46"/>
    </row>
    <row r="47" spans="1:6">
      <c r="A47" s="7">
        <v>45449</v>
      </c>
      <c r="B47" t="s">
        <v>149</v>
      </c>
      <c r="C47"/>
    </row>
    <row r="48" spans="1:6">
      <c r="A48" s="7">
        <v>45813</v>
      </c>
      <c r="B48" t="s">
        <v>150</v>
      </c>
      <c r="C48"/>
      <c r="E48"/>
    </row>
    <row r="49" spans="1:8">
      <c r="B49" t="s">
        <v>395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5">
        <v>45402</v>
      </c>
      <c r="B52" t="s">
        <v>393</v>
      </c>
      <c r="C52" s="147"/>
      <c r="D52" s="148"/>
      <c r="E52" s="148"/>
      <c r="F52" s="148"/>
      <c r="G52"/>
      <c r="H52"/>
    </row>
    <row r="53" spans="1:8">
      <c r="A53" s="147"/>
      <c r="B53" s="146" t="s">
        <v>362</v>
      </c>
      <c r="C53" s="147"/>
      <c r="D53" s="148"/>
      <c r="E53" s="148"/>
      <c r="F53" s="148"/>
      <c r="G53"/>
      <c r="H53"/>
    </row>
    <row r="54" spans="1:8">
      <c r="A54" s="147"/>
      <c r="B54" s="147"/>
      <c r="C54" s="147"/>
      <c r="D54" s="148" t="s">
        <v>2</v>
      </c>
      <c r="E54" s="148" t="s">
        <v>3</v>
      </c>
      <c r="F54" s="148" t="s">
        <v>363</v>
      </c>
      <c r="G54"/>
      <c r="H54"/>
    </row>
    <row r="55" spans="1:8">
      <c r="A55" s="145"/>
      <c r="B55" s="147" t="s">
        <v>397</v>
      </c>
      <c r="C55" s="147"/>
      <c r="D55" s="148">
        <v>204024</v>
      </c>
      <c r="E55" s="148"/>
      <c r="F55" s="148">
        <f>D55-E55</f>
        <v>204024</v>
      </c>
      <c r="G55"/>
      <c r="H55"/>
    </row>
    <row r="56" spans="1:8">
      <c r="A56" s="145"/>
      <c r="B56" s="147"/>
      <c r="C56" s="147"/>
      <c r="D56" s="148"/>
      <c r="E56" s="148"/>
      <c r="F56" s="148">
        <f t="shared" ref="F56:F63" si="2">F55+D56-E56</f>
        <v>204024</v>
      </c>
      <c r="G56"/>
      <c r="H56"/>
    </row>
    <row r="57" spans="1:8">
      <c r="A57" s="145">
        <v>45402</v>
      </c>
      <c r="B57" s="147" t="s">
        <v>364</v>
      </c>
      <c r="C57" s="147"/>
      <c r="D57" s="148"/>
      <c r="E57" s="148"/>
      <c r="F57" s="148">
        <f t="shared" si="2"/>
        <v>204024</v>
      </c>
      <c r="G57"/>
      <c r="H57"/>
    </row>
    <row r="58" spans="1:8">
      <c r="A58" s="145">
        <v>45813</v>
      </c>
      <c r="B58" s="147" t="s">
        <v>365</v>
      </c>
      <c r="C58" s="147"/>
      <c r="E58"/>
      <c r="F58" s="148">
        <f t="shared" si="2"/>
        <v>204024</v>
      </c>
      <c r="G58"/>
      <c r="H58"/>
    </row>
    <row r="59" spans="1:8">
      <c r="A59" s="145">
        <v>45170</v>
      </c>
      <c r="B59" s="147" t="s">
        <v>396</v>
      </c>
      <c r="C59" s="147"/>
      <c r="E59">
        <v>1000</v>
      </c>
      <c r="F59" s="148">
        <f t="shared" si="2"/>
        <v>203024</v>
      </c>
      <c r="G59"/>
      <c r="H59"/>
    </row>
    <row r="60" spans="1:8">
      <c r="A60" s="145">
        <v>45199</v>
      </c>
      <c r="B60" s="147" t="s">
        <v>396</v>
      </c>
      <c r="C60" s="147"/>
      <c r="E60">
        <v>50000</v>
      </c>
      <c r="F60" s="148">
        <f t="shared" si="2"/>
        <v>153024</v>
      </c>
      <c r="G60" s="46"/>
      <c r="H60" s="51"/>
    </row>
    <row r="61" spans="1:8">
      <c r="A61" s="145">
        <v>45229</v>
      </c>
      <c r="B61" s="147" t="s">
        <v>396</v>
      </c>
      <c r="C61" s="147"/>
      <c r="E61">
        <v>33000</v>
      </c>
      <c r="F61" s="148">
        <f t="shared" si="2"/>
        <v>120024</v>
      </c>
      <c r="G61" s="46"/>
      <c r="H61" s="51"/>
    </row>
    <row r="62" spans="1:8">
      <c r="A62" s="145">
        <v>45260</v>
      </c>
      <c r="B62" s="147" t="s">
        <v>396</v>
      </c>
      <c r="C62" s="147"/>
      <c r="E62">
        <v>120000</v>
      </c>
      <c r="F62" s="148">
        <f t="shared" si="2"/>
        <v>24</v>
      </c>
      <c r="G62" s="46"/>
      <c r="H62" s="51"/>
    </row>
    <row r="63" spans="1:8">
      <c r="A63" s="145"/>
      <c r="B63" s="147" t="s">
        <v>392</v>
      </c>
      <c r="C63" s="147"/>
      <c r="E63">
        <v>24</v>
      </c>
      <c r="F63" s="148">
        <f t="shared" si="2"/>
        <v>0</v>
      </c>
      <c r="G63" s="46"/>
      <c r="H63" s="51"/>
    </row>
    <row r="64" spans="1:8">
      <c r="A64" s="145"/>
      <c r="B64" s="147"/>
      <c r="C64" s="147"/>
      <c r="E64"/>
      <c r="F64" s="148"/>
    </row>
    <row r="65" spans="1:6" ht="15">
      <c r="A65" s="145"/>
      <c r="B65" s="147" t="s">
        <v>373</v>
      </c>
      <c r="C65" s="150">
        <f>A58-A57</f>
        <v>411</v>
      </c>
      <c r="E65"/>
      <c r="F65" s="148"/>
    </row>
    <row r="66" spans="1:6">
      <c r="A66" s="145"/>
      <c r="B66" s="147" t="s">
        <v>374</v>
      </c>
      <c r="C66" s="146">
        <f>(D55-24)/C65</f>
        <v>496.35036496350364</v>
      </c>
      <c r="E66"/>
      <c r="F66" s="148"/>
    </row>
    <row r="67" spans="1:6" ht="15.75" thickBot="1">
      <c r="A67" s="151">
        <v>45813</v>
      </c>
      <c r="B67" s="152" t="s">
        <v>375</v>
      </c>
      <c r="C67" s="153"/>
      <c r="D67" s="154"/>
      <c r="E67"/>
      <c r="F67" s="148"/>
    </row>
    <row r="68" spans="1:6" ht="13.5" thickTop="1">
      <c r="A68"/>
      <c r="B68" s="147" t="s">
        <v>376</v>
      </c>
      <c r="C68" s="146">
        <f>A67-A57</f>
        <v>411</v>
      </c>
      <c r="D68"/>
      <c r="E68"/>
      <c r="F68" s="148"/>
    </row>
    <row r="69" spans="1:6">
      <c r="A69" s="145"/>
      <c r="B69" s="147" t="s">
        <v>377</v>
      </c>
      <c r="C69" s="147"/>
      <c r="D69" s="3">
        <f>C68*C66</f>
        <v>204000</v>
      </c>
      <c r="E69"/>
      <c r="F69" s="148"/>
    </row>
    <row r="70" spans="1:6">
      <c r="A70" s="145"/>
      <c r="B70" s="147" t="s">
        <v>378</v>
      </c>
      <c r="C70" s="147"/>
      <c r="D70" s="3">
        <f>D55-24-D69</f>
        <v>0</v>
      </c>
      <c r="E70"/>
      <c r="F70" s="148"/>
    </row>
    <row r="71" spans="1:6" ht="15.75" thickBot="1">
      <c r="A71" s="145"/>
      <c r="B71" s="155" t="s">
        <v>379</v>
      </c>
      <c r="C71" s="155" t="s">
        <v>380</v>
      </c>
      <c r="D71" s="156">
        <f>SUM(D70:D70)</f>
        <v>0</v>
      </c>
      <c r="E71"/>
      <c r="F71" s="148"/>
    </row>
    <row r="72" spans="1:6" ht="13.5" thickTop="1">
      <c r="A72" s="145"/>
      <c r="B72" s="147" t="s">
        <v>381</v>
      </c>
      <c r="C72" s="147" t="s">
        <v>380</v>
      </c>
      <c r="E72"/>
      <c r="F72" s="148"/>
    </row>
    <row r="73" spans="1:6">
      <c r="A73" s="145"/>
      <c r="B73" s="147" t="s">
        <v>382</v>
      </c>
      <c r="C73" s="147" t="s">
        <v>383</v>
      </c>
      <c r="E73"/>
      <c r="F73" s="148"/>
    </row>
    <row r="74" spans="1:6">
      <c r="A74" s="145"/>
      <c r="B74" s="147" t="s">
        <v>384</v>
      </c>
      <c r="C74" s="147" t="s">
        <v>383</v>
      </c>
      <c r="E74"/>
      <c r="F74" s="148"/>
    </row>
    <row r="75" spans="1:6" ht="13.5" thickBot="1">
      <c r="A75" s="145"/>
      <c r="B75" s="157"/>
      <c r="C75" s="147"/>
      <c r="E75"/>
      <c r="F75" s="148"/>
    </row>
    <row r="76" spans="1:6" s="3" customFormat="1" ht="16.5" thickTop="1" thickBot="1">
      <c r="A76" s="147"/>
      <c r="B76" s="158" t="s">
        <v>386</v>
      </c>
      <c r="C76" s="159" t="s">
        <v>380</v>
      </c>
      <c r="D76" s="156">
        <f>SUM(D71:D75)</f>
        <v>0</v>
      </c>
      <c r="E76" s="148"/>
      <c r="F76" s="148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141</v>
      </c>
      <c r="C1" s="8"/>
      <c r="F1" s="9" t="s">
        <v>142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144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345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87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88</v>
      </c>
      <c r="C30"/>
      <c r="D30" s="31"/>
      <c r="E30" s="31"/>
      <c r="F30" s="31">
        <f t="shared" si="1"/>
        <v>-794.6</v>
      </c>
    </row>
    <row r="31" spans="1:6">
      <c r="A31" s="26"/>
      <c r="B31" t="s">
        <v>89</v>
      </c>
      <c r="C31"/>
      <c r="D31" s="31"/>
      <c r="E31" s="31"/>
      <c r="F31" s="31">
        <f t="shared" si="1"/>
        <v>-794.6</v>
      </c>
    </row>
    <row r="32" spans="1:6">
      <c r="A32" s="26"/>
      <c r="B32" t="s">
        <v>90</v>
      </c>
      <c r="C32"/>
      <c r="D32" s="31"/>
      <c r="E32" s="31"/>
      <c r="F32" s="31">
        <f t="shared" si="1"/>
        <v>-794.6</v>
      </c>
    </row>
    <row r="33" spans="1:6">
      <c r="A33" s="26"/>
      <c r="B33" t="s">
        <v>91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254</v>
      </c>
      <c r="B40" s="40" t="s">
        <v>167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145</v>
      </c>
      <c r="C42" s="1"/>
    </row>
    <row r="43" spans="1:6">
      <c r="A43" s="7">
        <v>44774</v>
      </c>
      <c r="B43" t="s">
        <v>146</v>
      </c>
      <c r="C43"/>
    </row>
    <row r="44" spans="1:6">
      <c r="B44" t="s">
        <v>147</v>
      </c>
      <c r="C44"/>
      <c r="D44" s="3">
        <v>45000</v>
      </c>
    </row>
    <row r="45" spans="1:6">
      <c r="A45" s="7">
        <v>44774</v>
      </c>
      <c r="B45" t="s">
        <v>148</v>
      </c>
      <c r="C45"/>
    </row>
    <row r="46" spans="1:6">
      <c r="B46"/>
      <c r="C46"/>
    </row>
    <row r="47" spans="1:6">
      <c r="A47" s="7">
        <v>44803</v>
      </c>
      <c r="B47" t="s">
        <v>149</v>
      </c>
      <c r="C47"/>
    </row>
    <row r="48" spans="1:6">
      <c r="A48" s="7">
        <v>45167</v>
      </c>
      <c r="B48" t="s">
        <v>150</v>
      </c>
      <c r="C48"/>
      <c r="E48"/>
    </row>
    <row r="49" spans="1:6">
      <c r="B49" t="s">
        <v>151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152</v>
      </c>
      <c r="C51"/>
      <c r="D51"/>
      <c r="E51"/>
    </row>
    <row r="52" spans="1:6">
      <c r="B52" t="s">
        <v>153</v>
      </c>
      <c r="C52"/>
      <c r="D52"/>
      <c r="E52"/>
    </row>
    <row r="53" spans="1:6">
      <c r="B53" t="s">
        <v>154</v>
      </c>
      <c r="C53"/>
      <c r="D53"/>
      <c r="E53"/>
    </row>
    <row r="54" spans="1:6">
      <c r="B54" t="s">
        <v>155</v>
      </c>
      <c r="C54"/>
      <c r="D54"/>
      <c r="E54"/>
    </row>
    <row r="55" spans="1:6">
      <c r="B55" t="s">
        <v>143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156</v>
      </c>
      <c r="C60" s="1"/>
      <c r="D60"/>
      <c r="E60"/>
      <c r="F60" s="3">
        <f t="shared" si="2"/>
        <v>0</v>
      </c>
    </row>
    <row r="61" spans="1:6">
      <c r="B61" t="s">
        <v>157</v>
      </c>
      <c r="C61"/>
      <c r="E61">
        <v>32.35</v>
      </c>
      <c r="F61" s="3">
        <f t="shared" si="2"/>
        <v>-32.35</v>
      </c>
    </row>
    <row r="62" spans="1:6">
      <c r="B62" t="s">
        <v>158</v>
      </c>
      <c r="C62"/>
      <c r="E62">
        <v>39.909999999999997</v>
      </c>
      <c r="F62" s="3">
        <f t="shared" si="2"/>
        <v>-72.259999999999991</v>
      </c>
    </row>
    <row r="63" spans="1:6">
      <c r="B63" t="s">
        <v>159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160</v>
      </c>
      <c r="D64" s="3"/>
      <c r="E64" s="3">
        <v>60.27</v>
      </c>
      <c r="F64" s="3">
        <f t="shared" si="2"/>
        <v>-141.51999999999998</v>
      </c>
    </row>
    <row r="65" spans="1:8">
      <c r="B65" t="s">
        <v>161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162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163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164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165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146</v>
      </c>
      <c r="C72" s="147"/>
      <c r="D72" s="148"/>
      <c r="E72" s="148"/>
      <c r="F72" s="148"/>
      <c r="G72"/>
      <c r="H72"/>
    </row>
    <row r="73" spans="1:8">
      <c r="A73" s="147"/>
      <c r="B73" s="146" t="s">
        <v>362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363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364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365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366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367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368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369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370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371</v>
      </c>
      <c r="C84" s="149" t="s">
        <v>372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373</v>
      </c>
      <c r="C86" s="150">
        <f>A78-A77</f>
        <v>365</v>
      </c>
      <c r="E86"/>
      <c r="F86" s="148"/>
    </row>
    <row r="87" spans="1:8">
      <c r="A87" s="145"/>
      <c r="B87" s="147" t="s">
        <v>374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375</v>
      </c>
      <c r="C88" s="153"/>
      <c r="D88" s="154"/>
      <c r="E88"/>
    </row>
    <row r="89" spans="1:8" ht="13.5" thickTop="1">
      <c r="A89"/>
      <c r="B89" s="147" t="s">
        <v>376</v>
      </c>
      <c r="C89" s="146">
        <f>A88-A77</f>
        <v>245</v>
      </c>
      <c r="D89"/>
      <c r="E89"/>
    </row>
    <row r="90" spans="1:8">
      <c r="A90" s="145"/>
      <c r="B90" s="147" t="s">
        <v>377</v>
      </c>
      <c r="C90" s="147"/>
      <c r="D90" s="3">
        <f>C89*C87</f>
        <v>64438.356164383571</v>
      </c>
      <c r="E90"/>
    </row>
    <row r="91" spans="1:8">
      <c r="A91" s="145"/>
      <c r="B91" s="147" t="s">
        <v>378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379</v>
      </c>
      <c r="C92" s="155" t="s">
        <v>380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381</v>
      </c>
      <c r="C93" s="147" t="s">
        <v>380</v>
      </c>
      <c r="D93" s="3">
        <v>794.6</v>
      </c>
      <c r="E93"/>
      <c r="F93" s="148"/>
    </row>
    <row r="94" spans="1:8">
      <c r="A94" s="145"/>
      <c r="B94" s="147" t="s">
        <v>384</v>
      </c>
      <c r="C94" s="147" t="s">
        <v>383</v>
      </c>
      <c r="D94" s="3">
        <v>-30</v>
      </c>
      <c r="E94"/>
      <c r="F94" s="148"/>
    </row>
    <row r="95" spans="1:8" ht="13.5" thickBot="1">
      <c r="A95" s="145"/>
      <c r="B95" s="157" t="s">
        <v>385</v>
      </c>
      <c r="C95" s="147" t="s">
        <v>383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386</v>
      </c>
      <c r="C96" s="159" t="s">
        <v>380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325</v>
      </c>
      <c r="D97" s="3">
        <v>24000</v>
      </c>
    </row>
    <row r="98" spans="1:4">
      <c r="B98" s="3" t="s">
        <v>409</v>
      </c>
      <c r="D98" s="3">
        <v>1000</v>
      </c>
    </row>
    <row r="99" spans="1:4">
      <c r="B99" s="178" t="s">
        <v>410</v>
      </c>
    </row>
    <row r="101" spans="1:4">
      <c r="D101" s="3" t="s">
        <v>398</v>
      </c>
    </row>
    <row r="102" spans="1:4">
      <c r="A102" s="7" t="s">
        <v>123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399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400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166</v>
      </c>
      <c r="C1" s="8"/>
      <c r="D1" s="8"/>
      <c r="G1" s="9" t="s">
        <v>142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344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387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273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274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275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277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276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278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279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280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281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262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388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264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273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274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275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348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359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207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360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278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279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280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361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262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263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264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273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274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275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359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346</v>
      </c>
    </row>
    <row r="43" spans="1:13">
      <c r="A43" s="163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87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88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89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90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91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253</v>
      </c>
      <c r="B59" s="40" t="s">
        <v>167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353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284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285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282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283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354</v>
      </c>
      <c r="C69"/>
      <c r="F69"/>
      <c r="G69" s="3">
        <f t="shared" si="4"/>
        <v>12000</v>
      </c>
    </row>
    <row r="70" spans="1:7">
      <c r="A70" s="167">
        <v>44772</v>
      </c>
      <c r="B70" t="s">
        <v>355</v>
      </c>
      <c r="C70"/>
      <c r="F70"/>
      <c r="G70" s="3">
        <f t="shared" si="4"/>
        <v>12000</v>
      </c>
    </row>
    <row r="71" spans="1:7">
      <c r="A71" s="167">
        <v>44803</v>
      </c>
      <c r="B71" t="s">
        <v>356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358</v>
      </c>
      <c r="C73"/>
      <c r="D73"/>
      <c r="E73"/>
      <c r="F73"/>
      <c r="G73"/>
    </row>
    <row r="74" spans="1:7">
      <c r="B74" t="s">
        <v>357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332</v>
      </c>
      <c r="C83" s="8"/>
      <c r="D83" s="8"/>
      <c r="E83"/>
      <c r="F83"/>
      <c r="G83"/>
    </row>
    <row r="84" spans="1:7">
      <c r="A84" s="168">
        <v>45236</v>
      </c>
      <c r="B84" t="s">
        <v>168</v>
      </c>
      <c r="C84"/>
      <c r="D84"/>
      <c r="E84" s="61"/>
    </row>
    <row r="85" spans="1:7">
      <c r="A85" s="168">
        <v>45236</v>
      </c>
      <c r="B85" s="1" t="s">
        <v>169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170</v>
      </c>
      <c r="C87"/>
      <c r="D87"/>
      <c r="E87" s="61"/>
    </row>
    <row r="88" spans="1:7">
      <c r="B88" t="s">
        <v>171</v>
      </c>
      <c r="C88"/>
      <c r="D88"/>
      <c r="E88" s="61"/>
    </row>
    <row r="89" spans="1:7">
      <c r="B89" t="s">
        <v>172</v>
      </c>
      <c r="C89"/>
      <c r="D89"/>
      <c r="E89" s="61"/>
    </row>
    <row r="90" spans="1:7">
      <c r="B90" s="3" t="s">
        <v>173</v>
      </c>
      <c r="C90"/>
      <c r="D90"/>
      <c r="E90"/>
    </row>
    <row r="91" spans="1:7">
      <c r="B91" t="s">
        <v>174</v>
      </c>
      <c r="C91"/>
      <c r="D91"/>
      <c r="E91"/>
    </row>
    <row r="92" spans="1:7">
      <c r="B92" s="3" t="s">
        <v>175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176</v>
      </c>
      <c r="F94" s="3" t="s">
        <v>177</v>
      </c>
    </row>
    <row r="95" spans="1:7">
      <c r="A95" s="168">
        <v>45236</v>
      </c>
      <c r="B95" s="3" t="s">
        <v>178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179</v>
      </c>
      <c r="F98" s="63" t="s">
        <v>180</v>
      </c>
      <c r="G98" s="63" t="s">
        <v>181</v>
      </c>
    </row>
    <row r="99" spans="1:11" ht="25.5">
      <c r="B99" s="63" t="s">
        <v>182</v>
      </c>
      <c r="C99" s="3">
        <v>11.5</v>
      </c>
      <c r="E99" s="3">
        <v>138000</v>
      </c>
    </row>
    <row r="100" spans="1:11" ht="38.25">
      <c r="B100" s="64" t="s">
        <v>183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184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185</v>
      </c>
      <c r="G104" s="3">
        <f t="shared" ref="G104:G115" si="5">G103+E104-F104</f>
        <v>0</v>
      </c>
      <c r="J104" s="3"/>
    </row>
    <row r="105" spans="1:11">
      <c r="B105" t="s">
        <v>186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187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188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189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157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158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159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160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190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191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192</v>
      </c>
      <c r="C118" s="66"/>
      <c r="D118" s="66"/>
      <c r="E118" s="67"/>
      <c r="F118" s="68"/>
    </row>
    <row r="119" spans="1:11">
      <c r="A119" s="167"/>
      <c r="B119" s="69" t="s">
        <v>193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194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195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196</v>
      </c>
      <c r="C122"/>
      <c r="D122"/>
      <c r="E122"/>
      <c r="F122" s="73">
        <f t="shared" si="6"/>
        <v>28080</v>
      </c>
    </row>
    <row r="123" spans="1:11">
      <c r="B123" s="75" t="s">
        <v>197</v>
      </c>
      <c r="C123"/>
      <c r="D123"/>
      <c r="E123"/>
      <c r="F123" s="73">
        <f t="shared" si="6"/>
        <v>28080</v>
      </c>
      <c r="G123"/>
    </row>
    <row r="124" spans="1:11">
      <c r="B124" s="75" t="s">
        <v>198</v>
      </c>
      <c r="C124"/>
      <c r="D124"/>
      <c r="E124"/>
      <c r="F124" s="73">
        <f t="shared" si="6"/>
        <v>28080</v>
      </c>
      <c r="G124" s="51"/>
    </row>
    <row r="125" spans="1:11">
      <c r="B125" s="76" t="s">
        <v>199</v>
      </c>
      <c r="C125"/>
      <c r="D125"/>
      <c r="E125"/>
      <c r="F125" s="73">
        <f t="shared" si="6"/>
        <v>28080</v>
      </c>
      <c r="G125" s="51"/>
    </row>
    <row r="126" spans="1:11">
      <c r="B126" s="75" t="s">
        <v>200</v>
      </c>
      <c r="C126"/>
      <c r="D126"/>
      <c r="E126"/>
      <c r="F126" s="73">
        <f t="shared" si="6"/>
        <v>28080</v>
      </c>
      <c r="G126" s="51"/>
    </row>
    <row r="127" spans="1:11">
      <c r="B127" s="72" t="s">
        <v>201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202</v>
      </c>
      <c r="C130"/>
      <c r="D130"/>
      <c r="E130" s="3">
        <v>83000</v>
      </c>
      <c r="F130" s="73">
        <v>83000</v>
      </c>
    </row>
    <row r="131" spans="1:7">
      <c r="B131" s="75" t="s">
        <v>197</v>
      </c>
      <c r="C131"/>
      <c r="D131"/>
      <c r="F131" s="73">
        <f t="shared" ref="F131:F137" si="7">F130-E131</f>
        <v>83000</v>
      </c>
      <c r="G131"/>
    </row>
    <row r="132" spans="1:7">
      <c r="B132" s="75" t="s">
        <v>198</v>
      </c>
      <c r="C132"/>
      <c r="D132"/>
      <c r="F132" s="73">
        <f t="shared" si="7"/>
        <v>83000</v>
      </c>
      <c r="G132" s="51"/>
    </row>
    <row r="133" spans="1:7">
      <c r="B133" s="79" t="s">
        <v>203</v>
      </c>
      <c r="C133"/>
      <c r="D133"/>
      <c r="F133" s="73">
        <f t="shared" si="7"/>
        <v>83000</v>
      </c>
      <c r="G133" s="51"/>
    </row>
    <row r="134" spans="1:7">
      <c r="B134" s="78" t="s">
        <v>200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204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205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206</v>
      </c>
      <c r="F139" s="51"/>
      <c r="G139" s="51"/>
    </row>
    <row r="140" spans="1:7">
      <c r="B140" t="s">
        <v>207</v>
      </c>
      <c r="C140"/>
      <c r="D140"/>
      <c r="E140" s="3">
        <v>1252.54</v>
      </c>
      <c r="G140" s="51"/>
    </row>
    <row r="141" spans="1:7">
      <c r="B141" t="s">
        <v>208</v>
      </c>
      <c r="C141"/>
      <c r="D141"/>
      <c r="E141" s="3">
        <v>375</v>
      </c>
      <c r="G141" s="51"/>
    </row>
    <row r="142" spans="1:7">
      <c r="B142" t="s">
        <v>209</v>
      </c>
      <c r="C142"/>
      <c r="D142"/>
      <c r="E142" s="3">
        <v>1500</v>
      </c>
      <c r="G142" s="51"/>
    </row>
    <row r="143" spans="1:7">
      <c r="A143" s="168">
        <v>45015</v>
      </c>
      <c r="B143" t="s">
        <v>210</v>
      </c>
      <c r="C143"/>
      <c r="D143"/>
      <c r="E143" s="3">
        <v>1447</v>
      </c>
      <c r="G143" s="51"/>
    </row>
    <row r="144" spans="1:7">
      <c r="B144" t="s">
        <v>211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212</v>
      </c>
      <c r="F147" s="3" t="s">
        <v>213</v>
      </c>
    </row>
    <row r="148" spans="1:7">
      <c r="B148" t="s">
        <v>214</v>
      </c>
      <c r="C148"/>
      <c r="D148"/>
      <c r="E148" s="3">
        <v>36000</v>
      </c>
    </row>
    <row r="149" spans="1:7">
      <c r="B149" t="s">
        <v>215</v>
      </c>
      <c r="C149"/>
      <c r="D149"/>
      <c r="F149" s="51">
        <v>28000</v>
      </c>
    </row>
    <row r="150" spans="1:7">
      <c r="A150" s="167"/>
      <c r="B150" t="s">
        <v>216</v>
      </c>
      <c r="C150"/>
      <c r="D150"/>
      <c r="F150" s="51">
        <v>4000</v>
      </c>
      <c r="G150"/>
    </row>
    <row r="151" spans="1:7">
      <c r="A151" s="167"/>
      <c r="B151" t="s">
        <v>217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zoomScale="175" zoomScaleNormal="175" workbookViewId="0">
      <selection activeCell="H43" sqref="H4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353</v>
      </c>
    </row>
    <row r="6" spans="2:10">
      <c r="C6" t="s">
        <v>284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285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282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283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354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355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356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358</v>
      </c>
      <c r="J14" s="3"/>
    </row>
    <row r="15" spans="2:10">
      <c r="B15" t="s">
        <v>357</v>
      </c>
      <c r="E15" s="186" t="s">
        <v>415</v>
      </c>
      <c r="J15" s="3"/>
    </row>
    <row r="16" spans="2:10">
      <c r="D16" s="186" t="s">
        <v>414</v>
      </c>
      <c r="E16" s="186" t="s">
        <v>457</v>
      </c>
      <c r="F16" s="85" t="s">
        <v>458</v>
      </c>
      <c r="G16" s="186" t="s">
        <v>213</v>
      </c>
      <c r="H16" s="186" t="s">
        <v>416</v>
      </c>
      <c r="J16" s="3"/>
    </row>
    <row r="17" spans="2:8">
      <c r="B17" s="54">
        <v>44957</v>
      </c>
      <c r="C17" s="141" t="s">
        <v>273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274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275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277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276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278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279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280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281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262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263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264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417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274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275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348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207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412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413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359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360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278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279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280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361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262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263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459</v>
      </c>
      <c r="D44" s="143"/>
      <c r="E44" s="60"/>
      <c r="F44" s="187">
        <v>5000</v>
      </c>
      <c r="H44" s="3">
        <f t="shared" si="3"/>
        <v>105986.663256739</v>
      </c>
    </row>
    <row r="45" spans="2:8">
      <c r="C45" s="143" t="s">
        <v>456</v>
      </c>
      <c r="D45" s="143"/>
      <c r="E45" s="60"/>
      <c r="F45" s="187"/>
      <c r="G45">
        <v>148500</v>
      </c>
      <c r="H45" s="3">
        <f t="shared" si="3"/>
        <v>-42513.336743260996</v>
      </c>
    </row>
    <row r="46" spans="2:8">
      <c r="C46" s="143" t="s">
        <v>264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-22505.261667454921</v>
      </c>
    </row>
    <row r="47" spans="2:8">
      <c r="B47">
        <v>2025</v>
      </c>
      <c r="C47" s="142" t="s">
        <v>418</v>
      </c>
      <c r="D47" s="143">
        <v>5.03</v>
      </c>
      <c r="E47" s="60">
        <f t="shared" ref="E47" si="6">E46+(E46*D46/100)</f>
        <v>20214.158249086879</v>
      </c>
      <c r="F47" s="193">
        <f>E46</f>
        <v>20008.075075806075</v>
      </c>
      <c r="H47" s="3">
        <f t="shared" si="3"/>
        <v>-2497.1865916488459</v>
      </c>
    </row>
    <row r="48" spans="2:8">
      <c r="C48" s="142"/>
      <c r="E48" s="60"/>
      <c r="F48" s="60"/>
      <c r="H48" s="3">
        <f t="shared" si="3"/>
        <v>-2497.1865916488459</v>
      </c>
    </row>
    <row r="49" spans="2:9">
      <c r="B49" s="255">
        <v>45691</v>
      </c>
      <c r="C49" s="256" t="s">
        <v>475</v>
      </c>
      <c r="D49" s="256"/>
      <c r="E49" s="257"/>
      <c r="F49" s="257"/>
      <c r="G49" s="256"/>
      <c r="H49" s="258">
        <f t="shared" si="3"/>
        <v>-2497.1865916488459</v>
      </c>
      <c r="I49" s="256"/>
    </row>
    <row r="50" spans="2:9">
      <c r="C50" s="142"/>
      <c r="E50" s="60"/>
      <c r="F50" s="187"/>
      <c r="H50" s="3">
        <f t="shared" si="3"/>
        <v>-2497.1865916488459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401</v>
      </c>
    </row>
    <row r="59" spans="2:9">
      <c r="B59" s="92"/>
      <c r="C59" t="s">
        <v>402</v>
      </c>
    </row>
    <row r="60" spans="2:9">
      <c r="B60" s="92"/>
      <c r="C60" t="s">
        <v>403</v>
      </c>
    </row>
    <row r="61" spans="2:9">
      <c r="B61" s="92"/>
      <c r="C61" t="s">
        <v>404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273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274</v>
      </c>
      <c r="D66">
        <v>3.15</v>
      </c>
      <c r="E66" s="60">
        <f t="shared" ref="E66:E71" si="7">E65+(E65*D65/100)</f>
        <v>7380.18</v>
      </c>
      <c r="F66" s="60"/>
      <c r="G66" s="25"/>
      <c r="H66" s="3">
        <f t="shared" ref="H66:H90" si="8">E66-G66+H65</f>
        <v>7380.18</v>
      </c>
    </row>
    <row r="67" spans="2:8">
      <c r="C67" s="141" t="s">
        <v>275</v>
      </c>
      <c r="D67">
        <v>2.29</v>
      </c>
      <c r="E67" s="60">
        <f t="shared" si="7"/>
        <v>7612.6556700000001</v>
      </c>
      <c r="F67" s="60"/>
      <c r="G67" s="25"/>
      <c r="H67" s="3">
        <f t="shared" si="8"/>
        <v>14992.83567</v>
      </c>
    </row>
    <row r="68" spans="2:8">
      <c r="C68" s="141" t="s">
        <v>277</v>
      </c>
      <c r="D68">
        <v>2.39</v>
      </c>
      <c r="E68" s="60">
        <f t="shared" si="7"/>
        <v>7786.9854848430004</v>
      </c>
      <c r="F68" s="60"/>
      <c r="G68" s="25">
        <v>8425.4599999999991</v>
      </c>
      <c r="H68" s="3">
        <f t="shared" si="8"/>
        <v>14354.361154843002</v>
      </c>
    </row>
    <row r="69" spans="2:8">
      <c r="C69" s="141" t="s">
        <v>276</v>
      </c>
      <c r="D69">
        <v>0.04</v>
      </c>
      <c r="E69" s="60">
        <f t="shared" si="7"/>
        <v>7973.0944379307484</v>
      </c>
      <c r="F69" s="60"/>
      <c r="G69" s="25">
        <v>28080</v>
      </c>
      <c r="H69" s="3">
        <f t="shared" si="8"/>
        <v>-5752.5444072262508</v>
      </c>
    </row>
    <row r="70" spans="2:8">
      <c r="C70" s="141" t="s">
        <v>278</v>
      </c>
      <c r="D70">
        <v>3.92</v>
      </c>
      <c r="E70" s="60">
        <f t="shared" si="7"/>
        <v>7976.2836757059204</v>
      </c>
      <c r="F70" s="60"/>
      <c r="G70" s="28"/>
      <c r="H70" s="3">
        <f t="shared" si="8"/>
        <v>2223.7392684796696</v>
      </c>
    </row>
    <row r="71" spans="2:8">
      <c r="C71" s="141" t="s">
        <v>279</v>
      </c>
      <c r="D71">
        <v>9.49</v>
      </c>
      <c r="E71" s="60">
        <f t="shared" si="7"/>
        <v>8288.9539957935922</v>
      </c>
      <c r="F71" s="60"/>
      <c r="G71" s="28">
        <v>50000</v>
      </c>
      <c r="H71" s="3">
        <f t="shared" si="8"/>
        <v>-39487.306735726735</v>
      </c>
    </row>
    <row r="72" spans="2:8">
      <c r="C72" s="141" t="s">
        <v>280</v>
      </c>
      <c r="D72">
        <v>9.09</v>
      </c>
      <c r="E72" s="60">
        <f>E71</f>
        <v>8288.9539957935922</v>
      </c>
      <c r="F72" s="60"/>
      <c r="G72" s="28"/>
      <c r="H72" s="3">
        <f t="shared" si="8"/>
        <v>-31198.352739933143</v>
      </c>
    </row>
    <row r="73" spans="2:8">
      <c r="C73" s="141" t="s">
        <v>281</v>
      </c>
      <c r="D73">
        <v>4.75</v>
      </c>
      <c r="E73" s="60">
        <f t="shared" ref="E73:E76" si="9">E72</f>
        <v>8288.9539957935922</v>
      </c>
      <c r="F73" s="60"/>
      <c r="G73" s="28"/>
      <c r="H73" s="3">
        <f t="shared" si="8"/>
        <v>-22909.398744139551</v>
      </c>
    </row>
    <row r="74" spans="2:8">
      <c r="C74" s="141" t="s">
        <v>262</v>
      </c>
      <c r="D74">
        <v>3.43</v>
      </c>
      <c r="E74" s="60">
        <f t="shared" si="9"/>
        <v>8288.9539957935922</v>
      </c>
      <c r="F74" s="60"/>
      <c r="G74" s="28"/>
      <c r="H74" s="3">
        <f t="shared" si="8"/>
        <v>-14620.444748345959</v>
      </c>
    </row>
    <row r="75" spans="2:8">
      <c r="C75" s="141" t="s">
        <v>263</v>
      </c>
      <c r="D75">
        <v>3.28</v>
      </c>
      <c r="E75" s="60">
        <f t="shared" si="9"/>
        <v>8288.9539957935922</v>
      </c>
      <c r="F75" s="60"/>
      <c r="G75" s="28">
        <v>15887.06</v>
      </c>
      <c r="H75" s="3">
        <f t="shared" si="8"/>
        <v>-22218.550752552364</v>
      </c>
    </row>
    <row r="76" spans="2:8">
      <c r="B76" s="140">
        <v>45291</v>
      </c>
      <c r="C76" s="141" t="s">
        <v>264</v>
      </c>
      <c r="D76">
        <v>2.93</v>
      </c>
      <c r="E76" s="60">
        <f t="shared" si="9"/>
        <v>8288.9539957935922</v>
      </c>
      <c r="F76" s="60"/>
      <c r="G76" s="28"/>
      <c r="H76" s="29">
        <f t="shared" si="8"/>
        <v>-13929.596756758772</v>
      </c>
    </row>
    <row r="77" spans="2:8">
      <c r="B77" s="140">
        <v>45322</v>
      </c>
      <c r="C77" s="142" t="s">
        <v>273</v>
      </c>
      <c r="D77">
        <v>6.71</v>
      </c>
      <c r="E77" s="60">
        <v>14000</v>
      </c>
      <c r="F77" s="60"/>
      <c r="G77" s="28"/>
      <c r="H77" s="29">
        <f t="shared" si="8"/>
        <v>70.403243241227756</v>
      </c>
    </row>
    <row r="78" spans="2:8">
      <c r="C78" s="142" t="s">
        <v>274</v>
      </c>
      <c r="D78">
        <v>4.53</v>
      </c>
      <c r="E78" s="60">
        <f t="shared" ref="E78:E79" si="10">E77+(E77*D77/100)</f>
        <v>14939.4</v>
      </c>
      <c r="F78" s="60"/>
      <c r="G78" s="28"/>
      <c r="H78" s="29">
        <f t="shared" si="8"/>
        <v>15009.803243241227</v>
      </c>
    </row>
    <row r="79" spans="2:8">
      <c r="C79" s="142" t="s">
        <v>275</v>
      </c>
      <c r="D79">
        <v>3.16</v>
      </c>
      <c r="E79" s="60">
        <f t="shared" si="10"/>
        <v>15616.15482</v>
      </c>
      <c r="F79" s="60"/>
      <c r="G79" s="28"/>
      <c r="H79" s="29">
        <f t="shared" si="8"/>
        <v>30625.958063241225</v>
      </c>
    </row>
    <row r="80" spans="2:8">
      <c r="C80" s="144" t="s">
        <v>348</v>
      </c>
      <c r="E80" s="60"/>
      <c r="F80" s="60"/>
      <c r="G80" s="28">
        <v>-3795</v>
      </c>
      <c r="H80" s="29">
        <f t="shared" si="8"/>
        <v>34420.958063241225</v>
      </c>
    </row>
    <row r="81" spans="3:8">
      <c r="C81" s="142" t="s">
        <v>359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207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360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278</v>
      </c>
      <c r="E84" s="60">
        <f>E83+(E83*D83/100)</f>
        <v>17002.098554614084</v>
      </c>
      <c r="F84" s="60"/>
      <c r="H84" s="29">
        <f t="shared" si="8"/>
        <v>5134.7804847813895</v>
      </c>
    </row>
    <row r="85" spans="3:8">
      <c r="C85" s="143" t="s">
        <v>279</v>
      </c>
      <c r="E85" s="60">
        <f t="shared" ref="E85:E90" si="11">E84+(E84*D84/100)</f>
        <v>17002.098554614084</v>
      </c>
      <c r="F85" s="60"/>
      <c r="H85" s="29">
        <f t="shared" si="8"/>
        <v>22136.879039395473</v>
      </c>
    </row>
    <row r="86" spans="3:8">
      <c r="C86" s="143" t="s">
        <v>280</v>
      </c>
      <c r="E86" s="60">
        <f t="shared" si="11"/>
        <v>17002.098554614084</v>
      </c>
      <c r="F86" s="60"/>
      <c r="H86" s="29">
        <f t="shared" si="8"/>
        <v>39138.977594009557</v>
      </c>
    </row>
    <row r="87" spans="3:8">
      <c r="C87" s="143" t="s">
        <v>361</v>
      </c>
      <c r="E87" s="60">
        <f t="shared" si="11"/>
        <v>17002.098554614084</v>
      </c>
      <c r="F87" s="60"/>
      <c r="H87" s="29">
        <f t="shared" si="8"/>
        <v>56141.076148623644</v>
      </c>
    </row>
    <row r="88" spans="3:8">
      <c r="C88" s="143" t="s">
        <v>262</v>
      </c>
      <c r="E88" s="60">
        <f t="shared" si="11"/>
        <v>17002.098554614084</v>
      </c>
      <c r="F88" s="60"/>
      <c r="H88" s="29">
        <f t="shared" si="8"/>
        <v>73143.174703237732</v>
      </c>
    </row>
    <row r="89" spans="3:8">
      <c r="C89" s="143" t="s">
        <v>263</v>
      </c>
      <c r="E89" s="60">
        <f t="shared" si="11"/>
        <v>17002.098554614084</v>
      </c>
      <c r="F89" s="60"/>
      <c r="H89" s="29">
        <f t="shared" si="8"/>
        <v>90145.273257851819</v>
      </c>
    </row>
    <row r="90" spans="3:8">
      <c r="C90" s="143" t="s">
        <v>264</v>
      </c>
      <c r="E90" s="60">
        <f t="shared" si="11"/>
        <v>17002.098554614084</v>
      </c>
      <c r="F90" s="60"/>
      <c r="H90" s="29">
        <f t="shared" si="8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B4:J54"/>
  <sheetViews>
    <sheetView tabSelected="1" topLeftCell="A41" zoomScale="175" zoomScaleNormal="175" workbookViewId="0">
      <selection activeCell="F40" sqref="F40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11.710937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E4" s="186"/>
    </row>
    <row r="5" spans="2:10">
      <c r="B5" s="261"/>
      <c r="C5" s="261"/>
      <c r="D5" s="262" t="s">
        <v>414</v>
      </c>
      <c r="E5" s="262" t="s">
        <v>478</v>
      </c>
      <c r="F5" s="263" t="s">
        <v>458</v>
      </c>
      <c r="G5" s="262" t="s">
        <v>213</v>
      </c>
      <c r="H5" s="262" t="s">
        <v>416</v>
      </c>
    </row>
    <row r="6" spans="2:10">
      <c r="B6" s="261"/>
      <c r="C6" s="261"/>
      <c r="D6" s="261"/>
      <c r="E6" s="264"/>
      <c r="F6" s="264"/>
      <c r="G6" s="264"/>
      <c r="H6" s="264">
        <f>I4+E6-G6</f>
        <v>0</v>
      </c>
    </row>
    <row r="7" spans="2:10">
      <c r="B7" s="265">
        <v>44651</v>
      </c>
      <c r="C7" s="261"/>
      <c r="D7" s="261"/>
      <c r="E7" s="264">
        <v>4000</v>
      </c>
      <c r="F7" s="264">
        <v>36000</v>
      </c>
      <c r="G7" s="261">
        <v>28000</v>
      </c>
      <c r="H7" s="264">
        <f t="shared" ref="H7:H18" si="0">F7-G7+H6</f>
        <v>8000</v>
      </c>
    </row>
    <row r="8" spans="2:10">
      <c r="B8" s="265">
        <v>44681</v>
      </c>
      <c r="C8" s="266" t="s">
        <v>480</v>
      </c>
      <c r="D8" s="261"/>
      <c r="E8" s="267">
        <f t="shared" ref="E8:E31" si="1">E7+(E7*D7/100)</f>
        <v>4000</v>
      </c>
      <c r="F8" s="264"/>
      <c r="G8" s="261">
        <v>4000</v>
      </c>
      <c r="H8" s="264">
        <f t="shared" si="0"/>
        <v>4000</v>
      </c>
    </row>
    <row r="9" spans="2:10">
      <c r="B9" s="265">
        <v>44711</v>
      </c>
      <c r="C9" s="261" t="s">
        <v>479</v>
      </c>
      <c r="D9" s="261"/>
      <c r="E9" s="267">
        <f t="shared" si="1"/>
        <v>4000</v>
      </c>
      <c r="F9" s="264"/>
      <c r="G9" s="261">
        <v>4000</v>
      </c>
      <c r="H9" s="264">
        <f t="shared" si="0"/>
        <v>0</v>
      </c>
    </row>
    <row r="10" spans="2:10">
      <c r="B10" s="265">
        <v>44742</v>
      </c>
      <c r="C10" s="261"/>
      <c r="D10" s="261"/>
      <c r="E10" s="267">
        <f t="shared" si="1"/>
        <v>4000</v>
      </c>
      <c r="F10" s="264"/>
      <c r="G10" s="261"/>
      <c r="H10" s="264">
        <f t="shared" si="0"/>
        <v>0</v>
      </c>
    </row>
    <row r="11" spans="2:10">
      <c r="B11" s="265">
        <v>44772</v>
      </c>
      <c r="C11" s="261"/>
      <c r="D11" s="261"/>
      <c r="E11" s="267">
        <f t="shared" si="1"/>
        <v>4000</v>
      </c>
      <c r="F11" s="264"/>
      <c r="G11" s="261"/>
      <c r="H11" s="264">
        <f t="shared" si="0"/>
        <v>0</v>
      </c>
    </row>
    <row r="12" spans="2:10">
      <c r="B12" s="265">
        <v>44803</v>
      </c>
      <c r="C12" s="261"/>
      <c r="D12" s="261"/>
      <c r="E12" s="267">
        <f t="shared" si="1"/>
        <v>4000</v>
      </c>
      <c r="F12" s="264"/>
      <c r="G12" s="261"/>
      <c r="H12" s="264">
        <f t="shared" si="0"/>
        <v>0</v>
      </c>
    </row>
    <row r="13" spans="2:10">
      <c r="B13" s="265">
        <v>44834</v>
      </c>
      <c r="C13" s="261"/>
      <c r="D13" s="261"/>
      <c r="E13" s="267">
        <f t="shared" si="1"/>
        <v>4000</v>
      </c>
      <c r="F13" s="261"/>
      <c r="G13" s="261"/>
      <c r="H13" s="264">
        <f t="shared" si="0"/>
        <v>0</v>
      </c>
      <c r="J13" s="3"/>
    </row>
    <row r="14" spans="2:10">
      <c r="B14" s="265">
        <v>44864</v>
      </c>
      <c r="C14" s="261"/>
      <c r="D14" s="261"/>
      <c r="E14" s="267">
        <f t="shared" si="1"/>
        <v>4000</v>
      </c>
      <c r="F14" s="264"/>
      <c r="G14" s="261"/>
      <c r="H14" s="264">
        <f t="shared" si="0"/>
        <v>0</v>
      </c>
      <c r="J14" s="3"/>
    </row>
    <row r="15" spans="2:10">
      <c r="B15" s="265">
        <v>44895</v>
      </c>
      <c r="C15" s="261"/>
      <c r="D15" s="261"/>
      <c r="E15" s="267">
        <f t="shared" si="1"/>
        <v>4000</v>
      </c>
      <c r="F15" s="264"/>
      <c r="G15" s="261"/>
      <c r="H15" s="264">
        <f t="shared" si="0"/>
        <v>0</v>
      </c>
      <c r="J15" s="3"/>
    </row>
    <row r="16" spans="2:10">
      <c r="B16" s="265">
        <v>44925</v>
      </c>
      <c r="C16" s="270"/>
      <c r="D16" s="261"/>
      <c r="E16" s="267">
        <f t="shared" si="1"/>
        <v>4000</v>
      </c>
      <c r="F16" s="264"/>
      <c r="G16" s="261"/>
      <c r="H16" s="264">
        <f t="shared" si="0"/>
        <v>0</v>
      </c>
      <c r="J16" s="3"/>
    </row>
    <row r="17" spans="2:8">
      <c r="B17" s="265">
        <v>44956</v>
      </c>
      <c r="C17" s="261"/>
      <c r="D17" s="261">
        <v>6.65</v>
      </c>
      <c r="E17" s="267">
        <v>6920</v>
      </c>
      <c r="F17" s="264">
        <f>E17</f>
        <v>6920</v>
      </c>
      <c r="G17" s="264">
        <v>6920</v>
      </c>
      <c r="H17" s="264">
        <f t="shared" si="0"/>
        <v>0</v>
      </c>
    </row>
    <row r="18" spans="2:8" ht="13.5" thickBot="1">
      <c r="B18" s="278">
        <v>44985</v>
      </c>
      <c r="C18" s="279"/>
      <c r="D18" s="279">
        <v>3.15</v>
      </c>
      <c r="E18" s="267">
        <f t="shared" si="1"/>
        <v>7380.18</v>
      </c>
      <c r="F18" s="267">
        <f t="shared" ref="F18:F23" si="2">E18</f>
        <v>7380.18</v>
      </c>
      <c r="G18" s="280"/>
      <c r="H18" s="280">
        <f t="shared" si="0"/>
        <v>7380.18</v>
      </c>
    </row>
    <row r="19" spans="2:8" ht="13.5" thickBot="1">
      <c r="B19" s="273">
        <v>45015</v>
      </c>
      <c r="C19" s="274"/>
      <c r="D19" s="274">
        <v>2.29</v>
      </c>
      <c r="E19" s="275">
        <f t="shared" si="1"/>
        <v>7612.6556700000001</v>
      </c>
      <c r="F19" s="275">
        <f t="shared" si="2"/>
        <v>7612.6556700000001</v>
      </c>
      <c r="G19" s="276"/>
      <c r="H19" s="283">
        <f t="shared" ref="H19:H51" si="3">F19-G19+H18</f>
        <v>14992.83567</v>
      </c>
    </row>
    <row r="20" spans="2:8">
      <c r="B20" s="266">
        <v>45046</v>
      </c>
      <c r="C20" s="293" t="s">
        <v>481</v>
      </c>
      <c r="D20" s="261">
        <v>2.39</v>
      </c>
      <c r="E20" s="267">
        <f t="shared" si="1"/>
        <v>7786.9854848430004</v>
      </c>
      <c r="F20" s="267">
        <f t="shared" si="2"/>
        <v>7786.9854848430004</v>
      </c>
      <c r="G20" s="272">
        <v>8425.4599999999991</v>
      </c>
      <c r="H20" s="264">
        <f t="shared" si="3"/>
        <v>14354.361154843002</v>
      </c>
    </row>
    <row r="21" spans="2:8">
      <c r="B21" s="266">
        <v>45076</v>
      </c>
      <c r="C21" s="261"/>
      <c r="D21" s="261">
        <v>0.04</v>
      </c>
      <c r="E21" s="267">
        <f t="shared" si="1"/>
        <v>7973.0944379307484</v>
      </c>
      <c r="F21" s="267">
        <f t="shared" si="2"/>
        <v>7973.0944379307484</v>
      </c>
      <c r="G21" s="264">
        <v>28080</v>
      </c>
      <c r="H21" s="264">
        <f t="shared" si="3"/>
        <v>-5752.5444072262508</v>
      </c>
    </row>
    <row r="22" spans="2:8">
      <c r="B22" s="266">
        <v>45107</v>
      </c>
      <c r="C22" s="261"/>
      <c r="D22" s="261">
        <v>3.92</v>
      </c>
      <c r="E22" s="267">
        <f t="shared" si="1"/>
        <v>7976.2836757059204</v>
      </c>
      <c r="F22" s="267">
        <f t="shared" si="2"/>
        <v>7976.2836757059204</v>
      </c>
      <c r="G22" s="268"/>
      <c r="H22" s="264">
        <f t="shared" si="3"/>
        <v>2223.7392684796696</v>
      </c>
    </row>
    <row r="23" spans="2:8">
      <c r="B23" s="266">
        <v>45137</v>
      </c>
      <c r="C23" s="261"/>
      <c r="D23" s="261">
        <v>9.49</v>
      </c>
      <c r="E23" s="294">
        <f t="shared" si="1"/>
        <v>8288.9539957935922</v>
      </c>
      <c r="F23" s="294">
        <f t="shared" si="2"/>
        <v>8288.9539957935922</v>
      </c>
      <c r="G23" s="268">
        <v>50000</v>
      </c>
      <c r="H23" s="264">
        <f t="shared" si="3"/>
        <v>-39487.306735726735</v>
      </c>
    </row>
    <row r="24" spans="2:8">
      <c r="B24" s="266">
        <v>45168</v>
      </c>
      <c r="C24" s="261"/>
      <c r="D24" s="261">
        <v>9.09</v>
      </c>
      <c r="E24" s="267">
        <f t="shared" si="1"/>
        <v>9075.5757299944034</v>
      </c>
      <c r="F24" s="294">
        <f>E23</f>
        <v>8288.9539957935922</v>
      </c>
      <c r="G24" s="268"/>
      <c r="H24" s="264">
        <f t="shared" si="3"/>
        <v>-31198.352739933143</v>
      </c>
    </row>
    <row r="25" spans="2:8">
      <c r="B25" s="266">
        <v>45199</v>
      </c>
      <c r="C25" s="261"/>
      <c r="D25" s="261">
        <v>4.75</v>
      </c>
      <c r="E25" s="267">
        <f t="shared" si="1"/>
        <v>9900.5455638508938</v>
      </c>
      <c r="F25" s="294">
        <f>E23</f>
        <v>8288.9539957935922</v>
      </c>
      <c r="G25" s="269"/>
      <c r="H25" s="264">
        <f t="shared" si="3"/>
        <v>-22909.398744139551</v>
      </c>
    </row>
    <row r="26" spans="2:8">
      <c r="B26" s="266">
        <v>45229</v>
      </c>
      <c r="C26" s="261"/>
      <c r="D26" s="261">
        <v>3.43</v>
      </c>
      <c r="E26" s="267">
        <f t="shared" si="1"/>
        <v>10370.821478133812</v>
      </c>
      <c r="F26" s="294">
        <f>E23</f>
        <v>8288.9539957935922</v>
      </c>
      <c r="G26" s="268"/>
      <c r="H26" s="264">
        <f t="shared" si="3"/>
        <v>-14620.444748345959</v>
      </c>
    </row>
    <row r="27" spans="2:8">
      <c r="B27" s="266">
        <v>45260</v>
      </c>
      <c r="C27" s="261"/>
      <c r="D27" s="261">
        <v>3.28</v>
      </c>
      <c r="E27" s="267">
        <f t="shared" si="1"/>
        <v>10726.540654833801</v>
      </c>
      <c r="F27" s="294">
        <f>E23</f>
        <v>8288.9539957935922</v>
      </c>
      <c r="G27" s="268">
        <v>15887.06</v>
      </c>
      <c r="H27" s="264">
        <f t="shared" si="3"/>
        <v>-22218.550752552364</v>
      </c>
    </row>
    <row r="28" spans="2:8">
      <c r="B28" s="266">
        <v>45290</v>
      </c>
      <c r="C28" s="261"/>
      <c r="D28" s="261">
        <v>2.93</v>
      </c>
      <c r="E28" s="267">
        <f t="shared" si="1"/>
        <v>11078.371188312351</v>
      </c>
      <c r="F28" s="294">
        <f>E23</f>
        <v>8288.9539957935922</v>
      </c>
      <c r="G28" s="268"/>
      <c r="H28" s="264">
        <f t="shared" si="3"/>
        <v>-13929.596756758772</v>
      </c>
    </row>
    <row r="29" spans="2:8">
      <c r="B29" s="266">
        <v>45321</v>
      </c>
      <c r="C29" s="261"/>
      <c r="D29" s="261">
        <v>6.71</v>
      </c>
      <c r="E29" s="267">
        <f t="shared" si="1"/>
        <v>11402.967464129903</v>
      </c>
      <c r="F29" s="294">
        <f>E23</f>
        <v>8288.9539957935922</v>
      </c>
      <c r="G29" s="268"/>
      <c r="H29" s="264">
        <f t="shared" si="3"/>
        <v>-5640.6427609651801</v>
      </c>
    </row>
    <row r="30" spans="2:8">
      <c r="B30" s="278">
        <v>45350</v>
      </c>
      <c r="C30" s="279"/>
      <c r="D30" s="279">
        <v>4.53</v>
      </c>
      <c r="E30" s="267">
        <f t="shared" si="1"/>
        <v>12168.106580973019</v>
      </c>
      <c r="F30" s="267">
        <f t="shared" ref="F30:F36" si="4">E30</f>
        <v>12168.106580973019</v>
      </c>
      <c r="G30" s="268"/>
      <c r="H30" s="280">
        <f t="shared" si="3"/>
        <v>6527.4638200078389</v>
      </c>
    </row>
    <row r="31" spans="2:8">
      <c r="B31" s="273">
        <v>45381</v>
      </c>
      <c r="C31" s="274"/>
      <c r="D31" s="274">
        <v>3.16</v>
      </c>
      <c r="E31" s="275">
        <f t="shared" si="1"/>
        <v>12719.321809091096</v>
      </c>
      <c r="F31" s="275">
        <f t="shared" si="4"/>
        <v>12719.321809091096</v>
      </c>
      <c r="G31" s="277"/>
      <c r="H31" s="276">
        <f t="shared" si="3"/>
        <v>19246.785629098937</v>
      </c>
    </row>
    <row r="32" spans="2:8">
      <c r="B32" s="261"/>
      <c r="C32" s="282" t="s">
        <v>348</v>
      </c>
      <c r="D32" s="261"/>
      <c r="E32" s="267">
        <v>3795</v>
      </c>
      <c r="F32" s="267">
        <f t="shared" si="4"/>
        <v>3795</v>
      </c>
      <c r="G32" s="268"/>
      <c r="H32" s="264">
        <f t="shared" si="3"/>
        <v>23041.785629098937</v>
      </c>
    </row>
    <row r="33" spans="2:10">
      <c r="B33" s="261"/>
      <c r="C33" s="282" t="s">
        <v>207</v>
      </c>
      <c r="D33" s="261"/>
      <c r="E33" s="267">
        <v>5600</v>
      </c>
      <c r="F33" s="267">
        <f t="shared" si="4"/>
        <v>5600</v>
      </c>
      <c r="G33" s="268"/>
      <c r="H33" s="264">
        <f t="shared" si="3"/>
        <v>28641.785629098937</v>
      </c>
    </row>
    <row r="34" spans="2:10">
      <c r="B34" s="261"/>
      <c r="C34" s="261" t="s">
        <v>412</v>
      </c>
      <c r="D34" s="261"/>
      <c r="E34" s="267">
        <v>278.97000000000003</v>
      </c>
      <c r="F34" s="267">
        <f t="shared" si="4"/>
        <v>278.97000000000003</v>
      </c>
      <c r="G34" s="268"/>
      <c r="H34" s="264">
        <f t="shared" si="3"/>
        <v>28920.755629098938</v>
      </c>
    </row>
    <row r="35" spans="2:10">
      <c r="B35" s="261"/>
      <c r="C35" s="261" t="s">
        <v>413</v>
      </c>
      <c r="D35" s="261"/>
      <c r="E35" s="267">
        <v>10000</v>
      </c>
      <c r="F35" s="267">
        <f t="shared" si="4"/>
        <v>10000</v>
      </c>
      <c r="G35" s="268"/>
      <c r="H35" s="264">
        <f t="shared" si="3"/>
        <v>38920.755629098938</v>
      </c>
    </row>
    <row r="36" spans="2:10">
      <c r="B36" s="266">
        <v>45412</v>
      </c>
      <c r="C36" s="261"/>
      <c r="D36" s="261">
        <v>3.18</v>
      </c>
      <c r="E36" s="294">
        <f>E31+(E31*D31/100)</f>
        <v>13121.252378258374</v>
      </c>
      <c r="F36" s="294">
        <f t="shared" si="4"/>
        <v>13121.252378258374</v>
      </c>
      <c r="G36" s="268">
        <v>85000</v>
      </c>
      <c r="H36" s="264">
        <f t="shared" si="3"/>
        <v>-32957.991992642688</v>
      </c>
    </row>
    <row r="37" spans="2:10">
      <c r="B37" s="266">
        <v>45442</v>
      </c>
      <c r="C37" s="279"/>
      <c r="D37" s="261">
        <v>3.37</v>
      </c>
      <c r="E37" s="267">
        <f>E36+(E36*D36/100)</f>
        <v>13538.50820388699</v>
      </c>
      <c r="F37" s="294">
        <f>E36</f>
        <v>13121.252378258374</v>
      </c>
      <c r="G37" s="268"/>
      <c r="H37" s="264">
        <f t="shared" si="3"/>
        <v>-19836.739614384314</v>
      </c>
    </row>
    <row r="38" spans="2:10">
      <c r="B38" s="266">
        <v>45473</v>
      </c>
      <c r="C38" s="279"/>
      <c r="D38" s="261">
        <v>1.64</v>
      </c>
      <c r="E38" s="267">
        <f>E37+(E37*D37/100)</f>
        <v>13994.755930357982</v>
      </c>
      <c r="F38" s="267">
        <f>E38</f>
        <v>13994.755930357982</v>
      </c>
      <c r="G38" s="261"/>
      <c r="H38" s="264">
        <f t="shared" si="3"/>
        <v>-5841.9836840263324</v>
      </c>
    </row>
    <row r="39" spans="2:10">
      <c r="B39" s="266">
        <v>45503</v>
      </c>
      <c r="C39" s="279"/>
      <c r="D39" s="261">
        <v>3.23</v>
      </c>
      <c r="E39" s="267">
        <f t="shared" ref="E39:E43" si="5">E38+(E38*D38/100)</f>
        <v>14224.269927615853</v>
      </c>
      <c r="F39" s="267">
        <f>E39</f>
        <v>14224.269927615853</v>
      </c>
      <c r="G39" s="261"/>
      <c r="H39" s="264">
        <f t="shared" si="3"/>
        <v>8382.2862435895204</v>
      </c>
    </row>
    <row r="40" spans="2:10">
      <c r="B40" s="266">
        <v>45534</v>
      </c>
      <c r="C40" s="279"/>
      <c r="D40" s="261">
        <v>2.4700000000000002</v>
      </c>
      <c r="E40" s="267">
        <f t="shared" si="5"/>
        <v>14683.713846277846</v>
      </c>
      <c r="F40" s="267">
        <f>E40</f>
        <v>14683.713846277846</v>
      </c>
      <c r="G40" s="261"/>
      <c r="H40" s="264">
        <f t="shared" si="3"/>
        <v>23066.000089867368</v>
      </c>
    </row>
    <row r="41" spans="2:10">
      <c r="B41" s="266">
        <v>45565</v>
      </c>
      <c r="C41" s="279"/>
      <c r="D41" s="261">
        <v>2.97</v>
      </c>
      <c r="E41" s="267">
        <f t="shared" si="5"/>
        <v>15046.401578280909</v>
      </c>
      <c r="F41" s="267">
        <f>E41</f>
        <v>15046.401578280909</v>
      </c>
      <c r="G41" s="261"/>
      <c r="H41" s="264">
        <f t="shared" si="3"/>
        <v>38112.401668148275</v>
      </c>
    </row>
    <row r="42" spans="2:10">
      <c r="B42" s="266">
        <v>45595</v>
      </c>
      <c r="C42" s="270"/>
      <c r="D42" s="261">
        <v>2.88</v>
      </c>
      <c r="E42" s="267">
        <f t="shared" si="5"/>
        <v>15493.279705155852</v>
      </c>
      <c r="F42" s="267">
        <f>E42</f>
        <v>15493.279705155852</v>
      </c>
      <c r="G42" s="270"/>
      <c r="H42" s="264">
        <f t="shared" si="3"/>
        <v>53605.681373304127</v>
      </c>
    </row>
    <row r="43" spans="2:10">
      <c r="B43" s="266">
        <v>45626</v>
      </c>
      <c r="C43" s="279"/>
      <c r="D43" s="261">
        <v>2.2400000000000002</v>
      </c>
      <c r="E43" s="267">
        <f t="shared" si="5"/>
        <v>15939.486160664341</v>
      </c>
      <c r="F43" s="267">
        <f>E43</f>
        <v>15939.486160664341</v>
      </c>
      <c r="G43" s="261"/>
      <c r="H43" s="264">
        <f t="shared" si="3"/>
        <v>69545.167533968473</v>
      </c>
    </row>
    <row r="44" spans="2:10">
      <c r="B44" s="261"/>
      <c r="C44" s="293" t="s">
        <v>481</v>
      </c>
      <c r="D44" s="261"/>
      <c r="E44" s="267"/>
      <c r="F44" s="267"/>
      <c r="G44" s="281">
        <v>148500</v>
      </c>
      <c r="H44" s="264">
        <f t="shared" si="3"/>
        <v>-78954.832466031527</v>
      </c>
    </row>
    <row r="45" spans="2:10">
      <c r="B45" s="261"/>
      <c r="C45" s="261" t="s">
        <v>459</v>
      </c>
      <c r="D45" s="261"/>
      <c r="E45" s="267"/>
      <c r="F45" s="267">
        <v>8000</v>
      </c>
      <c r="G45" s="261"/>
      <c r="H45" s="264">
        <f t="shared" si="3"/>
        <v>-70954.832466031527</v>
      </c>
    </row>
    <row r="46" spans="2:10">
      <c r="B46" s="266">
        <v>45656</v>
      </c>
      <c r="C46" s="261"/>
      <c r="D46" s="261">
        <v>1.03</v>
      </c>
      <c r="E46" s="294">
        <f>E43+(E43*D43/100)</f>
        <v>16296.530650663222</v>
      </c>
      <c r="F46" s="294">
        <f>E46</f>
        <v>16296.530650663222</v>
      </c>
      <c r="G46" s="261"/>
      <c r="H46" s="264">
        <f t="shared" si="3"/>
        <v>-54658.301815368308</v>
      </c>
    </row>
    <row r="47" spans="2:10" ht="13.5" thickBot="1">
      <c r="B47" s="266">
        <v>45687</v>
      </c>
      <c r="C47" s="261"/>
      <c r="D47" s="261">
        <v>5.03</v>
      </c>
      <c r="E47" s="267">
        <f t="shared" ref="E47" si="6">E46+(E46*D46/100)</f>
        <v>16464.384916365052</v>
      </c>
      <c r="F47" s="294">
        <f>E46</f>
        <v>16296.530650663222</v>
      </c>
      <c r="G47" s="261"/>
      <c r="H47" s="264">
        <f t="shared" si="3"/>
        <v>-38361.771164705089</v>
      </c>
    </row>
    <row r="48" spans="2:10" ht="13.5" thickBot="1">
      <c r="B48" s="288">
        <v>45716</v>
      </c>
      <c r="C48" s="289"/>
      <c r="D48" s="289">
        <v>5.03</v>
      </c>
      <c r="E48" s="286">
        <f>E47+(E47*D47/100)</f>
        <v>17292.543477658215</v>
      </c>
      <c r="F48" s="295">
        <f>E46</f>
        <v>16296.530650663222</v>
      </c>
      <c r="G48" s="289"/>
      <c r="H48" s="287">
        <f t="shared" si="3"/>
        <v>-22065.240514041867</v>
      </c>
      <c r="I48" s="261"/>
      <c r="J48" s="261"/>
    </row>
    <row r="49" spans="2:10" ht="13.5" thickBot="1">
      <c r="B49" s="290">
        <v>45746</v>
      </c>
      <c r="C49" s="291"/>
      <c r="D49" s="291"/>
      <c r="E49" s="285">
        <f>E48+(E48*D48/100)</f>
        <v>18162.358414584425</v>
      </c>
      <c r="F49" s="295">
        <f>E46</f>
        <v>16296.530650663222</v>
      </c>
      <c r="G49" s="284"/>
      <c r="H49" s="292">
        <f t="shared" si="3"/>
        <v>-5768.7098633786445</v>
      </c>
      <c r="I49" s="261"/>
      <c r="J49" s="261"/>
    </row>
    <row r="50" spans="2:10">
      <c r="B50" s="271"/>
      <c r="G50" s="261"/>
      <c r="H50" s="264">
        <f t="shared" si="3"/>
        <v>-5768.7098633786445</v>
      </c>
      <c r="I50" s="261"/>
      <c r="J50" s="261"/>
    </row>
    <row r="51" spans="2:10">
      <c r="B51" s="261"/>
      <c r="C51" s="261"/>
      <c r="D51" s="261"/>
      <c r="E51" s="267"/>
      <c r="F51" s="267"/>
      <c r="G51" s="261"/>
      <c r="H51" s="264">
        <f t="shared" si="3"/>
        <v>-5768.7098633786445</v>
      </c>
      <c r="I51" s="261"/>
      <c r="J51" s="261"/>
    </row>
    <row r="52" spans="2:10">
      <c r="B52" s="261"/>
      <c r="C52" s="261"/>
      <c r="D52" s="261"/>
      <c r="E52" s="267"/>
      <c r="F52" s="267"/>
      <c r="G52" s="261"/>
      <c r="H52" s="268"/>
      <c r="I52" s="261"/>
      <c r="J52" s="261"/>
    </row>
    <row r="53" spans="2:10">
      <c r="B53" s="261"/>
      <c r="C53" s="261"/>
      <c r="D53" s="261"/>
      <c r="E53" s="267"/>
      <c r="F53" s="267"/>
      <c r="G53" s="261"/>
      <c r="H53" s="268"/>
      <c r="I53" s="261"/>
      <c r="J53" s="261"/>
    </row>
    <row r="54" spans="2:10">
      <c r="B54" s="261"/>
      <c r="C54" s="261"/>
      <c r="D54" s="261"/>
      <c r="E54" s="267"/>
      <c r="F54" s="267"/>
      <c r="G54" s="261"/>
      <c r="H54" s="268"/>
      <c r="I54" s="261"/>
      <c r="J54" s="261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218</v>
      </c>
      <c r="C1" s="8"/>
      <c r="D1" s="45"/>
      <c r="E1" s="3"/>
      <c r="F1" s="83" t="s">
        <v>219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333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269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87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88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89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90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91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252</v>
      </c>
      <c r="B40" s="40" t="s">
        <v>167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220</v>
      </c>
      <c r="D42" s="3"/>
      <c r="E42" s="3"/>
      <c r="F42" s="3"/>
    </row>
    <row r="43" spans="1:7">
      <c r="A43" s="7"/>
      <c r="B43" t="s">
        <v>93</v>
      </c>
      <c r="C43" s="3"/>
      <c r="D43" s="3"/>
      <c r="E43" s="3"/>
      <c r="F43" s="3"/>
    </row>
    <row r="44" spans="1:7">
      <c r="A44" s="7"/>
      <c r="B44" s="42" t="s">
        <v>221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222</v>
      </c>
      <c r="E45" s="3"/>
      <c r="F45" s="3"/>
    </row>
    <row r="46" spans="1:7">
      <c r="B46" s="1" t="s">
        <v>223</v>
      </c>
      <c r="E46" s="3"/>
      <c r="F46" s="3"/>
    </row>
    <row r="47" spans="1:7">
      <c r="B47" s="1" t="s">
        <v>224</v>
      </c>
      <c r="E47" s="3"/>
      <c r="F47" s="3"/>
    </row>
    <row r="48" spans="1:7">
      <c r="B48" s="1" t="s">
        <v>225</v>
      </c>
      <c r="E48" s="3"/>
      <c r="F48" s="3"/>
    </row>
    <row r="49" spans="1:6">
      <c r="B49" s="1" t="s">
        <v>226</v>
      </c>
      <c r="E49" s="3"/>
      <c r="F49" s="3"/>
    </row>
    <row r="50" spans="1:6">
      <c r="B50" s="1" t="s">
        <v>227</v>
      </c>
      <c r="E50" s="3"/>
      <c r="F50" s="3"/>
    </row>
    <row r="51" spans="1:6">
      <c r="B51" s="1" t="s">
        <v>228</v>
      </c>
      <c r="E51" s="3"/>
      <c r="F51" s="3"/>
    </row>
    <row r="52" spans="1:6">
      <c r="B52" s="1" t="s">
        <v>229</v>
      </c>
      <c r="E52" s="3"/>
      <c r="F52" s="3"/>
    </row>
    <row r="56" spans="1:6">
      <c r="B56" t="s">
        <v>230</v>
      </c>
      <c r="C56" s="3"/>
      <c r="D56" s="3"/>
      <c r="E56" s="3"/>
    </row>
    <row r="57" spans="1:6">
      <c r="B57" t="s">
        <v>231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232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233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234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235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236</v>
      </c>
      <c r="C64" s="3">
        <v>400</v>
      </c>
      <c r="E64" s="3">
        <f t="shared" si="2"/>
        <v>4400</v>
      </c>
    </row>
    <row r="65" spans="1:5">
      <c r="A65" s="54"/>
      <c r="B65" t="s">
        <v>237</v>
      </c>
      <c r="C65" s="3"/>
      <c r="D65" s="3"/>
      <c r="E65" s="3">
        <f t="shared" si="2"/>
        <v>4400</v>
      </c>
    </row>
    <row r="66" spans="1:5">
      <c r="A66" s="54"/>
      <c r="B66" t="s">
        <v>238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239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239</v>
      </c>
      <c r="D69">
        <v>2400</v>
      </c>
      <c r="E69" s="3">
        <f t="shared" si="2"/>
        <v>-400</v>
      </c>
    </row>
    <row r="70" spans="1:5">
      <c r="B70" s="1" t="s">
        <v>240</v>
      </c>
      <c r="D70">
        <v>-342.4</v>
      </c>
      <c r="E70" s="3">
        <f t="shared" si="2"/>
        <v>-57.600000000000023</v>
      </c>
    </row>
    <row r="71" spans="1:5">
      <c r="B71" s="1" t="s">
        <v>241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271</v>
      </c>
      <c r="D2" s="3" t="s">
        <v>242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302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313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303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304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305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243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244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306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307</v>
      </c>
      <c r="C14"/>
      <c r="D14"/>
      <c r="G14" s="3">
        <f t="shared" si="0"/>
        <v>-2442.6</v>
      </c>
    </row>
    <row r="15" spans="1:7">
      <c r="A15" s="54">
        <v>45534</v>
      </c>
      <c r="B15" t="s">
        <v>308</v>
      </c>
      <c r="C15"/>
      <c r="D15"/>
      <c r="G15" s="3">
        <f t="shared" si="0"/>
        <v>-2442.6</v>
      </c>
    </row>
    <row r="16" spans="1:7">
      <c r="A16" s="54">
        <v>45565</v>
      </c>
      <c r="B16" t="s">
        <v>309</v>
      </c>
      <c r="C16"/>
      <c r="D16"/>
      <c r="G16" s="3">
        <f t="shared" si="0"/>
        <v>-2442.6</v>
      </c>
    </row>
    <row r="17" spans="1:7">
      <c r="A17" s="54">
        <v>45595</v>
      </c>
      <c r="B17" t="s">
        <v>310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245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246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311</v>
      </c>
      <c r="C20"/>
      <c r="D20"/>
      <c r="G20" s="3">
        <f t="shared" si="0"/>
        <v>-3999.1</v>
      </c>
    </row>
    <row r="21" spans="1:7">
      <c r="A21" s="54">
        <v>45656</v>
      </c>
      <c r="B21" t="s">
        <v>312</v>
      </c>
      <c r="C21"/>
      <c r="G21" s="3">
        <f t="shared" si="0"/>
        <v>-3999.1</v>
      </c>
    </row>
    <row r="22" spans="1:7">
      <c r="B22" t="s">
        <v>137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53"/>
  <sheetViews>
    <sheetView topLeftCell="A23" zoomScale="220" zoomScaleNormal="220" workbookViewId="0">
      <selection activeCell="D6" sqref="D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463</v>
      </c>
    </row>
    <row r="3" spans="1:8">
      <c r="C3" s="5" t="s">
        <v>334</v>
      </c>
      <c r="D3" s="1" t="s">
        <v>335</v>
      </c>
      <c r="E3" s="5" t="s">
        <v>336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242">
        <v>138749.71</v>
      </c>
      <c r="E5" s="102"/>
      <c r="F5" s="102"/>
      <c r="G5" s="120" t="s">
        <v>466</v>
      </c>
      <c r="H5" s="121">
        <f>D5</f>
        <v>138749.71</v>
      </c>
    </row>
    <row r="6" spans="1:8" ht="14.25">
      <c r="D6" s="95"/>
      <c r="G6" s="2" t="s">
        <v>462</v>
      </c>
      <c r="H6" s="122">
        <f>H25*-1</f>
        <v>68261.360000000015</v>
      </c>
    </row>
    <row r="7" spans="1:8" ht="14.25">
      <c r="D7" s="95"/>
      <c r="H7" s="122">
        <f>H6+H5</f>
        <v>207011.07</v>
      </c>
    </row>
    <row r="8" spans="1:8">
      <c r="A8" s="123">
        <v>45661</v>
      </c>
      <c r="C8" s="94">
        <v>15000</v>
      </c>
      <c r="D8" s="90">
        <f>H7-C8</f>
        <v>192011.07</v>
      </c>
      <c r="E8" s="124"/>
      <c r="F8" s="125"/>
      <c r="G8" s="125"/>
      <c r="H8" s="126">
        <f t="shared" ref="H8:H19" si="0">H7-E8</f>
        <v>207011.07</v>
      </c>
    </row>
    <row r="9" spans="1:8">
      <c r="A9" s="123">
        <v>45689</v>
      </c>
      <c r="C9" s="94">
        <f>C8</f>
        <v>15000</v>
      </c>
      <c r="D9" s="90">
        <f t="shared" ref="D9:D19" si="1">D8-C9</f>
        <v>177011.07</v>
      </c>
      <c r="E9" s="124"/>
      <c r="F9" s="125"/>
      <c r="G9" s="125"/>
      <c r="H9" s="90">
        <f t="shared" si="0"/>
        <v>207011.07</v>
      </c>
    </row>
    <row r="10" spans="1:8">
      <c r="A10" s="123">
        <v>45717</v>
      </c>
      <c r="C10" s="94">
        <f t="shared" ref="C10:C19" si="2">C9</f>
        <v>15000</v>
      </c>
      <c r="D10" s="90">
        <f t="shared" si="1"/>
        <v>162011.07</v>
      </c>
      <c r="E10" s="124"/>
      <c r="F10" s="125"/>
      <c r="G10" s="125"/>
      <c r="H10" s="90">
        <f t="shared" si="0"/>
        <v>207011.07</v>
      </c>
    </row>
    <row r="11" spans="1:8">
      <c r="A11" s="123">
        <v>45748</v>
      </c>
      <c r="C11" s="94">
        <f t="shared" si="2"/>
        <v>15000</v>
      </c>
      <c r="D11" s="90">
        <f t="shared" si="1"/>
        <v>147011.07</v>
      </c>
      <c r="E11" s="124"/>
      <c r="F11" s="125"/>
      <c r="G11" s="125"/>
      <c r="H11" s="90">
        <f t="shared" si="0"/>
        <v>207011.07</v>
      </c>
    </row>
    <row r="12" spans="1:8">
      <c r="A12" s="123">
        <v>45778</v>
      </c>
      <c r="C12" s="94">
        <f t="shared" si="2"/>
        <v>15000</v>
      </c>
      <c r="D12" s="90">
        <f t="shared" si="1"/>
        <v>132011.07</v>
      </c>
      <c r="E12" s="124"/>
      <c r="F12" s="125"/>
      <c r="G12" s="125"/>
      <c r="H12" s="90">
        <f t="shared" si="0"/>
        <v>207011.07</v>
      </c>
    </row>
    <row r="13" spans="1:8">
      <c r="A13" s="123">
        <v>45809</v>
      </c>
      <c r="C13" s="94">
        <f t="shared" si="2"/>
        <v>15000</v>
      </c>
      <c r="D13" s="90">
        <f t="shared" si="1"/>
        <v>117011.07</v>
      </c>
      <c r="E13" s="124"/>
      <c r="G13" s="125"/>
      <c r="H13" s="90">
        <f t="shared" si="0"/>
        <v>207011.07</v>
      </c>
    </row>
    <row r="14" spans="1:8">
      <c r="A14" s="123">
        <v>45839</v>
      </c>
      <c r="C14" s="94">
        <f t="shared" si="2"/>
        <v>15000</v>
      </c>
      <c r="D14" s="90">
        <f t="shared" si="1"/>
        <v>102011.07</v>
      </c>
      <c r="E14" s="124"/>
      <c r="G14" s="125"/>
      <c r="H14" s="90">
        <f t="shared" si="0"/>
        <v>207011.07</v>
      </c>
    </row>
    <row r="15" spans="1:8">
      <c r="A15" s="123">
        <v>45870</v>
      </c>
      <c r="C15" s="94">
        <f t="shared" si="2"/>
        <v>15000</v>
      </c>
      <c r="D15" s="90">
        <f t="shared" si="1"/>
        <v>87011.07</v>
      </c>
      <c r="H15" s="90">
        <f t="shared" si="0"/>
        <v>207011.07</v>
      </c>
    </row>
    <row r="16" spans="1:8">
      <c r="A16" s="123">
        <v>45901</v>
      </c>
      <c r="C16" s="94">
        <f t="shared" si="2"/>
        <v>15000</v>
      </c>
      <c r="D16" s="90">
        <f t="shared" si="1"/>
        <v>72011.070000000007</v>
      </c>
      <c r="H16" s="90">
        <f t="shared" si="0"/>
        <v>207011.07</v>
      </c>
    </row>
    <row r="17" spans="1:10">
      <c r="A17" s="123">
        <v>45931</v>
      </c>
      <c r="C17" s="94">
        <f t="shared" si="2"/>
        <v>15000</v>
      </c>
      <c r="D17" s="90">
        <f t="shared" si="1"/>
        <v>57011.070000000007</v>
      </c>
      <c r="H17" s="90">
        <f t="shared" si="0"/>
        <v>207011.07</v>
      </c>
    </row>
    <row r="18" spans="1:10">
      <c r="A18" s="123">
        <v>45988</v>
      </c>
      <c r="B18" t="s">
        <v>253</v>
      </c>
      <c r="C18" s="94">
        <f t="shared" si="2"/>
        <v>15000</v>
      </c>
      <c r="D18" s="90">
        <f t="shared" si="1"/>
        <v>42011.070000000007</v>
      </c>
      <c r="E18" s="124"/>
      <c r="H18" s="90">
        <f t="shared" si="0"/>
        <v>207011.07</v>
      </c>
    </row>
    <row r="19" spans="1:10">
      <c r="A19" s="123">
        <v>45992</v>
      </c>
      <c r="B19" t="s">
        <v>255</v>
      </c>
      <c r="C19" s="94">
        <f t="shared" si="2"/>
        <v>15000</v>
      </c>
      <c r="D19" s="90">
        <f t="shared" si="1"/>
        <v>27011.070000000007</v>
      </c>
      <c r="E19" s="124"/>
      <c r="H19" s="90">
        <f t="shared" si="0"/>
        <v>207011.07</v>
      </c>
    </row>
    <row r="20" spans="1:10">
      <c r="A20" s="123"/>
      <c r="C20" s="94"/>
      <c r="D20" s="90"/>
      <c r="E20" s="124"/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290000</v>
      </c>
      <c r="D25" s="118">
        <f>SUBTOTAL(109,D26:D40)</f>
        <v>290000</v>
      </c>
      <c r="E25" s="118">
        <f>SUM(E26:E40)</f>
        <v>0</v>
      </c>
      <c r="F25" s="117"/>
      <c r="G25" s="118">
        <f>SUBTOTAL(109,$G$26:$G$40)</f>
        <v>-68261.360000000015</v>
      </c>
      <c r="H25" s="118">
        <f>H26</f>
        <v>-68261.360000000015</v>
      </c>
      <c r="J25" s="98"/>
    </row>
    <row r="26" spans="1:10">
      <c r="A26" s="99">
        <v>46021</v>
      </c>
      <c r="B26" t="s">
        <v>292</v>
      </c>
      <c r="D26" s="100">
        <f t="shared" ref="D26:D40" si="3">IF(F26=1,$C26,0)</f>
        <v>0</v>
      </c>
      <c r="E26" s="101">
        <f t="shared" ref="E26:E40" si="4">IF(F26=0,C26*$E$23*-1,0)</f>
        <v>0</v>
      </c>
      <c r="F26" s="97">
        <v>0</v>
      </c>
      <c r="G26" s="100">
        <f t="shared" ref="G26:G40" si="5">IF(F26=1,C26*$E$23*-1,0)</f>
        <v>0</v>
      </c>
      <c r="H26" s="95">
        <f t="shared" ref="H26:H39" si="6">H27+G26</f>
        <v>-68261.360000000015</v>
      </c>
      <c r="J26" s="98"/>
    </row>
    <row r="27" spans="1:10">
      <c r="A27" s="227"/>
      <c r="B27" s="228"/>
      <c r="C27" s="233"/>
      <c r="D27" s="100">
        <f t="shared" si="3"/>
        <v>0</v>
      </c>
      <c r="E27" s="101">
        <f t="shared" si="4"/>
        <v>0</v>
      </c>
      <c r="F27" s="97">
        <v>0</v>
      </c>
      <c r="G27" s="100">
        <f t="shared" si="5"/>
        <v>0</v>
      </c>
      <c r="H27" s="95">
        <f t="shared" si="6"/>
        <v>-68261.360000000015</v>
      </c>
    </row>
    <row r="28" spans="1:10">
      <c r="A28" s="229"/>
      <c r="B28" s="230"/>
      <c r="C28" s="234"/>
      <c r="D28" s="100">
        <f t="shared" si="3"/>
        <v>0</v>
      </c>
      <c r="E28" s="101">
        <f t="shared" si="4"/>
        <v>0</v>
      </c>
      <c r="F28" s="97">
        <v>0</v>
      </c>
      <c r="G28" s="100">
        <f t="shared" si="5"/>
        <v>0</v>
      </c>
      <c r="H28" s="95">
        <f t="shared" si="6"/>
        <v>-68261.360000000015</v>
      </c>
    </row>
    <row r="29" spans="1:10">
      <c r="A29" s="229"/>
      <c r="B29" s="230"/>
      <c r="C29" s="234"/>
      <c r="D29" s="100">
        <f t="shared" si="3"/>
        <v>0</v>
      </c>
      <c r="E29" s="101">
        <f t="shared" si="4"/>
        <v>0</v>
      </c>
      <c r="F29" s="97">
        <v>0</v>
      </c>
      <c r="G29" s="100">
        <f t="shared" si="5"/>
        <v>0</v>
      </c>
      <c r="H29" s="95">
        <f t="shared" si="6"/>
        <v>-68261.360000000015</v>
      </c>
    </row>
    <row r="30" spans="1:10">
      <c r="A30" s="227"/>
      <c r="B30" s="231"/>
      <c r="C30" s="233"/>
      <c r="D30" s="100">
        <f t="shared" si="3"/>
        <v>0</v>
      </c>
      <c r="E30" s="101">
        <f t="shared" si="4"/>
        <v>0</v>
      </c>
      <c r="F30" s="97">
        <v>0</v>
      </c>
      <c r="G30" s="100">
        <f t="shared" si="5"/>
        <v>0</v>
      </c>
      <c r="H30" s="95">
        <f t="shared" si="6"/>
        <v>-68261.360000000015</v>
      </c>
    </row>
    <row r="31" spans="1:10">
      <c r="A31" s="227"/>
      <c r="B31" s="232"/>
      <c r="C31" s="235"/>
      <c r="D31" s="100">
        <f t="shared" si="3"/>
        <v>0</v>
      </c>
      <c r="E31" s="101">
        <f t="shared" si="4"/>
        <v>0</v>
      </c>
      <c r="F31" s="97">
        <v>0</v>
      </c>
      <c r="G31" s="100">
        <f t="shared" si="5"/>
        <v>0</v>
      </c>
      <c r="H31" s="95">
        <f t="shared" si="6"/>
        <v>-68261.360000000015</v>
      </c>
    </row>
    <row r="32" spans="1:10">
      <c r="A32" s="227"/>
      <c r="B32" s="228"/>
      <c r="C32" s="233"/>
      <c r="D32" s="100">
        <f t="shared" si="3"/>
        <v>0</v>
      </c>
      <c r="E32" s="101">
        <f t="shared" si="4"/>
        <v>0</v>
      </c>
      <c r="F32" s="97">
        <v>0</v>
      </c>
      <c r="G32" s="100">
        <f t="shared" si="5"/>
        <v>0</v>
      </c>
      <c r="H32" s="95">
        <f t="shared" si="6"/>
        <v>-68261.360000000015</v>
      </c>
    </row>
    <row r="33" spans="1:10">
      <c r="A33" s="227"/>
      <c r="B33" s="228"/>
      <c r="C33" s="233"/>
      <c r="D33" s="100">
        <f t="shared" si="3"/>
        <v>0</v>
      </c>
      <c r="E33" s="101">
        <f t="shared" si="4"/>
        <v>0</v>
      </c>
      <c r="F33" s="97">
        <v>0</v>
      </c>
      <c r="G33" s="100">
        <f t="shared" si="5"/>
        <v>0</v>
      </c>
      <c r="H33" s="95">
        <f t="shared" si="6"/>
        <v>-68261.360000000015</v>
      </c>
    </row>
    <row r="34" spans="1:10">
      <c r="A34" s="227"/>
      <c r="B34" s="228"/>
      <c r="C34" s="233"/>
      <c r="D34" s="100">
        <f t="shared" si="3"/>
        <v>0</v>
      </c>
      <c r="E34" s="101">
        <f t="shared" si="4"/>
        <v>0</v>
      </c>
      <c r="F34" s="97">
        <v>0</v>
      </c>
      <c r="G34" s="100">
        <f t="shared" si="5"/>
        <v>0</v>
      </c>
      <c r="H34" s="95">
        <f t="shared" si="6"/>
        <v>-68261.360000000015</v>
      </c>
    </row>
    <row r="35" spans="1:10">
      <c r="A35" s="229"/>
      <c r="B35" s="231"/>
      <c r="C35" s="234"/>
      <c r="D35" s="100">
        <f t="shared" si="3"/>
        <v>0</v>
      </c>
      <c r="E35" s="101">
        <f t="shared" si="4"/>
        <v>0</v>
      </c>
      <c r="F35" s="97">
        <v>0</v>
      </c>
      <c r="G35" s="100">
        <f t="shared" si="5"/>
        <v>0</v>
      </c>
      <c r="H35" s="95">
        <f t="shared" si="6"/>
        <v>-68261.360000000015</v>
      </c>
    </row>
    <row r="36" spans="1:10">
      <c r="A36" s="225"/>
      <c r="B36" s="226"/>
      <c r="C36" s="236"/>
      <c r="D36" s="100">
        <f t="shared" si="3"/>
        <v>0</v>
      </c>
      <c r="E36" s="101">
        <f t="shared" si="4"/>
        <v>0</v>
      </c>
      <c r="F36" s="97">
        <v>0</v>
      </c>
      <c r="G36" s="100">
        <f t="shared" si="5"/>
        <v>0</v>
      </c>
      <c r="H36" s="95">
        <f t="shared" si="6"/>
        <v>-68261.360000000015</v>
      </c>
    </row>
    <row r="37" spans="1:10">
      <c r="A37" s="229"/>
      <c r="B37" s="231"/>
      <c r="C37" s="237"/>
      <c r="D37" s="100">
        <f t="shared" si="3"/>
        <v>0</v>
      </c>
      <c r="E37" s="101">
        <f t="shared" si="4"/>
        <v>0</v>
      </c>
      <c r="F37" s="97">
        <v>0</v>
      </c>
      <c r="G37" s="100">
        <f t="shared" si="5"/>
        <v>0</v>
      </c>
      <c r="H37" s="95">
        <f t="shared" si="6"/>
        <v>-68261.360000000015</v>
      </c>
    </row>
    <row r="38" spans="1:10">
      <c r="A38" s="229"/>
      <c r="B38" s="230"/>
      <c r="C38" s="234"/>
      <c r="D38" s="100">
        <f t="shared" si="3"/>
        <v>0</v>
      </c>
      <c r="E38" s="101">
        <f t="shared" si="4"/>
        <v>0</v>
      </c>
      <c r="F38" s="97">
        <v>0</v>
      </c>
      <c r="G38" s="100">
        <f t="shared" si="5"/>
        <v>0</v>
      </c>
      <c r="H38" s="95">
        <f t="shared" si="6"/>
        <v>-68261.360000000015</v>
      </c>
    </row>
    <row r="39" spans="1:10">
      <c r="A39" s="227"/>
      <c r="B39" s="230"/>
      <c r="C39" s="233"/>
      <c r="D39" s="100">
        <f t="shared" si="3"/>
        <v>0</v>
      </c>
      <c r="E39" s="101">
        <f t="shared" si="4"/>
        <v>0</v>
      </c>
      <c r="F39" s="97">
        <v>0</v>
      </c>
      <c r="G39" s="100">
        <f t="shared" si="5"/>
        <v>0</v>
      </c>
      <c r="H39" s="95">
        <f t="shared" si="6"/>
        <v>-68261.360000000015</v>
      </c>
    </row>
    <row r="40" spans="1:10">
      <c r="A40" s="174">
        <v>45660</v>
      </c>
      <c r="B40" s="175" t="s">
        <v>464</v>
      </c>
      <c r="C40" s="176">
        <v>290000</v>
      </c>
      <c r="D40" s="100">
        <f t="shared" si="3"/>
        <v>290000</v>
      </c>
      <c r="E40" s="101">
        <f t="shared" si="4"/>
        <v>0</v>
      </c>
      <c r="F40" s="105">
        <v>1</v>
      </c>
      <c r="G40" s="100">
        <f t="shared" si="5"/>
        <v>-68261.360000000015</v>
      </c>
      <c r="H40" s="95">
        <f>G40</f>
        <v>-68261.360000000015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290000</v>
      </c>
      <c r="D45" s="110">
        <f>$D$25*D44</f>
        <v>221738.63999999998</v>
      </c>
      <c r="E45" s="110">
        <f>$D$25*E44</f>
        <v>68261.360000000015</v>
      </c>
      <c r="H45" s="95"/>
    </row>
    <row r="46" spans="1:10">
      <c r="B46" t="s">
        <v>250</v>
      </c>
      <c r="C46" s="100">
        <f>D46+E46</f>
        <v>290000</v>
      </c>
      <c r="D46" s="95">
        <f>C45-E46</f>
        <v>221738.63999999998</v>
      </c>
      <c r="E46" s="95">
        <f>$H$25*-1</f>
        <v>68261.360000000015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221738.63999999998</v>
      </c>
      <c r="D52" s="46">
        <v>2.5000000000000001E-2</v>
      </c>
      <c r="E52" s="95">
        <f>C52*D52</f>
        <v>5543.4660000000003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topLeftCell="A15" zoomScale="220" zoomScaleNormal="220" workbookViewId="0">
      <selection activeCell="C27" sqref="C27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341</v>
      </c>
    </row>
    <row r="3" spans="1:8">
      <c r="C3" s="5" t="s">
        <v>334</v>
      </c>
      <c r="D3" s="1" t="s">
        <v>335</v>
      </c>
      <c r="E3" s="5" t="s">
        <v>336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337</v>
      </c>
      <c r="H5" s="121">
        <f>D5</f>
        <v>121030.76</v>
      </c>
    </row>
    <row r="6" spans="1:8" ht="14.25">
      <c r="D6" s="95"/>
      <c r="G6" s="2" t="s">
        <v>338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339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339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339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339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339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339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339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455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455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455</v>
      </c>
      <c r="H17" s="90">
        <f t="shared" si="0"/>
        <v>238749.71184560005</v>
      </c>
    </row>
    <row r="18" spans="1:10" ht="13.5" thickBot="1">
      <c r="A18" s="123">
        <v>45623</v>
      </c>
      <c r="B18" t="s">
        <v>253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255</v>
      </c>
      <c r="C19" s="94">
        <v>11030.76</v>
      </c>
      <c r="D19" s="90">
        <f t="shared" si="1"/>
        <v>187718.95184560004</v>
      </c>
      <c r="E19" s="124">
        <v>60000</v>
      </c>
      <c r="G19" s="250" t="s">
        <v>467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465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286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287</v>
      </c>
      <c r="D24" s="128" t="s">
        <v>288</v>
      </c>
      <c r="E24" s="127" t="s">
        <v>289</v>
      </c>
      <c r="F24" s="129" t="s">
        <v>290</v>
      </c>
      <c r="G24" s="127" t="s">
        <v>291</v>
      </c>
      <c r="H24" s="130" t="s">
        <v>247</v>
      </c>
    </row>
    <row r="25" spans="1:10">
      <c r="A25" s="116"/>
      <c r="B25" s="117" t="s">
        <v>294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292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461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</row>
    <row r="30" spans="1:10">
      <c r="A30" s="131">
        <v>45607</v>
      </c>
      <c r="B30" s="177" t="s">
        <v>460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352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407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406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405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351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293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408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340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340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253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251</v>
      </c>
      <c r="D43" s="95" t="s">
        <v>295</v>
      </c>
      <c r="E43" s="95" t="s">
        <v>296</v>
      </c>
      <c r="G43" s="106"/>
      <c r="H43" s="106"/>
      <c r="I43" s="107"/>
    </row>
    <row r="44" spans="1:10" ht="15.75">
      <c r="B44" t="s">
        <v>249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297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250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298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299</v>
      </c>
      <c r="D50" s="5" t="s">
        <v>300</v>
      </c>
      <c r="E50" s="5" t="s">
        <v>301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248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2025-02-07T04:41:55Z</dcterms:modified>
</cp:coreProperties>
</file>