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2A5E857F-0193-4163-829A-CA0C03D3C76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9" l="1"/>
  <c r="G16" i="9"/>
  <c r="G15" i="9"/>
  <c r="G14" i="9"/>
  <c r="H14" i="9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H4" i="9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H5" i="9" l="1"/>
  <c r="H6" i="9" s="1"/>
  <c r="H7" i="9" s="1"/>
  <c r="H8" i="9" s="1"/>
  <c r="H9" i="9" s="1"/>
  <c r="H10" i="9" s="1"/>
  <c r="H11" i="9" s="1"/>
  <c r="H12" i="9" s="1"/>
  <c r="H13" i="9" s="1"/>
  <c r="H30" i="9" s="1"/>
  <c r="H31" i="9" s="1"/>
  <c r="H32" i="9" s="1"/>
  <c r="H33" i="9" s="1"/>
  <c r="H34" i="9" s="1"/>
  <c r="D114" i="9"/>
  <c r="E2" i="10"/>
  <c r="C7" i="2" s="1"/>
  <c r="E2" i="7"/>
  <c r="C10" i="2" s="1"/>
  <c r="E2" i="8"/>
  <c r="C9" i="2" s="1"/>
  <c r="F65" i="9"/>
  <c r="H2" i="9"/>
  <c r="E127" i="9" s="1"/>
  <c r="E2" i="9"/>
  <c r="C8" i="2" s="1"/>
  <c r="M6" i="2"/>
  <c r="M15" i="2" s="1"/>
  <c r="M16" i="2" s="1"/>
  <c r="E129" i="9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E16" i="15" l="1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<sst xmlns="http://schemas.openxmlformats.org/spreadsheetml/2006/main" count="3359" uniqueCount="1253">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</sst>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abSelected="1" zoomScale="130" zoomScaleNormal="130" workbookViewId="0">
      <selection activeCell="E29" sqref="E29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1252</v>
      </c>
      <c r="F2" s="7" t="s">
        <v>435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0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17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18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1244</v>
      </c>
      <c r="G20" s="2">
        <f t="shared" si="0"/>
        <v>-8570.35</v>
      </c>
    </row>
    <row r="21" spans="2:7">
      <c r="B21" s="1">
        <v>45442</v>
      </c>
      <c r="C21" t="s">
        <v>19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1250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1251</v>
      </c>
      <c r="E23" s="2">
        <v>21000</v>
      </c>
      <c r="G23" s="2">
        <f t="shared" si="0"/>
        <v>-108070.35</v>
      </c>
    </row>
    <row r="24" spans="2:7">
      <c r="B24" s="1">
        <v>45473</v>
      </c>
      <c r="C24" t="s">
        <v>20</v>
      </c>
      <c r="F24" s="2">
        <v>500</v>
      </c>
      <c r="G24" s="2">
        <f t="shared" si="0"/>
        <v>-108570.35</v>
      </c>
    </row>
    <row r="25" spans="2:7">
      <c r="B25" s="1">
        <v>45503</v>
      </c>
      <c r="C25" t="s">
        <v>21</v>
      </c>
      <c r="F25" s="2">
        <v>500</v>
      </c>
      <c r="G25" s="2">
        <f t="shared" si="0"/>
        <v>-109070.35</v>
      </c>
    </row>
    <row r="26" spans="2:7">
      <c r="B26" s="1">
        <v>45534</v>
      </c>
      <c r="C26" t="s">
        <v>22</v>
      </c>
      <c r="F26" s="2">
        <v>500</v>
      </c>
      <c r="G26" s="2">
        <f t="shared" si="0"/>
        <v>-109570.35</v>
      </c>
    </row>
    <row r="27" spans="2:7">
      <c r="B27" s="1">
        <v>45565</v>
      </c>
      <c r="C27" t="s">
        <v>23</v>
      </c>
      <c r="F27" s="2">
        <v>500</v>
      </c>
      <c r="G27" s="2">
        <f t="shared" si="0"/>
        <v>-110070.35</v>
      </c>
    </row>
    <row r="28" spans="2:7">
      <c r="B28" s="1">
        <v>45595</v>
      </c>
      <c r="C28" t="s">
        <v>24</v>
      </c>
      <c r="F28" s="2">
        <v>500</v>
      </c>
      <c r="G28" s="2">
        <f t="shared" si="0"/>
        <v>-110570.35</v>
      </c>
    </row>
    <row r="29" spans="2:7">
      <c r="B29" s="1">
        <v>45626</v>
      </c>
      <c r="C29" t="s">
        <v>25</v>
      </c>
      <c r="F29" s="2">
        <v>500</v>
      </c>
      <c r="G29" s="2">
        <f t="shared" si="0"/>
        <v>-111070.35</v>
      </c>
    </row>
    <row r="30" spans="2:7">
      <c r="B30" s="1">
        <v>45656</v>
      </c>
      <c r="C30" t="s">
        <v>26</v>
      </c>
      <c r="F30" s="2">
        <v>500</v>
      </c>
      <c r="G30" s="2">
        <f t="shared" si="0"/>
        <v>-111570.35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6" t="s">
        <v>30</v>
      </c>
      <c r="M1" s="326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33500</v>
      </c>
      <c r="C8" s="23">
        <f>'06_24'!E2</f>
        <v>-78277.563693000004</v>
      </c>
      <c r="D8" s="24">
        <f t="shared" si="0"/>
        <v>44163.296306999982</v>
      </c>
      <c r="E8" s="23">
        <f>'06_24'!F2</f>
        <v>0</v>
      </c>
      <c r="F8" s="23">
        <f>'06_24'!G2</f>
        <v>-81723.663692999995</v>
      </c>
      <c r="G8" s="24">
        <f t="shared" si="1"/>
        <v>107522.03630700002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-47532.15</v>
      </c>
      <c r="D9" s="24">
        <f t="shared" si="0"/>
        <v>26631.146306999981</v>
      </c>
      <c r="E9" s="23">
        <f>'07_24'!F2</f>
        <v>0</v>
      </c>
      <c r="F9" s="23">
        <f>'07_24'!G2</f>
        <v>-1805.86</v>
      </c>
      <c r="G9" s="24">
        <f t="shared" si="1"/>
        <v>105716.17630700002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-43980.49</v>
      </c>
      <c r="D10" s="24">
        <f t="shared" si="0"/>
        <v>156650.656307</v>
      </c>
      <c r="E10" s="23">
        <f>'08_24'!F2</f>
        <v>0</v>
      </c>
      <c r="F10" s="23">
        <f>'08_24'!G2</f>
        <v>0</v>
      </c>
      <c r="G10" s="24">
        <f t="shared" si="1"/>
        <v>105716.17630700002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-43380.69</v>
      </c>
      <c r="D11" s="24">
        <f t="shared" si="0"/>
        <v>287269.96630700002</v>
      </c>
      <c r="E11" s="23">
        <f>'09_24'!F2</f>
        <v>0</v>
      </c>
      <c r="F11" s="23">
        <f>'09_24'!G2</f>
        <v>0</v>
      </c>
      <c r="G11" s="24">
        <f t="shared" si="1"/>
        <v>105716.17630700002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294400.70630700001</v>
      </c>
      <c r="E12" s="23">
        <f>'10_24'!F2</f>
        <v>0</v>
      </c>
      <c r="F12" s="23">
        <f>'10_24'!G2</f>
        <v>0</v>
      </c>
      <c r="G12" s="24">
        <f t="shared" si="1"/>
        <v>105716.17630700002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531531.44630700001</v>
      </c>
      <c r="E13" s="23">
        <f>'11_24'!F2</f>
        <v>0</v>
      </c>
      <c r="F13" s="23">
        <f>'11_24'!G2</f>
        <v>0</v>
      </c>
      <c r="G13" s="24">
        <f t="shared" si="1"/>
        <v>105716.17630700002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517631.42630699999</v>
      </c>
      <c r="E14" s="23">
        <f>'12_24'!F2</f>
        <v>0</v>
      </c>
      <c r="F14" s="23">
        <f>'12_24'!G2</f>
        <v>0</v>
      </c>
      <c r="G14" s="24">
        <f t="shared" si="1"/>
        <v>105716.17630700002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-791433.17369300011</v>
      </c>
      <c r="D15" s="24">
        <f>B15+C15</f>
        <v>517631.42630699999</v>
      </c>
      <c r="E15" s="24">
        <f>SUM(E3:E14)</f>
        <v>592977.95000000007</v>
      </c>
      <c r="F15" s="24">
        <f>SUM(F3:F14)</f>
        <v>-487261.77369299991</v>
      </c>
      <c r="G15" s="24">
        <f>E15+F15</f>
        <v>105716.17630700016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-65952.764474416676</v>
      </c>
      <c r="D16" s="46"/>
      <c r="E16" s="46">
        <f>E15/A16</f>
        <v>49414.82916666667</v>
      </c>
      <c r="F16" s="46">
        <f>F15/A16</f>
        <v>-40605.147807749992</v>
      </c>
      <c r="G16" s="46">
        <f>G15/A16</f>
        <v>8809.6813589166795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7" t="e">
        <f>L15+M15</f>
        <v>#REF!</v>
      </c>
      <c r="M17" s="327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E54" sqref="A54:E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3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-43980.49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35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-47532.15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opLeftCell="A10" zoomScale="190" zoomScaleNormal="190" workbookViewId="0">
      <selection activeCell="A21" sqref="A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SUM(D4:D36)</f>
        <v>33500</v>
      </c>
      <c r="E2" s="77">
        <f>SUM(E4:E36)</f>
        <v>-78277.563693000004</v>
      </c>
      <c r="F2" s="77">
        <f>SUM(F4:F36)</f>
        <v>0</v>
      </c>
      <c r="G2" s="77">
        <f>SUM(G4:G36)</f>
        <v>-81723.663692999995</v>
      </c>
      <c r="H2" s="77">
        <f>F2+G2</f>
        <v>-81723.663692999995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92">
        <f>H3+F4+G4</f>
        <v>-166.9</v>
      </c>
    </row>
    <row r="5" spans="1:8">
      <c r="B5" s="80" t="s">
        <v>200</v>
      </c>
      <c r="C5" s="80" t="s">
        <v>112</v>
      </c>
      <c r="E5" s="92">
        <v>-250</v>
      </c>
      <c r="F5" s="92"/>
      <c r="G5" s="92">
        <f>E5</f>
        <v>-250</v>
      </c>
      <c r="H5" s="92">
        <f t="shared" ref="H5:H29" si="0">H4+F5+G5</f>
        <v>-416.9</v>
      </c>
    </row>
    <row r="6" spans="1:8">
      <c r="A6">
        <v>29.5</v>
      </c>
      <c r="B6" s="80" t="s">
        <v>124</v>
      </c>
      <c r="C6" s="80" t="s">
        <v>125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130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1247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1248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129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1249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1245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201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108</v>
      </c>
      <c r="E14" s="77">
        <v>-10000</v>
      </c>
      <c r="G14" s="77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1246</v>
      </c>
      <c r="C15" s="80"/>
      <c r="E15" s="77">
        <v>-7500</v>
      </c>
      <c r="G15" s="77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132</v>
      </c>
      <c r="C16" s="80"/>
      <c r="E16" s="77">
        <v>-10000</v>
      </c>
      <c r="G16" s="77">
        <f>E16</f>
        <v>-10000</v>
      </c>
      <c r="H16" s="92">
        <f t="shared" si="0"/>
        <v>-81723.663692999995</v>
      </c>
    </row>
    <row r="17" spans="1:8">
      <c r="A17" s="322"/>
      <c r="B17" s="80"/>
      <c r="C17" s="80"/>
      <c r="H17" s="92">
        <f t="shared" si="0"/>
        <v>-81723.663692999995</v>
      </c>
    </row>
    <row r="18" spans="1:8">
      <c r="A18" s="322"/>
      <c r="B18" s="80"/>
      <c r="C18" s="80"/>
      <c r="H18" s="92">
        <f t="shared" si="0"/>
        <v>-81723.663692999995</v>
      </c>
    </row>
    <row r="19" spans="1:8">
      <c r="A19" s="322"/>
      <c r="B19" s="80"/>
      <c r="C19" s="80"/>
      <c r="H19" s="92">
        <f t="shared" si="0"/>
        <v>-81723.663692999995</v>
      </c>
    </row>
    <row r="20" spans="1:8" ht="12" customHeight="1">
      <c r="A20" s="322">
        <v>45454</v>
      </c>
      <c r="B20" s="87" t="s">
        <v>128</v>
      </c>
      <c r="E20" s="77">
        <f>E47*-1</f>
        <v>-37.49</v>
      </c>
      <c r="H20" s="92">
        <f t="shared" si="0"/>
        <v>-81723.663692999995</v>
      </c>
    </row>
    <row r="21" spans="1:8">
      <c r="B21" s="84" t="s">
        <v>126</v>
      </c>
      <c r="C21" s="84" t="s">
        <v>125</v>
      </c>
      <c r="E21" s="77">
        <v>-300</v>
      </c>
      <c r="H21" s="92">
        <f t="shared" si="0"/>
        <v>-81723.663692999995</v>
      </c>
    </row>
    <row r="22" spans="1:8">
      <c r="B22" s="84" t="s">
        <v>127</v>
      </c>
      <c r="C22" s="84" t="s">
        <v>125</v>
      </c>
      <c r="E22" s="77">
        <v>-100</v>
      </c>
      <c r="H22" s="92">
        <f t="shared" si="0"/>
        <v>-81723.663692999995</v>
      </c>
    </row>
    <row r="23" spans="1:8">
      <c r="H23" s="92">
        <f t="shared" si="0"/>
        <v>-81723.663692999995</v>
      </c>
    </row>
    <row r="24" spans="1:8">
      <c r="B24" s="80" t="s">
        <v>109</v>
      </c>
      <c r="C24" s="80"/>
      <c r="E24" s="77">
        <v>-400</v>
      </c>
      <c r="H24" s="92">
        <f t="shared" si="0"/>
        <v>-81723.663692999995</v>
      </c>
    </row>
    <row r="25" spans="1:8">
      <c r="B25" s="80" t="s">
        <v>110</v>
      </c>
      <c r="C25" s="80"/>
      <c r="E25" s="77">
        <v>-500</v>
      </c>
      <c r="H25" s="92">
        <f t="shared" si="0"/>
        <v>-81723.663692999995</v>
      </c>
    </row>
    <row r="26" spans="1:8">
      <c r="H26" s="92">
        <f t="shared" si="0"/>
        <v>-81723.663692999995</v>
      </c>
    </row>
    <row r="27" spans="1:8">
      <c r="B27" t="s">
        <v>84</v>
      </c>
      <c r="E27" s="77">
        <v>-5000</v>
      </c>
      <c r="H27" s="92">
        <f t="shared" si="0"/>
        <v>-81723.663692999995</v>
      </c>
    </row>
    <row r="28" spans="1:8">
      <c r="B28" t="s">
        <v>85</v>
      </c>
      <c r="E28" s="77">
        <v>-5000</v>
      </c>
      <c r="H28" s="92">
        <f t="shared" si="0"/>
        <v>-81723.663692999995</v>
      </c>
    </row>
    <row r="29" spans="1:8">
      <c r="B29" t="s">
        <v>134</v>
      </c>
      <c r="E29" s="77">
        <v>-5000</v>
      </c>
      <c r="H29" s="92">
        <f t="shared" si="0"/>
        <v>-81723.663692999995</v>
      </c>
    </row>
    <row r="30" spans="1:8">
      <c r="H30" s="77">
        <f t="shared" ref="H30:H34" si="1">H29+F30+G30</f>
        <v>-81723.663692999995</v>
      </c>
    </row>
    <row r="31" spans="1:8">
      <c r="B31" t="s">
        <v>135</v>
      </c>
      <c r="D31" s="77">
        <v>10000</v>
      </c>
      <c r="H31" s="77">
        <f t="shared" si="1"/>
        <v>-81723.663692999995</v>
      </c>
    </row>
    <row r="32" spans="1:8">
      <c r="A32" s="89"/>
      <c r="B32" t="s">
        <v>202</v>
      </c>
      <c r="D32" s="77">
        <v>15000</v>
      </c>
      <c r="H32" s="77">
        <f t="shared" si="1"/>
        <v>-81723.663692999995</v>
      </c>
    </row>
    <row r="33" spans="1:8">
      <c r="A33" s="96">
        <v>45351</v>
      </c>
      <c r="B33" s="103" t="s">
        <v>218</v>
      </c>
      <c r="C33" s="103"/>
      <c r="D33" s="104">
        <v>8500</v>
      </c>
      <c r="H33" s="77">
        <f t="shared" si="1"/>
        <v>-81723.663692999995</v>
      </c>
    </row>
    <row r="34" spans="1:8">
      <c r="H34" s="77">
        <f t="shared" si="1"/>
        <v>-81723.663692999995</v>
      </c>
    </row>
    <row r="36" spans="1:8" ht="15.75">
      <c r="B36" s="91"/>
    </row>
    <row r="38" spans="1:8">
      <c r="B38" t="s">
        <v>139</v>
      </c>
    </row>
    <row r="39" spans="1:8">
      <c r="A39" s="70" t="s">
        <v>140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141</v>
      </c>
      <c r="C41" s="70"/>
      <c r="D41" s="77">
        <f>SUM(D42:D47)</f>
        <v>5364.16</v>
      </c>
      <c r="E41" s="77">
        <f>SUM(E42:E47)</f>
        <v>1297.49</v>
      </c>
    </row>
    <row r="42" spans="1:8">
      <c r="A42" s="89"/>
      <c r="B42" s="84" t="s">
        <v>142</v>
      </c>
      <c r="C42" s="22"/>
      <c r="D42" s="77">
        <v>468.65</v>
      </c>
    </row>
    <row r="43" spans="1:8">
      <c r="B43" t="s">
        <v>143</v>
      </c>
      <c r="D43" s="77">
        <v>1257.73</v>
      </c>
      <c r="E43" s="77">
        <v>1260</v>
      </c>
    </row>
    <row r="44" spans="1:8">
      <c r="B44" t="s">
        <v>144</v>
      </c>
      <c r="D44" s="77">
        <v>919.84</v>
      </c>
    </row>
    <row r="45" spans="1:8">
      <c r="B45" t="s">
        <v>145</v>
      </c>
      <c r="D45" s="77">
        <v>2358.0300000000002</v>
      </c>
    </row>
    <row r="46" spans="1:8">
      <c r="B46" t="s">
        <v>146</v>
      </c>
      <c r="D46" s="77">
        <v>322.42</v>
      </c>
    </row>
    <row r="47" spans="1:8">
      <c r="B47" t="s">
        <v>147</v>
      </c>
      <c r="C47" s="84"/>
      <c r="D47" s="77">
        <v>37.49</v>
      </c>
      <c r="E47" s="77">
        <v>37.49</v>
      </c>
    </row>
    <row r="48" spans="1:8">
      <c r="C48" s="84"/>
    </row>
    <row r="49" spans="1:6">
      <c r="B49" s="95"/>
    </row>
    <row r="50" spans="1:6">
      <c r="A50" s="70"/>
      <c r="B50" s="69" t="s">
        <v>148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203</v>
      </c>
      <c r="C53" s="84">
        <v>7648.33</v>
      </c>
      <c r="D53" s="77" t="s">
        <v>154</v>
      </c>
      <c r="E53" s="77">
        <v>-849.85</v>
      </c>
      <c r="F53" s="77">
        <v>0</v>
      </c>
    </row>
    <row r="54" spans="1:6">
      <c r="A54" s="96">
        <v>45348</v>
      </c>
      <c r="B54" t="s">
        <v>175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149</v>
      </c>
      <c r="C55">
        <v>10176.39</v>
      </c>
      <c r="D55" s="77" t="s">
        <v>195</v>
      </c>
      <c r="E55" s="77">
        <v>-1130.71</v>
      </c>
      <c r="F55" s="77">
        <v>0</v>
      </c>
    </row>
    <row r="56" spans="1:6">
      <c r="A56" s="96">
        <v>45375</v>
      </c>
      <c r="B56" t="s">
        <v>151</v>
      </c>
      <c r="C56">
        <v>5999</v>
      </c>
      <c r="D56" s="77" t="s">
        <v>205</v>
      </c>
      <c r="E56" s="77">
        <v>-666.56</v>
      </c>
      <c r="F56" s="77">
        <v>0</v>
      </c>
    </row>
    <row r="57" spans="1:6">
      <c r="A57" s="96">
        <v>45358</v>
      </c>
      <c r="B57" t="s">
        <v>177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178</v>
      </c>
      <c r="D58" s="77" t="s">
        <v>206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1242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1243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226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155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196</v>
      </c>
      <c r="C67" s="84"/>
      <c r="D67" s="77" t="s">
        <v>208</v>
      </c>
      <c r="E67" s="77">
        <v>-3551.66</v>
      </c>
    </row>
    <row r="68" spans="1:6">
      <c r="A68" s="89"/>
      <c r="B68" s="3" t="s">
        <v>186</v>
      </c>
      <c r="C68" s="84"/>
      <c r="D68" s="77" t="s">
        <v>209</v>
      </c>
      <c r="E68" s="77">
        <v>-649.78</v>
      </c>
    </row>
    <row r="69" spans="1:6">
      <c r="A69" s="89"/>
      <c r="B69" s="3" t="s">
        <v>188</v>
      </c>
      <c r="C69" s="84">
        <v>49.98</v>
      </c>
      <c r="D69" s="77" t="s">
        <v>209</v>
      </c>
    </row>
    <row r="70" spans="1:6">
      <c r="A70" s="89"/>
      <c r="B70" s="3"/>
      <c r="C70" s="84"/>
    </row>
    <row r="71" spans="1:6">
      <c r="A71" s="89">
        <v>45408</v>
      </c>
      <c r="B71" s="3" t="s">
        <v>1217</v>
      </c>
      <c r="C71" s="84"/>
      <c r="E71" s="77">
        <v>-1407.23</v>
      </c>
    </row>
    <row r="72" spans="1:6">
      <c r="A72" s="89">
        <v>45420</v>
      </c>
      <c r="B72" s="3" t="s">
        <v>402</v>
      </c>
      <c r="C72" s="84">
        <v>300</v>
      </c>
    </row>
    <row r="73" spans="1:6">
      <c r="A73" s="89">
        <v>45426</v>
      </c>
      <c r="B73" s="3" t="s">
        <v>1218</v>
      </c>
      <c r="C73" s="84"/>
      <c r="E73" s="77">
        <v>-1469</v>
      </c>
    </row>
    <row r="74" spans="1:6">
      <c r="A74" s="89">
        <v>45426</v>
      </c>
      <c r="B74" s="3" t="s">
        <v>1228</v>
      </c>
      <c r="C74" s="84"/>
      <c r="E74" s="77">
        <v>-1453</v>
      </c>
    </row>
    <row r="75" spans="1:6">
      <c r="A75" s="89">
        <v>45427</v>
      </c>
      <c r="B75" s="3" t="s">
        <v>1219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1220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1221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1222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232</v>
      </c>
      <c r="C80" s="84" t="s">
        <v>1223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1224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1225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1226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1227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1227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277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279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1229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279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232</v>
      </c>
      <c r="C91" s="84" t="s">
        <v>1223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232</v>
      </c>
      <c r="C92" s="84" t="s">
        <v>1223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1230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1231</v>
      </c>
      <c r="C94" s="84">
        <v>95.08</v>
      </c>
      <c r="F94" s="77">
        <v>0</v>
      </c>
    </row>
    <row r="95" spans="1:6">
      <c r="A95" s="322">
        <v>45427</v>
      </c>
      <c r="B95" s="3" t="s">
        <v>1232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1233</v>
      </c>
      <c r="C96">
        <v>1.26</v>
      </c>
      <c r="F96" s="77">
        <v>0</v>
      </c>
    </row>
    <row r="97" spans="1:6">
      <c r="A97" s="322">
        <v>45427</v>
      </c>
      <c r="B97" s="3" t="s">
        <v>1235</v>
      </c>
      <c r="E97" s="77">
        <v>-16</v>
      </c>
      <c r="F97" s="77">
        <v>0</v>
      </c>
    </row>
    <row r="98" spans="1:6">
      <c r="A98" s="322">
        <v>45427</v>
      </c>
      <c r="B98" s="3" t="s">
        <v>1234</v>
      </c>
      <c r="E98" s="77">
        <v>-375</v>
      </c>
      <c r="F98" s="77">
        <v>0</v>
      </c>
    </row>
    <row r="99" spans="1:6">
      <c r="A99" s="322">
        <v>45427</v>
      </c>
      <c r="B99" s="3" t="s">
        <v>1235</v>
      </c>
      <c r="E99" s="77">
        <v>-11.5</v>
      </c>
      <c r="F99" s="77">
        <v>0</v>
      </c>
    </row>
    <row r="100" spans="1:6">
      <c r="A100" s="322">
        <v>45428</v>
      </c>
      <c r="B100" s="3" t="s">
        <v>1236</v>
      </c>
      <c r="E100" s="77">
        <v>-500</v>
      </c>
      <c r="F100" s="77">
        <v>0</v>
      </c>
    </row>
    <row r="101" spans="1:6">
      <c r="A101" s="322">
        <v>45428</v>
      </c>
      <c r="B101" s="3" t="s">
        <v>1237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1237</v>
      </c>
      <c r="E102" s="77">
        <v>-169.99</v>
      </c>
      <c r="F102" s="77">
        <v>0</v>
      </c>
    </row>
    <row r="103" spans="1:6">
      <c r="A103" s="322">
        <v>45430</v>
      </c>
      <c r="B103" s="3" t="s">
        <v>1238</v>
      </c>
      <c r="E103" s="77">
        <v>-330</v>
      </c>
      <c r="F103" s="77">
        <v>0</v>
      </c>
    </row>
    <row r="104" spans="1:6">
      <c r="A104" s="322">
        <v>45430</v>
      </c>
      <c r="B104" s="3" t="s">
        <v>1237</v>
      </c>
      <c r="E104" s="77">
        <v>-139.9</v>
      </c>
      <c r="F104" s="77">
        <v>0</v>
      </c>
    </row>
    <row r="105" spans="1:6">
      <c r="A105" s="322">
        <v>45430</v>
      </c>
      <c r="B105" s="3" t="s">
        <v>1236</v>
      </c>
      <c r="E105" s="77">
        <v>-500</v>
      </c>
      <c r="F105" s="77">
        <v>0</v>
      </c>
    </row>
    <row r="106" spans="1:6">
      <c r="A106" s="322">
        <v>45431</v>
      </c>
      <c r="B106" s="3" t="s">
        <v>1239</v>
      </c>
      <c r="E106" s="77">
        <v>-266</v>
      </c>
      <c r="F106" s="77">
        <v>0</v>
      </c>
    </row>
    <row r="107" spans="1:6">
      <c r="A107" s="322">
        <v>45432</v>
      </c>
      <c r="B107" s="3" t="s">
        <v>1239</v>
      </c>
      <c r="E107" s="77">
        <v>-22.1</v>
      </c>
      <c r="F107" s="77">
        <v>0</v>
      </c>
    </row>
    <row r="108" spans="1:6">
      <c r="A108" s="322">
        <v>45432</v>
      </c>
      <c r="B108" s="3" t="s">
        <v>1235</v>
      </c>
      <c r="E108" s="77">
        <v>-11.5</v>
      </c>
      <c r="F108" s="77">
        <v>0</v>
      </c>
    </row>
    <row r="109" spans="1:6">
      <c r="A109" s="322">
        <v>45432</v>
      </c>
      <c r="B109" s="3" t="s">
        <v>1234</v>
      </c>
      <c r="E109" s="77">
        <v>-335</v>
      </c>
      <c r="F109" s="77">
        <v>0</v>
      </c>
    </row>
    <row r="110" spans="1:6">
      <c r="A110" s="322">
        <v>45432</v>
      </c>
      <c r="B110" s="3" t="s">
        <v>1235</v>
      </c>
      <c r="E110" s="77">
        <v>-11.5</v>
      </c>
      <c r="F110" s="77">
        <v>0</v>
      </c>
    </row>
    <row r="111" spans="1:6">
      <c r="A111" s="322">
        <v>45432</v>
      </c>
      <c r="B111" s="3" t="s">
        <v>1240</v>
      </c>
      <c r="E111" s="77">
        <v>-650</v>
      </c>
      <c r="F111" s="77">
        <v>0</v>
      </c>
    </row>
    <row r="112" spans="1:6">
      <c r="A112" s="322">
        <v>45435</v>
      </c>
      <c r="B112" s="3" t="s">
        <v>232</v>
      </c>
      <c r="C112" t="s">
        <v>1223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1241</v>
      </c>
      <c r="E113" s="77">
        <v>-550</v>
      </c>
      <c r="F113" s="77">
        <v>0</v>
      </c>
    </row>
    <row r="114" spans="1:6" ht="15">
      <c r="A114" s="322"/>
      <c r="B114" s="3"/>
      <c r="C114" s="323" t="s">
        <v>282</v>
      </c>
      <c r="D114" s="324">
        <f>SUM(D79:D113)</f>
        <v>-1050</v>
      </c>
      <c r="E114" s="105" t="s">
        <v>226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156</v>
      </c>
      <c r="C118" s="70"/>
      <c r="E118" s="77">
        <f>SUM(E119:E126)</f>
        <v>0</v>
      </c>
    </row>
    <row r="119" spans="1:6">
      <c r="A119" s="89"/>
      <c r="B119" t="s">
        <v>84</v>
      </c>
    </row>
    <row r="120" spans="1:6">
      <c r="A120" s="89"/>
      <c r="B120" t="s">
        <v>85</v>
      </c>
    </row>
    <row r="121" spans="1:6">
      <c r="A121" s="89"/>
      <c r="B121" t="s">
        <v>86</v>
      </c>
    </row>
    <row r="122" spans="1:6">
      <c r="A122" s="89"/>
      <c r="B122" t="s">
        <v>87</v>
      </c>
    </row>
    <row r="123" spans="1:6">
      <c r="A123" s="89"/>
      <c r="B123" t="s">
        <v>157</v>
      </c>
      <c r="D123" s="77">
        <v>111</v>
      </c>
      <c r="E123" s="77">
        <f>D123*C123</f>
        <v>0</v>
      </c>
    </row>
    <row r="124" spans="1:6">
      <c r="A124" s="89"/>
      <c r="B124" t="s">
        <v>158</v>
      </c>
      <c r="D124" s="77">
        <v>850</v>
      </c>
      <c r="E124" s="77">
        <f>D124*C124</f>
        <v>0</v>
      </c>
    </row>
    <row r="125" spans="1:6">
      <c r="A125" s="89"/>
      <c r="B125" t="s">
        <v>159</v>
      </c>
      <c r="D125" s="77">
        <v>100</v>
      </c>
      <c r="E125" s="77">
        <f>D125*C125</f>
        <v>0</v>
      </c>
    </row>
    <row r="126" spans="1:6">
      <c r="A126" s="89"/>
      <c r="B126" t="s">
        <v>160</v>
      </c>
    </row>
    <row r="127" spans="1:6">
      <c r="B127" t="s">
        <v>161</v>
      </c>
      <c r="E127" s="77">
        <f>H2</f>
        <v>-81723.663692999995</v>
      </c>
    </row>
    <row r="129" spans="4:5">
      <c r="D129" s="77" t="s">
        <v>104</v>
      </c>
      <c r="E129" s="77">
        <f>SUM(E119:E128)</f>
        <v>-81723.663692999995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79998168889431442"/>
  </sheetPr>
  <dimension ref="A1:H122"/>
  <sheetViews>
    <sheetView topLeftCell="A12" zoomScale="145" zoomScaleNormal="145" workbookViewId="0">
      <selection activeCell="A24" sqref="A24:D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210</v>
      </c>
      <c r="C2" s="79" t="s">
        <v>106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211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212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213</v>
      </c>
      <c r="C8" s="22"/>
      <c r="D8" s="92" t="s">
        <v>214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215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216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216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84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85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134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135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217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219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220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207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219</v>
      </c>
      <c r="E47" s="77">
        <v>-378.87</v>
      </c>
    </row>
    <row r="48" spans="1:5">
      <c r="A48" s="96">
        <v>45371</v>
      </c>
      <c r="B48" t="s">
        <v>178</v>
      </c>
      <c r="D48" s="77" t="s">
        <v>221</v>
      </c>
      <c r="E48" s="77">
        <v>101.77</v>
      </c>
    </row>
    <row r="49" spans="1:5">
      <c r="A49" s="96">
        <v>45377</v>
      </c>
      <c r="B49" t="s">
        <v>152</v>
      </c>
      <c r="D49" s="77" t="s">
        <v>222</v>
      </c>
    </row>
    <row r="50" spans="1:5">
      <c r="A50" s="89"/>
      <c r="B50" s="97" t="s">
        <v>223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224</v>
      </c>
      <c r="E52" s="77">
        <v>-790</v>
      </c>
    </row>
    <row r="53" spans="1:5">
      <c r="A53" s="89"/>
      <c r="B53" s="97" t="s">
        <v>225</v>
      </c>
      <c r="C53" s="84"/>
      <c r="E53" s="77">
        <v>-240</v>
      </c>
    </row>
    <row r="54" spans="1:5" ht="15">
      <c r="A54" s="89"/>
      <c r="B54" s="97"/>
      <c r="C54" s="84"/>
      <c r="D54" s="105" t="s">
        <v>226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227</v>
      </c>
      <c r="E59" s="77">
        <v>-3551.66</v>
      </c>
    </row>
    <row r="60" spans="1:5">
      <c r="A60" s="89"/>
      <c r="B60" s="3" t="s">
        <v>186</v>
      </c>
      <c r="C60" s="84"/>
      <c r="D60" s="77" t="s">
        <v>228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228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229</v>
      </c>
      <c r="C64" s="84"/>
      <c r="E64" s="77">
        <v>-500</v>
      </c>
    </row>
    <row r="65" spans="1:5">
      <c r="A65" s="89">
        <v>45398</v>
      </c>
      <c r="B65" s="3" t="s">
        <v>230</v>
      </c>
      <c r="C65" s="84"/>
      <c r="E65" s="77">
        <v>-400</v>
      </c>
    </row>
    <row r="66" spans="1:5">
      <c r="A66" s="89">
        <v>45398</v>
      </c>
      <c r="B66" s="3" t="s">
        <v>231</v>
      </c>
      <c r="C66" s="84"/>
      <c r="E66" s="77">
        <v>-48.5</v>
      </c>
    </row>
    <row r="67" spans="1:5">
      <c r="A67" s="89">
        <v>45398</v>
      </c>
      <c r="B67" s="3" t="s">
        <v>230</v>
      </c>
      <c r="C67" s="84"/>
      <c r="E67" s="77">
        <v>-871.29</v>
      </c>
    </row>
    <row r="68" spans="1:5">
      <c r="A68" s="89">
        <v>45398</v>
      </c>
      <c r="B68" s="3" t="s">
        <v>230</v>
      </c>
      <c r="C68" s="84"/>
      <c r="E68" s="77">
        <v>-810.42</v>
      </c>
    </row>
    <row r="69" spans="1:5">
      <c r="A69" s="89">
        <v>45397</v>
      </c>
      <c r="B69" s="3" t="s">
        <v>232</v>
      </c>
      <c r="C69" s="84"/>
      <c r="E69" s="77">
        <v>-240</v>
      </c>
    </row>
    <row r="70" spans="1:5">
      <c r="A70" s="89">
        <v>45388</v>
      </c>
      <c r="B70" s="3" t="s">
        <v>233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232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231</v>
      </c>
      <c r="C76" s="84"/>
      <c r="E76" s="77">
        <v>-34.6</v>
      </c>
    </row>
    <row r="77" spans="1:5">
      <c r="A77" s="89">
        <v>24.4</v>
      </c>
      <c r="B77" s="3" t="s">
        <v>231</v>
      </c>
      <c r="C77" s="84"/>
      <c r="E77" s="77">
        <v>-370.4</v>
      </c>
    </row>
    <row r="78" spans="1:5">
      <c r="A78" s="89">
        <v>45405</v>
      </c>
      <c r="B78" s="3" t="s">
        <v>234</v>
      </c>
      <c r="C78" s="84"/>
      <c r="E78" s="77">
        <v>-1306.8800000000001</v>
      </c>
    </row>
    <row r="79" spans="1:5">
      <c r="A79" s="89">
        <v>45387</v>
      </c>
      <c r="B79" s="3" t="s">
        <v>235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226</v>
      </c>
    </row>
    <row r="101" spans="1:5">
      <c r="A101" s="68" t="s">
        <v>236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237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238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239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240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241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242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243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244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245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246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247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248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249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250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213</v>
      </c>
      <c r="C10" s="22"/>
      <c r="D10" s="22" t="s">
        <v>251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252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253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254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254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255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256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257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258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259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259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259</v>
      </c>
      <c r="C27" s="22" t="s">
        <v>260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259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261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262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263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264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265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266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267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267</v>
      </c>
      <c r="E69" s="77">
        <v>-378.87</v>
      </c>
    </row>
    <row r="70" spans="1:5">
      <c r="A70" s="96">
        <v>45371</v>
      </c>
      <c r="B70" t="s">
        <v>178</v>
      </c>
      <c r="D70" s="77" t="s">
        <v>268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269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269</v>
      </c>
      <c r="E72" s="77">
        <v>-666.56</v>
      </c>
    </row>
    <row r="73" spans="1:5">
      <c r="A73" s="96"/>
    </row>
    <row r="74" spans="1:5">
      <c r="A74" s="96">
        <v>45347</v>
      </c>
      <c r="B74" t="s">
        <v>270</v>
      </c>
      <c r="E74" s="77">
        <v>-343</v>
      </c>
    </row>
    <row r="75" spans="1:5">
      <c r="A75" s="89">
        <v>45348</v>
      </c>
      <c r="B75" s="84" t="s">
        <v>271</v>
      </c>
      <c r="C75" s="84"/>
      <c r="E75" s="77">
        <v>-150</v>
      </c>
    </row>
    <row r="76" spans="1:5">
      <c r="A76" s="89">
        <v>45351</v>
      </c>
      <c r="B76" s="84" t="s">
        <v>272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273</v>
      </c>
      <c r="C77" s="84"/>
      <c r="E77" s="77">
        <v>-500</v>
      </c>
    </row>
    <row r="78" spans="1:5">
      <c r="A78" s="89">
        <v>45353</v>
      </c>
      <c r="B78" s="97" t="s">
        <v>274</v>
      </c>
      <c r="C78" s="84"/>
      <c r="E78" s="77">
        <v>-600</v>
      </c>
    </row>
    <row r="79" spans="1:5">
      <c r="A79" s="89">
        <v>45354</v>
      </c>
      <c r="B79" s="97" t="s">
        <v>275</v>
      </c>
      <c r="C79" s="84"/>
      <c r="E79" s="77">
        <v>-330</v>
      </c>
    </row>
    <row r="80" spans="1:5">
      <c r="A80" s="89">
        <v>45355</v>
      </c>
      <c r="B80" s="97" t="s">
        <v>276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277</v>
      </c>
      <c r="C81" s="84"/>
      <c r="E81" s="77">
        <v>-50</v>
      </c>
    </row>
    <row r="82" spans="1:5">
      <c r="A82" s="89">
        <v>45356</v>
      </c>
      <c r="B82" s="97" t="s">
        <v>276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278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279</v>
      </c>
      <c r="E85" s="77">
        <v>-294.14</v>
      </c>
    </row>
    <row r="86" spans="1:5">
      <c r="A86" s="89">
        <v>45358</v>
      </c>
      <c r="B86" s="97" t="s">
        <v>276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280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281</v>
      </c>
      <c r="C90" s="84"/>
      <c r="E90" s="77">
        <v>500</v>
      </c>
    </row>
    <row r="91" spans="1:5" ht="15">
      <c r="A91" s="89">
        <v>45374</v>
      </c>
      <c r="B91" s="97" t="s">
        <v>281</v>
      </c>
      <c r="D91" s="105" t="s">
        <v>226</v>
      </c>
    </row>
    <row r="92" spans="1:5" ht="15">
      <c r="A92" s="89"/>
      <c r="B92" s="26" t="s">
        <v>282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283</v>
      </c>
      <c r="D99" s="77" t="s">
        <v>284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285</v>
      </c>
      <c r="E100" s="77">
        <v>-3551.66</v>
      </c>
      <c r="F100" s="77">
        <v>0</v>
      </c>
    </row>
    <row r="101" spans="1:6">
      <c r="A101" s="89"/>
      <c r="B101" s="3" t="s">
        <v>286</v>
      </c>
      <c r="C101" s="84"/>
      <c r="D101" s="77" t="s">
        <v>287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287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288</v>
      </c>
      <c r="C104" s="84"/>
      <c r="E104" s="77">
        <v>-1750</v>
      </c>
    </row>
    <row r="105" spans="1:6" ht="15">
      <c r="A105" s="89"/>
      <c r="B105" s="3"/>
      <c r="C105" s="84"/>
      <c r="D105" s="105" t="s">
        <v>226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289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237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238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239</v>
      </c>
      <c r="C119" s="2" t="s">
        <v>290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242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243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244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245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291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292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293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294</v>
      </c>
      <c r="C10" s="22" t="s">
        <v>295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294</v>
      </c>
      <c r="C11" s="22" t="s">
        <v>295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296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296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297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298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299</v>
      </c>
      <c r="C37" s="22" t="s">
        <v>300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301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302</v>
      </c>
      <c r="E47" s="77">
        <v>-849.81</v>
      </c>
      <c r="G47" s="54"/>
      <c r="H47" s="54"/>
    </row>
    <row r="48" spans="1:8">
      <c r="A48" s="89">
        <v>45187</v>
      </c>
      <c r="B48" s="84" t="s">
        <v>303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279</v>
      </c>
      <c r="E49" s="77">
        <v>-453.4</v>
      </c>
      <c r="G49" s="54"/>
      <c r="H49" s="54"/>
    </row>
    <row r="50" spans="1:8">
      <c r="A50" s="96">
        <v>45326</v>
      </c>
      <c r="B50" t="s">
        <v>304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305</v>
      </c>
      <c r="E52" s="77">
        <v>-900</v>
      </c>
      <c r="G52" s="54"/>
      <c r="H52" s="54"/>
    </row>
    <row r="53" spans="1:8">
      <c r="A53" s="96">
        <v>45330</v>
      </c>
      <c r="B53" t="s">
        <v>306</v>
      </c>
      <c r="E53" s="77">
        <v>-116.38</v>
      </c>
      <c r="G53" s="54"/>
      <c r="H53" s="54"/>
    </row>
    <row r="54" spans="1:8">
      <c r="A54" s="89">
        <v>45331</v>
      </c>
      <c r="B54" s="84" t="s">
        <v>276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307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308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309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226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310</v>
      </c>
      <c r="C67" s="84"/>
      <c r="D67" s="95" t="s">
        <v>311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283</v>
      </c>
      <c r="D68" s="95" t="s">
        <v>312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313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-1204.5</v>
      </c>
      <c r="D70" s="95" t="s">
        <v>315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-148.6</v>
      </c>
      <c r="D71" s="95" t="s">
        <v>315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-244.8</v>
      </c>
      <c r="D72" s="95" t="s">
        <v>315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318</v>
      </c>
      <c r="C73" s="110">
        <v>-532.6</v>
      </c>
      <c r="D73" s="95" t="s">
        <v>315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319</v>
      </c>
      <c r="E74" s="77">
        <v>-449.5</v>
      </c>
      <c r="F74" s="54"/>
      <c r="G74" s="54"/>
      <c r="H74" s="54"/>
    </row>
    <row r="75" spans="1:8">
      <c r="A75" s="88"/>
      <c r="B75" s="84" t="s">
        <v>320</v>
      </c>
      <c r="C75" s="84"/>
      <c r="D75" s="128" t="s">
        <v>319</v>
      </c>
      <c r="E75" s="77">
        <v>-299.64</v>
      </c>
      <c r="F75" s="54"/>
      <c r="G75" s="54"/>
      <c r="H75" s="54"/>
    </row>
    <row r="76" spans="1:8">
      <c r="A76" s="88"/>
      <c r="B76" s="84" t="s">
        <v>321</v>
      </c>
      <c r="C76" s="84"/>
      <c r="D76" s="128" t="s">
        <v>319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322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322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323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324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325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226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326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327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238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239</v>
      </c>
      <c r="C116" s="2" t="s">
        <v>328</v>
      </c>
      <c r="D116" s="2"/>
      <c r="E116" s="62">
        <v>129254.5</v>
      </c>
    </row>
    <row r="117" spans="1:5">
      <c r="A117" s="73">
        <f t="shared" si="1"/>
        <v>45352</v>
      </c>
      <c r="B117" t="s">
        <v>329</v>
      </c>
      <c r="C117" s="2" t="s">
        <v>330</v>
      </c>
      <c r="D117" s="2"/>
      <c r="E117" s="62">
        <v>256.56</v>
      </c>
    </row>
    <row r="118" spans="1:5">
      <c r="A118" s="73">
        <f t="shared" si="1"/>
        <v>45352</v>
      </c>
      <c r="B118" t="s">
        <v>331</v>
      </c>
      <c r="C118" s="73" t="s">
        <v>332</v>
      </c>
      <c r="D118" s="74"/>
      <c r="E118" s="62">
        <v>0</v>
      </c>
    </row>
    <row r="119" spans="1:5">
      <c r="A119" s="73">
        <f t="shared" si="1"/>
        <v>45352</v>
      </c>
      <c r="B119" t="s">
        <v>333</v>
      </c>
      <c r="C119" s="73" t="s">
        <v>334</v>
      </c>
      <c r="D119" s="74"/>
      <c r="E119" s="62">
        <v>588.6</v>
      </c>
    </row>
    <row r="120" spans="1:5">
      <c r="A120" s="73">
        <f t="shared" si="1"/>
        <v>45352</v>
      </c>
      <c r="B120" t="s">
        <v>335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336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337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244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338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339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340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341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342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343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343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344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345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346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347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348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297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349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350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351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303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226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310</v>
      </c>
      <c r="C66" s="84"/>
      <c r="D66" t="s">
        <v>352</v>
      </c>
      <c r="E66" s="108">
        <v>-3974.44</v>
      </c>
      <c r="G66" s="54"/>
      <c r="H66" s="54"/>
    </row>
    <row r="67" spans="1:8">
      <c r="A67" s="88">
        <v>45214</v>
      </c>
      <c r="B67" t="s">
        <v>283</v>
      </c>
      <c r="D67" t="s">
        <v>353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354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314</v>
      </c>
      <c r="C69" s="110">
        <v>-1204.5</v>
      </c>
      <c r="D69" t="s">
        <v>355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316</v>
      </c>
      <c r="C70" s="110">
        <v>-148.6</v>
      </c>
      <c r="D70" t="s">
        <v>355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317</v>
      </c>
      <c r="C71" s="110">
        <v>-244.8</v>
      </c>
      <c r="D71" t="s">
        <v>355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318</v>
      </c>
      <c r="C72" s="110">
        <v>-532.6</v>
      </c>
      <c r="D72" t="s">
        <v>355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356</v>
      </c>
      <c r="E73" s="108">
        <v>-449.5</v>
      </c>
      <c r="F73" s="54"/>
      <c r="G73" s="54"/>
      <c r="H73" s="54"/>
    </row>
    <row r="74" spans="1:8">
      <c r="A74" s="88"/>
      <c r="B74" s="84" t="s">
        <v>320</v>
      </c>
      <c r="C74" s="84"/>
      <c r="D74" t="s">
        <v>356</v>
      </c>
      <c r="E74" s="108">
        <v>-299.64</v>
      </c>
      <c r="F74" s="54"/>
      <c r="G74" s="54"/>
      <c r="H74" s="54"/>
    </row>
    <row r="75" spans="1:8">
      <c r="A75" s="88"/>
      <c r="B75" s="84" t="s">
        <v>321</v>
      </c>
      <c r="C75" s="84"/>
      <c r="D75" t="s">
        <v>356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357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358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357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359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360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360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361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362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363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363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359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364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365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279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366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279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367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368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369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370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371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372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373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374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374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375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226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376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377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238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378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239</v>
      </c>
      <c r="C119" s="2" t="s">
        <v>328</v>
      </c>
      <c r="D119" s="2"/>
      <c r="E119" s="62">
        <v>129254.5</v>
      </c>
    </row>
    <row r="120" spans="1:6">
      <c r="A120" s="73">
        <f t="shared" si="1"/>
        <v>45352</v>
      </c>
      <c r="B120" t="s">
        <v>329</v>
      </c>
      <c r="C120" s="2" t="s">
        <v>330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331</v>
      </c>
      <c r="C121" s="73" t="s">
        <v>379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333</v>
      </c>
      <c r="C122" s="73" t="s">
        <v>334</v>
      </c>
      <c r="D122" s="74"/>
      <c r="E122" s="62">
        <v>588.6</v>
      </c>
    </row>
    <row r="123" spans="1:6">
      <c r="A123" s="73">
        <f t="shared" si="1"/>
        <v>45352</v>
      </c>
      <c r="B123" t="s">
        <v>335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336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337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244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338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380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381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381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382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383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384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385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386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349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387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388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388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389</v>
      </c>
      <c r="F36" s="130">
        <v>24000</v>
      </c>
      <c r="H36" s="108">
        <f t="shared" si="0"/>
        <v>137234.37</v>
      </c>
    </row>
    <row r="37" spans="1:8">
      <c r="A37" s="88"/>
      <c r="B37" t="s">
        <v>390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390</v>
      </c>
      <c r="G38" s="108">
        <v>-1000</v>
      </c>
      <c r="H38" s="108">
        <f t="shared" si="0"/>
        <v>132234.37</v>
      </c>
    </row>
    <row r="39" spans="1:8">
      <c r="A39" s="88"/>
      <c r="B39" t="s">
        <v>391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392</v>
      </c>
      <c r="H41" s="108">
        <f t="shared" si="0"/>
        <v>128534.37</v>
      </c>
    </row>
    <row r="42" spans="1:8">
      <c r="B42" t="s">
        <v>393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394</v>
      </c>
      <c r="D50" s="108">
        <v>1329.72</v>
      </c>
      <c r="E50" s="108">
        <v>1330</v>
      </c>
    </row>
    <row r="51" spans="1:5">
      <c r="B51" t="s">
        <v>395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396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351</v>
      </c>
      <c r="C63" s="108">
        <v>10764.57</v>
      </c>
      <c r="D63" s="108" t="s">
        <v>397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303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398</v>
      </c>
      <c r="C66" s="108">
        <v>613.91</v>
      </c>
      <c r="D66" s="108" t="s">
        <v>399</v>
      </c>
      <c r="E66" s="108">
        <v>-61.4</v>
      </c>
    </row>
    <row r="67" spans="1:5">
      <c r="D67" s="108" t="s">
        <v>226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310</v>
      </c>
      <c r="D79" s="108" t="s">
        <v>400</v>
      </c>
      <c r="E79" s="108">
        <v>-3974.44</v>
      </c>
    </row>
    <row r="80" spans="1:5">
      <c r="A80" s="88">
        <v>45214</v>
      </c>
      <c r="B80" t="s">
        <v>283</v>
      </c>
      <c r="D80" s="108" t="s">
        <v>285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314</v>
      </c>
      <c r="C82" s="108">
        <v>-1204.5</v>
      </c>
      <c r="D82" s="108" t="s">
        <v>401</v>
      </c>
      <c r="E82" s="108">
        <v>-401.5</v>
      </c>
    </row>
    <row r="83" spans="1:5">
      <c r="A83" s="88">
        <v>45259</v>
      </c>
      <c r="B83" t="s">
        <v>316</v>
      </c>
      <c r="C83" s="108">
        <v>-148.6</v>
      </c>
      <c r="D83" s="108" t="s">
        <v>401</v>
      </c>
      <c r="E83" s="108">
        <v>-49.53</v>
      </c>
    </row>
    <row r="84" spans="1:5">
      <c r="A84" s="88">
        <v>45259</v>
      </c>
      <c r="B84" t="s">
        <v>317</v>
      </c>
      <c r="C84" s="108">
        <v>-244.8</v>
      </c>
      <c r="D84" s="108" t="s">
        <v>401</v>
      </c>
      <c r="E84" s="108">
        <v>-81.599999999999994</v>
      </c>
    </row>
    <row r="85" spans="1:5">
      <c r="A85" s="88">
        <v>45259</v>
      </c>
      <c r="B85" t="s">
        <v>318</v>
      </c>
      <c r="C85" s="108">
        <v>-532.6</v>
      </c>
      <c r="D85" s="108" t="s">
        <v>401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402</v>
      </c>
      <c r="C87" s="108">
        <v>109.92</v>
      </c>
    </row>
    <row r="88" spans="1:5">
      <c r="A88" s="89">
        <v>45283</v>
      </c>
      <c r="B88" s="3" t="s">
        <v>357</v>
      </c>
      <c r="E88" s="108">
        <v>-90</v>
      </c>
    </row>
    <row r="89" spans="1:5">
      <c r="A89" s="89">
        <v>45283</v>
      </c>
      <c r="B89" s="3" t="s">
        <v>272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272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357</v>
      </c>
      <c r="E91" s="108">
        <v>-110</v>
      </c>
    </row>
    <row r="92" spans="1:5">
      <c r="A92" s="89">
        <v>45281</v>
      </c>
      <c r="B92" s="3" t="s">
        <v>272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272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403</v>
      </c>
      <c r="E94" s="108">
        <v>-260</v>
      </c>
    </row>
    <row r="95" spans="1:5">
      <c r="A95" s="89">
        <v>45278</v>
      </c>
      <c r="B95" s="3" t="s">
        <v>272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404</v>
      </c>
      <c r="E96" s="108">
        <v>-300</v>
      </c>
    </row>
    <row r="97" spans="1:5">
      <c r="A97" s="89">
        <v>45276</v>
      </c>
      <c r="B97" s="3" t="s">
        <v>272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405</v>
      </c>
      <c r="E98" s="108">
        <v>-470</v>
      </c>
    </row>
    <row r="99" spans="1:5">
      <c r="A99" s="89">
        <v>45275</v>
      </c>
      <c r="B99" s="3" t="s">
        <v>406</v>
      </c>
      <c r="E99" s="108">
        <v>-285</v>
      </c>
    </row>
    <row r="100" spans="1:5">
      <c r="A100" s="89">
        <v>45274</v>
      </c>
      <c r="B100" s="3" t="s">
        <v>272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407</v>
      </c>
      <c r="E101" s="108">
        <v>-1108.1500000000001</v>
      </c>
    </row>
    <row r="102" spans="1:5">
      <c r="A102" s="89">
        <v>45271</v>
      </c>
      <c r="B102" s="3" t="s">
        <v>272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408</v>
      </c>
      <c r="E103" s="108">
        <v>-1551.29</v>
      </c>
    </row>
    <row r="104" spans="1:5">
      <c r="A104" s="89">
        <v>45270</v>
      </c>
      <c r="B104" s="3" t="s">
        <v>409</v>
      </c>
      <c r="E104" s="108">
        <v>-315.10000000000002</v>
      </c>
    </row>
    <row r="105" spans="1:5">
      <c r="A105" s="89">
        <v>45267</v>
      </c>
      <c r="B105" s="3" t="s">
        <v>357</v>
      </c>
      <c r="E105" s="108">
        <v>-300</v>
      </c>
    </row>
    <row r="106" spans="1:5">
      <c r="A106" s="89">
        <v>45266</v>
      </c>
      <c r="B106" s="3" t="s">
        <v>272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272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272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272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272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272</v>
      </c>
      <c r="C112" s="108">
        <f>E112</f>
        <v>-160</v>
      </c>
      <c r="E112" s="108">
        <v>-160</v>
      </c>
    </row>
    <row r="113" spans="1:5">
      <c r="D113" s="108" t="s">
        <v>226</v>
      </c>
    </row>
    <row r="114" spans="1:5">
      <c r="B114" s="61" t="s">
        <v>282</v>
      </c>
      <c r="C114" s="108">
        <f>SUM(C89:C113)</f>
        <v>-2400.41</v>
      </c>
    </row>
    <row r="118" spans="1:5">
      <c r="A118" s="68" t="s">
        <v>410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411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238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412</v>
      </c>
      <c r="D125" s="2"/>
      <c r="E125" s="62">
        <v>132120.79</v>
      </c>
    </row>
    <row r="126" spans="1:5">
      <c r="A126" s="73">
        <f>A125</f>
        <v>45327</v>
      </c>
      <c r="B126" t="s">
        <v>413</v>
      </c>
      <c r="C126" s="2"/>
      <c r="D126" s="2"/>
      <c r="E126" s="62">
        <v>0</v>
      </c>
    </row>
    <row r="127" spans="1:5">
      <c r="A127" s="73">
        <v>45327</v>
      </c>
      <c r="B127" t="s">
        <v>414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415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416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417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244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418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419</v>
      </c>
    </row>
    <row r="141" spans="1:5">
      <c r="A141" s="96">
        <v>45317</v>
      </c>
      <c r="B141" t="s">
        <v>420</v>
      </c>
      <c r="C141" s="108">
        <v>12500</v>
      </c>
      <c r="D141" s="108" t="s">
        <v>421</v>
      </c>
      <c r="E141" s="108">
        <v>10000</v>
      </c>
    </row>
    <row r="142" spans="1:5">
      <c r="B142" t="s">
        <v>420</v>
      </c>
      <c r="C142" s="108">
        <v>13400</v>
      </c>
      <c r="D142" s="108" t="s">
        <v>97</v>
      </c>
      <c r="E142" s="108">
        <v>25000</v>
      </c>
    </row>
    <row r="143" spans="1:5">
      <c r="B143" t="s">
        <v>420</v>
      </c>
      <c r="C143" s="108">
        <v>13700</v>
      </c>
      <c r="D143" s="108" t="s">
        <v>422</v>
      </c>
      <c r="E143" s="108">
        <v>10400</v>
      </c>
    </row>
    <row r="144" spans="1:5">
      <c r="B144" t="s">
        <v>420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423</v>
      </c>
      <c r="C146" s="108">
        <v>14400</v>
      </c>
    </row>
    <row r="147" spans="2:4">
      <c r="B147" t="s">
        <v>424</v>
      </c>
      <c r="C147" s="108">
        <v>2800</v>
      </c>
      <c r="D147" s="108">
        <f>SUM(C146:C147)</f>
        <v>17200</v>
      </c>
    </row>
    <row r="148" spans="2:4">
      <c r="B148" t="s">
        <v>425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426</v>
      </c>
      <c r="L2" s="147" t="s">
        <v>427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428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429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430</v>
      </c>
    </row>
    <row r="20" spans="2:13" ht="15">
      <c r="C20" s="58"/>
      <c r="D20" s="59" t="s">
        <v>431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432</v>
      </c>
    </row>
    <row r="26" spans="2:13">
      <c r="B26" s="70"/>
      <c r="C26" s="69" t="s">
        <v>433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435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436</v>
      </c>
      <c r="F5" s="62"/>
      <c r="G5" s="2">
        <f t="shared" si="0"/>
        <v>-1000</v>
      </c>
    </row>
    <row r="6" spans="2:7">
      <c r="B6" s="1">
        <v>44873</v>
      </c>
      <c r="C6" t="s">
        <v>437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435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438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435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439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440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441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441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442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443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444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445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295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446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447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295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448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449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450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451</v>
      </c>
      <c r="E25" s="2">
        <v>2258</v>
      </c>
      <c r="F25" s="62"/>
      <c r="G25" s="2">
        <f t="shared" si="0"/>
        <v>1535.9999999999993</v>
      </c>
    </row>
    <row r="26" spans="2:7">
      <c r="C26" t="s">
        <v>452</v>
      </c>
      <c r="E26" s="2">
        <v>613</v>
      </c>
      <c r="F26" s="4"/>
      <c r="G26" s="2">
        <f t="shared" si="0"/>
        <v>2148.9999999999991</v>
      </c>
    </row>
    <row r="27" spans="2:7">
      <c r="C27" t="s">
        <v>453</v>
      </c>
      <c r="E27" s="2">
        <v>720</v>
      </c>
      <c r="F27" s="4"/>
      <c r="G27" s="2">
        <f t="shared" si="0"/>
        <v>2868.9999999999991</v>
      </c>
    </row>
    <row r="28" spans="2:7">
      <c r="C28" t="s">
        <v>454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455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456</v>
      </c>
      <c r="E30" s="2">
        <v>2650</v>
      </c>
      <c r="F30" s="4"/>
      <c r="G30" s="2">
        <f t="shared" si="0"/>
        <v>3982.9999999999991</v>
      </c>
    </row>
    <row r="31" spans="2:7">
      <c r="C31" t="s">
        <v>457</v>
      </c>
      <c r="E31" s="2">
        <v>1356</v>
      </c>
      <c r="F31" s="4"/>
      <c r="G31" s="2">
        <f t="shared" si="0"/>
        <v>5338.9999999999991</v>
      </c>
    </row>
    <row r="32" spans="2:7">
      <c r="C32" t="s">
        <v>457</v>
      </c>
      <c r="E32" s="2">
        <v>869</v>
      </c>
      <c r="F32" s="4"/>
      <c r="G32" s="2">
        <f t="shared" si="0"/>
        <v>6207.9999999999991</v>
      </c>
    </row>
    <row r="33" spans="2:7">
      <c r="C33" t="s">
        <v>458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459</v>
      </c>
      <c r="F34" s="4">
        <v>3450</v>
      </c>
      <c r="G34" s="2">
        <f t="shared" si="0"/>
        <v>2757.9999999999991</v>
      </c>
    </row>
    <row r="35" spans="2:7">
      <c r="C35" t="s">
        <v>460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461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462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463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464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465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466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467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468</v>
      </c>
      <c r="E46" s="2">
        <v>573</v>
      </c>
      <c r="G46" s="2">
        <f t="shared" si="1"/>
        <v>4931</v>
      </c>
    </row>
    <row r="47" spans="2:7">
      <c r="C47" t="s">
        <v>469</v>
      </c>
      <c r="D47">
        <v>1500</v>
      </c>
      <c r="G47" s="2">
        <f t="shared" si="1"/>
        <v>4931</v>
      </c>
    </row>
    <row r="48" spans="2:7">
      <c r="C48" t="s">
        <v>470</v>
      </c>
      <c r="E48" s="2">
        <v>1207</v>
      </c>
      <c r="G48" s="2">
        <f t="shared" si="1"/>
        <v>6138</v>
      </c>
    </row>
    <row r="49" spans="2:7">
      <c r="C49" t="s">
        <v>471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472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473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474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475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476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477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408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478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479</v>
      </c>
      <c r="E61" s="176" t="s">
        <v>480</v>
      </c>
      <c r="F61" s="176" t="s">
        <v>481</v>
      </c>
      <c r="G61" s="177" t="s">
        <v>481</v>
      </c>
    </row>
    <row r="62" spans="2:7">
      <c r="D62" s="175" t="s">
        <v>482</v>
      </c>
      <c r="E62" s="176" t="s">
        <v>483</v>
      </c>
      <c r="F62" s="176" t="s">
        <v>484</v>
      </c>
      <c r="G62" s="178" t="s">
        <v>485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486</v>
      </c>
    </row>
    <row r="3" spans="2:9">
      <c r="D3" s="181" t="s">
        <v>487</v>
      </c>
      <c r="E3" s="108" t="s">
        <v>488</v>
      </c>
      <c r="F3" s="181" t="s">
        <v>489</v>
      </c>
      <c r="G3" s="182"/>
      <c r="I3" s="181" t="s">
        <v>490</v>
      </c>
    </row>
    <row r="4" spans="2:9">
      <c r="D4" s="181" t="s">
        <v>491</v>
      </c>
      <c r="E4" s="108" t="s">
        <v>492</v>
      </c>
      <c r="F4" s="181" t="s">
        <v>491</v>
      </c>
      <c r="G4" s="182"/>
      <c r="I4" s="181" t="s">
        <v>492</v>
      </c>
    </row>
    <row r="5" spans="2:9" ht="14.25">
      <c r="E5" s="183">
        <v>119305.95</v>
      </c>
      <c r="F5" s="183"/>
      <c r="G5" s="184"/>
      <c r="H5" s="185" t="s">
        <v>493</v>
      </c>
      <c r="I5" s="186">
        <f>NZN_23!I8*-1</f>
        <v>119305.95484700002</v>
      </c>
    </row>
    <row r="6" spans="2:9" ht="14.25">
      <c r="H6" s="187" t="s">
        <v>494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495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496</v>
      </c>
      <c r="I8" s="191">
        <f t="shared" ref="I8:I19" si="0">I7-F8</f>
        <v>149272.95484700002</v>
      </c>
    </row>
    <row r="9" spans="2:9">
      <c r="B9" s="73">
        <v>45324</v>
      </c>
      <c r="C9" t="s">
        <v>495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496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497</v>
      </c>
      <c r="E21" s="193">
        <v>0.2351</v>
      </c>
      <c r="F21" s="193">
        <f>1-E21</f>
        <v>0.76490000000000002</v>
      </c>
    </row>
    <row r="22" spans="2:11">
      <c r="B22" s="194" t="s">
        <v>498</v>
      </c>
      <c r="C22" s="194" t="s">
        <v>499</v>
      </c>
      <c r="D22" s="195" t="s">
        <v>500</v>
      </c>
      <c r="E22" s="196" t="s">
        <v>501</v>
      </c>
      <c r="F22" s="195" t="s">
        <v>502</v>
      </c>
      <c r="G22" s="197" t="s">
        <v>503</v>
      </c>
      <c r="H22" s="195" t="s">
        <v>504</v>
      </c>
      <c r="I22" s="195" t="s">
        <v>505</v>
      </c>
    </row>
    <row r="23" spans="2:11">
      <c r="B23" s="198"/>
      <c r="C23" s="199" t="s">
        <v>506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507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508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509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510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511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511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393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512</v>
      </c>
      <c r="E40" s="110" t="s">
        <v>513</v>
      </c>
      <c r="F40" s="110" t="s">
        <v>514</v>
      </c>
      <c r="H40" s="216"/>
      <c r="I40" s="216"/>
      <c r="J40" s="217"/>
    </row>
    <row r="41" spans="2:11" ht="15.75">
      <c r="C41" t="s">
        <v>515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516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517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518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519</v>
      </c>
      <c r="E47" s="181" t="s">
        <v>520</v>
      </c>
      <c r="F47" s="181" t="s">
        <v>521</v>
      </c>
      <c r="K47" s="54"/>
    </row>
    <row r="48" spans="2:11">
      <c r="E48" s="223"/>
      <c r="K48" s="54"/>
    </row>
    <row r="49" spans="3:6">
      <c r="C49" s="54" t="s">
        <v>428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486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497</v>
      </c>
      <c r="E5" s="224">
        <v>0.2351</v>
      </c>
      <c r="F5" s="224">
        <f>1-E5</f>
        <v>0.76490000000000002</v>
      </c>
      <c r="I5" s="54"/>
    </row>
    <row r="6" spans="2:11">
      <c r="B6" s="22" t="s">
        <v>498</v>
      </c>
      <c r="C6" s="22" t="s">
        <v>499</v>
      </c>
      <c r="D6" s="26" t="s">
        <v>500</v>
      </c>
      <c r="E6" s="128" t="s">
        <v>501</v>
      </c>
      <c r="F6" s="26" t="s">
        <v>502</v>
      </c>
      <c r="G6" s="225" t="s">
        <v>503</v>
      </c>
      <c r="H6" s="26" t="s">
        <v>504</v>
      </c>
      <c r="I6" s="226" t="s">
        <v>505</v>
      </c>
    </row>
    <row r="7" spans="2:11">
      <c r="K7" s="202"/>
    </row>
    <row r="8" spans="2:11" ht="15.75">
      <c r="B8" s="203">
        <v>45290</v>
      </c>
      <c r="C8" t="s">
        <v>507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522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523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524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525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526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526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526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509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527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528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529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509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509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530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531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532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533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506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534</v>
      </c>
      <c r="D28" s="54"/>
      <c r="E28" s="54">
        <f>E8</f>
        <v>-5843.55</v>
      </c>
      <c r="F28" s="54"/>
      <c r="H28" s="54"/>
      <c r="I28" s="54"/>
    </row>
    <row r="29" spans="2:10">
      <c r="C29" t="s">
        <v>535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512</v>
      </c>
      <c r="E31" s="54" t="s">
        <v>513</v>
      </c>
      <c r="F31" s="54" t="s">
        <v>514</v>
      </c>
      <c r="H31" s="240"/>
      <c r="I31" s="240"/>
      <c r="J31" s="217"/>
    </row>
    <row r="32" spans="2:10" ht="15.75">
      <c r="C32" t="s">
        <v>515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516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517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518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519</v>
      </c>
      <c r="E38" s="61" t="s">
        <v>520</v>
      </c>
      <c r="F38" s="61" t="s">
        <v>521</v>
      </c>
      <c r="H38" s="54"/>
      <c r="I38" s="54"/>
      <c r="K38" s="54"/>
    </row>
    <row r="39" spans="3:11">
      <c r="C39" t="s">
        <v>536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428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537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538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539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540</v>
      </c>
      <c r="C8" s="80"/>
      <c r="D8" s="80"/>
      <c r="E8" s="76"/>
      <c r="H8" s="54">
        <f t="shared" si="0"/>
        <v>-1097</v>
      </c>
    </row>
    <row r="9" spans="1:8">
      <c r="B9" s="80" t="s">
        <v>541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542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542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543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544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545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384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386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546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547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548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548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549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548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398</v>
      </c>
      <c r="C60">
        <v>613.91</v>
      </c>
      <c r="D60" s="26" t="s">
        <v>550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351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551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303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226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310</v>
      </c>
      <c r="C82" s="84"/>
      <c r="D82" t="s">
        <v>552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283</v>
      </c>
      <c r="D83" t="s">
        <v>553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554</v>
      </c>
      <c r="E85" s="76">
        <v>-1046.0999999999999</v>
      </c>
    </row>
    <row r="86" spans="1:8">
      <c r="A86" s="88">
        <v>45226</v>
      </c>
      <c r="B86" t="s">
        <v>554</v>
      </c>
      <c r="E86" s="76">
        <v>-1046.0999999999999</v>
      </c>
    </row>
    <row r="87" spans="1:8">
      <c r="A87" s="88">
        <v>45224</v>
      </c>
      <c r="B87" t="s">
        <v>276</v>
      </c>
      <c r="D87">
        <v>160</v>
      </c>
      <c r="E87" s="76">
        <v>-160</v>
      </c>
    </row>
    <row r="88" spans="1:8">
      <c r="A88" s="88">
        <v>45225</v>
      </c>
      <c r="B88" t="s">
        <v>276</v>
      </c>
      <c r="D88">
        <v>200</v>
      </c>
      <c r="E88" s="76">
        <v>-200</v>
      </c>
    </row>
    <row r="89" spans="1:8">
      <c r="A89" s="88">
        <v>45225</v>
      </c>
      <c r="B89" t="s">
        <v>555</v>
      </c>
      <c r="E89" s="76">
        <v>-200</v>
      </c>
    </row>
    <row r="90" spans="1:8">
      <c r="A90" s="88">
        <v>45226</v>
      </c>
      <c r="B90" t="s">
        <v>276</v>
      </c>
      <c r="D90" s="26">
        <v>150</v>
      </c>
      <c r="E90" s="76">
        <v>-150</v>
      </c>
    </row>
    <row r="91" spans="1:8">
      <c r="A91" s="88">
        <v>45227</v>
      </c>
      <c r="B91" t="s">
        <v>276</v>
      </c>
      <c r="D91" s="26">
        <v>100</v>
      </c>
      <c r="E91" s="76">
        <v>-100</v>
      </c>
    </row>
    <row r="92" spans="1:8">
      <c r="A92" s="88">
        <v>45227</v>
      </c>
      <c r="B92" t="s">
        <v>272</v>
      </c>
      <c r="D92">
        <v>70</v>
      </c>
      <c r="E92" s="76">
        <v>-70</v>
      </c>
    </row>
    <row r="93" spans="1:8">
      <c r="A93" s="88">
        <v>45229</v>
      </c>
      <c r="B93" t="s">
        <v>276</v>
      </c>
      <c r="D93">
        <v>200</v>
      </c>
      <c r="E93" s="76">
        <v>-200</v>
      </c>
    </row>
    <row r="94" spans="1:8">
      <c r="A94" s="88">
        <v>45229</v>
      </c>
      <c r="B94" t="s">
        <v>556</v>
      </c>
      <c r="D94">
        <v>95.49</v>
      </c>
      <c r="E94" s="76">
        <v>-95.49</v>
      </c>
    </row>
    <row r="95" spans="1:8">
      <c r="A95" s="88">
        <v>45232</v>
      </c>
      <c r="B95" t="s">
        <v>276</v>
      </c>
      <c r="D95">
        <v>250</v>
      </c>
      <c r="E95" s="76">
        <v>-250</v>
      </c>
    </row>
    <row r="96" spans="1:8">
      <c r="A96" s="88">
        <v>45233</v>
      </c>
      <c r="B96" t="s">
        <v>276</v>
      </c>
      <c r="D96">
        <v>180</v>
      </c>
      <c r="E96" s="76">
        <v>-160</v>
      </c>
    </row>
    <row r="97" spans="1:5">
      <c r="A97" s="88">
        <v>45234</v>
      </c>
      <c r="B97" t="s">
        <v>276</v>
      </c>
      <c r="D97">
        <v>320</v>
      </c>
      <c r="E97" s="76">
        <v>-320</v>
      </c>
    </row>
    <row r="98" spans="1:5">
      <c r="A98" s="88">
        <v>45237</v>
      </c>
      <c r="B98" t="s">
        <v>276</v>
      </c>
      <c r="D98">
        <v>200</v>
      </c>
      <c r="E98" s="76">
        <v>-200</v>
      </c>
    </row>
    <row r="99" spans="1:5">
      <c r="A99" s="88">
        <v>45237</v>
      </c>
      <c r="B99" t="s">
        <v>273</v>
      </c>
      <c r="E99" s="76">
        <v>-500</v>
      </c>
    </row>
    <row r="100" spans="1:5">
      <c r="A100" s="88">
        <v>45237</v>
      </c>
      <c r="B100" t="s">
        <v>557</v>
      </c>
      <c r="E100" s="76">
        <v>-180</v>
      </c>
    </row>
    <row r="101" spans="1:5">
      <c r="A101" s="88">
        <v>45238</v>
      </c>
      <c r="B101" t="s">
        <v>276</v>
      </c>
      <c r="D101">
        <v>160</v>
      </c>
      <c r="E101" s="76">
        <v>-160</v>
      </c>
    </row>
    <row r="102" spans="1:5">
      <c r="A102" s="88">
        <v>45239</v>
      </c>
      <c r="B102" t="s">
        <v>276</v>
      </c>
      <c r="D102">
        <v>250</v>
      </c>
      <c r="E102" s="76">
        <v>-250</v>
      </c>
    </row>
    <row r="103" spans="1:5">
      <c r="A103" s="88">
        <v>45240</v>
      </c>
      <c r="B103" t="s">
        <v>276</v>
      </c>
      <c r="D103">
        <v>160</v>
      </c>
      <c r="E103" s="76">
        <v>-160</v>
      </c>
    </row>
    <row r="104" spans="1:5">
      <c r="A104" s="88">
        <v>45241</v>
      </c>
      <c r="B104" t="s">
        <v>276</v>
      </c>
      <c r="D104">
        <v>250</v>
      </c>
      <c r="E104" s="76">
        <v>-250</v>
      </c>
    </row>
    <row r="105" spans="1:5">
      <c r="A105" s="88">
        <v>45244</v>
      </c>
      <c r="B105" t="s">
        <v>558</v>
      </c>
      <c r="E105" s="76">
        <v>-1144.1099999999999</v>
      </c>
    </row>
    <row r="106" spans="1:5">
      <c r="A106" s="88">
        <v>45245</v>
      </c>
      <c r="B106" t="s">
        <v>559</v>
      </c>
      <c r="E106" s="76">
        <v>-373.92</v>
      </c>
    </row>
    <row r="107" spans="1:5">
      <c r="A107" s="88">
        <v>45253</v>
      </c>
      <c r="B107" t="s">
        <v>276</v>
      </c>
      <c r="D107">
        <v>200</v>
      </c>
      <c r="E107" s="76">
        <v>-200</v>
      </c>
    </row>
    <row r="108" spans="1:5">
      <c r="E108" s="76"/>
    </row>
    <row r="109" spans="1:5">
      <c r="B109" t="s">
        <v>560</v>
      </c>
      <c r="D109">
        <f>SUM(D87:D108)</f>
        <v>2945.49</v>
      </c>
      <c r="E109" s="76"/>
    </row>
    <row r="110" spans="1:5" ht="15">
      <c r="D110" s="105" t="s">
        <v>226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561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562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563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563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564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565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566</v>
      </c>
      <c r="C22" t="s">
        <v>567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568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569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570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571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572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573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314</v>
      </c>
      <c r="C30" t="s">
        <v>538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316</v>
      </c>
      <c r="C31" t="s">
        <v>538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317</v>
      </c>
      <c r="C32" t="s">
        <v>538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574</v>
      </c>
      <c r="C33" t="s">
        <v>538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547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398</v>
      </c>
      <c r="C57">
        <v>613.91</v>
      </c>
      <c r="D57" s="26" t="s">
        <v>575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577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351</v>
      </c>
      <c r="C59" s="84">
        <v>10764.57</v>
      </c>
      <c r="D59" s="26" t="s">
        <v>302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577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551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207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303</v>
      </c>
      <c r="C63" s="84">
        <v>11128</v>
      </c>
      <c r="D63" s="139" t="s">
        <v>219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226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579</v>
      </c>
      <c r="C72">
        <v>1140.99</v>
      </c>
      <c r="D72" t="s">
        <v>284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580</v>
      </c>
      <c r="D73" s="26" t="s">
        <v>581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310</v>
      </c>
      <c r="C74" s="84"/>
      <c r="D74" t="s">
        <v>553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283</v>
      </c>
      <c r="D76" t="s">
        <v>582</v>
      </c>
      <c r="E76" s="76">
        <v>-600</v>
      </c>
      <c r="F76" s="54"/>
    </row>
    <row r="77" spans="1:8">
      <c r="A77" s="88">
        <v>45198</v>
      </c>
      <c r="B77" t="s">
        <v>276</v>
      </c>
      <c r="E77" s="76">
        <v>-160</v>
      </c>
    </row>
    <row r="78" spans="1:8">
      <c r="A78" s="88">
        <v>45201</v>
      </c>
      <c r="B78" t="s">
        <v>583</v>
      </c>
      <c r="E78" s="76">
        <v>-1180</v>
      </c>
    </row>
    <row r="79" spans="1:8">
      <c r="A79" s="88">
        <v>45204</v>
      </c>
      <c r="B79" t="s">
        <v>584</v>
      </c>
      <c r="E79" s="76">
        <v>-713.25</v>
      </c>
    </row>
    <row r="80" spans="1:8">
      <c r="A80" s="88">
        <v>45204</v>
      </c>
      <c r="B80" t="s">
        <v>584</v>
      </c>
      <c r="E80" s="76">
        <v>-713.25</v>
      </c>
    </row>
    <row r="81" spans="1:5">
      <c r="A81" s="88">
        <v>45194</v>
      </c>
      <c r="B81" t="s">
        <v>276</v>
      </c>
      <c r="D81" s="26"/>
      <c r="E81" s="76">
        <v>-200</v>
      </c>
    </row>
    <row r="82" spans="1:5">
      <c r="A82" s="88">
        <v>45225</v>
      </c>
      <c r="B82" t="s">
        <v>276</v>
      </c>
      <c r="D82" s="26"/>
      <c r="E82" s="76">
        <v>-160</v>
      </c>
    </row>
    <row r="83" spans="1:5">
      <c r="A83" s="88">
        <v>45226</v>
      </c>
      <c r="B83" t="s">
        <v>276</v>
      </c>
      <c r="E83" s="76">
        <v>-200</v>
      </c>
    </row>
    <row r="84" spans="1:5">
      <c r="A84" s="88">
        <v>45227</v>
      </c>
      <c r="B84" t="s">
        <v>276</v>
      </c>
      <c r="E84" s="76">
        <v>-200</v>
      </c>
    </row>
    <row r="85" spans="1:5">
      <c r="A85" s="88">
        <v>45227</v>
      </c>
      <c r="B85" t="s">
        <v>357</v>
      </c>
      <c r="E85" s="76">
        <v>-245</v>
      </c>
    </row>
    <row r="86" spans="1:5">
      <c r="A86" s="88">
        <v>45228</v>
      </c>
      <c r="B86" t="s">
        <v>276</v>
      </c>
      <c r="E86" s="76">
        <v>-160</v>
      </c>
    </row>
    <row r="87" spans="1:5">
      <c r="A87" s="88">
        <v>45228</v>
      </c>
      <c r="B87" t="s">
        <v>585</v>
      </c>
      <c r="E87" s="76">
        <v>-33.65</v>
      </c>
    </row>
    <row r="88" spans="1:5">
      <c r="A88" s="88">
        <v>45201</v>
      </c>
      <c r="B88" t="s">
        <v>276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276</v>
      </c>
      <c r="E90" s="76">
        <v>-250</v>
      </c>
    </row>
    <row r="91" spans="1:5">
      <c r="A91" s="88">
        <v>45204</v>
      </c>
      <c r="B91" t="s">
        <v>276</v>
      </c>
      <c r="E91" s="76">
        <v>-300</v>
      </c>
    </row>
    <row r="92" spans="1:5">
      <c r="A92" s="88">
        <v>45205</v>
      </c>
      <c r="B92" t="s">
        <v>276</v>
      </c>
      <c r="E92" s="76">
        <v>-250</v>
      </c>
    </row>
    <row r="93" spans="1:5">
      <c r="A93" s="88">
        <v>45206</v>
      </c>
      <c r="B93" t="s">
        <v>276</v>
      </c>
      <c r="E93" s="76">
        <v>-250</v>
      </c>
    </row>
    <row r="94" spans="1:5">
      <c r="A94" s="88">
        <v>45206</v>
      </c>
      <c r="B94" t="s">
        <v>586</v>
      </c>
      <c r="E94" s="76">
        <v>-107.32</v>
      </c>
    </row>
    <row r="95" spans="1:5">
      <c r="A95" s="88">
        <v>45210</v>
      </c>
      <c r="B95" t="s">
        <v>276</v>
      </c>
      <c r="E95" s="76">
        <v>-200</v>
      </c>
    </row>
    <row r="96" spans="1:5">
      <c r="A96" s="88">
        <v>45215</v>
      </c>
      <c r="B96" t="s">
        <v>276</v>
      </c>
      <c r="E96" s="76">
        <v>-160</v>
      </c>
    </row>
    <row r="97" spans="1:5">
      <c r="A97" s="88">
        <v>45216</v>
      </c>
      <c r="B97" t="s">
        <v>276</v>
      </c>
      <c r="E97" s="76">
        <v>-160</v>
      </c>
    </row>
    <row r="98" spans="1:5">
      <c r="A98" s="88">
        <v>45217</v>
      </c>
      <c r="B98" t="s">
        <v>276</v>
      </c>
      <c r="E98" s="76">
        <v>-160</v>
      </c>
    </row>
    <row r="99" spans="1:5">
      <c r="A99" s="88">
        <v>45218</v>
      </c>
      <c r="B99" t="s">
        <v>276</v>
      </c>
      <c r="E99" s="76">
        <v>-200</v>
      </c>
    </row>
    <row r="100" spans="1:5">
      <c r="A100" s="88">
        <v>45219</v>
      </c>
      <c r="B100" t="s">
        <v>276</v>
      </c>
      <c r="E100" s="76">
        <v>-165</v>
      </c>
    </row>
    <row r="101" spans="1:5">
      <c r="A101" s="88">
        <v>45219</v>
      </c>
      <c r="B101" t="s">
        <v>585</v>
      </c>
      <c r="E101" s="76">
        <v>-93.36</v>
      </c>
    </row>
    <row r="102" spans="1:5">
      <c r="A102" s="88">
        <v>45220</v>
      </c>
      <c r="B102" t="s">
        <v>276</v>
      </c>
      <c r="E102" s="76">
        <v>-165</v>
      </c>
    </row>
    <row r="103" spans="1:5">
      <c r="A103" s="88">
        <v>45220</v>
      </c>
      <c r="B103" t="s">
        <v>587</v>
      </c>
      <c r="E103" s="76">
        <v>-80</v>
      </c>
    </row>
    <row r="104" spans="1:5">
      <c r="A104" s="88">
        <v>45221</v>
      </c>
      <c r="B104" t="s">
        <v>588</v>
      </c>
      <c r="E104" s="76">
        <v>-500</v>
      </c>
    </row>
    <row r="105" spans="1:5" ht="15">
      <c r="D105" s="105" t="s">
        <v>226</v>
      </c>
    </row>
    <row r="107" spans="1:5">
      <c r="B107" t="s">
        <v>589</v>
      </c>
      <c r="E107" s="76">
        <v>3707.01</v>
      </c>
    </row>
    <row r="108" spans="1:5">
      <c r="B108" t="s">
        <v>590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591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592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593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594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595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596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597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598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599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600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601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602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603</v>
      </c>
      <c r="C24" t="s">
        <v>567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604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605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572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606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607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547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398</v>
      </c>
      <c r="C52">
        <v>613.91</v>
      </c>
      <c r="D52" s="26" t="s">
        <v>608</v>
      </c>
      <c r="E52" s="76">
        <v>-61.39</v>
      </c>
      <c r="G52" s="54"/>
      <c r="H52" s="54"/>
    </row>
    <row r="53" spans="1:8">
      <c r="A53" s="73">
        <v>45043</v>
      </c>
      <c r="B53" s="84" t="s">
        <v>576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351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578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551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367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609</v>
      </c>
      <c r="C58" s="84">
        <v>148.6</v>
      </c>
      <c r="D58" s="139" t="s">
        <v>610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611</v>
      </c>
      <c r="C59" s="84">
        <v>244.8</v>
      </c>
      <c r="D59" s="139" t="s">
        <v>610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612</v>
      </c>
      <c r="C60" s="84">
        <v>1204.5</v>
      </c>
      <c r="D60" s="139" t="s">
        <v>610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613</v>
      </c>
      <c r="C61" s="84">
        <v>532.6</v>
      </c>
      <c r="D61" s="139" t="s">
        <v>610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614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615</v>
      </c>
      <c r="E63" s="76">
        <v>-849.81</v>
      </c>
      <c r="F63" s="54"/>
    </row>
    <row r="64" spans="1:8">
      <c r="A64" s="73">
        <v>45187</v>
      </c>
      <c r="B64" s="84" t="s">
        <v>616</v>
      </c>
      <c r="C64" s="84">
        <v>11128</v>
      </c>
      <c r="D64" s="139" t="s">
        <v>267</v>
      </c>
      <c r="E64" s="76">
        <v>-1854.67</v>
      </c>
      <c r="F64" s="54"/>
    </row>
    <row r="66" spans="1:9" ht="15">
      <c r="D66" s="105" t="s">
        <v>226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579</v>
      </c>
      <c r="C69">
        <v>1140.99</v>
      </c>
      <c r="D69" t="s">
        <v>312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580</v>
      </c>
      <c r="D70" s="26" t="s">
        <v>617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618</v>
      </c>
      <c r="C71" s="84"/>
      <c r="D71" t="s">
        <v>582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619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620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621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622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623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624</v>
      </c>
      <c r="E88" s="76">
        <v>-529.98</v>
      </c>
    </row>
    <row r="89" spans="1:8">
      <c r="A89" s="73">
        <v>45179</v>
      </c>
      <c r="B89" t="s">
        <v>624</v>
      </c>
      <c r="E89" s="76">
        <v>-2351.9499999999998</v>
      </c>
    </row>
    <row r="90" spans="1:8">
      <c r="A90" s="73">
        <v>45180</v>
      </c>
      <c r="B90" t="s">
        <v>625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625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626</v>
      </c>
      <c r="E94" s="76">
        <v>-578</v>
      </c>
    </row>
    <row r="95" spans="1:8">
      <c r="A95" s="73">
        <v>45184</v>
      </c>
      <c r="B95" t="s">
        <v>627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628</v>
      </c>
      <c r="E101" s="76">
        <v>-230</v>
      </c>
    </row>
    <row r="102" spans="1:5">
      <c r="A102" s="73">
        <v>45191</v>
      </c>
      <c r="B102" t="s">
        <v>629</v>
      </c>
      <c r="E102" s="76">
        <v>-382</v>
      </c>
    </row>
    <row r="103" spans="1:5">
      <c r="A103" s="73">
        <v>45191</v>
      </c>
      <c r="B103" t="s">
        <v>630</v>
      </c>
      <c r="E103" s="76">
        <v>-699.6</v>
      </c>
    </row>
    <row r="104" spans="1:5">
      <c r="A104" s="73">
        <v>45192</v>
      </c>
      <c r="B104" t="s">
        <v>272</v>
      </c>
      <c r="E104" s="76">
        <v>-160</v>
      </c>
    </row>
    <row r="106" spans="1:5" ht="15">
      <c r="D106" s="105" t="s">
        <v>226</v>
      </c>
    </row>
    <row r="111" spans="1:5">
      <c r="A111" s="68" t="s">
        <v>631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632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633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634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635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636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631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637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638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639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639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640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641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642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643</v>
      </c>
      <c r="D26" s="95"/>
      <c r="G26" s="54"/>
      <c r="H26" s="54">
        <f t="shared" si="0"/>
        <v>-18024.010000000002</v>
      </c>
    </row>
    <row r="27" spans="1:8">
      <c r="A27" s="89"/>
      <c r="B27" t="s">
        <v>644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645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646</v>
      </c>
      <c r="G29" s="54"/>
      <c r="H29" s="54">
        <f t="shared" si="0"/>
        <v>67975.989999999991</v>
      </c>
    </row>
    <row r="30" spans="1:8">
      <c r="A30" s="88">
        <v>45171</v>
      </c>
      <c r="B30" t="s">
        <v>647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648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649</v>
      </c>
      <c r="D32" s="95"/>
      <c r="G32" s="54"/>
      <c r="H32" s="54">
        <f t="shared" si="0"/>
        <v>138975.99</v>
      </c>
    </row>
    <row r="33" spans="1:8">
      <c r="A33" s="89"/>
      <c r="B33" t="s">
        <v>650</v>
      </c>
      <c r="D33" s="95"/>
      <c r="G33" s="54"/>
      <c r="H33" s="54">
        <f t="shared" si="0"/>
        <v>138975.99</v>
      </c>
    </row>
    <row r="34" spans="1:8">
      <c r="A34" s="89"/>
      <c r="B34" t="s">
        <v>651</v>
      </c>
      <c r="D34" s="95"/>
      <c r="G34" s="54"/>
      <c r="H34" s="54">
        <f t="shared" si="0"/>
        <v>138975.99</v>
      </c>
    </row>
    <row r="35" spans="1:8">
      <c r="A35" s="89"/>
      <c r="B35" t="s">
        <v>349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652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653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654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547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398</v>
      </c>
      <c r="C64">
        <v>613.91</v>
      </c>
      <c r="D64" s="26" t="s">
        <v>655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656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576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351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578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551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609</v>
      </c>
      <c r="C70" s="84">
        <v>148.6</v>
      </c>
      <c r="D70" s="139" t="s">
        <v>657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611</v>
      </c>
      <c r="C71" s="84">
        <v>244.8</v>
      </c>
      <c r="D71" s="139" t="s">
        <v>657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612</v>
      </c>
      <c r="C72" s="84">
        <v>1204.5</v>
      </c>
      <c r="D72" s="139" t="s">
        <v>657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613</v>
      </c>
      <c r="C73" s="84">
        <v>532.6</v>
      </c>
      <c r="D73" s="139" t="s">
        <v>657</v>
      </c>
      <c r="E73" s="76">
        <v>-133.15</v>
      </c>
      <c r="F73" s="54"/>
    </row>
    <row r="74" spans="1:8">
      <c r="A74" s="89">
        <v>45139</v>
      </c>
      <c r="B74" s="84" t="s">
        <v>658</v>
      </c>
      <c r="E74" s="76">
        <v>-260.02</v>
      </c>
    </row>
    <row r="75" spans="1:8">
      <c r="A75" s="88">
        <v>45139</v>
      </c>
      <c r="B75" s="84" t="s">
        <v>659</v>
      </c>
      <c r="E75" s="76">
        <v>-116.6</v>
      </c>
    </row>
    <row r="76" spans="1:8">
      <c r="A76" s="88">
        <v>45139</v>
      </c>
      <c r="B76" s="84" t="s">
        <v>659</v>
      </c>
      <c r="E76" s="76">
        <v>-23.75</v>
      </c>
    </row>
    <row r="77" spans="1:8">
      <c r="A77" s="88">
        <v>45140</v>
      </c>
      <c r="B77" s="84" t="s">
        <v>660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661</v>
      </c>
      <c r="E79" s="76">
        <v>-71</v>
      </c>
    </row>
    <row r="80" spans="1:8">
      <c r="A80" s="88">
        <v>45153</v>
      </c>
      <c r="B80" s="84" t="s">
        <v>662</v>
      </c>
      <c r="E80" s="76">
        <v>-1806</v>
      </c>
    </row>
    <row r="81" spans="1:8">
      <c r="A81" s="88">
        <v>45158</v>
      </c>
      <c r="B81" s="84" t="s">
        <v>663</v>
      </c>
      <c r="E81" s="76">
        <v>-160.9</v>
      </c>
    </row>
    <row r="82" spans="1:8">
      <c r="A82" s="88">
        <v>45160</v>
      </c>
      <c r="B82" s="84" t="s">
        <v>664</v>
      </c>
      <c r="D82" s="26"/>
      <c r="E82" s="76">
        <v>-231</v>
      </c>
    </row>
    <row r="83" spans="1:8" ht="15">
      <c r="A83" s="88"/>
      <c r="B83" s="84"/>
      <c r="D83" s="105" t="s">
        <v>226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579</v>
      </c>
      <c r="C88">
        <v>1140.99</v>
      </c>
      <c r="D88" t="s">
        <v>353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665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666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667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231</v>
      </c>
      <c r="E93" s="76">
        <v>-42.15</v>
      </c>
      <c r="F93" s="54"/>
    </row>
    <row r="94" spans="1:8">
      <c r="A94" s="89">
        <v>45136</v>
      </c>
      <c r="B94" t="s">
        <v>668</v>
      </c>
      <c r="E94">
        <v>-400</v>
      </c>
      <c r="F94" s="54"/>
    </row>
    <row r="95" spans="1:8">
      <c r="A95" s="89">
        <v>45136</v>
      </c>
      <c r="B95" t="s">
        <v>669</v>
      </c>
      <c r="E95">
        <v>-266</v>
      </c>
      <c r="F95" s="54"/>
    </row>
    <row r="96" spans="1:8">
      <c r="A96" s="89">
        <v>45199</v>
      </c>
      <c r="B96" t="s">
        <v>670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580</v>
      </c>
      <c r="D99" s="26" t="s">
        <v>671</v>
      </c>
      <c r="E99">
        <v>-181.83</v>
      </c>
    </row>
    <row r="100" spans="1:6">
      <c r="A100" s="88">
        <v>45141</v>
      </c>
      <c r="B100" t="s">
        <v>272</v>
      </c>
      <c r="D100" s="26"/>
      <c r="E100">
        <v>-150</v>
      </c>
    </row>
    <row r="101" spans="1:6">
      <c r="A101" s="88">
        <v>45143</v>
      </c>
      <c r="B101" t="s">
        <v>272</v>
      </c>
      <c r="E101">
        <v>-150</v>
      </c>
    </row>
    <row r="102" spans="1:6">
      <c r="A102" s="88">
        <v>45143</v>
      </c>
      <c r="B102" t="s">
        <v>231</v>
      </c>
      <c r="E102">
        <v>-337.19</v>
      </c>
    </row>
    <row r="103" spans="1:6">
      <c r="A103" s="88">
        <v>45161</v>
      </c>
      <c r="B103" t="s">
        <v>272</v>
      </c>
      <c r="E103">
        <v>-200</v>
      </c>
    </row>
    <row r="104" spans="1:6" ht="15">
      <c r="D104" s="105" t="s">
        <v>226</v>
      </c>
    </row>
    <row r="111" spans="1:6">
      <c r="A111" s="68" t="s">
        <v>672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673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633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635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636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674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675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676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676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677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255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435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678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679</v>
      </c>
      <c r="D25" s="95"/>
      <c r="F25" s="54"/>
      <c r="G25" s="54"/>
      <c r="H25" s="54">
        <f t="shared" si="0"/>
        <v>-15085.350000000002</v>
      </c>
    </row>
    <row r="26" spans="1:8">
      <c r="B26" t="s">
        <v>680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681</v>
      </c>
      <c r="D27" s="249">
        <v>70000</v>
      </c>
      <c r="G27" s="54"/>
      <c r="H27" s="54">
        <f t="shared" si="0"/>
        <v>-15085.350000000002</v>
      </c>
    </row>
    <row r="28" spans="1:8">
      <c r="B28" t="s">
        <v>682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547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683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398</v>
      </c>
      <c r="C51">
        <v>613.91</v>
      </c>
      <c r="D51" s="26" t="s">
        <v>684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656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576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351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578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551</v>
      </c>
      <c r="D56" s="139" t="s">
        <v>219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609</v>
      </c>
      <c r="C57" s="84">
        <v>148.6</v>
      </c>
      <c r="D57" s="139" t="s">
        <v>685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611</v>
      </c>
      <c r="C58" s="84">
        <v>244.8</v>
      </c>
      <c r="D58" s="139" t="s">
        <v>685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612</v>
      </c>
      <c r="C59" s="84">
        <v>1204.5</v>
      </c>
      <c r="D59" s="139" t="s">
        <v>685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613</v>
      </c>
      <c r="C60" s="84">
        <v>532.6</v>
      </c>
      <c r="D60" s="139" t="s">
        <v>685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686</v>
      </c>
      <c r="E62" s="76">
        <v>-132.9</v>
      </c>
    </row>
    <row r="63" spans="1:8">
      <c r="A63" s="89"/>
      <c r="D63" s="3" t="s">
        <v>226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579</v>
      </c>
      <c r="C68">
        <v>1140.99</v>
      </c>
      <c r="D68" t="s">
        <v>687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688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689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690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691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408</v>
      </c>
      <c r="E75">
        <v>-1356.36</v>
      </c>
    </row>
    <row r="76" spans="1:8">
      <c r="A76" s="89">
        <v>45115</v>
      </c>
      <c r="B76" t="s">
        <v>408</v>
      </c>
      <c r="E76">
        <v>-1120</v>
      </c>
    </row>
    <row r="77" spans="1:8">
      <c r="B77" t="s">
        <v>692</v>
      </c>
    </row>
    <row r="78" spans="1:8">
      <c r="A78" s="89">
        <v>45116</v>
      </c>
      <c r="B78" t="s">
        <v>693</v>
      </c>
      <c r="E78">
        <v>-437</v>
      </c>
    </row>
    <row r="79" spans="1:8">
      <c r="A79" s="89">
        <v>45116</v>
      </c>
      <c r="B79" t="s">
        <v>408</v>
      </c>
      <c r="D79" s="26"/>
      <c r="E79">
        <v>-863</v>
      </c>
    </row>
    <row r="80" spans="1:8">
      <c r="A80" s="89">
        <v>45119</v>
      </c>
      <c r="B80" t="s">
        <v>279</v>
      </c>
      <c r="D80" s="26"/>
      <c r="E80">
        <v>-146.88999999999999</v>
      </c>
    </row>
    <row r="81" spans="1:5">
      <c r="A81" s="89">
        <v>45119</v>
      </c>
      <c r="B81" t="s">
        <v>276</v>
      </c>
      <c r="E81">
        <v>-150</v>
      </c>
    </row>
    <row r="82" spans="1:5">
      <c r="A82" s="89">
        <v>45120</v>
      </c>
      <c r="B82" t="s">
        <v>276</v>
      </c>
      <c r="E82">
        <v>-150</v>
      </c>
    </row>
    <row r="83" spans="1:5">
      <c r="A83" s="89">
        <v>45121</v>
      </c>
      <c r="B83" t="s">
        <v>276</v>
      </c>
      <c r="E83">
        <v>-150</v>
      </c>
    </row>
    <row r="84" spans="1:5">
      <c r="A84" s="89">
        <v>45124</v>
      </c>
      <c r="B84" t="s">
        <v>276</v>
      </c>
      <c r="E84">
        <v>-150</v>
      </c>
    </row>
    <row r="85" spans="1:5">
      <c r="A85" s="89">
        <v>45125</v>
      </c>
      <c r="B85" t="s">
        <v>276</v>
      </c>
      <c r="E85">
        <v>-160</v>
      </c>
    </row>
    <row r="86" spans="1:5">
      <c r="A86" s="89">
        <v>45129</v>
      </c>
      <c r="B86" t="s">
        <v>279</v>
      </c>
      <c r="E86">
        <v>-20.059999999999999</v>
      </c>
    </row>
    <row r="87" spans="1:5">
      <c r="A87" s="89">
        <v>45130</v>
      </c>
      <c r="B87" t="s">
        <v>694</v>
      </c>
      <c r="E87">
        <v>-275.54000000000002</v>
      </c>
    </row>
    <row r="88" spans="1:5">
      <c r="A88" s="89">
        <v>45130</v>
      </c>
      <c r="B88" t="s">
        <v>586</v>
      </c>
      <c r="E88">
        <v>-212.45</v>
      </c>
    </row>
    <row r="89" spans="1:5">
      <c r="A89" s="89">
        <v>45131</v>
      </c>
      <c r="B89" t="s">
        <v>695</v>
      </c>
      <c r="E89">
        <v>-4.57</v>
      </c>
    </row>
    <row r="90" spans="1:5">
      <c r="A90" s="89">
        <v>45131</v>
      </c>
      <c r="B90" t="s">
        <v>696</v>
      </c>
      <c r="E90">
        <v>-4.57</v>
      </c>
    </row>
    <row r="91" spans="1:5">
      <c r="A91" s="89">
        <v>45131</v>
      </c>
      <c r="B91" t="s">
        <v>697</v>
      </c>
      <c r="E91">
        <v>-30.44</v>
      </c>
    </row>
    <row r="92" spans="1:5">
      <c r="D92" s="3" t="s">
        <v>226</v>
      </c>
    </row>
    <row r="111" spans="1:5">
      <c r="A111" s="68" t="s">
        <v>698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699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633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700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701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702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703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704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705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706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707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708</v>
      </c>
      <c r="C14" s="80" t="s">
        <v>709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708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710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711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435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712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713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714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547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683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398</v>
      </c>
      <c r="C55">
        <v>613.91</v>
      </c>
      <c r="D55" s="26" t="s">
        <v>715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656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576</v>
      </c>
      <c r="C57" s="84">
        <v>3299</v>
      </c>
      <c r="D57" s="26" t="s">
        <v>219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351</v>
      </c>
      <c r="C58" s="84">
        <v>10764.57</v>
      </c>
      <c r="D58" s="26" t="s">
        <v>207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578</v>
      </c>
      <c r="C59" s="84">
        <v>3123.29</v>
      </c>
      <c r="D59" s="139" t="s">
        <v>219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609</v>
      </c>
      <c r="C60" s="84">
        <v>148.6</v>
      </c>
      <c r="D60" s="139" t="s">
        <v>716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611</v>
      </c>
      <c r="C61" s="84">
        <v>244.8</v>
      </c>
      <c r="D61" s="139" t="s">
        <v>716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612</v>
      </c>
      <c r="C62" s="84">
        <v>1204.5</v>
      </c>
      <c r="D62" s="139" t="s">
        <v>716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613</v>
      </c>
      <c r="C63" s="84">
        <v>532.6</v>
      </c>
      <c r="D63" s="139" t="s">
        <v>716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551</v>
      </c>
      <c r="D64" s="139" t="s">
        <v>267</v>
      </c>
      <c r="E64" s="76">
        <v>-666.67</v>
      </c>
      <c r="F64" s="54"/>
    </row>
    <row r="65" spans="1:8">
      <c r="A65" s="89">
        <v>45091</v>
      </c>
      <c r="B65" s="84" t="s">
        <v>717</v>
      </c>
      <c r="E65" s="76">
        <v>-1129</v>
      </c>
      <c r="F65" s="54"/>
    </row>
    <row r="66" spans="1:8">
      <c r="A66" s="89"/>
      <c r="B66" s="84"/>
      <c r="D66" s="3" t="s">
        <v>226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579</v>
      </c>
      <c r="C70">
        <v>1140.99</v>
      </c>
      <c r="D70" t="s">
        <v>553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718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719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720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720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720</v>
      </c>
      <c r="E75" s="76">
        <v>-225</v>
      </c>
    </row>
    <row r="76" spans="1:8">
      <c r="B76" s="84" t="s">
        <v>484</v>
      </c>
      <c r="C76">
        <v>-1207</v>
      </c>
    </row>
    <row r="77" spans="1:8">
      <c r="A77" s="88">
        <v>45080</v>
      </c>
      <c r="B77" s="84" t="s">
        <v>720</v>
      </c>
      <c r="E77" s="76">
        <v>-180</v>
      </c>
    </row>
    <row r="78" spans="1:8">
      <c r="A78" s="88">
        <v>45080</v>
      </c>
      <c r="B78" s="84" t="s">
        <v>721</v>
      </c>
      <c r="E78" s="76">
        <v>-850</v>
      </c>
    </row>
    <row r="79" spans="1:8">
      <c r="A79" s="88">
        <v>45082</v>
      </c>
      <c r="B79" s="84" t="s">
        <v>722</v>
      </c>
      <c r="E79" s="76">
        <v>-112.11</v>
      </c>
    </row>
    <row r="80" spans="1:8">
      <c r="A80" s="88">
        <v>45082</v>
      </c>
      <c r="B80" s="84" t="s">
        <v>720</v>
      </c>
      <c r="E80" s="76">
        <v>-150</v>
      </c>
    </row>
    <row r="81" spans="1:5">
      <c r="A81" s="88">
        <v>45084</v>
      </c>
      <c r="B81" s="84" t="s">
        <v>720</v>
      </c>
      <c r="D81" s="26"/>
      <c r="E81" s="76">
        <v>-250</v>
      </c>
    </row>
    <row r="82" spans="1:5">
      <c r="A82" s="88">
        <v>45085</v>
      </c>
      <c r="B82" s="84" t="s">
        <v>720</v>
      </c>
      <c r="D82" s="26"/>
      <c r="E82" s="76">
        <v>-250</v>
      </c>
    </row>
    <row r="83" spans="1:5">
      <c r="A83" s="88">
        <v>45086</v>
      </c>
      <c r="B83" t="s">
        <v>723</v>
      </c>
      <c r="E83" s="76">
        <v>-1420</v>
      </c>
    </row>
    <row r="84" spans="1:5">
      <c r="A84" s="88">
        <v>45087</v>
      </c>
      <c r="B84" t="s">
        <v>724</v>
      </c>
      <c r="E84" s="76">
        <v>-242.56</v>
      </c>
    </row>
    <row r="85" spans="1:5">
      <c r="A85" s="88">
        <v>45089</v>
      </c>
      <c r="B85" t="s">
        <v>725</v>
      </c>
      <c r="E85" s="76">
        <v>-167.19</v>
      </c>
    </row>
    <row r="86" spans="1:5">
      <c r="A86" s="88">
        <v>45091</v>
      </c>
      <c r="B86" t="s">
        <v>720</v>
      </c>
      <c r="E86" s="76">
        <v>-200</v>
      </c>
    </row>
    <row r="87" spans="1:5">
      <c r="A87" s="88">
        <v>45091</v>
      </c>
      <c r="B87" t="s">
        <v>722</v>
      </c>
      <c r="E87" s="76">
        <v>-61.41</v>
      </c>
    </row>
    <row r="88" spans="1:5">
      <c r="A88" s="88">
        <v>45092</v>
      </c>
      <c r="B88" t="s">
        <v>720</v>
      </c>
      <c r="E88" s="76">
        <v>-200</v>
      </c>
    </row>
    <row r="89" spans="1:5">
      <c r="A89" s="89">
        <v>45095</v>
      </c>
      <c r="B89" t="s">
        <v>726</v>
      </c>
      <c r="E89" s="76">
        <v>-257</v>
      </c>
    </row>
    <row r="90" spans="1:5">
      <c r="A90" s="89">
        <v>45096</v>
      </c>
      <c r="B90" t="s">
        <v>276</v>
      </c>
      <c r="E90" s="76">
        <v>-250</v>
      </c>
    </row>
    <row r="91" spans="1:5">
      <c r="A91" s="89">
        <v>45097</v>
      </c>
      <c r="B91" t="s">
        <v>727</v>
      </c>
      <c r="E91" s="76">
        <v>-110</v>
      </c>
    </row>
    <row r="92" spans="1:5">
      <c r="A92" s="89">
        <v>45098</v>
      </c>
      <c r="B92" t="s">
        <v>728</v>
      </c>
      <c r="E92" s="76">
        <v>-405</v>
      </c>
    </row>
    <row r="93" spans="1:5">
      <c r="A93" s="89">
        <v>45099</v>
      </c>
      <c r="B93" t="s">
        <v>729</v>
      </c>
      <c r="E93" s="76">
        <v>-820</v>
      </c>
    </row>
    <row r="94" spans="1:5">
      <c r="A94" s="89">
        <v>45099</v>
      </c>
      <c r="B94" t="s">
        <v>730</v>
      </c>
      <c r="E94" s="76">
        <v>-599</v>
      </c>
    </row>
    <row r="95" spans="1:5">
      <c r="A95" s="89">
        <v>45099</v>
      </c>
      <c r="B95" t="s">
        <v>731</v>
      </c>
      <c r="E95" s="76">
        <v>-8</v>
      </c>
    </row>
    <row r="96" spans="1:5">
      <c r="A96" s="89">
        <v>45099</v>
      </c>
      <c r="B96" t="s">
        <v>731</v>
      </c>
      <c r="E96" s="76">
        <v>-1197.3800000000001</v>
      </c>
    </row>
    <row r="97" spans="1:5">
      <c r="A97" s="89">
        <v>45100</v>
      </c>
      <c r="B97" t="s">
        <v>732</v>
      </c>
      <c r="E97" s="76">
        <v>-418.5</v>
      </c>
    </row>
    <row r="98" spans="1:5">
      <c r="D98" s="3" t="s">
        <v>226</v>
      </c>
    </row>
    <row r="110" spans="1:5">
      <c r="D110" s="26"/>
    </row>
    <row r="111" spans="1:5">
      <c r="A111" s="68" t="s">
        <v>733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633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734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735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736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737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738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739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435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740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741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742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743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744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745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746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547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683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747</v>
      </c>
      <c r="C51">
        <v>659.93</v>
      </c>
      <c r="D51" s="26" t="s">
        <v>610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398</v>
      </c>
      <c r="C52">
        <v>613.91</v>
      </c>
      <c r="D52" s="26" t="s">
        <v>748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749</v>
      </c>
      <c r="C53">
        <v>720.19</v>
      </c>
      <c r="D53" s="259" t="s">
        <v>750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656</v>
      </c>
      <c r="C54">
        <v>2258.94</v>
      </c>
      <c r="D54" s="26" t="s">
        <v>751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351</v>
      </c>
      <c r="C57" s="84">
        <v>10764.57</v>
      </c>
      <c r="D57" s="26" t="s">
        <v>615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576</v>
      </c>
      <c r="C58" s="84">
        <v>3299</v>
      </c>
      <c r="D58" s="26" t="s">
        <v>267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578</v>
      </c>
      <c r="C60" s="84">
        <v>3123.29</v>
      </c>
      <c r="D60" s="139" t="s">
        <v>267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752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753</v>
      </c>
      <c r="E63" s="76">
        <v>-496</v>
      </c>
    </row>
    <row r="64" spans="1:8">
      <c r="A64" s="89">
        <v>45043</v>
      </c>
      <c r="B64" s="84" t="s">
        <v>754</v>
      </c>
      <c r="C64" s="84"/>
      <c r="D64" s="84"/>
      <c r="E64" s="76">
        <v>-120</v>
      </c>
    </row>
    <row r="65" spans="1:6">
      <c r="A65" s="89">
        <v>45044</v>
      </c>
      <c r="B65" t="s">
        <v>755</v>
      </c>
      <c r="E65" s="76">
        <v>-321</v>
      </c>
      <c r="F65" s="54"/>
    </row>
    <row r="66" spans="1:6">
      <c r="A66" s="89">
        <v>45044</v>
      </c>
      <c r="B66" t="s">
        <v>756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757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757</v>
      </c>
      <c r="C69">
        <v>225</v>
      </c>
      <c r="E69" s="76"/>
    </row>
    <row r="70" spans="1:6">
      <c r="A70" s="89">
        <v>45062</v>
      </c>
      <c r="B70" t="s">
        <v>757</v>
      </c>
      <c r="C70">
        <v>500</v>
      </c>
      <c r="E70" s="76"/>
    </row>
    <row r="71" spans="1:6">
      <c r="A71" s="89">
        <v>45066</v>
      </c>
      <c r="B71" t="s">
        <v>758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226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759</v>
      </c>
      <c r="C85" s="84"/>
      <c r="D85" s="84"/>
      <c r="E85" s="76">
        <v>-140</v>
      </c>
      <c r="F85" s="54" t="s">
        <v>760</v>
      </c>
      <c r="G85" s="54"/>
      <c r="H85" s="54"/>
    </row>
    <row r="86" spans="1:8">
      <c r="A86" s="89">
        <v>45044</v>
      </c>
      <c r="B86" s="84" t="s">
        <v>761</v>
      </c>
      <c r="C86" s="84"/>
      <c r="D86" s="84"/>
      <c r="E86" s="76">
        <v>-35.78</v>
      </c>
      <c r="F86" s="54" t="s">
        <v>760</v>
      </c>
      <c r="G86" s="54"/>
      <c r="H86" s="54"/>
    </row>
    <row r="87" spans="1:8">
      <c r="A87" s="89">
        <v>45045</v>
      </c>
      <c r="B87" s="84" t="s">
        <v>484</v>
      </c>
      <c r="C87" s="84">
        <v>-221.54</v>
      </c>
      <c r="D87" s="84"/>
      <c r="E87" s="76"/>
      <c r="F87" s="54" t="s">
        <v>760</v>
      </c>
      <c r="G87" s="54"/>
      <c r="H87" s="54"/>
    </row>
    <row r="88" spans="1:8">
      <c r="A88" s="89">
        <v>45023</v>
      </c>
      <c r="B88" s="84" t="s">
        <v>231</v>
      </c>
      <c r="C88" s="84"/>
      <c r="D88" s="84"/>
      <c r="E88" s="76">
        <v>-39.950000000000003</v>
      </c>
      <c r="F88" s="54" t="s">
        <v>760</v>
      </c>
      <c r="G88" s="54"/>
      <c r="H88" s="54"/>
    </row>
    <row r="89" spans="1:8">
      <c r="A89" s="89">
        <v>45023</v>
      </c>
      <c r="B89" s="84" t="s">
        <v>231</v>
      </c>
      <c r="C89" s="84"/>
      <c r="D89" s="84"/>
      <c r="E89" s="76">
        <v>-154.44999999999999</v>
      </c>
      <c r="F89" s="54" t="s">
        <v>760</v>
      </c>
      <c r="G89" s="54"/>
      <c r="H89" s="54"/>
    </row>
    <row r="90" spans="1:8">
      <c r="A90" s="89">
        <v>45023</v>
      </c>
      <c r="B90" s="97" t="s">
        <v>231</v>
      </c>
      <c r="E90" s="76">
        <v>-260</v>
      </c>
      <c r="F90" s="54" t="s">
        <v>760</v>
      </c>
    </row>
    <row r="91" spans="1:8">
      <c r="A91" s="89">
        <v>45026</v>
      </c>
      <c r="B91" t="s">
        <v>762</v>
      </c>
      <c r="E91" s="76">
        <v>-140</v>
      </c>
      <c r="F91" s="54" t="s">
        <v>760</v>
      </c>
    </row>
    <row r="92" spans="1:8">
      <c r="A92" s="89">
        <v>45026</v>
      </c>
      <c r="B92" t="s">
        <v>761</v>
      </c>
      <c r="E92" s="76">
        <v>-57.07</v>
      </c>
      <c r="F92" s="54" t="s">
        <v>760</v>
      </c>
    </row>
    <row r="93" spans="1:8">
      <c r="A93" s="89">
        <v>45026</v>
      </c>
      <c r="B93" t="s">
        <v>579</v>
      </c>
      <c r="C93">
        <v>1140.99</v>
      </c>
      <c r="D93" t="s">
        <v>582</v>
      </c>
      <c r="E93" s="76">
        <v>-190.17</v>
      </c>
      <c r="F93" t="s">
        <v>760</v>
      </c>
    </row>
    <row r="94" spans="1:8">
      <c r="A94" s="89">
        <v>45061</v>
      </c>
      <c r="B94" t="s">
        <v>763</v>
      </c>
      <c r="E94" s="76">
        <v>-190</v>
      </c>
      <c r="F94" s="54" t="s">
        <v>760</v>
      </c>
    </row>
    <row r="95" spans="1:8">
      <c r="E95" t="s">
        <v>226</v>
      </c>
    </row>
    <row r="96" spans="1:8">
      <c r="D96" s="26"/>
    </row>
    <row r="97" spans="1:5">
      <c r="D97" s="26"/>
    </row>
    <row r="111" spans="1:5">
      <c r="A111" s="68" t="s">
        <v>764</v>
      </c>
      <c r="B111" s="69" t="s">
        <v>765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734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735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767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768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216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215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769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435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770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771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746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772</v>
      </c>
      <c r="C28" s="80"/>
      <c r="D28" s="80"/>
      <c r="E28" s="76"/>
      <c r="H28" s="54"/>
    </row>
    <row r="29" spans="1:8">
      <c r="A29" s="89"/>
      <c r="B29" s="80" t="s">
        <v>773</v>
      </c>
      <c r="C29" s="80"/>
      <c r="D29" s="80"/>
      <c r="E29" s="76"/>
      <c r="H29" s="54"/>
    </row>
    <row r="30" spans="1:8">
      <c r="A30" s="89"/>
      <c r="B30" s="80" t="s">
        <v>774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775</v>
      </c>
      <c r="C32" s="80" t="s">
        <v>776</v>
      </c>
      <c r="D32" s="80"/>
      <c r="E32" s="76"/>
      <c r="H32" s="54"/>
    </row>
    <row r="33" spans="1:8">
      <c r="A33" s="89"/>
      <c r="B33" t="s">
        <v>777</v>
      </c>
      <c r="C33" s="80"/>
      <c r="D33" s="80"/>
      <c r="E33" s="76"/>
      <c r="H33" s="54"/>
    </row>
    <row r="34" spans="1:8">
      <c r="A34" s="89"/>
      <c r="B34" t="s">
        <v>778</v>
      </c>
      <c r="C34" s="80"/>
      <c r="D34" s="80"/>
      <c r="E34" s="76"/>
      <c r="H34" s="54"/>
    </row>
    <row r="35" spans="1:8">
      <c r="A35" s="89"/>
      <c r="B35" s="80" t="s">
        <v>779</v>
      </c>
      <c r="C35" s="80"/>
      <c r="D35" s="80"/>
      <c r="E35" s="76"/>
      <c r="H35" s="54"/>
    </row>
    <row r="36" spans="1:8">
      <c r="A36" s="89"/>
      <c r="B36" s="80" t="s">
        <v>780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547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683</v>
      </c>
      <c r="C60" s="84"/>
      <c r="D60" s="84" t="s">
        <v>302</v>
      </c>
      <c r="E60" s="76">
        <v>-1111.1099999999999</v>
      </c>
      <c r="G60" s="54"/>
      <c r="H60" s="54"/>
    </row>
    <row r="61" spans="1:8">
      <c r="A61" s="89">
        <v>45016</v>
      </c>
      <c r="B61" t="s">
        <v>442</v>
      </c>
      <c r="C61">
        <v>437.97</v>
      </c>
      <c r="D61" s="26" t="s">
        <v>750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443</v>
      </c>
      <c r="C62">
        <v>404.23</v>
      </c>
      <c r="D62" s="26" t="s">
        <v>750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444</v>
      </c>
      <c r="C63">
        <v>1135</v>
      </c>
      <c r="D63" s="26" t="s">
        <v>750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747</v>
      </c>
      <c r="C64">
        <v>659.93</v>
      </c>
      <c r="D64" s="26" t="s">
        <v>657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749</v>
      </c>
      <c r="C65">
        <v>720.19</v>
      </c>
      <c r="D65" s="259" t="s">
        <v>781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398</v>
      </c>
      <c r="C66">
        <v>613.91</v>
      </c>
      <c r="D66" s="26" t="s">
        <v>782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656</v>
      </c>
      <c r="C67">
        <v>2258.94</v>
      </c>
      <c r="D67" s="26" t="s">
        <v>219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783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784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785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786</v>
      </c>
      <c r="E72" s="76">
        <v>-158.63999999999999</v>
      </c>
    </row>
    <row r="73" spans="1:8">
      <c r="A73" s="89">
        <v>45037</v>
      </c>
      <c r="B73" t="s">
        <v>686</v>
      </c>
      <c r="D73" s="26"/>
      <c r="E73" s="76">
        <v>-100</v>
      </c>
    </row>
    <row r="74" spans="1:8">
      <c r="A74" s="89">
        <v>45037</v>
      </c>
      <c r="B74" t="s">
        <v>686</v>
      </c>
      <c r="E74" s="76">
        <v>-15</v>
      </c>
    </row>
    <row r="75" spans="1:8">
      <c r="A75" s="89">
        <v>45039</v>
      </c>
      <c r="B75" t="s">
        <v>787</v>
      </c>
      <c r="E75" s="76">
        <v>-430</v>
      </c>
    </row>
    <row r="76" spans="1:8">
      <c r="A76" s="89">
        <v>45040</v>
      </c>
      <c r="B76" t="s">
        <v>788</v>
      </c>
      <c r="E76" s="76">
        <v>-69.739999999999995</v>
      </c>
    </row>
    <row r="77" spans="1:8">
      <c r="A77" s="89">
        <v>45040</v>
      </c>
      <c r="B77" t="s">
        <v>789</v>
      </c>
      <c r="E77" s="76">
        <v>-125</v>
      </c>
    </row>
    <row r="78" spans="1:8">
      <c r="A78" s="89"/>
      <c r="E78" s="76" t="s">
        <v>790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791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790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792</v>
      </c>
      <c r="B111" s="69" t="s">
        <v>765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699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633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734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735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766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793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254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249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794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705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704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435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795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796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797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798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799</v>
      </c>
      <c r="D26" s="95"/>
      <c r="H26" s="54">
        <f t="shared" si="0"/>
        <v>-18317.020000000004</v>
      </c>
    </row>
    <row r="27" spans="1:8">
      <c r="A27" s="89">
        <v>45042</v>
      </c>
      <c r="B27" t="s">
        <v>800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801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802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803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547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804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610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610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807</v>
      </c>
      <c r="C58" s="84"/>
      <c r="D58" s="84" t="s">
        <v>610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808</v>
      </c>
      <c r="C59" s="84"/>
      <c r="D59" s="84" t="s">
        <v>610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442</v>
      </c>
      <c r="C60">
        <v>437.97</v>
      </c>
      <c r="D60" s="26" t="s">
        <v>781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443</v>
      </c>
      <c r="C61">
        <v>404.23</v>
      </c>
      <c r="D61" s="26" t="s">
        <v>781</v>
      </c>
      <c r="E61" s="76">
        <v>-134.74</v>
      </c>
      <c r="F61" s="54"/>
    </row>
    <row r="62" spans="1:8">
      <c r="A62" s="89">
        <v>44985</v>
      </c>
      <c r="B62" t="s">
        <v>444</v>
      </c>
      <c r="C62">
        <v>1135</v>
      </c>
      <c r="D62" s="26" t="s">
        <v>781</v>
      </c>
      <c r="E62" s="76">
        <v>-378.33</v>
      </c>
      <c r="F62" s="54"/>
    </row>
    <row r="63" spans="1:8">
      <c r="A63" s="89">
        <v>44982</v>
      </c>
      <c r="B63" t="s">
        <v>809</v>
      </c>
      <c r="C63">
        <v>659.93</v>
      </c>
      <c r="D63" s="26" t="s">
        <v>685</v>
      </c>
      <c r="E63" s="76">
        <v>-164.98</v>
      </c>
      <c r="F63" s="54"/>
    </row>
    <row r="64" spans="1:8">
      <c r="A64" s="89">
        <v>44995</v>
      </c>
      <c r="B64" t="s">
        <v>749</v>
      </c>
      <c r="C64">
        <v>720.19</v>
      </c>
      <c r="D64" s="259" t="s">
        <v>810</v>
      </c>
      <c r="E64" s="76">
        <v>-240.06</v>
      </c>
      <c r="F64" s="54"/>
    </row>
    <row r="65" spans="1:8">
      <c r="A65" s="89">
        <v>44995</v>
      </c>
      <c r="B65" t="s">
        <v>398</v>
      </c>
      <c r="C65">
        <v>613.91</v>
      </c>
      <c r="D65" s="26" t="s">
        <v>811</v>
      </c>
      <c r="E65" s="76">
        <v>-61.39</v>
      </c>
      <c r="F65" s="54"/>
    </row>
    <row r="66" spans="1:8">
      <c r="A66" s="89">
        <v>44995</v>
      </c>
      <c r="B66" t="s">
        <v>656</v>
      </c>
      <c r="C66">
        <v>2258.94</v>
      </c>
      <c r="D66" s="26" t="s">
        <v>267</v>
      </c>
      <c r="E66" s="76">
        <v>-376.49</v>
      </c>
      <c r="F66" s="54"/>
    </row>
    <row r="67" spans="1:8">
      <c r="A67" s="89">
        <v>44985</v>
      </c>
      <c r="B67" t="s">
        <v>812</v>
      </c>
      <c r="D67" s="26"/>
      <c r="E67" s="76">
        <v>-161.31</v>
      </c>
      <c r="F67" s="54"/>
    </row>
    <row r="68" spans="1:8">
      <c r="A68" s="89">
        <v>44986</v>
      </c>
      <c r="B68" t="s">
        <v>812</v>
      </c>
      <c r="D68" s="26"/>
      <c r="E68" s="76">
        <v>-137.93</v>
      </c>
      <c r="F68" s="54"/>
    </row>
    <row r="69" spans="1:8">
      <c r="A69" s="89">
        <v>44987</v>
      </c>
      <c r="B69" t="s">
        <v>812</v>
      </c>
      <c r="D69" s="26"/>
      <c r="E69" s="76">
        <v>-121.99</v>
      </c>
      <c r="F69" s="54"/>
    </row>
    <row r="70" spans="1:8">
      <c r="A70" s="89">
        <v>45004</v>
      </c>
      <c r="B70" t="s">
        <v>813</v>
      </c>
      <c r="D70" s="26"/>
      <c r="E70" s="76">
        <v>-94.85</v>
      </c>
      <c r="F70" s="54"/>
    </row>
    <row r="71" spans="1:8">
      <c r="A71" s="89">
        <v>45005</v>
      </c>
      <c r="B71" t="s">
        <v>814</v>
      </c>
      <c r="D71" s="26"/>
      <c r="E71" s="76">
        <v>-456.1</v>
      </c>
      <c r="F71" s="54"/>
    </row>
    <row r="72" spans="1:8">
      <c r="A72" s="89">
        <v>45005</v>
      </c>
      <c r="B72" t="s">
        <v>815</v>
      </c>
      <c r="E72" s="76">
        <v>-110</v>
      </c>
    </row>
    <row r="73" spans="1:8">
      <c r="A73" s="89">
        <v>45007</v>
      </c>
      <c r="B73" t="s">
        <v>816</v>
      </c>
      <c r="D73" s="26"/>
      <c r="E73" s="76">
        <v>-554.11</v>
      </c>
    </row>
    <row r="74" spans="1:8">
      <c r="A74" s="89">
        <v>45010</v>
      </c>
      <c r="B74" t="s">
        <v>817</v>
      </c>
      <c r="D74" s="26"/>
      <c r="E74" s="76">
        <v>-530.54999999999995</v>
      </c>
    </row>
    <row r="75" spans="1:8">
      <c r="A75" s="89">
        <v>45010</v>
      </c>
      <c r="B75" t="s">
        <v>818</v>
      </c>
      <c r="D75" s="26"/>
      <c r="E75" s="76">
        <v>-26.53</v>
      </c>
    </row>
    <row r="76" spans="1:8">
      <c r="A76" s="89"/>
      <c r="D76" s="26"/>
      <c r="E76" s="76" t="s">
        <v>790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819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790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820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699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633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734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735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821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822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823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296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293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824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825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826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827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828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829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830</v>
      </c>
      <c r="D25" s="95"/>
      <c r="F25" s="54"/>
      <c r="G25" s="54"/>
      <c r="H25" s="54">
        <f t="shared" si="0"/>
        <v>-270.29999999999927</v>
      </c>
    </row>
    <row r="26" spans="1:8">
      <c r="B26" t="s">
        <v>831</v>
      </c>
      <c r="D26" s="95"/>
      <c r="F26" s="54"/>
      <c r="G26" s="54"/>
      <c r="H26" s="54">
        <f t="shared" si="0"/>
        <v>-270.29999999999927</v>
      </c>
    </row>
    <row r="27" spans="1:8">
      <c r="B27" t="s">
        <v>832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276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833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834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393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835</v>
      </c>
      <c r="D35" t="s">
        <v>709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836</v>
      </c>
      <c r="D36" t="s">
        <v>709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837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838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839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840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841</v>
      </c>
      <c r="D50">
        <v>200</v>
      </c>
      <c r="F50" s="54"/>
      <c r="G50" s="54"/>
    </row>
    <row r="51" spans="1:8">
      <c r="B51" t="s">
        <v>842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843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844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845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805</v>
      </c>
      <c r="C63" s="84"/>
      <c r="D63" s="84" t="s">
        <v>657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806</v>
      </c>
      <c r="C64" s="84"/>
      <c r="D64" s="84" t="s">
        <v>657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807</v>
      </c>
      <c r="C65" s="84"/>
      <c r="D65" s="84" t="s">
        <v>657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808</v>
      </c>
      <c r="C66" s="84"/>
      <c r="D66" s="84" t="s">
        <v>657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846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847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848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849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850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441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441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442</v>
      </c>
      <c r="C74">
        <v>437.97</v>
      </c>
      <c r="D74" s="26" t="s">
        <v>810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443</v>
      </c>
      <c r="C75">
        <v>404.23</v>
      </c>
      <c r="D75" s="26" t="s">
        <v>810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444</v>
      </c>
      <c r="C76">
        <v>1135</v>
      </c>
      <c r="D76" s="26" t="s">
        <v>810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851</v>
      </c>
      <c r="E77" s="76">
        <v>-880.22</v>
      </c>
      <c r="G77" s="54"/>
    </row>
    <row r="78" spans="1:8">
      <c r="A78" s="89">
        <v>44958</v>
      </c>
      <c r="B78" t="s">
        <v>852</v>
      </c>
      <c r="E78" s="76">
        <v>-218.24</v>
      </c>
      <c r="G78" s="54"/>
    </row>
    <row r="79" spans="1:8">
      <c r="A79" s="89">
        <v>44960</v>
      </c>
      <c r="B79" t="s">
        <v>853</v>
      </c>
      <c r="E79" s="76">
        <v>-120.45</v>
      </c>
      <c r="G79" s="54"/>
    </row>
    <row r="80" spans="1:8">
      <c r="A80" s="89">
        <v>44963</v>
      </c>
      <c r="B80" t="s">
        <v>854</v>
      </c>
      <c r="D80" s="26"/>
      <c r="E80" s="76">
        <v>-130.56</v>
      </c>
      <c r="G80" s="54"/>
    </row>
    <row r="81" spans="1:8">
      <c r="A81" s="89">
        <v>44969</v>
      </c>
      <c r="B81" t="s">
        <v>855</v>
      </c>
      <c r="D81" s="26"/>
      <c r="E81" s="76">
        <v>-51.99</v>
      </c>
      <c r="G81" s="54"/>
    </row>
    <row r="82" spans="1:8">
      <c r="A82" s="89">
        <v>44970</v>
      </c>
      <c r="B82" t="s">
        <v>277</v>
      </c>
      <c r="D82" s="26"/>
      <c r="E82" s="76">
        <v>-379</v>
      </c>
      <c r="G82" s="54"/>
    </row>
    <row r="83" spans="1:8">
      <c r="A83" s="89">
        <v>44970</v>
      </c>
      <c r="B83" t="s">
        <v>277</v>
      </c>
      <c r="D83" s="26"/>
      <c r="E83" s="76">
        <v>-510</v>
      </c>
      <c r="G83" s="54"/>
    </row>
    <row r="84" spans="1:8">
      <c r="A84" s="89">
        <v>44971</v>
      </c>
      <c r="B84" t="s">
        <v>855</v>
      </c>
      <c r="D84" s="26"/>
      <c r="E84" s="76">
        <v>-51.99</v>
      </c>
      <c r="G84" s="54"/>
    </row>
    <row r="85" spans="1:8">
      <c r="A85" s="89">
        <v>44972</v>
      </c>
      <c r="B85" t="s">
        <v>856</v>
      </c>
      <c r="D85" s="26"/>
      <c r="E85" s="76">
        <v>-54.77</v>
      </c>
      <c r="G85" s="54"/>
    </row>
    <row r="86" spans="1:8">
      <c r="A86" s="89">
        <v>44972</v>
      </c>
      <c r="B86" t="s">
        <v>857</v>
      </c>
      <c r="D86" s="26"/>
      <c r="E86" s="76">
        <v>-459</v>
      </c>
      <c r="G86" s="54"/>
    </row>
    <row r="87" spans="1:8">
      <c r="A87" s="89">
        <v>44972</v>
      </c>
      <c r="B87" t="s">
        <v>858</v>
      </c>
      <c r="D87" s="26"/>
      <c r="E87" s="76">
        <v>-211</v>
      </c>
      <c r="G87" s="54"/>
    </row>
    <row r="88" spans="1:8">
      <c r="A88" s="89">
        <v>44977</v>
      </c>
      <c r="B88" t="s">
        <v>859</v>
      </c>
      <c r="D88" s="26"/>
      <c r="E88" s="76">
        <v>-100</v>
      </c>
      <c r="G88" s="54"/>
    </row>
    <row r="89" spans="1:8">
      <c r="A89" s="89">
        <v>44977</v>
      </c>
      <c r="B89" t="s">
        <v>859</v>
      </c>
      <c r="D89" s="26"/>
      <c r="E89" s="76">
        <v>-10</v>
      </c>
      <c r="G89" s="54"/>
    </row>
    <row r="90" spans="1:8">
      <c r="A90" s="89">
        <v>44981</v>
      </c>
      <c r="B90" t="s">
        <v>272</v>
      </c>
      <c r="D90" s="26"/>
      <c r="E90" s="76">
        <v>-132.77000000000001</v>
      </c>
      <c r="G90" s="54"/>
    </row>
    <row r="91" spans="1:8">
      <c r="A91" s="89">
        <v>44982</v>
      </c>
      <c r="B91" t="s">
        <v>272</v>
      </c>
      <c r="D91" s="26"/>
      <c r="E91" s="76">
        <v>-186.34</v>
      </c>
      <c r="G91" s="54"/>
    </row>
    <row r="92" spans="1:8">
      <c r="A92" s="89">
        <v>44982</v>
      </c>
      <c r="B92" t="s">
        <v>747</v>
      </c>
      <c r="C92">
        <v>659.93</v>
      </c>
      <c r="D92" s="26" t="s">
        <v>716</v>
      </c>
      <c r="E92" s="76">
        <v>-164.98</v>
      </c>
      <c r="G92" s="54"/>
    </row>
    <row r="93" spans="1:8">
      <c r="A93" s="261">
        <v>44982</v>
      </c>
      <c r="D93" s="26"/>
      <c r="E93" s="262" t="s">
        <v>790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860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861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788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788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788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790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862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863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633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734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735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864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702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865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866</v>
      </c>
      <c r="C8" s="263" t="s">
        <v>709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867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343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868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869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870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871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872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873</v>
      </c>
      <c r="F27" s="54"/>
      <c r="G27" s="54">
        <v>-5040</v>
      </c>
      <c r="H27" s="54">
        <f t="shared" si="0"/>
        <v>-18663.48</v>
      </c>
    </row>
    <row r="28" spans="1:8">
      <c r="B28" t="s">
        <v>825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874</v>
      </c>
      <c r="F29" s="54">
        <v>2000</v>
      </c>
      <c r="G29" s="54"/>
      <c r="H29" s="54">
        <f t="shared" si="0"/>
        <v>-16663.48</v>
      </c>
    </row>
    <row r="30" spans="1:8">
      <c r="B30" t="s">
        <v>875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876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877</v>
      </c>
      <c r="D32" s="267">
        <v>1000</v>
      </c>
      <c r="H32" s="54">
        <f t="shared" si="0"/>
        <v>-10163.48</v>
      </c>
    </row>
    <row r="33" spans="1:8">
      <c r="B33" s="15" t="s">
        <v>878</v>
      </c>
      <c r="D33" s="95"/>
      <c r="G33" s="54"/>
      <c r="H33" s="54">
        <f t="shared" si="0"/>
        <v>-10163.48</v>
      </c>
    </row>
    <row r="34" spans="1:8">
      <c r="A34" s="89"/>
      <c r="B34" s="250" t="s">
        <v>879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880</v>
      </c>
      <c r="C38" t="s">
        <v>709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881</v>
      </c>
      <c r="C39" t="s">
        <v>709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882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883</v>
      </c>
      <c r="C46" s="250"/>
      <c r="D46" s="250" t="s">
        <v>884</v>
      </c>
      <c r="H46" s="54"/>
    </row>
    <row r="47" spans="1:8">
      <c r="A47" s="255">
        <v>44844</v>
      </c>
      <c r="B47" s="250" t="s">
        <v>885</v>
      </c>
      <c r="C47" s="252"/>
      <c r="D47" s="250" t="s">
        <v>886</v>
      </c>
      <c r="H47" s="54"/>
    </row>
    <row r="48" spans="1:8">
      <c r="A48" s="255"/>
      <c r="B48" s="250" t="s">
        <v>887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840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888</v>
      </c>
      <c r="D54">
        <v>200</v>
      </c>
      <c r="F54" s="54"/>
      <c r="G54" s="54"/>
    </row>
    <row r="55" spans="1:8">
      <c r="B55" t="s">
        <v>889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890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843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844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891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892</v>
      </c>
      <c r="C67" s="84"/>
      <c r="D67" s="80" t="s">
        <v>750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805</v>
      </c>
      <c r="C68" s="84"/>
      <c r="D68" s="84" t="s">
        <v>685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806</v>
      </c>
      <c r="C69" s="84"/>
      <c r="D69" s="84" t="s">
        <v>685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807</v>
      </c>
      <c r="C70" s="84"/>
      <c r="D70" s="84" t="s">
        <v>685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808</v>
      </c>
      <c r="C71" s="84"/>
      <c r="D71" s="84" t="s">
        <v>685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372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893</v>
      </c>
      <c r="D73" t="s">
        <v>894</v>
      </c>
    </row>
    <row r="74" spans="1:8">
      <c r="A74" s="89">
        <v>44925</v>
      </c>
      <c r="B74" t="s">
        <v>895</v>
      </c>
      <c r="E74" s="76">
        <v>-47.8</v>
      </c>
    </row>
    <row r="75" spans="1:8">
      <c r="A75" s="89">
        <v>44934</v>
      </c>
      <c r="B75" t="s">
        <v>896</v>
      </c>
      <c r="E75" s="76">
        <v>-556.07000000000005</v>
      </c>
    </row>
    <row r="76" spans="1:8">
      <c r="A76" s="89">
        <v>44936</v>
      </c>
      <c r="B76" t="s">
        <v>897</v>
      </c>
      <c r="E76" s="76">
        <v>-79.34</v>
      </c>
    </row>
    <row r="77" spans="1:8">
      <c r="A77" s="89">
        <v>44937</v>
      </c>
      <c r="B77" t="s">
        <v>847</v>
      </c>
      <c r="E77" s="76">
        <v>-123.45</v>
      </c>
    </row>
    <row r="78" spans="1:8">
      <c r="A78" s="89">
        <v>44938</v>
      </c>
      <c r="B78" t="s">
        <v>848</v>
      </c>
      <c r="E78" s="76">
        <v>-113.57</v>
      </c>
    </row>
    <row r="79" spans="1:8">
      <c r="A79" s="89">
        <v>44939</v>
      </c>
      <c r="B79" t="s">
        <v>849</v>
      </c>
      <c r="E79" s="76">
        <v>-118.62</v>
      </c>
    </row>
    <row r="80" spans="1:8">
      <c r="A80" s="89">
        <v>44940</v>
      </c>
      <c r="B80" t="s">
        <v>850</v>
      </c>
      <c r="E80" s="76">
        <v>-123.85</v>
      </c>
    </row>
    <row r="81" spans="1:8">
      <c r="A81" s="89">
        <v>44942</v>
      </c>
      <c r="B81" t="s">
        <v>853</v>
      </c>
      <c r="E81" s="76">
        <v>-177.33</v>
      </c>
    </row>
    <row r="82" spans="1:8">
      <c r="A82" s="89">
        <v>44947</v>
      </c>
      <c r="B82" t="s">
        <v>686</v>
      </c>
      <c r="E82" s="76">
        <v>-100</v>
      </c>
    </row>
    <row r="83" spans="1:8">
      <c r="A83" s="89">
        <v>44949</v>
      </c>
      <c r="B83" t="s">
        <v>854</v>
      </c>
      <c r="E83" s="76">
        <v>-111.1</v>
      </c>
    </row>
    <row r="84" spans="1:8">
      <c r="A84" s="89">
        <v>44950</v>
      </c>
      <c r="B84" t="s">
        <v>898</v>
      </c>
      <c r="E84" s="76">
        <v>-99.87</v>
      </c>
    </row>
    <row r="85" spans="1:8">
      <c r="A85" s="89">
        <v>44951</v>
      </c>
      <c r="B85" t="s">
        <v>899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900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901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902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903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904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357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905</v>
      </c>
      <c r="E94" s="76">
        <v>-164.8</v>
      </c>
    </row>
    <row r="95" spans="1:8">
      <c r="A95" s="89">
        <v>44930</v>
      </c>
      <c r="B95" s="97" t="s">
        <v>906</v>
      </c>
      <c r="E95" s="76">
        <v>-139.33000000000001</v>
      </c>
    </row>
    <row r="96" spans="1:8">
      <c r="A96" s="89">
        <v>44931</v>
      </c>
      <c r="B96" s="97" t="s">
        <v>907</v>
      </c>
      <c r="E96" s="76">
        <v>-143.19999999999999</v>
      </c>
    </row>
    <row r="97" spans="1:7">
      <c r="A97" s="89">
        <v>44934</v>
      </c>
      <c r="B97" t="s">
        <v>908</v>
      </c>
      <c r="E97" s="76">
        <v>-297.38</v>
      </c>
    </row>
    <row r="98" spans="1:7">
      <c r="A98" s="89">
        <v>44944</v>
      </c>
      <c r="B98" t="s">
        <v>909</v>
      </c>
      <c r="E98" s="76">
        <v>-286.02999999999997</v>
      </c>
    </row>
    <row r="99" spans="1:7">
      <c r="A99" s="89">
        <v>44944</v>
      </c>
      <c r="B99" t="s">
        <v>909</v>
      </c>
      <c r="E99" s="76">
        <v>-423.18</v>
      </c>
    </row>
    <row r="100" spans="1:7">
      <c r="A100" s="89">
        <v>44950</v>
      </c>
      <c r="B100" t="s">
        <v>910</v>
      </c>
      <c r="D100" s="26"/>
      <c r="E100" s="76">
        <v>-31.35</v>
      </c>
    </row>
    <row r="101" spans="1:7">
      <c r="B101" t="s">
        <v>911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912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913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914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381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382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915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916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440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875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917</v>
      </c>
      <c r="B22" t="s">
        <v>866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917</v>
      </c>
      <c r="B23" t="s">
        <v>918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919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883</v>
      </c>
      <c r="C31" s="250"/>
      <c r="D31" s="250" t="s">
        <v>920</v>
      </c>
      <c r="E31" s="251"/>
      <c r="H31" s="54"/>
    </row>
    <row r="32" spans="1:8">
      <c r="A32" s="255">
        <v>44844</v>
      </c>
      <c r="B32" s="250" t="s">
        <v>885</v>
      </c>
      <c r="C32" s="252"/>
      <c r="D32" s="250" t="s">
        <v>886</v>
      </c>
      <c r="E32" s="250"/>
      <c r="H32" s="54"/>
    </row>
    <row r="33" spans="1:8">
      <c r="A33" s="255"/>
      <c r="B33" s="250" t="s">
        <v>921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922</v>
      </c>
      <c r="D39" s="62">
        <v>200</v>
      </c>
      <c r="F39" s="54"/>
      <c r="G39" s="54"/>
    </row>
    <row r="40" spans="1:8">
      <c r="B40" t="s">
        <v>923</v>
      </c>
      <c r="D40" s="2">
        <v>1479.95</v>
      </c>
      <c r="E40">
        <v>1480</v>
      </c>
      <c r="F40" s="54"/>
      <c r="G40" s="54"/>
    </row>
    <row r="41" spans="1:8">
      <c r="B41" t="s">
        <v>924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925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926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927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928</v>
      </c>
      <c r="C52" s="84"/>
      <c r="D52" s="84" t="s">
        <v>207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929</v>
      </c>
      <c r="C53" s="84"/>
      <c r="D53" s="80" t="s">
        <v>781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805</v>
      </c>
      <c r="C54" s="84"/>
      <c r="D54" s="84" t="s">
        <v>716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806</v>
      </c>
      <c r="C55" s="84"/>
      <c r="D55" s="84" t="s">
        <v>716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807</v>
      </c>
      <c r="C56" s="84"/>
      <c r="D56" s="84" t="s">
        <v>716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808</v>
      </c>
      <c r="C57" s="84"/>
      <c r="D57" s="84" t="s">
        <v>716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930</v>
      </c>
      <c r="E58" s="54">
        <v>-182.4</v>
      </c>
      <c r="F58" s="54"/>
      <c r="G58" s="54"/>
      <c r="H58" s="54"/>
    </row>
    <row r="59" spans="1:8">
      <c r="A59" s="89"/>
      <c r="B59" t="s">
        <v>931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932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933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934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935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936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937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938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939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940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941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942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943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944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408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945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946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947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948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949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950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951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952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426</v>
      </c>
      <c r="L2" s="273" t="s">
        <v>427</v>
      </c>
      <c r="M2" s="273" t="s">
        <v>36</v>
      </c>
      <c r="N2" s="16" t="s">
        <v>953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954</v>
      </c>
      <c r="J7" s="22">
        <v>95</v>
      </c>
      <c r="M7" s="2">
        <v>23.75</v>
      </c>
    </row>
    <row r="8" spans="1:14">
      <c r="A8" s="22" t="s">
        <v>955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956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957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958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959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960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961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962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963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964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965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966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967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968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969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970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971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972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973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974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975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976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977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977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978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979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980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981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982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983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984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985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986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987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988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989</v>
      </c>
      <c r="C46" s="84" t="s">
        <v>990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991</v>
      </c>
      <c r="C47" s="84" t="s">
        <v>990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992</v>
      </c>
      <c r="C48" s="84" t="s">
        <v>993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994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995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996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997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998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999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1000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1001</v>
      </c>
      <c r="C69" s="212"/>
      <c r="D69" s="264">
        <v>200</v>
      </c>
      <c r="E69" s="54" t="s">
        <v>1002</v>
      </c>
      <c r="H69" s="54"/>
    </row>
    <row r="70" spans="1:8">
      <c r="A70" s="283">
        <v>44839</v>
      </c>
      <c r="B70" s="212" t="s">
        <v>1003</v>
      </c>
      <c r="C70" s="212"/>
      <c r="D70" s="264">
        <v>200</v>
      </c>
      <c r="E70" s="54" t="s">
        <v>1002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883</v>
      </c>
      <c r="C72" s="212">
        <v>3</v>
      </c>
      <c r="D72" t="s">
        <v>1004</v>
      </c>
      <c r="E72" s="54"/>
    </row>
    <row r="73" spans="1:8">
      <c r="A73" s="283">
        <v>44844</v>
      </c>
      <c r="B73" s="212" t="s">
        <v>885</v>
      </c>
      <c r="C73" s="90"/>
      <c r="D73" t="s">
        <v>886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1005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1001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1006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966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1007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959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960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1008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1009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1010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1011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1012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1013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1014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1015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1016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1017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859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1018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1019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1020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1021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1022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1023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1024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1025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1026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1027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1028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1029</v>
      </c>
      <c r="H54" s="54">
        <f t="shared" si="1"/>
        <v>159986.79999999999</v>
      </c>
    </row>
    <row r="56" spans="1:8">
      <c r="A56" s="89">
        <v>44844</v>
      </c>
      <c r="B56" s="287" t="s">
        <v>885</v>
      </c>
      <c r="C56" s="287"/>
      <c r="D56" s="288">
        <v>2000</v>
      </c>
    </row>
    <row r="57" spans="1:8">
      <c r="A57" s="89">
        <v>44839</v>
      </c>
      <c r="B57" s="287" t="s">
        <v>1003</v>
      </c>
      <c r="C57" s="287"/>
      <c r="D57" s="288">
        <v>200</v>
      </c>
    </row>
    <row r="59" spans="1:8">
      <c r="A59" s="283">
        <v>44803</v>
      </c>
      <c r="B59" s="212" t="s">
        <v>883</v>
      </c>
      <c r="C59" s="212"/>
      <c r="D59" s="284"/>
    </row>
    <row r="60" spans="1:8">
      <c r="A60" s="283">
        <v>44772</v>
      </c>
      <c r="B60" s="212" t="s">
        <v>1030</v>
      </c>
      <c r="C60" s="212"/>
      <c r="D60" s="284"/>
    </row>
    <row r="61" spans="1:8">
      <c r="A61" s="283">
        <v>44742</v>
      </c>
      <c r="B61" s="212" t="s">
        <v>1031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1032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1033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1003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966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959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960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1034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1035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1036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1037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1038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1039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1040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1041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1042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223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223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223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223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223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1050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223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1042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1060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1061</v>
      </c>
      <c r="G56" s="54"/>
      <c r="H56" s="54">
        <f t="shared" si="1"/>
        <v>-42104.91</v>
      </c>
    </row>
    <row r="57" spans="1:8">
      <c r="A57" s="89"/>
      <c r="B57" t="s">
        <v>1062</v>
      </c>
      <c r="G57" s="54"/>
      <c r="H57" s="54">
        <f t="shared" si="1"/>
        <v>-42104.91</v>
      </c>
    </row>
    <row r="58" spans="1:8">
      <c r="A58" s="89">
        <v>44844</v>
      </c>
      <c r="B58" t="s">
        <v>1063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885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1068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1069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1070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1029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1071</v>
      </c>
      <c r="H82" s="54">
        <f t="shared" si="2"/>
        <v>-11205.910000000003</v>
      </c>
    </row>
    <row r="83" spans="1:8">
      <c r="B83" s="289" t="s">
        <v>1072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1073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883</v>
      </c>
      <c r="C87" s="212"/>
      <c r="D87" s="291">
        <v>4000</v>
      </c>
      <c r="H87" s="54"/>
    </row>
    <row r="88" spans="1:8">
      <c r="A88" s="283">
        <v>44772</v>
      </c>
      <c r="B88" s="212" t="s">
        <v>1030</v>
      </c>
      <c r="C88" s="212"/>
      <c r="D88" s="291">
        <v>4000</v>
      </c>
      <c r="H88" s="54"/>
    </row>
    <row r="89" spans="1:8">
      <c r="A89" s="283">
        <v>44742</v>
      </c>
      <c r="B89" s="212" t="s">
        <v>1031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1074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966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959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960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1080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1087</v>
      </c>
      <c r="C27" s="84" t="s">
        <v>1088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1090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1072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883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1030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1031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1094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966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959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960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1100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1110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1113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883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1118</v>
      </c>
      <c r="H54" s="54">
        <f t="shared" si="1"/>
        <v>61721.7</v>
      </c>
    </row>
    <row r="55" spans="1:8">
      <c r="B55" s="263" t="s">
        <v>1119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1120</v>
      </c>
      <c r="C56" s="298" t="s">
        <v>1121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1122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1031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1030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1123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966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959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960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1130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855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859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1137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705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704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1138</v>
      </c>
      <c r="C41" t="s">
        <v>1121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1139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1140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1141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1119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1030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1143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1031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1144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1145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966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959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960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1147</v>
      </c>
      <c r="C15" t="s">
        <v>1121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1148</v>
      </c>
      <c r="C16" t="s">
        <v>1149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1150</v>
      </c>
      <c r="E18" s="54"/>
      <c r="F18" s="54"/>
      <c r="G18" s="54"/>
      <c r="H18" s="54">
        <f t="shared" si="0"/>
        <v>-5596.51</v>
      </c>
    </row>
    <row r="19" spans="1:8">
      <c r="B19" t="s">
        <v>1151</v>
      </c>
      <c r="E19" s="54"/>
      <c r="F19" s="54"/>
      <c r="G19" s="54"/>
      <c r="H19" s="54">
        <f t="shared" si="0"/>
        <v>-5596.51</v>
      </c>
    </row>
    <row r="20" spans="1:8">
      <c r="B20" t="s">
        <v>1152</v>
      </c>
      <c r="E20" s="54"/>
      <c r="F20" s="54"/>
      <c r="G20" s="54"/>
      <c r="H20" s="54">
        <f t="shared" si="0"/>
        <v>-5596.51</v>
      </c>
    </row>
    <row r="21" spans="1:8">
      <c r="B21" t="s">
        <v>1153</v>
      </c>
      <c r="C21" t="s">
        <v>1121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1155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686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1086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1160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1163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1165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1031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1166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1167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966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959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960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408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408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981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1170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1086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1172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1165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1173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966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959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960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1174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1086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1180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1183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1186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1145</v>
      </c>
      <c r="C5" t="s">
        <v>1187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1095</v>
      </c>
      <c r="C7" t="s">
        <v>1187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966</v>
      </c>
      <c r="C9" s="84" t="s">
        <v>1188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959</v>
      </c>
      <c r="C10" s="80" t="s">
        <v>1188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960</v>
      </c>
      <c r="C11" s="80" t="s">
        <v>1188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1066</v>
      </c>
      <c r="C13" s="84" t="s">
        <v>1188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1079</v>
      </c>
      <c r="C14" s="84" t="s">
        <v>1188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1190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1086</v>
      </c>
      <c r="C19" s="321" t="s">
        <v>1188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1192</v>
      </c>
      <c r="C23" t="s">
        <v>1188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1193</v>
      </c>
      <c r="C28" s="54" t="s">
        <v>1187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1194</v>
      </c>
      <c r="C30" s="54" t="s">
        <v>1187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1197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966</v>
      </c>
      <c r="C9" s="84" t="s">
        <v>1188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959</v>
      </c>
      <c r="C10" s="80" t="s">
        <v>1188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960</v>
      </c>
      <c r="C11" s="80" t="s">
        <v>1188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1066</v>
      </c>
      <c r="C13" s="84" t="s">
        <v>1188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1079</v>
      </c>
      <c r="C14" s="84" t="s">
        <v>1188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1086</v>
      </c>
      <c r="C16" s="321" t="s">
        <v>1188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1200</v>
      </c>
      <c r="C22" t="s">
        <v>1201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1202</v>
      </c>
      <c r="C24" t="s">
        <v>1121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1203</v>
      </c>
      <c r="C28" s="22" t="s">
        <v>1188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1203</v>
      </c>
      <c r="C29" s="22" t="s">
        <v>1188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1205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1145</v>
      </c>
      <c r="C5" t="s">
        <v>1187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1095</v>
      </c>
      <c r="C7" t="s">
        <v>1187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966</v>
      </c>
      <c r="C9" s="84" t="s">
        <v>1188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959</v>
      </c>
      <c r="C10" s="80" t="s">
        <v>1188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960</v>
      </c>
      <c r="C11" s="80" t="s">
        <v>1188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1066</v>
      </c>
      <c r="C13" s="84" t="s">
        <v>1188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1079</v>
      </c>
      <c r="C14" s="84" t="s">
        <v>1188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1189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1086</v>
      </c>
      <c r="C17" s="321" t="s">
        <v>1188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1207</v>
      </c>
      <c r="C25" t="s">
        <v>1187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1208</v>
      </c>
    </row>
    <row r="3" spans="1:14">
      <c r="A3" t="s">
        <v>1209</v>
      </c>
      <c r="C3" t="s">
        <v>1210</v>
      </c>
      <c r="D3" t="s">
        <v>1211</v>
      </c>
    </row>
    <row r="4" spans="1:14">
      <c r="A4" t="s">
        <v>1212</v>
      </c>
      <c r="C4" t="s">
        <v>1213</v>
      </c>
      <c r="D4" t="s">
        <v>1214</v>
      </c>
    </row>
    <row r="5" spans="1:14">
      <c r="A5" t="s">
        <v>1215</v>
      </c>
      <c r="C5" t="s">
        <v>1213</v>
      </c>
      <c r="D5" t="s">
        <v>1216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426</v>
      </c>
      <c r="L11" s="273" t="s">
        <v>427</v>
      </c>
      <c r="M11" s="273" t="s">
        <v>36</v>
      </c>
      <c r="N11" s="16" t="s">
        <v>953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954</v>
      </c>
      <c r="J16" s="22">
        <v>95</v>
      </c>
      <c r="K16" s="2"/>
      <c r="M16" s="2">
        <v>23.75</v>
      </c>
    </row>
    <row r="17" spans="1:14">
      <c r="A17" s="22" t="s">
        <v>955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956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957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2024-06-05T09:12:36Z</dcterms:modified>
  <dc:language>tr-TR</dc:language>
</cp:coreProperties>
</file>