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B49F7D1A-2D40-40F6-B99C-F5E8D634AF7F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7" i="8" l="1"/>
  <c r="C81" i="11"/>
  <c r="E66" i="6"/>
  <c r="C105" i="6"/>
  <c r="E19" i="3"/>
  <c r="M7" i="3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E2" i="40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K9" i="32"/>
  <c r="F8" i="32"/>
  <c r="B8" i="32"/>
  <c r="F7" i="32"/>
  <c r="C7" i="32"/>
  <c r="B6" i="32"/>
  <c r="E5" i="32"/>
  <c r="C5" i="32"/>
  <c r="B5" i="32"/>
  <c r="F4" i="32"/>
  <c r="E4" i="32"/>
  <c r="E3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 s="1"/>
  <c r="N6" i="16" s="1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11" i="16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B13" i="16"/>
  <c r="K12" i="16"/>
  <c r="L12" i="16" s="1"/>
  <c r="E12" i="16"/>
  <c r="B12" i="16"/>
  <c r="K11" i="16"/>
  <c r="L11" i="16" s="1"/>
  <c r="B11" i="16"/>
  <c r="K9" i="16"/>
  <c r="L9" i="16" s="1"/>
  <c r="E9" i="16"/>
  <c r="M8" i="16"/>
  <c r="F8" i="16"/>
  <c r="E8" i="16"/>
  <c r="B8" i="16"/>
  <c r="M7" i="16"/>
  <c r="F7" i="16"/>
  <c r="E7" i="16"/>
  <c r="B7" i="16"/>
  <c r="F6" i="16"/>
  <c r="B6" i="16"/>
  <c r="F5" i="16"/>
  <c r="E5" i="16"/>
  <c r="B5" i="16"/>
  <c r="K4" i="16"/>
  <c r="F4" i="16"/>
  <c r="B4" i="16"/>
  <c r="M3" i="16"/>
  <c r="F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F2" i="13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114" i="5"/>
  <c r="E113" i="5"/>
  <c r="E112" i="5"/>
  <c r="E67" i="5"/>
  <c r="E16" i="5" s="1"/>
  <c r="E52" i="5"/>
  <c r="E15" i="5" s="1"/>
  <c r="E41" i="5"/>
  <c r="D41" i="5"/>
  <c r="E14" i="5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E5" i="3"/>
  <c r="K4" i="3"/>
  <c r="L4" i="3" s="1"/>
  <c r="M3" i="3"/>
  <c r="B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50" i="2"/>
  <c r="J46" i="2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2" i="30" l="1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8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E107" i="5"/>
  <c r="H2" i="5"/>
  <c r="E116" i="5" s="1"/>
  <c r="E118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14" i="4"/>
  <c r="N8" i="4" s="1"/>
  <c r="N9" i="4" s="1"/>
  <c r="N10" i="4" s="1"/>
  <c r="N11" i="4" s="1"/>
  <c r="N12" i="4" s="1"/>
  <c r="N13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C12" i="3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E15" i="32" l="1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4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<sst xmlns="http://schemas.openxmlformats.org/spreadsheetml/2006/main" count="3786" uniqueCount="1497">
  <si>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</si>
  <si>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</si>
  <si>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</si>
  <si>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</si>
  <si>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</si>
  <si>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</si>
  <si>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</si>
  <si>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</si>
  <si>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</si>
  <si>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</si>
  <si>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</si>
  <si>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</si>
  <si>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</si>
  <si>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</si>
  <si>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</si>
  <si>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</si>
  <si>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</si>
  <si>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</si>
  <si>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</si>
  <si>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</si>
  <si>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</si>
  <si>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</si>
  <si>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</si>
  <si>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</si>
  <si>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</si>
  <si>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</si>
  <si>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</si>
  <si>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</si>
  <si>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</si>
  <si>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</si>
  <si>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</si>
  <si>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</si>
  <si>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</si>
  <si>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</si>
  <si>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</si>
  <si>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</si>
  <si>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</si>
  <si>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</si>
  <si>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</si>
  <si>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</si>
  <si>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</si>
  <si>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</si>
  <si>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</si>
  <si>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</si>
  <si>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</si>
  <si>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</si>
  <si>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</si>
  <si>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</si>
  <si>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</si>
  <si>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</si>
  <si>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</si>
  <si>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</si>
  <si>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</si>
  <si>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</si>
  <si>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</si>
  <si>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</si>
  <si>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</si>
  <si>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</si>
  <si>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</si>
  <si>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</si>
  <si>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</si>
  <si>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</si>
  <si>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</si>
  <si>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</si>
  <si>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</si>
  <si>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</si>
  <si>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</si>
  <si>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</si>
  <si>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</si>
  <si>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</si>
  <si>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</si>
  <si>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</si>
  <si>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</si>
  <si>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</si>
  <si>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</si>
  <si>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</si>
  <si>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</si>
  <si>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</si>
  <si>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</si>
  <si>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</si>
  <si>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</si>
  <si>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</si>
  <si>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</si>
  <si>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</si>
  <si>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</si>
  <si>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</si>
  <si>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</si>
  <si>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</si>
  <si>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</si>
  <si>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</si>
  <si>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</si>
  <si>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</si>
  <si>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</si>
  <si>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</si>
  <si>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</si>
  <si>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</si>
  <si>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</si>
  <si>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</si>
  <si>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</si>
  <si>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</si>
  <si>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</si>
  <si>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</si>
  <si>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</si>
  <si>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</si>
  <si>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</si>
  <si>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</si>
  <si>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</si>
  <si>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</si>
  <si>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</si>
  <si>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</si>
  <si>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</si>
  <si>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</si>
  <si>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</si>
  <si>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</si>
  <si>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</si>
  <si>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</si>
  <si>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</si>
  <si>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</si>
  <si>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</si>
  <si>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</si>
  <si>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</si>
  <si>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</si>
  <si>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</si>
  <si>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</si>
  <si>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</si>
  <si>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</si>
  <si>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</si>
  <si>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</si>
  <si>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</si>
  <si>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</si>
  <si>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</si>
  <si>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</si>
  <si>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</si>
  <si>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</si>
  <si>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</si>
  <si>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</si>
  <si>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</si>
  <si>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</si>
  <si>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</si>
  <si>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</si>
  <si>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</si>
  <si>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</si>
  <si>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</si>
  <si>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</si>
  <si>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</si>
  <si>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</si>
  <si>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</si>
  <si>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</si>
  <si>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</si>
  <si>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</si>
  <si>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</si>
  <si>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</si>
  <si>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</si>
  <si>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</si>
  <si>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</si>
  <si>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</si>
  <si>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</si>
  <si>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</si>
  <si>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</si>
  <si>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</si>
  <si>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</si>
  <si>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</si>
  <si>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</si>
  <si>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</si>
  <si>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</si>
  <si>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</si>
  <si>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</si>
  <si>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</si>
  <si>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</si>
  <si>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</si>
  <si>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</si>
  <si>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</si>
  <si>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</si>
  <si>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</si>
  <si>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</si>
  <si>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</si>
  <si>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</si>
  <si>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</si>
  <si>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</si>
  <si>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</si>
  <si>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</si>
  <si>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</si>
  <si>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</si>
  <si>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</si>
  <si>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</si>
  <si>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</si>
  <si>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</si>
  <si>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</si>
  <si>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</si>
  <si>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</si>
  <si>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</si>
  <si>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</si>
  <si>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</si>
  <si>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</si>
  <si>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</si>
  <si>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</si>
  <si>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</si>
  <si>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</si>
  <si>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</si>
  <si>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</si>
  <si>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</si>
  <si>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</si>
  <si>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</si>
  <si>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</si>
  <si>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</si>
  <si>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</si>
  <si>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</si>
  <si>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</si>
  <si>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</si>
  <si>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</si>
  <si>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</si>
  <si>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</si>
  <si>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</si>
  <si>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</si>
  <si>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</si>
  <si>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</si>
  <si>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</si>
  <si>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</si>
  <si>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</si>
  <si>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</si>
  <si>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</si>
  <si>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</si>
  <si>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</si>
  <si>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</si>
  <si>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</si>
  <si>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</si>
  <si>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</si>
  <si>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</si>
  <si>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</si>
  <si>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</si>
  <si>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</si>
  <si>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</si>
  <si>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</si>
  <si>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</si>
  <si>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</si>
  <si>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</si>
  <si>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</si>
  <si>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</si>
  <si>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</si>
  <si>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</si>
  <si>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</si>
  <si>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</si>
  <si>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</si>
  <si>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</si>
  <si>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</si>
  <si>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</si>
  <si>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</si>
  <si>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</si>
  <si>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</si>
  <si>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</si>
  <si>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</si>
  <si>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</si>
  <si>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>snyA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</si>
  <si>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</si>
  <si>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</si>
  <si>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</si>
  <si>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</si>
  <si>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</si>
  <si>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</si>
  <si>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</si>
  <si>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</si>
  <si>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</si>
  <si>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</si>
  <si>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</si>
  <si>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</si>
  <si>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</si>
  <si>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</si>
  <si>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</si>
  <si>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</si>
  <si>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</si>
  <si>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</si>
  <si>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</si>
  <si>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</si>
  <si>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</si>
  <si>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</si>
  <si>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</si>
  <si>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</si>
  <si>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</si>
  <si>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</si>
  <si>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</si>
  <si>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</si>
  <si>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</si>
  <si>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</si>
  <si>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</si>
  <si>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</si>
  <si>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</si>
  <si>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</si>
  <si>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</si>
  <si>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</si>
  <si>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</si>
  <si>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</si>
  <si>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</si>
  <si>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</si>
  <si>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</si>
  <si>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</si>
  <si>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</si>
  <si>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</si>
  <si>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</si>
  <si>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</si>
  <si>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</si>
  <si>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</si>
  <si>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</si>
  <si>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</si>
  <si>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</si>
  <si>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</si>
  <si>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</si>
  <si>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</si>
  <si>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</si>
  <si>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</si>
  <si>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</si>
  <si>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</si>
  <si>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</si>
  <si>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</si>
  <si>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</si>
  <si>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</si>
  <si>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</si>
  <si>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</si>
  <si>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</si>
  <si>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</si>
  <si>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</si>
  <si>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</si>
  <si>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</si>
  <si>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</si>
  <si>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</si>
  <si>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</si>
  <si>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</si>
  <si>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</si>
  <si>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</si>
  <si>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</si>
  <si>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</si>
  <si>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</si>
  <si>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</si>
  <si>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</si>
  <si>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</si>
  <si>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</si>
  <si>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</si>
  <si>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</si>
  <si>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</si>
  <si>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</si>
  <si>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</si>
  <si>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</si>
  <si>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</si>
  <si>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</si>
  <si>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</si>
  <si>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</si>
  <si>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</si>
  <si>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</si>
  <si>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</si>
  <si>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</si>
  <si>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</si>
  <si>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</si>
  <si>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</si>
  <si>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</si>
  <si>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</si>
  <si>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</si>
  <si>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</si>
  <si>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</si>
  <si>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</si>
  <si>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</si>
  <si>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</si>
  <si>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</si>
  <si>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</si>
  <si>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</si>
  <si>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</si>
  <si>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</si>
  <si>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</si>
  <si>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</si>
  <si>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</si>
  <si>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</si>
  <si>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</si>
  <si>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</si>
  <si>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</si>
  <si>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</si>
  <si>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</si>
  <si>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</si>
  <si>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</si>
  <si>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</si>
  <si>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</si>
  <si>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</si>
  <si>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</si>
  <si>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</si>
  <si>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</si>
  <si>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</si>
  <si>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</si>
  <si>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</si>
  <si>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</si>
  <si>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</si>
  <si>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</si>
  <si>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</si>
  <si>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</si>
  <si>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</si>
  <si>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</si>
  <si>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</si>
  <si>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</si>
  <si>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</si>
  <si>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</si>
  <si>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</si>
  <si>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</si>
  <si>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</si>
  <si>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</si>
  <si>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</si>
  <si>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</si>
  <si>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</si>
  <si>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</si>
  <si>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</si>
  <si>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</si>
  <si>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</si>
  <si>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</si>
  <si>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</si>
  <si>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</si>
  <si>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</si>
  <si>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</si>
  <si>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</si>
  <si>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</si>
  <si>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</si>
  <si>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</si>
  <si>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</si>
  <si>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</si>
  <si>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</si>
  <si>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</si>
  <si>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</si>
  <si>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</si>
  <si>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</si>
  <si>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</si>
  <si>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</si>
  <si>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</si>
  <si>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</si>
  <si>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</si>
  <si>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</si>
  <si>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</si>
  <si>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</si>
  <si>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</si>
  <si>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</si>
  <si>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</si>
  <si>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</si>
  <si>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</si>
  <si>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</si>
  <si>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</si>
  <si>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</si>
  <si>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</si>
  <si>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</si>
  <si>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</si>
  <si>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</si>
  <si>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</si>
  <si>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</si>
  <si>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</si>
  <si>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</si>
  <si>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</si>
  <si>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</si>
  <si>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</si>
  <si>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</si>
  <si>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</si>
  <si>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</si>
  <si>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</si>
  <si>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</si>
  <si>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</si>
  <si>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</si>
  <si>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</si>
  <si>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</si>
  <si>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</si>
  <si>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</si>
  <si>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</si>
  <si>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</si>
  <si>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</si>
  <si>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</si>
  <si>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</si>
  <si>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</si>
  <si>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</si>
  <si>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</si>
  <si>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</si>
  <si>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</si>
  <si>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</si>
  <si>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</si>
  <si>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</si>
  <si>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</si>
  <si>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</si>
  <si>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</si>
  <si>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</si>
  <si>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</si>
  <si>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</si>
  <si>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</si>
  <si>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</si>
  <si>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</si>
  <si>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</si>
  <si>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</si>
  <si>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</si>
  <si>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</si>
  <si>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</si>
  <si>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</si>
  <si>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</si>
  <si>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</si>
  <si>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</si>
  <si>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</si>
  <si>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</si>
  <si>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</si>
  <si>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</si>
  <si>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</si>
  <si>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</si>
  <si>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</si>
  <si>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</si>
  <si>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</si>
  <si>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</si>
  <si>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</si>
  <si>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</si>
  <si>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</si>
  <si>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</si>
  <si>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</si>
  <si>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</si>
  <si>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</si>
  <si>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</si>
  <si>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</si>
  <si>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</si>
  <si>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</si>
  <si>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</si>
  <si>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</si>
  <si>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</si>
  <si>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</si>
  <si>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</si>
  <si>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</si>
  <si>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</si>
  <si>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</si>
  <si>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</si>
  <si>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</si>
  <si>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</si>
  <si>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</si>
  <si>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</si>
  <si>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</si>
  <si>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</si>
  <si>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</si>
  <si>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</si>
  <si>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</si>
  <si>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</si>
  <si>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</si>
  <si>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</si>
  <si>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</si>
  <si>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</si>
  <si>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</si>
  <si>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</si>
  <si>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</si>
  <si>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</si>
  <si>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</si>
  <si>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</si>
  <si>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</si>
  <si>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</si>
  <si>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</si>
  <si>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</si>
  <si>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</si>
  <si>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</si>
  <si>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</si>
  <si>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</si>
  <si>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</si>
  <si>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</si>
  <si>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</si>
  <si>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</si>
  <si>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</si>
  <si>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</si>
  <si>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</si>
  <si>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</si>
  <si>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</si>
  <si>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</si>
  <si>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</si>
  <si>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</si>
  <si>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</si>
  <si>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</si>
  <si>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</si>
  <si>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</si>
  <si>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</si>
  <si>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</si>
  <si>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</si>
  <si>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</si>
  <si>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</si>
  <si>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</si>
  <si>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</si>
  <si>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</si>
  <si>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</si>
  <si>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</si>
  <si>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</si>
  <si>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</si>
  <si>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</si>
  <si>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</si>
  <si>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</si>
  <si>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</si>
  <si>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</si>
  <si>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</si>
  <si>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</si>
  <si>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</si>
  <si>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</si>
  <si>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</si>
  <si>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</si>
  <si>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</si>
  <si>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</si>
  <si>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</si>
  <si>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</si>
  <si>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</si>
  <si>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</si>
  <si>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</si>
  <si>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</si>
  <si>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</si>
  <si>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</si>
  <si>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</si>
  <si>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</si>
  <si>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</si>
  <si>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</si>
  <si>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</si>
  <si>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</si>
  <si>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</si>
  <si>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</si>
  <si>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</si>
  <si>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</si>
  <si>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</si>
  <si>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</si>
  <si>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</si>
  <si>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</si>
  <si>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</si>
  <si>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</si>
  <si>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</si>
  <si>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</si>
  <si>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</si>
  <si>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</si>
  <si>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</si>
  <si>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</si>
  <si>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</si>
  <si>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</si>
  <si>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</si>
  <si>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</si>
  <si>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</si>
  <si>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</si>
  <si>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</si>
  <si>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</si>
  <si>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</si>
  <si>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</si>
  <si>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</si>
  <si>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</si>
  <si>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</si>
  <si>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</si>
  <si>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</si>
  <si>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</si>
  <si>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</si>
  <si>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</si>
  <si>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</si>
  <si>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</si>
  <si>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</si>
  <si>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</si>
  <si>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</si>
  <si>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</si>
  <si>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</si>
  <si>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</si>
  <si>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</si>
  <si>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</si>
  <si>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</si>
  <si>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</si>
  <si>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</si>
  <si>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</si>
  <si>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</si>
  <si>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</si>
  <si>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</si>
  <si>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</si>
  <si>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</si>
  <si>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</si>
  <si>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</si>
  <si>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</si>
  <si>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</si>
  <si>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</si>
  <si>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</si>
  <si>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</si>
  <si>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</si>
  <si>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</si>
  <si>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</si>
  <si>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</si>
  <si>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</si>
  <si>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</si>
  <si>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</si>
  <si>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</si>
  <si>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</si>
  <si>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</si>
  <si>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</si>
  <si>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</si>
  <si>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</si>
  <si>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</si>
  <si>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</si>
  <si>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</si>
  <si>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</si>
  <si>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</si>
  <si>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</si>
  <si>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</si>
  <si>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</si>
  <si>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</si>
  <si>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</si>
  <si>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</si>
  <si>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</si>
  <si>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</si>
  <si>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</si>
  <si>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</si>
  <si>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</si>
  <si>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</si>
  <si>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</si>
  <si>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</si>
  <si>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</si>
  <si>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</si>
  <si>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</si>
  <si>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</si>
  <si>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</si>
  <si>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</si>
  <si>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</si>
  <si>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</si>
  <si>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</si>
  <si>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</si>
  <si>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</si>
  <si>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</si>
  <si>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</si>
  <si>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</si>
  <si>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</si>
  <si>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</si>
  <si>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</si>
  <si>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</si>
  <si>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</si>
  <si>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</si>
  <si>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</si>
  <si>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</si>
  <si>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</si>
  <si>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</si>
  <si>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</si>
  <si>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</si>
  <si>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</si>
  <si>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</si>
  <si>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</si>
  <si>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</si>
  <si>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</si>
  <si>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</si>
  <si>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</si>
  <si>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</si>
  <si>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</si>
  <si>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</si>
  <si>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</si>
  <si>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</si>
  <si>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</si>
  <si>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</si>
  <si>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</si>
  <si>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</si>
  <si>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</si>
  <si>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</si>
  <si>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</si>
  <si>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</si>
  <si>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</si>
  <si>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</si>
  <si>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</si>
  <si>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</si>
  <si>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</si>
  <si>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</si>
  <si>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</si>
  <si>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</si>
  <si>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</si>
  <si>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</si>
  <si>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</si>
  <si>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</si>
  <si>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</si>
  <si>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</si>
  <si>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</si>
  <si>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</si>
  <si>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</si>
  <si>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</si>
  <si>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</si>
  <si>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</si>
  <si>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</si>
  <si>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</si>
  <si>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</si>
  <si>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</si>
  <si>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</si>
  <si>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</si>
  <si>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</si>
  <si>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</si>
  <si>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</si>
  <si>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</si>
  <si>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</si>
  <si>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</si>
  <si>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</si>
  <si>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</si>
  <si>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</si>
  <si>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</si>
  <si>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</si>
  <si>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</si>
  <si>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</si>
  <si>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</si>
  <si>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</si>
  <si>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</si>
  <si>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</si>
  <si>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</si>
  <si>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</si>
  <si>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</si>
  <si>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</si>
  <si>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</si>
  <si>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</si>
  <si>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</si>
  <si>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</si>
  <si>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</si>
  <si>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</si>
  <si>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</si>
  <si>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</si>
  <si>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</si>
  <si>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</si>
  <si>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</si>
  <si>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</si>
  <si>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</si>
  <si>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</si>
  <si>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</si>
  <si>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</si>
  <si>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</si>
  <si>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</si>
  <si>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</si>
  <si>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</si>
  <si>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</si>
  <si>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</si>
  <si>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</si>
  <si>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</si>
  <si>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</si>
  <si>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</si>
  <si>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</si>
  <si>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</si>
  <si>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</si>
  <si>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</si>
  <si>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</si>
  <si>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</si>
  <si>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</si>
  <si>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</si>
  <si>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</si>
  <si>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</si>
  <si>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</si>
  <si>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</si>
  <si>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</si>
  <si>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</si>
  <si>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</si>
  <si>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</si>
  <si>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</si>
  <si>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</si>
  <si>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</si>
  <si>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</si>
  <si>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</si>
  <si>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</si>
  <si>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</si>
  <si>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</si>
  <si>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</si>
  <si>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</si>
  <si>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</si>
  <si>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</si>
  <si>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</si>
  <si>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</si>
  <si>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</si>
  <si>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</si>
  <si>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</si>
  <si>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</si>
  <si>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</si>
  <si>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</si>
  <si>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</si>
  <si>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</si>
  <si>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</si>
  <si>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</si>
  <si>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</si>
  <si>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</si>
  <si>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</si>
  <si>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</si>
  <si>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</si>
  <si>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</si>
  <si>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</si>
  <si>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</si>
  <si>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</si>
  <si>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</si>
  <si>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</si>
  <si>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</si>
  <si>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</si>
  <si>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</si>
  <si>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</si>
  <si>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</si>
  <si>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</si>
  <si>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</si>
  <si>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</si>
  <si>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</si>
  <si>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</si>
  <si>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</si>
  <si>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</si>
  <si>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</si>
  <si>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</si>
  <si>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</si>
  <si>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</si>
  <si>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</si>
  <si>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</si>
  <si>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</si>
  <si>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</si>
  <si>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</si>
  <si>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</si>
  <si>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</si>
  <si>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</si>
  <si>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</si>
  <si>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</si>
  <si>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</si>
  <si>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</si>
  <si>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</si>
  <si>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</si>
  <si>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</si>
  <si>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</si>
  <si>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</si>
  <si>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</si>
  <si>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</si>
  <si>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</si>
  <si>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</si>
  <si>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</si>
  <si>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</si>
  <si>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</si>
  <si>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</si>
  <si>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</si>
  <si>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</si>
  <si>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</si>
  <si>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</si>
  <si>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</si>
  <si>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</si>
  <si>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</si>
  <si>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</si>
  <si>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</si>
  <si>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</si>
  <si>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</si>
  <si>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</si>
  <si>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</si>
  <si>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</si>
  <si>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</si>
  <si>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</si>
  <si>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</si>
  <si>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</si>
  <si>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</si>
  <si>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</si>
  <si>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</si>
  <si>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</si>
  <si>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</si>
  <si>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</si>
  <si>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</si>
  <si>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</si>
  <si>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</si>
  <si>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</si>
  <si>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</si>
  <si>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</si>
  <si>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</si>
  <si>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</si>
  <si>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</si>
  <si>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</si>
  <si>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</si>
  <si>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</si>
  <si>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</si>
  <si>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</si>
  <si>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</si>
  <si>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</si>
  <si>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</si>
  <si>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</si>
  <si>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</si>
  <si>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</si>
  <si>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</si>
  <si>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</si>
  <si>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</si>
  <si>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</si>
  <si>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</si>
  <si>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</si>
  <si>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</si>
  <si>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</si>
  <si>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</si>
  <si>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</si>
  <si>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</si>
  <si>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</si>
  <si>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</si>
  <si>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</si>
  <si>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</si>
  <si>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</si>
  <si>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</si>
  <si>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</si>
  <si>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</si>
  <si>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</si>
  <si>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</si>
  <si>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</si>
  <si>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</si>
  <si>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</si>
  <si>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</si>
  <si>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</si>
  <si>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</si>
  <si>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</si>
  <si>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</si>
  <si>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</si>
  <si>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</si>
  <si>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</si>
  <si>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</si>
  <si>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</si>
  <si>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</si>
  <si>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</si>
  <si>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</si>
  <si>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</si>
  <si>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</si>
  <si>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</si>
  <si>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</si>
  <si>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</si>
  <si>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</si>
  <si>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</si>
  <si>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</si>
  <si>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</si>
  <si>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</si>
  <si>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</si>
  <si>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</si>
  <si>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</si>
  <si>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</si>
  <si>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</si>
  <si>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</si>
  <si>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</si>
  <si>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</si>
  <si>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</si>
  <si>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</si>
  <si>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</si>
  <si>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</si>
  <si>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</si>
  <si>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</si>
  <si>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</si>
  <si>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</si>
  <si>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</si>
  <si>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</si>
  <si>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</si>
  <si>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</si>
  <si>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</si>
  <si>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</si>
  <si>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</si>
  <si>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</si>
  <si>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</si>
  <si>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</si>
  <si>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</si>
  <si>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</si>
  <si>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</si>
  <si>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</si>
  <si>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</si>
  <si>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</si>
  <si>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</si>
  <si>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</si>
  <si>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</si>
  <si>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</si>
  <si>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</si>
  <si>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</si>
  <si>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</si>
  <si>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</si>
  <si>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</si>
  <si>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</si>
  <si>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</si>
  <si>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</si>
  <si>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</si>
  <si>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</si>
  <si>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</si>
  <si>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</si>
  <si>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</si>
  <si>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</si>
  <si>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</si>
  <si>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</si>
  <si>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</si>
  <si>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</si>
  <si>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</si>
  <si>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</si>
  <si>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</si>
  <si>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</si>
  <si>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</si>
  <si>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</si>
  <si>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</si>
  <si>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</si>
  <si>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</si>
  <si>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</si>
  <si>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</si>
  <si>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</si>
  <si>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</si>
  <si>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</si>
  <si>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</si>
  <si>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</si>
  <si>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</si>
  <si>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</si>
  <si>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</si>
  <si>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</si>
  <si>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</si>
  <si>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</si>
  <si>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</si>
  <si>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</si>
  <si>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</si>
  <si>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</si>
  <si>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</si>
  <si>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</si>
  <si>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</si>
  <si>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</si>
  <si>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</si>
  <si>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</si>
  <si>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</si>
  <si>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</si>
  <si>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</si>
  <si>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</si>
  <si>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</si>
  <si>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</si>
  <si>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</si>
  <si>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</si>
  <si>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</si>
  <si>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</si>
  <si>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</si>
  <si>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</si>
  <si>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</si>
  <si>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</si>
  <si>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</si>
  <si>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</si>
  <si>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</si>
  <si>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</si>
  <si>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</si>
  <si>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</si>
  <si>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</si>
  <si>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</si>
  <si>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</si>
  <si>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</si>
  <si>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</si>
  <si>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</si>
  <si>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</si>
  <si>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</si>
  <si>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</si>
  <si>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</si>
  <si>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</si>
  <si>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</si>
  <si>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</si>
  <si>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</si>
  <si>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</si>
  <si>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</si>
  <si>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</si>
  <si>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</si>
  <si>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</si>
  <si>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</si>
  <si>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</si>
  <si>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</si>
  <si>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</si>
  <si>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</si>
  <si>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</si>
  <si>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</si>
  <si>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</si>
  <si>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</si>
  <si>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</si>
  <si>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</si>
  <si>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</si>
  <si>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</si>
  <si>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</si>
  <si>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</si>
  <si>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</si>
  <si>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</si>
  <si>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</si>
  <si>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</si>
  <si>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</si>
  <si>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</si>
  <si>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</si>
  <si>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</si>
  <si>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</si>
  <si>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</si>
  <si>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</si>
  <si>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</si>
  <si>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</si>
  <si>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</si>
  <si>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</si>
  <si>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</si>
  <si>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</si>
  <si>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</si>
  <si>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</si>
  <si>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</si>
  <si>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</si>
  <si>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</si>
  <si>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</si>
  <si>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</si>
  <si>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</si>
  <si>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</si>
  <si>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</si>
  <si>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</si>
  <si>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</si>
  <si>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</si>
  <si>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</si>
  <si>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</si>
  <si>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</si>
  <si>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</si>
  <si>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</si>
  <si>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</si>
  <si>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</si>
  <si>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</si>
  <si>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</si>
  <si>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</si>
  <si>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</si>
  <si>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</si>
  <si>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</si>
  <si>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</si>
  <si>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</si>
  <si>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</si>
  <si>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</si>
  <si>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</si>
  <si>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</si>
  <si>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</si>
  <si>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</si>
  <si>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</si>
  <si>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</si>
  <si>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</si>
  <si>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</si>
  <si>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</si>
  <si>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</si>
  <si>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</si>
  <si>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</si>
  <si>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</si>
  <si>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</si>
  <si>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</si>
  <si>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</si>
  <si>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</si>
  <si>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</si>
  <si>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</si>
  <si>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</si>
  <si>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</si>
  <si>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</si>
  <si>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</si>
  <si>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</si>
  <si>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</si>
  <si>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</si>
  <si>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</si>
  <si>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</si>
  <si>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</si>
  <si>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</si>
  <si>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</si>
  <si>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</si>
  <si>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</si>
  <si>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</si>
  <si>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</si>
  <si>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</si>
  <si>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</si>
  <si>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</si>
  <si>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</si>
  <si>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</si>
  <si>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</si>
  <si>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</si>
  <si>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</si>
  <si>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</si>
  <si>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</si>
  <si>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</si>
  <si>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</si>
  <si>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</si>
  <si>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</si>
  <si>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</si>
  <si>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</si>
  <si>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</si>
  <si>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</si>
  <si>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</si>
  <si>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</si>
  <si>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</si>
  <si>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</si>
  <si>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</si>
  <si>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</si>
  <si>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</si>
  <si>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</si>
  <si>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</si>
  <si>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</si>
  <si>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</si>
  <si>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</si>
  <si>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</si>
  <si>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</si>
  <si>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</si>
  <si>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</si>
  <si>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</si>
  <si>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</si>
  <si>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</si>
  <si>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</si>
  <si>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</si>
  <si>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</si>
  <si>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</si>
  <si>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</si>
  <si>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</si>
  <si>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</si>
  <si>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</si>
  <si>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</si>
  <si>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</si>
  <si>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</si>
  <si>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</si>
  <si>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</si>
  <si>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</si>
  <si>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</si>
  <si>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</si>
  <si>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</si>
  <si>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</si>
  <si>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</si>
  <si>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</si>
  <si>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</si>
  <si>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</si>
  <si>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</si>
  <si>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</si>
  <si>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</si>
  <si>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</si>
  <si>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</si>
  <si>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</si>
  <si>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</si>
  <si>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</si>
  <si>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</si>
  <si>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</si>
  <si>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</si>
  <si>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</si>
  <si>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</si>
  <si>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</si>
  <si>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</si>
  <si>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</si>
  <si>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</si>
  <si>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</si>
  <si>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</si>
  <si>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</si>
  <si>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</si>
  <si>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</si>
  <si>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</si>
  <si>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</si>
  <si>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</si>
  <si>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</si>
  <si>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</si>
  <si>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</si>
  <si>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</si>
  <si>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</si>
  <si>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</si>
  <si>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</si>
  <si>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</si>
  <si>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</si>
  <si>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</si>
  <si>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</si>
  <si>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</si>
  <si>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</si>
  <si>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</si>
  <si>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</si>
  <si>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</si>
  <si>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</si>
  <si>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</si>
  <si>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</si>
  <si>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</si>
  <si>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</si>
  <si>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</si>
  <si>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</si>
  <si>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</si>
  <si>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</si>
  <si>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</si>
  <si>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</si>
  <si>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</si>
  <si>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</si>
  <si>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</si>
  <si>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</si>
  <si>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</si>
  <si>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</si>
  <si>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</si>
  <si>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</si>
  <si>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</si>
  <si>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</si>
  <si>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</si>
  <si>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</si>
  <si>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</si>
  <si>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</si>
  <si>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</si>
  <si>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</si>
  <si>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</si>
  <si>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</si>
  <si>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</si>
  <si>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</si>
  <si>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</si>
  <si>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</si>
  <si>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</si>
  <si>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</si>
  <si>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</si>
  <si>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</si>
  <si>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</si>
  <si>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</si>
  <si>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</si>
  <si>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</si>
  <si>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</si>
  <si>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</si>
  <si>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</si>
  <si>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</si>
  <si>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</si>
  <si>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</si>
  <si>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</si>
  <si>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</si>
  <si>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</si>
  <si>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</si>
  <si>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</si>
  <si>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</si>
  <si>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</si>
  <si>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</si>
  <si>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</si>
  <si>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</si>
  <si>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</si>
  <si>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</si>
  <si>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</si>
  <si>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</si>
  <si>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</si>
  <si>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</si>
  <si>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</si>
  <si>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</si>
  <si>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</si>
  <si>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</si>
  <si>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</si>
  <si>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</si>
  <si>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</si>
  <si>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</si>
  <si>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</si>
  <si>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</si>
  <si>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</si>
  <si>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</si>
  <si>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</si>
  <si>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</si>
  <si>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</si>
  <si>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</si>
  <si>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</si>
  <si>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</si>
  <si>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</si>
  <si>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</si>
  <si>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</si>
  <si>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</si>
  <si>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</si>
  <si>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</si>
  <si>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</si>
  <si>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</si>
  <si>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</si>
  <si>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</si>
  <si>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</si>
  <si>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</si>
  <si>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</si>
  <si>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</si>
  <si>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</si>
  <si>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</si>
  <si>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</si>
  <si>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</si>
  <si>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</si>
  <si>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</si>
  <si>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</si>
  <si>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</si>
  <si>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</si>
  <si>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</si>
  <si>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</si>
  <si>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</si>
  <si>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</si>
  <si>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</si>
  <si>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</si>
  <si>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</si>
  <si>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</si>
  <si>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</si>
  <si>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</si>
  <si>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</si>
  <si>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</si>
  <si>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</si>
  <si>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</si>
  <si>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</si>
  <si>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</si>
  <si>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</si>
  <si>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</si>
  <si>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</si>
  <si>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</si>
  <si>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</si>
  <si>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</si>
  <si>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</si>
  <si>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</si>
  <si>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</si>
  <si>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</si>
  <si>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</si>
  <si>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</si>
  <si>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</si>
  <si>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</si>
  <si>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</si>
  <si>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</si>
  <si>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</si>
  <si>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</si>
  <si>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</si>
  <si>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</si>
  <si>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</si>
  <si>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</si>
  <si>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</si>
  <si>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</si>
  <si>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yasemin okul kk denizbnk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</si>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</sst>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0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0" fontId="0" fillId="0" borderId="0" xfId="0" applyFont="1"/>
    <xf numFmtId="177" fontId="0" fillId="0" borderId="0" xfId="0" applyNumberFormat="1" applyFont="1"/>
    <xf numFmtId="16" fontId="0" fillId="0" borderId="0" xfId="0" applyNumberFormat="1" applyFont="1"/>
    <xf numFmtId="179" fontId="0" fillId="0" borderId="0" xfId="0" applyNumberFormat="1" applyFont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20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1410</v>
      </c>
      <c r="D32" s="9"/>
      <c r="E32" s="9">
        <v>3000</v>
      </c>
      <c r="F32" s="9">
        <f t="shared" si="0"/>
        <v>-91403.16</v>
      </c>
    </row>
    <row r="33" spans="1:6">
      <c r="B33" s="3" t="s">
        <v>1411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1405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1422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1421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1408</v>
      </c>
      <c r="E42" s="2">
        <v>15500</v>
      </c>
      <c r="F42" s="2">
        <f t="shared" si="0"/>
        <v>1375096.84</v>
      </c>
    </row>
    <row r="43" spans="1:6">
      <c r="B43" t="s">
        <v>1406</v>
      </c>
      <c r="D43" s="9"/>
      <c r="E43" s="2">
        <v>100000</v>
      </c>
      <c r="F43" s="2">
        <f t="shared" si="0"/>
        <v>1275096.8400000001</v>
      </c>
    </row>
    <row r="44" spans="1:6">
      <c r="B44" t="s">
        <v>1407</v>
      </c>
      <c r="E44" s="2">
        <v>75000</v>
      </c>
      <c r="F44" s="2">
        <f t="shared" si="0"/>
        <v>1200096.8400000001</v>
      </c>
    </row>
    <row r="45" spans="1:6">
      <c r="B45" t="s">
        <v>1423</v>
      </c>
      <c r="E45" s="2">
        <v>59783.839999999997</v>
      </c>
      <c r="F45" s="2">
        <f t="shared" si="0"/>
        <v>1140313</v>
      </c>
    </row>
    <row r="46" spans="1:6">
      <c r="B46" t="s">
        <v>1404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1409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1433</v>
      </c>
      <c r="D55" s="2">
        <v>200</v>
      </c>
      <c r="F55" s="2">
        <f t="shared" si="0"/>
        <v>408200</v>
      </c>
    </row>
    <row r="56" spans="1:6">
      <c r="B56" t="s">
        <v>1467</v>
      </c>
      <c r="E56" s="2">
        <v>1100</v>
      </c>
      <c r="F56" s="2">
        <f t="shared" si="0"/>
        <v>407100</v>
      </c>
    </row>
    <row r="57" spans="1:6">
      <c r="A57" s="1">
        <v>45536</v>
      </c>
      <c r="B57" t="s">
        <v>36</v>
      </c>
      <c r="C57" t="s">
        <v>102</v>
      </c>
      <c r="E57" s="2">
        <v>5600</v>
      </c>
      <c r="F57" s="2">
        <f t="shared" si="0"/>
        <v>401500</v>
      </c>
    </row>
    <row r="58" spans="1:6">
      <c r="A58" s="1">
        <v>45550</v>
      </c>
      <c r="B58" t="s">
        <v>37</v>
      </c>
      <c r="C58" t="s">
        <v>102</v>
      </c>
      <c r="E58" s="2">
        <v>30000</v>
      </c>
      <c r="F58" s="2">
        <f t="shared" si="0"/>
        <v>371500</v>
      </c>
    </row>
    <row r="59" spans="1:6">
      <c r="A59" s="1">
        <v>45565</v>
      </c>
      <c r="B59" t="s">
        <v>37</v>
      </c>
      <c r="C59" t="s">
        <v>1466</v>
      </c>
      <c r="E59" s="2">
        <v>6000</v>
      </c>
      <c r="F59" s="2">
        <f t="shared" si="0"/>
        <v>365500</v>
      </c>
    </row>
    <row r="60" spans="1:6">
      <c r="A60" s="1">
        <v>45580</v>
      </c>
      <c r="B60" t="s">
        <v>38</v>
      </c>
      <c r="C60" t="s">
        <v>1403</v>
      </c>
      <c r="E60" s="2">
        <v>30000</v>
      </c>
      <c r="F60" s="2">
        <f t="shared" si="0"/>
        <v>335500</v>
      </c>
    </row>
    <row r="61" spans="1:6">
      <c r="A61" s="1">
        <v>45595</v>
      </c>
      <c r="B61" t="s">
        <v>38</v>
      </c>
      <c r="C61" t="s">
        <v>1403</v>
      </c>
      <c r="E61" s="2">
        <v>6500</v>
      </c>
      <c r="F61" s="2">
        <f t="shared" si="0"/>
        <v>329000</v>
      </c>
    </row>
    <row r="62" spans="1:6">
      <c r="A62" s="1">
        <v>45611</v>
      </c>
      <c r="B62" t="s">
        <v>39</v>
      </c>
      <c r="C62" t="s">
        <v>1403</v>
      </c>
      <c r="E62" s="2">
        <v>36500</v>
      </c>
      <c r="F62" s="2">
        <f t="shared" si="0"/>
        <v>292500</v>
      </c>
    </row>
    <row r="63" spans="1:6">
      <c r="A63" s="1">
        <v>45641</v>
      </c>
      <c r="B63" t="s">
        <v>40</v>
      </c>
      <c r="C63" t="s">
        <v>1403</v>
      </c>
      <c r="E63" s="2">
        <v>36500</v>
      </c>
      <c r="F63" s="2">
        <f t="shared" si="0"/>
        <v>256000</v>
      </c>
    </row>
    <row r="64" spans="1:6">
      <c r="A64" s="1">
        <v>45672</v>
      </c>
      <c r="B64" t="s">
        <v>41</v>
      </c>
      <c r="C64" t="s">
        <v>1403</v>
      </c>
      <c r="E64" s="2">
        <v>36500</v>
      </c>
      <c r="F64" s="2">
        <f t="shared" si="0"/>
        <v>219500</v>
      </c>
    </row>
    <row r="65" spans="1:6">
      <c r="A65" s="1">
        <v>45703</v>
      </c>
      <c r="B65" t="s">
        <v>42</v>
      </c>
      <c r="C65" t="s">
        <v>1403</v>
      </c>
      <c r="E65" s="2">
        <v>36500</v>
      </c>
      <c r="F65" s="2">
        <f t="shared" si="0"/>
        <v>183000</v>
      </c>
    </row>
    <row r="66" spans="1:6">
      <c r="A66" s="1">
        <v>45731</v>
      </c>
      <c r="B66" t="s">
        <v>43</v>
      </c>
      <c r="C66" t="s">
        <v>1403</v>
      </c>
      <c r="E66" s="2">
        <v>36500</v>
      </c>
      <c r="F66" s="2">
        <f t="shared" si="0"/>
        <v>146500</v>
      </c>
    </row>
    <row r="67" spans="1:6">
      <c r="A67" s="1">
        <v>45762</v>
      </c>
      <c r="B67" t="s">
        <v>44</v>
      </c>
      <c r="C67" t="s">
        <v>1403</v>
      </c>
      <c r="E67" s="2">
        <v>36500</v>
      </c>
      <c r="F67" s="2">
        <f t="shared" si="0"/>
        <v>110000</v>
      </c>
    </row>
    <row r="68" spans="1:6">
      <c r="A68" s="1">
        <v>45792</v>
      </c>
      <c r="B68" t="s">
        <v>45</v>
      </c>
      <c r="C68" t="s">
        <v>1403</v>
      </c>
      <c r="E68" s="2">
        <v>36500</v>
      </c>
      <c r="F68" s="2">
        <f t="shared" si="0"/>
        <v>73500</v>
      </c>
    </row>
    <row r="69" spans="1:6">
      <c r="A69" s="1">
        <v>45823</v>
      </c>
      <c r="B69" t="s">
        <v>46</v>
      </c>
      <c r="C69" t="s">
        <v>1403</v>
      </c>
      <c r="E69" s="2">
        <v>36500</v>
      </c>
      <c r="F69" s="2">
        <f t="shared" si="0"/>
        <v>37000</v>
      </c>
    </row>
    <row r="70" spans="1:6">
      <c r="A70" s="1">
        <v>45853</v>
      </c>
      <c r="B70" t="s">
        <v>47</v>
      </c>
      <c r="C70" t="s">
        <v>1403</v>
      </c>
      <c r="E70" s="2">
        <v>36500</v>
      </c>
      <c r="F70" s="2">
        <f t="shared" si="0"/>
        <v>500</v>
      </c>
    </row>
    <row r="71" spans="1:6">
      <c r="F71" s="2">
        <f t="shared" si="0"/>
        <v>500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1414</v>
      </c>
      <c r="C85" s="291" t="s">
        <v>1415</v>
      </c>
      <c r="D85" s="317"/>
      <c r="E85" s="318" t="s">
        <v>1416</v>
      </c>
      <c r="F85" s="318" t="s">
        <v>679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1424</v>
      </c>
      <c r="C88" t="s">
        <v>1420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1412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1413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1427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1418</v>
      </c>
      <c r="E97" s="2">
        <v>84313</v>
      </c>
      <c r="F97" s="2">
        <f t="shared" si="2"/>
        <v>1147403.1599999999</v>
      </c>
    </row>
    <row r="98" spans="2:6">
      <c r="B98" t="s">
        <v>1417</v>
      </c>
      <c r="C98" t="s">
        <v>1418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1418</v>
      </c>
      <c r="E99" s="2">
        <f>F33*-1</f>
        <v>91403.16</v>
      </c>
      <c r="F99" s="2">
        <f t="shared" si="2"/>
        <v>987999.99999999988</v>
      </c>
    </row>
    <row r="100" spans="2:6">
      <c r="B100" t="s">
        <v>1419</v>
      </c>
      <c r="C100" t="s">
        <v>1418</v>
      </c>
      <c r="E100" s="2">
        <v>550000</v>
      </c>
      <c r="F100" s="2">
        <f t="shared" si="2"/>
        <v>437999.99999999988</v>
      </c>
    </row>
    <row r="101" spans="2:6" ht="13.5" thickBot="1">
      <c r="B101" t="s">
        <v>1425</v>
      </c>
      <c r="C101" t="s">
        <v>1418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1426</v>
      </c>
      <c r="E102" s="326">
        <f>SUM(E97:E101)</f>
        <v>1231716.1600000001</v>
      </c>
    </row>
    <row r="119" spans="2:6">
      <c r="B119" t="s">
        <v>1428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1430</v>
      </c>
      <c r="C126" s="3"/>
      <c r="D126" s="13"/>
      <c r="E126" s="13"/>
      <c r="F126" s="13">
        <f t="shared" si="3"/>
        <v>75000</v>
      </c>
    </row>
    <row r="127" spans="2:6">
      <c r="B127" s="3" t="s">
        <v>1431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1429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1.7109375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8" t="s">
        <v>118</v>
      </c>
      <c r="M1" s="348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27984.149999999994</v>
      </c>
      <c r="C12" s="34">
        <f>'10_24'!E2</f>
        <v>-126233.26999999999</v>
      </c>
      <c r="D12" s="35">
        <f t="shared" si="0"/>
        <v>-25189.153693000029</v>
      </c>
      <c r="E12" s="34">
        <f>'10_24'!F2</f>
        <v>15000</v>
      </c>
      <c r="F12" s="34">
        <f>'10_24'!G2</f>
        <v>-100670.29000000001</v>
      </c>
      <c r="G12" s="35">
        <f t="shared" si="1"/>
        <v>-108995.243693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-174329.98</v>
      </c>
      <c r="D13" s="35">
        <f t="shared" si="0"/>
        <v>78465.016306999983</v>
      </c>
      <c r="E13" s="34">
        <f>'11_24'!F2</f>
        <v>0</v>
      </c>
      <c r="F13" s="34">
        <f>'11_24'!G2</f>
        <v>0</v>
      </c>
      <c r="G13" s="35">
        <f t="shared" si="1"/>
        <v>-108995.243693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'11_24'!E120/1000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51889.146306999981</v>
      </c>
      <c r="E14" s="34">
        <f>'12_24'!F2</f>
        <v>0</v>
      </c>
      <c r="F14" s="34">
        <f>'12_24'!G2</f>
        <v>0</v>
      </c>
      <c r="G14" s="35">
        <f t="shared" si="1"/>
        <v>-108995.243693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-1036096.203693</v>
      </c>
      <c r="D15" s="35">
        <f>B15+C15</f>
        <v>51889.146307000075</v>
      </c>
      <c r="E15" s="35">
        <f>SUM(E3:E14)</f>
        <v>739402.4800000001</v>
      </c>
      <c r="F15" s="35">
        <f>SUM(F3:F14)</f>
        <v>-848397.72369300004</v>
      </c>
      <c r="G15" s="35">
        <f>E15+F15</f>
        <v>-108995.24369299994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367.18009999999998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-86341.350307750006</v>
      </c>
      <c r="D16" s="57"/>
      <c r="E16" s="57">
        <f>E15/A16</f>
        <v>61616.873333333344</v>
      </c>
      <c r="F16" s="57">
        <f>F15/A16</f>
        <v>-70699.810307749998</v>
      </c>
      <c r="G16" s="57">
        <f>G15/A16</f>
        <v>-9082.9369744166615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30.598341666666666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49">
        <f>L15+M15</f>
        <v>1181.49614</v>
      </c>
      <c r="M17" s="349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98.458011666666664</v>
      </c>
    </row>
    <row r="19" spans="2:13">
      <c r="C19" s="10"/>
      <c r="D19" s="69" t="s">
        <v>152</v>
      </c>
      <c r="E19" s="9">
        <f>'07_24'!F30+'08_24'!F24+'09_24'!F19+'10_24'!F25+'11_24'!F24+'12_24'!F29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1464</v>
      </c>
    </row>
    <row r="27" spans="2:13">
      <c r="C27" t="s">
        <v>620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1490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1451</v>
      </c>
      <c r="C39" t="s">
        <v>1454</v>
      </c>
      <c r="E39" s="85">
        <v>-1380</v>
      </c>
    </row>
    <row r="40" spans="1:8">
      <c r="A40" s="337">
        <v>45686</v>
      </c>
      <c r="B40" t="s">
        <v>1451</v>
      </c>
      <c r="C40" t="s">
        <v>1453</v>
      </c>
      <c r="E40" s="85">
        <v>-1380</v>
      </c>
    </row>
    <row r="41" spans="1:8">
      <c r="A41" s="337">
        <v>45716</v>
      </c>
      <c r="B41" t="s">
        <v>1451</v>
      </c>
      <c r="C41" t="s">
        <v>1455</v>
      </c>
      <c r="E41" s="85">
        <v>-1380</v>
      </c>
    </row>
    <row r="42" spans="1:8">
      <c r="A42" s="337">
        <v>45745</v>
      </c>
      <c r="B42" t="s">
        <v>1451</v>
      </c>
      <c r="C42" t="s">
        <v>1456</v>
      </c>
      <c r="E42" s="85">
        <v>-1380</v>
      </c>
    </row>
    <row r="43" spans="1:8">
      <c r="A43" s="337">
        <v>45776</v>
      </c>
      <c r="B43" t="s">
        <v>1451</v>
      </c>
      <c r="C43" t="s">
        <v>1457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SUM(D4:D36)</f>
        <v>277984.15000000002</v>
      </c>
      <c r="E2" s="85">
        <f>SUM(E4:E36)</f>
        <v>-174329.98</v>
      </c>
      <c r="F2" s="85">
        <f>SUM(F4:F36)</f>
        <v>0</v>
      </c>
      <c r="G2" s="85">
        <f>SUM(G4:G36)</f>
        <v>0</v>
      </c>
      <c r="H2" s="85">
        <f>F2+G2</f>
        <v>0</v>
      </c>
    </row>
    <row r="3" spans="1:8">
      <c r="B3" s="70"/>
    </row>
    <row r="4" spans="1:8">
      <c r="B4" s="43" t="s">
        <v>192</v>
      </c>
      <c r="E4" s="85">
        <v>-152</v>
      </c>
      <c r="H4" s="85">
        <f>H3+F4+G4</f>
        <v>0</v>
      </c>
    </row>
    <row r="5" spans="1:8">
      <c r="B5" t="s">
        <v>193</v>
      </c>
      <c r="E5" s="85">
        <v>-10000</v>
      </c>
    </row>
    <row r="6" spans="1:8">
      <c r="B6" s="88" t="s">
        <v>194</v>
      </c>
      <c r="C6" s="88"/>
      <c r="E6" s="85">
        <v>-400</v>
      </c>
      <c r="H6" s="85">
        <f>H4+F6+G6</f>
        <v>0</v>
      </c>
    </row>
    <row r="7" spans="1:8">
      <c r="B7" s="88" t="s">
        <v>195</v>
      </c>
      <c r="C7" s="88"/>
      <c r="E7" s="85">
        <v>-500</v>
      </c>
      <c r="H7" s="85">
        <f t="shared" ref="H7:H34" si="0">H6+F7+G7</f>
        <v>0</v>
      </c>
    </row>
    <row r="8" spans="1:8">
      <c r="B8" s="88" t="s">
        <v>242</v>
      </c>
      <c r="C8" s="88" t="s">
        <v>197</v>
      </c>
      <c r="E8" s="85">
        <v>-250</v>
      </c>
      <c r="H8" s="85">
        <f t="shared" si="0"/>
        <v>0</v>
      </c>
    </row>
    <row r="9" spans="1:8">
      <c r="B9" s="88"/>
      <c r="C9" s="88"/>
      <c r="H9" s="85">
        <f t="shared" si="0"/>
        <v>0</v>
      </c>
    </row>
    <row r="10" spans="1:8">
      <c r="B10" s="88" t="s">
        <v>208</v>
      </c>
      <c r="C10" s="88" t="s">
        <v>209</v>
      </c>
      <c r="E10" s="85">
        <v>-150</v>
      </c>
      <c r="H10" s="85">
        <f t="shared" si="0"/>
        <v>0</v>
      </c>
    </row>
    <row r="11" spans="1:8">
      <c r="B11" s="94" t="s">
        <v>210</v>
      </c>
      <c r="C11" s="94" t="s">
        <v>209</v>
      </c>
      <c r="E11" s="85">
        <v>-300</v>
      </c>
      <c r="H11" s="85">
        <f t="shared" si="0"/>
        <v>0</v>
      </c>
    </row>
    <row r="12" spans="1:8">
      <c r="B12" s="94" t="s">
        <v>211</v>
      </c>
      <c r="C12" s="94" t="s">
        <v>209</v>
      </c>
      <c r="E12" s="85">
        <v>-100</v>
      </c>
      <c r="H12" s="85">
        <f t="shared" si="0"/>
        <v>0</v>
      </c>
    </row>
    <row r="13" spans="1:8">
      <c r="B13" s="88"/>
      <c r="C13" s="88"/>
      <c r="H13" s="85">
        <f t="shared" si="0"/>
        <v>0</v>
      </c>
    </row>
    <row r="14" spans="1:8">
      <c r="B14" s="95" t="s">
        <v>212</v>
      </c>
      <c r="E14" s="85">
        <f>E47*-1</f>
        <v>0</v>
      </c>
      <c r="H14" s="85">
        <f t="shared" si="0"/>
        <v>0</v>
      </c>
    </row>
    <row r="15" spans="1:8">
      <c r="B15" s="95" t="s">
        <v>213</v>
      </c>
      <c r="E15" s="85">
        <f>E52</f>
        <v>-1797.26</v>
      </c>
      <c r="H15" s="85">
        <f t="shared" si="0"/>
        <v>0</v>
      </c>
    </row>
    <row r="16" spans="1:8">
      <c r="A16" s="96">
        <v>45173</v>
      </c>
      <c r="B16" s="95" t="s">
        <v>214</v>
      </c>
      <c r="E16" s="85">
        <f>E67</f>
        <v>-119244.22</v>
      </c>
      <c r="H16" s="85">
        <f t="shared" si="0"/>
        <v>0</v>
      </c>
    </row>
    <row r="17" spans="1:8">
      <c r="A17" s="97"/>
      <c r="B17" s="88" t="s">
        <v>243</v>
      </c>
      <c r="C17" s="88"/>
      <c r="E17" s="85">
        <v>-17500</v>
      </c>
      <c r="H17" s="85">
        <f t="shared" si="0"/>
        <v>0</v>
      </c>
    </row>
    <row r="18" spans="1:8">
      <c r="A18" s="97"/>
      <c r="B18" s="88"/>
      <c r="C18" s="88"/>
      <c r="H18" s="85">
        <f t="shared" si="0"/>
        <v>0</v>
      </c>
    </row>
    <row r="19" spans="1:8">
      <c r="B19" s="88" t="s">
        <v>216</v>
      </c>
      <c r="C19" s="88"/>
      <c r="E19" s="85">
        <v>-1500</v>
      </c>
      <c r="H19" s="85">
        <f t="shared" si="0"/>
        <v>0</v>
      </c>
    </row>
    <row r="20" spans="1:8">
      <c r="H20" s="85">
        <f t="shared" si="0"/>
        <v>0</v>
      </c>
    </row>
    <row r="21" spans="1:8">
      <c r="A21" s="335">
        <v>45625</v>
      </c>
      <c r="B21" t="s">
        <v>1451</v>
      </c>
      <c r="C21" t="s">
        <v>1458</v>
      </c>
      <c r="E21" s="85">
        <v>-1380</v>
      </c>
      <c r="H21" s="85">
        <f t="shared" si="0"/>
        <v>0</v>
      </c>
    </row>
    <row r="22" spans="1:8">
      <c r="A22" s="335">
        <v>45626</v>
      </c>
      <c r="B22" s="88" t="s">
        <v>1460</v>
      </c>
      <c r="E22" s="85">
        <v>-1415</v>
      </c>
    </row>
    <row r="23" spans="1:8">
      <c r="A23" s="335">
        <v>45626</v>
      </c>
      <c r="B23" s="88" t="s">
        <v>1461</v>
      </c>
      <c r="E23" s="85">
        <v>-141.5</v>
      </c>
    </row>
    <row r="24" spans="1:8">
      <c r="H24" s="85">
        <f>H21+F24+G24</f>
        <v>0</v>
      </c>
    </row>
    <row r="25" spans="1:8">
      <c r="B25" t="s">
        <v>84</v>
      </c>
      <c r="H25" s="85">
        <f t="shared" si="0"/>
        <v>0</v>
      </c>
    </row>
    <row r="26" spans="1:8">
      <c r="B26" t="s">
        <v>84</v>
      </c>
      <c r="E26" s="85">
        <v>-6500</v>
      </c>
      <c r="H26" s="85">
        <f t="shared" si="0"/>
        <v>0</v>
      </c>
    </row>
    <row r="27" spans="1:8">
      <c r="B27" t="s">
        <v>172</v>
      </c>
      <c r="E27" s="85">
        <v>-6500</v>
      </c>
      <c r="H27" s="85">
        <f t="shared" si="0"/>
        <v>0</v>
      </c>
    </row>
    <row r="28" spans="1:8">
      <c r="B28" t="s">
        <v>217</v>
      </c>
      <c r="E28" s="85">
        <v>-6500</v>
      </c>
      <c r="H28" s="85">
        <f t="shared" si="0"/>
        <v>0</v>
      </c>
    </row>
    <row r="29" spans="1:8">
      <c r="H29" s="85">
        <f t="shared" si="0"/>
        <v>0</v>
      </c>
    </row>
    <row r="30" spans="1:8">
      <c r="B30" t="s">
        <v>218</v>
      </c>
      <c r="D30" s="86">
        <v>12984.15</v>
      </c>
      <c r="H30" s="85">
        <f t="shared" si="0"/>
        <v>0</v>
      </c>
    </row>
    <row r="31" spans="1:8">
      <c r="A31" s="97"/>
      <c r="B31" t="s">
        <v>219</v>
      </c>
      <c r="H31" s="85">
        <f t="shared" si="0"/>
        <v>0</v>
      </c>
    </row>
    <row r="32" spans="1:8">
      <c r="A32" s="97"/>
      <c r="B32" t="s">
        <v>244</v>
      </c>
      <c r="D32" s="85">
        <v>15000</v>
      </c>
      <c r="H32" s="85">
        <f t="shared" si="0"/>
        <v>0</v>
      </c>
    </row>
    <row r="33" spans="1:8">
      <c r="A33" s="97"/>
      <c r="H33" s="85">
        <f t="shared" si="0"/>
        <v>0</v>
      </c>
    </row>
    <row r="34" spans="1:8">
      <c r="B34" t="s">
        <v>245</v>
      </c>
      <c r="C34" s="98">
        <v>0.234011</v>
      </c>
      <c r="D34" s="85">
        <v>250000</v>
      </c>
      <c r="H34" s="85">
        <f t="shared" si="0"/>
        <v>0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0</v>
      </c>
      <c r="E41" s="85">
        <f>SUM(E42:E47)</f>
        <v>0</v>
      </c>
    </row>
    <row r="42" spans="1:8">
      <c r="A42" s="97"/>
      <c r="B42" s="94" t="s">
        <v>225</v>
      </c>
    </row>
    <row r="43" spans="1:8">
      <c r="B43" t="s">
        <v>226</v>
      </c>
    </row>
    <row r="44" spans="1:8">
      <c r="B44" t="s">
        <v>227</v>
      </c>
    </row>
    <row r="45" spans="1:8">
      <c r="B45" t="s">
        <v>228</v>
      </c>
    </row>
    <row r="46" spans="1:8">
      <c r="B46" t="s">
        <v>229</v>
      </c>
    </row>
    <row r="47" spans="1:8">
      <c r="B47" t="s">
        <v>230</v>
      </c>
      <c r="C47" s="94"/>
    </row>
    <row r="48" spans="1:8">
      <c r="C48" s="94"/>
    </row>
    <row r="50" spans="1:5">
      <c r="B50" s="13"/>
    </row>
    <row r="51" spans="1:5">
      <c r="B51" s="102"/>
    </row>
    <row r="52" spans="1:5">
      <c r="A52" s="78"/>
      <c r="B52" s="77" t="s">
        <v>231</v>
      </c>
      <c r="C52" s="78"/>
      <c r="E52" s="85">
        <f>SUM(E53:E64)</f>
        <v>-1797.26</v>
      </c>
    </row>
    <row r="54" spans="1:5">
      <c r="A54" s="20">
        <v>45373</v>
      </c>
      <c r="B54" t="s">
        <v>232</v>
      </c>
      <c r="C54">
        <v>10176.39</v>
      </c>
      <c r="D54" s="85" t="s">
        <v>246</v>
      </c>
      <c r="E54" s="85">
        <v>-1130.71</v>
      </c>
    </row>
    <row r="55" spans="1:5">
      <c r="A55" s="20">
        <v>45375</v>
      </c>
      <c r="B55" t="s">
        <v>234</v>
      </c>
      <c r="C55">
        <v>5999</v>
      </c>
      <c r="D55" s="85" t="s">
        <v>247</v>
      </c>
      <c r="E55" s="85">
        <v>-666.55</v>
      </c>
    </row>
    <row r="56" spans="1:5">
      <c r="A56" s="20"/>
    </row>
    <row r="59" spans="1:5">
      <c r="A59" s="97"/>
      <c r="B59" s="94"/>
      <c r="C59" s="94"/>
    </row>
    <row r="60" spans="1:5">
      <c r="A60" s="97"/>
      <c r="B60" s="94"/>
      <c r="C60" s="94"/>
    </row>
    <row r="61" spans="1:5">
      <c r="A61" s="97"/>
      <c r="B61" s="103"/>
      <c r="C61" s="94"/>
    </row>
    <row r="62" spans="1:5">
      <c r="A62" s="97"/>
      <c r="B62" s="103"/>
      <c r="C62" s="94"/>
    </row>
    <row r="63" spans="1:5">
      <c r="A63" s="97"/>
      <c r="B63" s="103"/>
    </row>
    <row r="64" spans="1:5">
      <c r="A64" s="97"/>
      <c r="B64" s="103"/>
      <c r="C64" s="94"/>
    </row>
    <row r="65" spans="1:5">
      <c r="A65" s="97"/>
      <c r="B65" s="3"/>
    </row>
    <row r="66" spans="1:5">
      <c r="A66" s="97"/>
      <c r="B66" s="94"/>
      <c r="C66" s="94"/>
    </row>
    <row r="67" spans="1:5">
      <c r="A67" s="78"/>
      <c r="B67" s="77" t="s">
        <v>235</v>
      </c>
      <c r="C67" s="78"/>
      <c r="E67" s="85">
        <f>SUM(E68:E76)</f>
        <v>-119244.22</v>
      </c>
    </row>
    <row r="68" spans="1:5">
      <c r="A68" s="97"/>
      <c r="B68" s="94"/>
      <c r="C68" s="94"/>
    </row>
    <row r="69" spans="1:5">
      <c r="A69" s="97">
        <v>45560</v>
      </c>
      <c r="B69" s="94" t="s">
        <v>250</v>
      </c>
      <c r="C69" s="94"/>
      <c r="E69" s="85">
        <v>-118966.5</v>
      </c>
    </row>
    <row r="70" spans="1:5">
      <c r="A70" s="97"/>
      <c r="B70" s="3"/>
      <c r="C70" s="94"/>
      <c r="E70" s="85">
        <v>-277.72000000000003</v>
      </c>
    </row>
    <row r="71" spans="1:5">
      <c r="A71" s="97"/>
      <c r="B71" s="3"/>
      <c r="C71" s="94"/>
    </row>
    <row r="72" spans="1:5">
      <c r="A72" s="97"/>
      <c r="B72" s="3"/>
      <c r="C72" s="94"/>
    </row>
    <row r="73" spans="1:5">
      <c r="A73" s="97"/>
      <c r="B73" s="3"/>
      <c r="C73" s="94"/>
    </row>
    <row r="74" spans="1:5">
      <c r="A74" s="97"/>
      <c r="B74" s="3"/>
      <c r="C74" s="94"/>
    </row>
    <row r="75" spans="1:5">
      <c r="A75" s="97"/>
      <c r="B75" s="3"/>
      <c r="C75" s="94"/>
    </row>
    <row r="76" spans="1:5">
      <c r="A76" s="97"/>
      <c r="B76" s="3"/>
      <c r="C76" s="94"/>
    </row>
    <row r="77" spans="1:5">
      <c r="A77" s="97"/>
      <c r="B77" s="3"/>
      <c r="C77" s="94"/>
    </row>
    <row r="78" spans="1:5">
      <c r="A78" s="97"/>
      <c r="B78" s="3"/>
      <c r="C78" s="94"/>
    </row>
    <row r="79" spans="1:5">
      <c r="A79" s="97"/>
      <c r="B79" s="3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107" spans="1:5">
      <c r="A107" s="78"/>
      <c r="B107" s="77" t="s">
        <v>236</v>
      </c>
      <c r="C107" s="78"/>
      <c r="E107" s="85">
        <f>SUM(E108:E115)</f>
        <v>0</v>
      </c>
    </row>
    <row r="108" spans="1:5">
      <c r="A108" s="97"/>
      <c r="B108" t="s">
        <v>84</v>
      </c>
    </row>
    <row r="109" spans="1:5">
      <c r="A109" s="97"/>
      <c r="B109" t="s">
        <v>172</v>
      </c>
    </row>
    <row r="110" spans="1:5">
      <c r="A110" s="97"/>
      <c r="B110" t="s">
        <v>173</v>
      </c>
    </row>
    <row r="111" spans="1:5">
      <c r="A111" s="97"/>
      <c r="B111" t="s">
        <v>174</v>
      </c>
    </row>
    <row r="112" spans="1:5">
      <c r="A112" s="97"/>
      <c r="B112" t="s">
        <v>237</v>
      </c>
      <c r="D112" s="85">
        <v>111</v>
      </c>
      <c r="E112" s="85">
        <f>D112*C112</f>
        <v>0</v>
      </c>
    </row>
    <row r="113" spans="1:5">
      <c r="A113" s="97"/>
      <c r="B113" t="s">
        <v>238</v>
      </c>
      <c r="D113" s="85">
        <v>850</v>
      </c>
      <c r="E113" s="85">
        <f>D113*C113</f>
        <v>0</v>
      </c>
    </row>
    <row r="114" spans="1:5">
      <c r="A114" s="97"/>
      <c r="B114" t="s">
        <v>239</v>
      </c>
      <c r="D114" s="85">
        <v>100</v>
      </c>
      <c r="E114" s="85">
        <f>D114*C114</f>
        <v>0</v>
      </c>
    </row>
    <row r="115" spans="1:5">
      <c r="A115" s="97"/>
      <c r="B115" t="s">
        <v>240</v>
      </c>
    </row>
    <row r="116" spans="1:5">
      <c r="B116" t="s">
        <v>241</v>
      </c>
      <c r="E116" s="85">
        <f>H2</f>
        <v>0</v>
      </c>
    </row>
    <row r="118" spans="1:5">
      <c r="D118" s="85" t="s">
        <v>189</v>
      </c>
      <c r="E118" s="85">
        <f>SUM(E108:E117)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22"/>
  <sheetViews>
    <sheetView tabSelected="1" topLeftCell="A55" zoomScale="145" zoomScaleNormal="145" workbookViewId="0">
      <selection activeCell="A57" sqref="A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SUM(D4:D35)</f>
        <v>27984.149999999994</v>
      </c>
      <c r="E2" s="85">
        <f>SUM(E4:E35)</f>
        <v>-126233.26999999999</v>
      </c>
      <c r="F2" s="85">
        <f>SUM(F4:F35)</f>
        <v>15000</v>
      </c>
      <c r="G2" s="85">
        <f>SUM(G4:G35)</f>
        <v>-100670.29000000001</v>
      </c>
      <c r="H2" s="85">
        <f>F2+G2</f>
        <v>-85670.290000000008</v>
      </c>
    </row>
    <row r="3" spans="1:8">
      <c r="B3" s="70"/>
    </row>
    <row r="4" spans="1:8">
      <c r="B4" s="43"/>
      <c r="H4" s="85">
        <f>H3+F4+G4</f>
        <v>0</v>
      </c>
    </row>
    <row r="5" spans="1:8">
      <c r="A5" s="344"/>
      <c r="B5" s="88" t="s">
        <v>248</v>
      </c>
      <c r="C5" s="88" t="s">
        <v>197</v>
      </c>
      <c r="D5" s="345"/>
      <c r="E5" s="345">
        <v>-250</v>
      </c>
      <c r="F5" s="345"/>
      <c r="G5" s="345"/>
      <c r="H5" s="85">
        <f t="shared" ref="H5:H25" si="0">H4+F5+G5</f>
        <v>0</v>
      </c>
    </row>
    <row r="6" spans="1:8">
      <c r="A6" s="346">
        <v>45568</v>
      </c>
      <c r="B6" s="88" t="s">
        <v>216</v>
      </c>
      <c r="C6" s="88"/>
      <c r="D6" s="345"/>
      <c r="E6" s="345">
        <v>-1500</v>
      </c>
      <c r="F6" s="345"/>
      <c r="G6" s="345">
        <v>-1513.12</v>
      </c>
      <c r="H6" s="85">
        <f t="shared" si="0"/>
        <v>-1513.12</v>
      </c>
    </row>
    <row r="7" spans="1:8">
      <c r="A7" s="347">
        <v>45569</v>
      </c>
      <c r="B7" s="104" t="s">
        <v>214</v>
      </c>
      <c r="C7" s="344"/>
      <c r="D7" s="345"/>
      <c r="E7" s="345">
        <f>E66</f>
        <v>-71389.3</v>
      </c>
      <c r="F7" s="345"/>
      <c r="G7" s="345">
        <v>-71389.3</v>
      </c>
      <c r="H7" s="85">
        <f t="shared" si="0"/>
        <v>-72902.42</v>
      </c>
    </row>
    <row r="8" spans="1:8">
      <c r="A8" s="346">
        <v>45572</v>
      </c>
      <c r="B8" s="104" t="s">
        <v>213</v>
      </c>
      <c r="C8" s="344"/>
      <c r="D8" s="345"/>
      <c r="E8" s="345">
        <f>E51</f>
        <v>-3066.5699999999997</v>
      </c>
      <c r="F8" s="345"/>
      <c r="G8" s="345">
        <v>-3066.57</v>
      </c>
      <c r="H8" s="85">
        <f t="shared" si="0"/>
        <v>-75968.990000000005</v>
      </c>
    </row>
    <row r="9" spans="1:8">
      <c r="A9" s="344"/>
      <c r="B9" s="104" t="s">
        <v>212</v>
      </c>
      <c r="C9" s="344"/>
      <c r="D9" s="345"/>
      <c r="E9" s="345">
        <f>E46*-1</f>
        <v>0</v>
      </c>
      <c r="F9" s="345"/>
      <c r="G9" s="345">
        <v>0</v>
      </c>
      <c r="H9" s="85">
        <f t="shared" si="0"/>
        <v>-75968.990000000005</v>
      </c>
    </row>
    <row r="10" spans="1:8">
      <c r="A10" s="346">
        <v>45573</v>
      </c>
      <c r="B10" s="88" t="s">
        <v>249</v>
      </c>
      <c r="C10" s="88"/>
      <c r="D10" s="345"/>
      <c r="E10" s="345">
        <v>-17500</v>
      </c>
      <c r="F10" s="345"/>
      <c r="G10" s="345">
        <v>-17500</v>
      </c>
      <c r="H10" s="85">
        <f t="shared" si="0"/>
        <v>-93468.99</v>
      </c>
    </row>
    <row r="11" spans="1:8">
      <c r="A11" s="346">
        <v>45573</v>
      </c>
      <c r="B11" s="88" t="s">
        <v>1489</v>
      </c>
      <c r="C11" s="88"/>
      <c r="D11" s="345"/>
      <c r="E11" s="345"/>
      <c r="F11" s="345"/>
      <c r="G11" s="345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256</v>
      </c>
      <c r="C12" s="88" t="s">
        <v>896</v>
      </c>
      <c r="E12" s="86"/>
      <c r="F12" s="85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B14" s="88"/>
      <c r="C14" s="88"/>
      <c r="E14" s="86"/>
      <c r="H14" s="85">
        <f t="shared" si="0"/>
        <v>-85549.290000000008</v>
      </c>
    </row>
    <row r="15" spans="1:8">
      <c r="B15" s="88" t="s">
        <v>194</v>
      </c>
      <c r="C15" s="88"/>
      <c r="E15" s="85">
        <v>-400</v>
      </c>
      <c r="H15" s="85">
        <f t="shared" si="0"/>
        <v>-85549.290000000008</v>
      </c>
    </row>
    <row r="16" spans="1:8">
      <c r="B16" s="88" t="s">
        <v>195</v>
      </c>
      <c r="C16" s="88"/>
      <c r="E16" s="85">
        <v>-500</v>
      </c>
      <c r="H16" s="85">
        <f t="shared" si="0"/>
        <v>-85549.290000000008</v>
      </c>
    </row>
    <row r="17" spans="1:8">
      <c r="H17" s="85">
        <f t="shared" si="0"/>
        <v>-85549.290000000008</v>
      </c>
    </row>
    <row r="18" spans="1:8">
      <c r="B18" s="88" t="s">
        <v>208</v>
      </c>
      <c r="C18" s="88" t="s">
        <v>209</v>
      </c>
      <c r="E18" s="85">
        <v>-150</v>
      </c>
      <c r="H18" s="85">
        <f t="shared" si="0"/>
        <v>-85549.290000000008</v>
      </c>
    </row>
    <row r="19" spans="1:8">
      <c r="A19" s="335">
        <v>45582</v>
      </c>
      <c r="B19" s="94" t="s">
        <v>210</v>
      </c>
      <c r="C19" s="94" t="s">
        <v>209</v>
      </c>
      <c r="E19" s="85">
        <v>-300</v>
      </c>
      <c r="G19" s="85">
        <v>-78</v>
      </c>
      <c r="H19" s="85">
        <f t="shared" si="0"/>
        <v>-85627.290000000008</v>
      </c>
    </row>
    <row r="20" spans="1:8">
      <c r="A20" s="335">
        <v>45582</v>
      </c>
      <c r="B20" s="94" t="s">
        <v>211</v>
      </c>
      <c r="C20" s="94" t="s">
        <v>209</v>
      </c>
      <c r="E20" s="85">
        <v>-100</v>
      </c>
      <c r="G20" s="85">
        <v>-43</v>
      </c>
      <c r="H20" s="85">
        <f t="shared" si="0"/>
        <v>-85670.290000000008</v>
      </c>
    </row>
    <row r="21" spans="1:8">
      <c r="B21" s="88"/>
      <c r="C21" s="88"/>
      <c r="H21" s="85">
        <f t="shared" si="0"/>
        <v>-85670.290000000008</v>
      </c>
    </row>
    <row r="22" spans="1:8">
      <c r="B22" t="s">
        <v>1465</v>
      </c>
      <c r="D22" s="86">
        <v>-120000</v>
      </c>
      <c r="H22" s="85">
        <f t="shared" si="0"/>
        <v>-85670.290000000008</v>
      </c>
    </row>
    <row r="23" spans="1:8">
      <c r="A23" s="335">
        <v>45594</v>
      </c>
      <c r="B23" t="s">
        <v>1451</v>
      </c>
      <c r="C23" t="s">
        <v>1459</v>
      </c>
      <c r="E23" s="85">
        <v>-1380</v>
      </c>
      <c r="H23" s="85">
        <f t="shared" si="0"/>
        <v>-85670.290000000008</v>
      </c>
    </row>
    <row r="24" spans="1:8">
      <c r="A24" s="335">
        <v>45595</v>
      </c>
      <c r="B24" t="s">
        <v>1136</v>
      </c>
      <c r="E24" s="85">
        <v>-197.4</v>
      </c>
      <c r="H24" s="85">
        <f t="shared" si="0"/>
        <v>-85670.290000000008</v>
      </c>
    </row>
    <row r="25" spans="1:8">
      <c r="B25" t="s">
        <v>84</v>
      </c>
      <c r="E25" s="85">
        <v>-6500</v>
      </c>
      <c r="H25" s="85">
        <f t="shared" si="0"/>
        <v>-85670.290000000008</v>
      </c>
    </row>
    <row r="26" spans="1:8">
      <c r="B26" t="s">
        <v>172</v>
      </c>
      <c r="E26" s="85">
        <v>-6500</v>
      </c>
      <c r="H26" s="85">
        <f t="shared" ref="H26:H33" si="1">H25+F26+G26</f>
        <v>-85670.290000000008</v>
      </c>
    </row>
    <row r="27" spans="1:8">
      <c r="B27" t="s">
        <v>217</v>
      </c>
      <c r="E27" s="85">
        <v>-6500</v>
      </c>
      <c r="H27" s="85">
        <f t="shared" si="1"/>
        <v>-85670.290000000008</v>
      </c>
    </row>
    <row r="28" spans="1:8">
      <c r="H28" s="85">
        <f t="shared" si="1"/>
        <v>-85670.290000000008</v>
      </c>
    </row>
    <row r="29" spans="1:8">
      <c r="B29" t="s">
        <v>218</v>
      </c>
      <c r="D29" s="86">
        <v>12984.15</v>
      </c>
      <c r="H29" s="85">
        <f t="shared" si="1"/>
        <v>-85670.290000000008</v>
      </c>
    </row>
    <row r="30" spans="1:8">
      <c r="A30" s="97"/>
      <c r="H30" s="85">
        <f t="shared" si="1"/>
        <v>-85670.290000000008</v>
      </c>
    </row>
    <row r="31" spans="1:8">
      <c r="A31" s="97"/>
      <c r="B31" t="s">
        <v>251</v>
      </c>
      <c r="D31" s="85">
        <v>15000</v>
      </c>
      <c r="H31" s="85">
        <f t="shared" si="1"/>
        <v>-85670.290000000008</v>
      </c>
    </row>
    <row r="32" spans="1:8">
      <c r="A32" s="97"/>
      <c r="H32" s="85">
        <f t="shared" si="1"/>
        <v>-85670.290000000008</v>
      </c>
    </row>
    <row r="33" spans="1:8">
      <c r="B33" t="s">
        <v>252</v>
      </c>
      <c r="C33" s="98">
        <v>0.234011</v>
      </c>
      <c r="D33" s="85">
        <v>120000</v>
      </c>
      <c r="H33" s="85">
        <f t="shared" si="1"/>
        <v>-85670.290000000008</v>
      </c>
    </row>
    <row r="34" spans="1:8">
      <c r="B34" t="s">
        <v>193</v>
      </c>
      <c r="E34" s="85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253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253</v>
      </c>
      <c r="E54" s="85">
        <v>-666.56</v>
      </c>
    </row>
    <row r="55" spans="1:5">
      <c r="A55" s="20"/>
      <c r="B55" t="s">
        <v>1469</v>
      </c>
      <c r="E55" s="85">
        <v>-363.83</v>
      </c>
    </row>
    <row r="56" spans="1:5">
      <c r="B56" t="s">
        <v>1470</v>
      </c>
      <c r="E56" s="85">
        <v>-905.47</v>
      </c>
    </row>
    <row r="57" spans="1:5">
      <c r="B57" t="s">
        <v>285</v>
      </c>
      <c r="C57">
        <v>8037.9</v>
      </c>
    </row>
    <row r="58" spans="1:5" ht="15">
      <c r="A58" s="97"/>
      <c r="B58" s="94"/>
      <c r="C58" s="94"/>
      <c r="D58" s="108" t="s">
        <v>286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1471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1474</v>
      </c>
      <c r="C72" s="94"/>
      <c r="E72" s="85">
        <v>-1500</v>
      </c>
    </row>
    <row r="73" spans="1:5">
      <c r="A73" s="97"/>
      <c r="B73" s="3" t="s">
        <v>1473</v>
      </c>
      <c r="C73" s="94"/>
      <c r="E73" s="85">
        <v>-385</v>
      </c>
    </row>
    <row r="74" spans="1:5">
      <c r="A74" s="97"/>
      <c r="B74" s="3" t="s">
        <v>1472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1475</v>
      </c>
      <c r="C76" s="94"/>
      <c r="E76" s="85">
        <v>-1865</v>
      </c>
    </row>
    <row r="77" spans="1:5">
      <c r="A77" s="97"/>
      <c r="B77" s="3" t="s">
        <v>1476</v>
      </c>
      <c r="C77" s="94"/>
      <c r="E77" s="85">
        <v>-80</v>
      </c>
    </row>
    <row r="78" spans="1:5">
      <c r="A78" s="97"/>
      <c r="B78" s="3" t="s">
        <v>1477</v>
      </c>
      <c r="C78" s="94"/>
      <c r="E78" s="85">
        <v>-19.5</v>
      </c>
    </row>
    <row r="79" spans="1:5">
      <c r="A79" s="97"/>
      <c r="B79" s="3" t="s">
        <v>1478</v>
      </c>
      <c r="C79" s="94"/>
      <c r="E79" s="85">
        <v>-706.97</v>
      </c>
    </row>
    <row r="80" spans="1:5">
      <c r="A80" s="97"/>
      <c r="B80" s="3" t="s">
        <v>813</v>
      </c>
      <c r="C80" s="94"/>
      <c r="E80" s="85">
        <v>-299.99</v>
      </c>
    </row>
    <row r="81" spans="1:5">
      <c r="A81" s="97"/>
      <c r="B81" s="3" t="s">
        <v>1479</v>
      </c>
      <c r="C81" s="94"/>
      <c r="E81" s="85">
        <v>-1620</v>
      </c>
    </row>
    <row r="82" spans="1:5">
      <c r="A82" s="97"/>
      <c r="B82" s="3" t="s">
        <v>1480</v>
      </c>
      <c r="C82" s="94"/>
      <c r="E82" s="85">
        <v>-66.7</v>
      </c>
    </row>
    <row r="83" spans="1:5">
      <c r="A83" s="97"/>
      <c r="B83" s="3" t="s">
        <v>1481</v>
      </c>
      <c r="C83" s="94"/>
      <c r="E83" s="85">
        <v>-45</v>
      </c>
    </row>
    <row r="84" spans="1:5">
      <c r="A84" s="97"/>
      <c r="B84" s="3" t="s">
        <v>341</v>
      </c>
      <c r="C84" s="94">
        <v>69</v>
      </c>
      <c r="E84" s="85">
        <v>-69.66</v>
      </c>
    </row>
    <row r="85" spans="1:5">
      <c r="A85" s="97"/>
      <c r="B85" s="3" t="s">
        <v>1482</v>
      </c>
      <c r="C85" s="94">
        <v>250</v>
      </c>
      <c r="E85" s="85">
        <v>-250</v>
      </c>
    </row>
    <row r="86" spans="1:5">
      <c r="A86" s="97"/>
      <c r="B86" s="3" t="s">
        <v>1483</v>
      </c>
      <c r="C86" s="94">
        <v>145</v>
      </c>
      <c r="E86" s="85">
        <v>-145</v>
      </c>
    </row>
    <row r="87" spans="1:5">
      <c r="A87" s="97"/>
      <c r="B87" s="3" t="s">
        <v>341</v>
      </c>
      <c r="C87" s="94">
        <v>80</v>
      </c>
      <c r="E87" s="85">
        <v>-79.58</v>
      </c>
    </row>
    <row r="88" spans="1:5">
      <c r="A88" s="97"/>
      <c r="B88" s="3" t="s">
        <v>1482</v>
      </c>
      <c r="C88" s="94">
        <v>300</v>
      </c>
      <c r="E88" s="85">
        <v>-300</v>
      </c>
    </row>
    <row r="89" spans="1:5">
      <c r="A89" s="97"/>
      <c r="B89" s="3" t="s">
        <v>285</v>
      </c>
      <c r="C89" s="94"/>
      <c r="D89" s="85">
        <v>21576.400000000001</v>
      </c>
    </row>
    <row r="90" spans="1:5">
      <c r="A90" s="97"/>
      <c r="B90" s="3" t="s">
        <v>341</v>
      </c>
      <c r="C90" s="94">
        <v>50</v>
      </c>
      <c r="E90" s="85">
        <v>-49.3</v>
      </c>
    </row>
    <row r="91" spans="1:5">
      <c r="A91" s="97"/>
      <c r="B91" s="3" t="s">
        <v>1484</v>
      </c>
      <c r="C91" s="94"/>
      <c r="E91" s="85">
        <v>-190</v>
      </c>
    </row>
    <row r="92" spans="1:5">
      <c r="A92" s="97"/>
      <c r="B92" s="3" t="s">
        <v>341</v>
      </c>
      <c r="C92" s="94"/>
      <c r="E92" s="85">
        <v>-375.55</v>
      </c>
    </row>
    <row r="93" spans="1:5">
      <c r="A93" s="97"/>
      <c r="B93" s="3" t="s">
        <v>1482</v>
      </c>
      <c r="C93" s="94">
        <v>260</v>
      </c>
      <c r="E93" s="85">
        <v>-260</v>
      </c>
    </row>
    <row r="94" spans="1:5">
      <c r="A94" s="97"/>
      <c r="B94" s="3" t="s">
        <v>341</v>
      </c>
      <c r="C94" s="94">
        <v>65.790000000000006</v>
      </c>
      <c r="E94" s="85">
        <v>-65.790000000000006</v>
      </c>
    </row>
    <row r="95" spans="1:5">
      <c r="A95" s="97"/>
      <c r="B95" s="3" t="s">
        <v>1482</v>
      </c>
      <c r="C95" s="94">
        <v>330</v>
      </c>
      <c r="E95" s="85">
        <v>-330</v>
      </c>
    </row>
    <row r="96" spans="1:5">
      <c r="A96" s="97"/>
      <c r="B96" s="3" t="s">
        <v>1483</v>
      </c>
      <c r="C96" s="94">
        <v>225</v>
      </c>
      <c r="E96" s="85">
        <v>-225</v>
      </c>
    </row>
    <row r="97" spans="1:5">
      <c r="A97" s="97"/>
      <c r="B97" s="3" t="s">
        <v>1485</v>
      </c>
      <c r="C97" s="94"/>
      <c r="E97" s="85">
        <v>-410</v>
      </c>
    </row>
    <row r="98" spans="1:5">
      <c r="B98" s="3" t="s">
        <v>299</v>
      </c>
      <c r="E98" s="85">
        <v>-27.25</v>
      </c>
    </row>
    <row r="99" spans="1:5">
      <c r="B99" s="3" t="s">
        <v>1486</v>
      </c>
      <c r="E99" s="85">
        <v>-70</v>
      </c>
    </row>
    <row r="100" spans="1:5">
      <c r="B100" s="3" t="s">
        <v>1487</v>
      </c>
      <c r="E100" s="85">
        <v>-350</v>
      </c>
    </row>
    <row r="101" spans="1:5">
      <c r="B101" s="3" t="s">
        <v>1484</v>
      </c>
      <c r="E101" s="85">
        <v>-420</v>
      </c>
    </row>
    <row r="102" spans="1:5">
      <c r="B102" s="3" t="s">
        <v>1488</v>
      </c>
      <c r="E102" s="85">
        <v>-154.5</v>
      </c>
    </row>
    <row r="103" spans="1:5">
      <c r="B103" s="3" t="s">
        <v>1484</v>
      </c>
      <c r="E103" s="85">
        <v>-290</v>
      </c>
    </row>
    <row r="104" spans="1:5">
      <c r="B104" s="3" t="s">
        <v>1482</v>
      </c>
      <c r="C104">
        <v>415</v>
      </c>
      <c r="E104" s="85">
        <v>-415</v>
      </c>
    </row>
    <row r="105" spans="1:5">
      <c r="B105" s="37" t="s">
        <v>360</v>
      </c>
      <c r="C105">
        <f>SUM(C81:C104)</f>
        <v>2189.79</v>
      </c>
    </row>
    <row r="106" spans="1:5" ht="15">
      <c r="D106" s="108" t="s">
        <v>286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-85670.290000000008</v>
      </c>
    </row>
    <row r="122" spans="1:5">
      <c r="D122" s="85" t="s">
        <v>189</v>
      </c>
      <c r="E122" s="85">
        <f>SUM(E112:E121)</f>
        <v>-85670.290000000008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4"/>
  <sheetViews>
    <sheetView topLeftCell="A48" zoomScale="145" zoomScaleNormal="145" workbookViewId="0">
      <selection activeCell="A33" sqref="A3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SUM(D4:D27)</f>
        <v>36484.15</v>
      </c>
      <c r="E2" s="85">
        <f>SUM(E4:E27)</f>
        <v>-81364.900000000009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254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255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270</v>
      </c>
      <c r="C11" t="s">
        <v>489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1462</v>
      </c>
      <c r="F14" s="86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-6406.1399999999994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-12906.14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-19406.14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-7659.76</v>
      </c>
    </row>
    <row r="22" spans="1:8">
      <c r="A22" s="335">
        <v>45564</v>
      </c>
      <c r="B22" t="s">
        <v>1451</v>
      </c>
      <c r="C22" t="s">
        <v>1452</v>
      </c>
      <c r="D22" s="345" t="s">
        <v>725</v>
      </c>
      <c r="E22" s="85">
        <v>-1398.6</v>
      </c>
      <c r="H22" s="85">
        <f t="shared" si="0"/>
        <v>-7659.76</v>
      </c>
    </row>
    <row r="23" spans="1:8">
      <c r="A23" s="335">
        <v>45565</v>
      </c>
      <c r="B23" t="s">
        <v>1468</v>
      </c>
      <c r="G23" s="86">
        <v>-197.4</v>
      </c>
      <c r="H23" s="85">
        <f t="shared" si="0"/>
        <v>-7857.16</v>
      </c>
    </row>
    <row r="24" spans="1:8">
      <c r="B24" s="105" t="s">
        <v>271</v>
      </c>
      <c r="C24" s="105"/>
      <c r="D24" s="106">
        <v>8500</v>
      </c>
      <c r="H24" s="85">
        <f t="shared" si="0"/>
        <v>-7857.16</v>
      </c>
    </row>
    <row r="25" spans="1:8">
      <c r="A25" s="335">
        <v>45574</v>
      </c>
      <c r="B25" s="339" t="s">
        <v>256</v>
      </c>
      <c r="C25" s="339"/>
      <c r="D25" s="343">
        <v>15000</v>
      </c>
      <c r="H25" s="85">
        <f t="shared" si="0"/>
        <v>-7857.16</v>
      </c>
    </row>
    <row r="26" spans="1:8">
      <c r="B26" s="339" t="s">
        <v>193</v>
      </c>
      <c r="C26" s="339"/>
      <c r="D26" s="340"/>
      <c r="E26" s="340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A28" s="335">
        <v>45574</v>
      </c>
      <c r="B28" s="103" t="s">
        <v>1463</v>
      </c>
      <c r="G28" s="345">
        <v>-10000</v>
      </c>
      <c r="H28" s="85">
        <f t="shared" si="0"/>
        <v>-17857.16</v>
      </c>
    </row>
    <row r="29" spans="1:8">
      <c r="B29" t="s">
        <v>257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258</v>
      </c>
      <c r="C47">
        <v>1406</v>
      </c>
      <c r="D47" s="85" t="s">
        <v>259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260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260</v>
      </c>
      <c r="E49" s="85">
        <v>-666.56</v>
      </c>
    </row>
    <row r="50" spans="1:5">
      <c r="A50" s="20">
        <v>45358</v>
      </c>
      <c r="B50" t="s">
        <v>261</v>
      </c>
      <c r="C50">
        <v>2273</v>
      </c>
      <c r="D50" s="85" t="s">
        <v>259</v>
      </c>
      <c r="E50" s="85">
        <v>-378.87</v>
      </c>
    </row>
    <row r="51" spans="1:5">
      <c r="A51" s="20">
        <v>45371</v>
      </c>
      <c r="B51" t="s">
        <v>262</v>
      </c>
      <c r="D51" s="85" t="s">
        <v>259</v>
      </c>
      <c r="E51" s="85">
        <v>101.79</v>
      </c>
    </row>
    <row r="52" spans="1:5">
      <c r="A52" s="97">
        <v>45456</v>
      </c>
      <c r="B52" s="103" t="s">
        <v>263</v>
      </c>
      <c r="C52" s="94"/>
      <c r="D52" s="85" t="s">
        <v>264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285</v>
      </c>
      <c r="C54" s="94">
        <v>8154.2</v>
      </c>
    </row>
    <row r="55" spans="1:5">
      <c r="A55" s="97"/>
      <c r="B55" s="103" t="s">
        <v>848</v>
      </c>
      <c r="C55" s="94"/>
      <c r="E55" s="85">
        <v>-1805.86</v>
      </c>
    </row>
    <row r="56" spans="1:5" ht="15">
      <c r="A56" s="97"/>
      <c r="B56" s="103"/>
      <c r="C56" s="108" t="s">
        <v>286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286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1439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310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1440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1446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1447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1448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1449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1450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316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1441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1444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1445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1443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1442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100" zoomScale="145" zoomScaleNormal="145" workbookViewId="0">
      <selection activeCell="B117" sqref="B1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1494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265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266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267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268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269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448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272</v>
      </c>
      <c r="C27" s="98"/>
      <c r="D27" s="85" t="s">
        <v>1432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273</v>
      </c>
      <c r="C28" s="98"/>
      <c r="D28" s="85" t="s">
        <v>1432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274</v>
      </c>
      <c r="C29" s="98"/>
      <c r="D29" s="85" t="s">
        <v>1432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275</v>
      </c>
      <c r="C30" s="98"/>
      <c r="D30" s="85" t="s">
        <v>1432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276</v>
      </c>
      <c r="C31" s="98"/>
      <c r="D31" s="85" t="s">
        <v>1432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277</v>
      </c>
      <c r="C32" s="98"/>
      <c r="D32" s="85" t="s">
        <v>1432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1434</v>
      </c>
      <c r="C34" s="85" t="s">
        <v>1432</v>
      </c>
      <c r="D34" s="86" t="s">
        <v>1438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1435</v>
      </c>
      <c r="C35" s="85" t="s">
        <v>1432</v>
      </c>
      <c r="D35" s="86" t="s">
        <v>1438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1436</v>
      </c>
      <c r="C36" s="85" t="s">
        <v>1432</v>
      </c>
      <c r="D36" s="86" t="s">
        <v>1438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1437</v>
      </c>
      <c r="C37" s="85" t="s">
        <v>1432</v>
      </c>
      <c r="D37" s="86" t="s">
        <v>1438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39" t="s">
        <v>270</v>
      </c>
      <c r="C41" s="339"/>
      <c r="D41" s="343">
        <v>15000</v>
      </c>
      <c r="H41" s="86">
        <f t="shared" si="0"/>
        <v>-60375.490000000005</v>
      </c>
    </row>
    <row r="42" spans="1:8">
      <c r="B42" s="105" t="s">
        <v>271</v>
      </c>
      <c r="C42" s="105"/>
      <c r="D42" s="106">
        <v>8500</v>
      </c>
      <c r="H42" s="86">
        <f t="shared" si="0"/>
        <v>-60375.490000000005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-60375.490000000005</v>
      </c>
    </row>
    <row r="44" spans="1:8">
      <c r="B44" t="s">
        <v>278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258</v>
      </c>
      <c r="C64">
        <v>1406</v>
      </c>
      <c r="D64" s="85" t="s">
        <v>279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280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280</v>
      </c>
      <c r="E66" s="85">
        <v>-666.56</v>
      </c>
      <c r="F66" s="85">
        <v>0</v>
      </c>
    </row>
    <row r="67" spans="1:6">
      <c r="A67" s="20">
        <v>45358</v>
      </c>
      <c r="B67" t="s">
        <v>261</v>
      </c>
      <c r="C67">
        <v>2273</v>
      </c>
      <c r="D67" s="85" t="s">
        <v>279</v>
      </c>
      <c r="E67" s="85">
        <v>-378.87</v>
      </c>
      <c r="F67" s="85">
        <v>0</v>
      </c>
    </row>
    <row r="68" spans="1:6">
      <c r="A68" s="20">
        <v>45371</v>
      </c>
      <c r="B68" t="s">
        <v>262</v>
      </c>
      <c r="D68" s="85" t="s">
        <v>279</v>
      </c>
      <c r="E68" s="85">
        <v>101.77</v>
      </c>
      <c r="F68" s="85">
        <v>0</v>
      </c>
    </row>
    <row r="69" spans="1:6">
      <c r="A69" s="97">
        <v>45442</v>
      </c>
      <c r="B69" s="107" t="s">
        <v>281</v>
      </c>
      <c r="C69" s="94"/>
      <c r="D69" s="85" t="s">
        <v>282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263</v>
      </c>
      <c r="C70" s="94"/>
      <c r="D70" s="85" t="s">
        <v>283</v>
      </c>
      <c r="E70" s="85">
        <v>-3923.33</v>
      </c>
      <c r="F70" s="85">
        <v>0</v>
      </c>
    </row>
    <row r="71" spans="1:6">
      <c r="A71" s="97">
        <v>45470</v>
      </c>
      <c r="B71" s="103" t="s">
        <v>284</v>
      </c>
      <c r="C71" s="94"/>
      <c r="E71" s="85">
        <v>-868.03</v>
      </c>
    </row>
    <row r="72" spans="1:6">
      <c r="A72" s="97">
        <v>45478</v>
      </c>
      <c r="B72" s="103" t="s">
        <v>285</v>
      </c>
      <c r="C72" s="94"/>
      <c r="D72" s="85">
        <v>2700.47</v>
      </c>
    </row>
    <row r="73" spans="1:6" ht="15">
      <c r="A73" s="97">
        <v>45478</v>
      </c>
      <c r="B73" s="103" t="s">
        <v>285</v>
      </c>
      <c r="D73" s="85">
        <v>6244.07</v>
      </c>
      <c r="E73" s="108" t="s">
        <v>286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287</v>
      </c>
      <c r="C79" s="94"/>
      <c r="D79" s="85" t="s">
        <v>288</v>
      </c>
      <c r="E79" s="85">
        <v>-649.79999999999995</v>
      </c>
    </row>
    <row r="80" spans="1:6">
      <c r="A80" s="97"/>
      <c r="B80" s="3" t="s">
        <v>289</v>
      </c>
      <c r="C80" s="94">
        <v>50</v>
      </c>
      <c r="D80" s="85" t="s">
        <v>288</v>
      </c>
    </row>
    <row r="81" spans="1:5">
      <c r="A81" s="97"/>
      <c r="B81" s="3"/>
      <c r="C81" s="94"/>
    </row>
    <row r="82" spans="1:5">
      <c r="A82" s="97">
        <v>45456</v>
      </c>
      <c r="B82" t="s">
        <v>290</v>
      </c>
      <c r="C82" s="94"/>
      <c r="D82" s="85" t="s">
        <v>282</v>
      </c>
      <c r="E82" s="85">
        <v>-5875</v>
      </c>
    </row>
    <row r="83" spans="1:5">
      <c r="A83" s="97">
        <v>45456</v>
      </c>
      <c r="B83" t="s">
        <v>291</v>
      </c>
      <c r="C83" s="94"/>
      <c r="D83" s="85" t="s">
        <v>282</v>
      </c>
      <c r="E83" s="85">
        <v>-4300</v>
      </c>
    </row>
    <row r="84" spans="1:5">
      <c r="A84" s="97">
        <v>45475</v>
      </c>
      <c r="B84" s="3" t="s">
        <v>292</v>
      </c>
      <c r="C84" s="94"/>
      <c r="E84" s="85">
        <v>-1129.5</v>
      </c>
    </row>
    <row r="85" spans="1:5">
      <c r="A85" s="97">
        <v>45478</v>
      </c>
      <c r="B85" s="3" t="s">
        <v>293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294</v>
      </c>
      <c r="C87" s="94">
        <v>120</v>
      </c>
      <c r="E87" s="85">
        <v>-120</v>
      </c>
    </row>
    <row r="88" spans="1:5">
      <c r="A88" s="97">
        <v>45467</v>
      </c>
      <c r="B88" s="3" t="s">
        <v>295</v>
      </c>
      <c r="C88" s="94"/>
      <c r="E88" s="85">
        <v>-70</v>
      </c>
    </row>
    <row r="89" spans="1:5">
      <c r="A89" s="97">
        <v>45467</v>
      </c>
      <c r="B89" s="3" t="s">
        <v>296</v>
      </c>
      <c r="C89" s="94"/>
      <c r="E89" s="85">
        <v>-1400</v>
      </c>
    </row>
    <row r="90" spans="1:5">
      <c r="A90" s="97">
        <v>45468</v>
      </c>
      <c r="B90" s="3" t="s">
        <v>294</v>
      </c>
      <c r="C90" s="94">
        <v>150</v>
      </c>
      <c r="E90" s="85">
        <v>-150</v>
      </c>
    </row>
    <row r="91" spans="1:5">
      <c r="A91" s="97">
        <v>45468</v>
      </c>
      <c r="B91" s="3" t="s">
        <v>297</v>
      </c>
      <c r="C91" s="94"/>
      <c r="E91" s="85">
        <v>-230</v>
      </c>
    </row>
    <row r="92" spans="1:5">
      <c r="A92" s="97">
        <v>45469</v>
      </c>
      <c r="B92" s="3" t="s">
        <v>294</v>
      </c>
      <c r="C92" s="94">
        <v>250</v>
      </c>
      <c r="E92" s="85">
        <v>-250</v>
      </c>
    </row>
    <row r="93" spans="1:5">
      <c r="A93" s="97">
        <v>45470</v>
      </c>
      <c r="B93" s="3" t="s">
        <v>298</v>
      </c>
      <c r="C93" s="94"/>
      <c r="E93" s="85">
        <v>-130</v>
      </c>
    </row>
    <row r="94" spans="1:5">
      <c r="A94" s="97">
        <v>45470</v>
      </c>
      <c r="B94" s="3" t="s">
        <v>299</v>
      </c>
      <c r="C94" s="94"/>
      <c r="E94" s="85">
        <v>-48.99</v>
      </c>
    </row>
    <row r="95" spans="1:5">
      <c r="A95" s="97">
        <v>45470</v>
      </c>
      <c r="B95" s="3" t="s">
        <v>300</v>
      </c>
      <c r="C95" s="94"/>
      <c r="E95" s="85">
        <v>-169.5</v>
      </c>
    </row>
    <row r="96" spans="1:5">
      <c r="A96" s="97">
        <v>45471</v>
      </c>
      <c r="B96" s="3" t="s">
        <v>301</v>
      </c>
      <c r="C96" s="94"/>
      <c r="E96" s="85">
        <v>-80</v>
      </c>
    </row>
    <row r="97" spans="1:5">
      <c r="A97" s="97">
        <v>45473</v>
      </c>
      <c r="B97" s="3" t="s">
        <v>302</v>
      </c>
      <c r="C97" s="94"/>
      <c r="E97" s="85">
        <v>-50</v>
      </c>
    </row>
    <row r="98" spans="1:5">
      <c r="A98" s="97">
        <v>45474</v>
      </c>
      <c r="B98" s="3" t="s">
        <v>295</v>
      </c>
      <c r="C98" s="94"/>
      <c r="E98" s="85">
        <v>-70</v>
      </c>
    </row>
    <row r="99" spans="1:5">
      <c r="A99" s="97">
        <v>45475</v>
      </c>
      <c r="B99" s="3" t="s">
        <v>294</v>
      </c>
      <c r="C99" s="94">
        <v>440</v>
      </c>
      <c r="E99" s="85">
        <v>-440</v>
      </c>
    </row>
    <row r="100" spans="1:5">
      <c r="A100" s="97">
        <v>45475</v>
      </c>
      <c r="B100" s="3" t="s">
        <v>303</v>
      </c>
      <c r="E100" s="85">
        <v>-1673</v>
      </c>
    </row>
    <row r="101" spans="1:5">
      <c r="A101" s="97">
        <v>45475</v>
      </c>
      <c r="B101" s="3" t="s">
        <v>298</v>
      </c>
      <c r="C101" s="94"/>
      <c r="E101" s="85">
        <v>-150</v>
      </c>
    </row>
    <row r="102" spans="1:5">
      <c r="A102" s="97">
        <v>45476</v>
      </c>
      <c r="B102" s="3" t="s">
        <v>295</v>
      </c>
      <c r="C102" s="94"/>
      <c r="E102" s="85">
        <v>-140</v>
      </c>
    </row>
    <row r="103" spans="1:5">
      <c r="A103" s="97">
        <v>45477</v>
      </c>
      <c r="B103" s="3" t="s">
        <v>304</v>
      </c>
      <c r="C103" s="94">
        <v>10597.81</v>
      </c>
    </row>
    <row r="104" spans="1:5">
      <c r="A104" s="97">
        <v>45478</v>
      </c>
      <c r="B104" s="3" t="s">
        <v>305</v>
      </c>
      <c r="C104" s="94"/>
      <c r="E104" s="85">
        <v>-300</v>
      </c>
    </row>
    <row r="105" spans="1:5">
      <c r="A105" s="97">
        <v>45478</v>
      </c>
      <c r="B105" s="3" t="s">
        <v>285</v>
      </c>
      <c r="C105" s="94">
        <v>15971.71</v>
      </c>
    </row>
    <row r="106" spans="1:5">
      <c r="A106" s="97">
        <v>45479</v>
      </c>
      <c r="B106" s="3" t="s">
        <v>306</v>
      </c>
      <c r="C106" s="94"/>
      <c r="E106" s="85">
        <v>-325</v>
      </c>
    </row>
    <row r="107" spans="1:5">
      <c r="A107" s="97">
        <v>45479</v>
      </c>
      <c r="B107" s="3" t="s">
        <v>307</v>
      </c>
      <c r="C107" s="94"/>
      <c r="E107" s="85">
        <v>-629</v>
      </c>
    </row>
    <row r="108" spans="1:5">
      <c r="A108" s="97"/>
      <c r="B108" s="3" t="s">
        <v>308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360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286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309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310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311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312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313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314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315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316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317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318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319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320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topLeftCell="A71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1495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321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322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323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271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268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324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325</v>
      </c>
    </row>
    <row r="49" spans="1:5">
      <c r="B49" t="s">
        <v>229</v>
      </c>
      <c r="D49" s="85" t="s">
        <v>326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258</v>
      </c>
      <c r="C57">
        <v>1406</v>
      </c>
      <c r="D57" s="85" t="s">
        <v>327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328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328</v>
      </c>
      <c r="E59" s="85">
        <v>-666.56</v>
      </c>
    </row>
    <row r="60" spans="1:5">
      <c r="A60" s="20">
        <v>45358</v>
      </c>
      <c r="B60" t="s">
        <v>261</v>
      </c>
      <c r="C60">
        <v>2273</v>
      </c>
      <c r="D60" s="85" t="s">
        <v>327</v>
      </c>
      <c r="E60" s="85">
        <v>-378.87</v>
      </c>
    </row>
    <row r="61" spans="1:5">
      <c r="A61" s="20">
        <v>45371</v>
      </c>
      <c r="B61" t="s">
        <v>262</v>
      </c>
      <c r="D61" s="85" t="s">
        <v>329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281</v>
      </c>
      <c r="C63" s="94"/>
      <c r="D63" s="85" t="s">
        <v>330</v>
      </c>
      <c r="E63" s="85">
        <v>-1054.1400000000001</v>
      </c>
    </row>
    <row r="64" spans="1:5">
      <c r="A64" s="97">
        <v>45456</v>
      </c>
      <c r="B64" s="103" t="s">
        <v>263</v>
      </c>
      <c r="C64" s="94"/>
      <c r="D64" s="85" t="s">
        <v>331</v>
      </c>
      <c r="E64" s="85">
        <v>-3923.33</v>
      </c>
    </row>
    <row r="65" spans="1:5">
      <c r="A65" s="97">
        <v>45442</v>
      </c>
      <c r="B65" s="94" t="s">
        <v>332</v>
      </c>
      <c r="C65" s="94"/>
      <c r="E65" s="85">
        <v>-278.97000000000003</v>
      </c>
    </row>
    <row r="67" spans="1:5">
      <c r="A67" s="97">
        <v>45444</v>
      </c>
      <c r="B67" s="103" t="s">
        <v>333</v>
      </c>
      <c r="C67" s="94"/>
      <c r="E67" s="85">
        <v>-1379.4</v>
      </c>
    </row>
    <row r="68" spans="1:5" ht="15">
      <c r="A68" s="97">
        <v>45447</v>
      </c>
      <c r="B68" s="103" t="s">
        <v>285</v>
      </c>
      <c r="D68" s="85">
        <v>4300</v>
      </c>
      <c r="E68" s="108" t="s">
        <v>286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334</v>
      </c>
      <c r="C74" s="94"/>
      <c r="D74" s="85" t="s">
        <v>335</v>
      </c>
      <c r="E74" s="85">
        <v>-3551.68</v>
      </c>
    </row>
    <row r="75" spans="1:5">
      <c r="A75" s="97"/>
      <c r="B75" s="3" t="s">
        <v>287</v>
      </c>
      <c r="C75" s="94"/>
      <c r="D75" s="85" t="s">
        <v>336</v>
      </c>
      <c r="E75" s="85">
        <v>-649.78</v>
      </c>
    </row>
    <row r="76" spans="1:5">
      <c r="A76" s="97"/>
      <c r="B76" s="3" t="s">
        <v>289</v>
      </c>
      <c r="C76" s="94"/>
      <c r="D76" s="85" t="s">
        <v>337</v>
      </c>
    </row>
    <row r="77" spans="1:5">
      <c r="A77" s="97"/>
      <c r="B77" s="3"/>
      <c r="C77" s="94"/>
    </row>
    <row r="78" spans="1:5">
      <c r="A78" s="97">
        <v>45456</v>
      </c>
      <c r="B78" t="s">
        <v>290</v>
      </c>
      <c r="C78" s="94"/>
      <c r="D78" s="85" t="s">
        <v>330</v>
      </c>
      <c r="E78" s="85">
        <v>-5875</v>
      </c>
    </row>
    <row r="79" spans="1:5">
      <c r="A79" s="97">
        <v>45456</v>
      </c>
      <c r="B79" t="s">
        <v>291</v>
      </c>
      <c r="C79" s="94"/>
      <c r="D79" s="85" t="s">
        <v>330</v>
      </c>
      <c r="E79" s="85">
        <v>-4300</v>
      </c>
    </row>
    <row r="80" spans="1:5">
      <c r="A80" s="97">
        <v>45465</v>
      </c>
      <c r="B80" s="3" t="s">
        <v>332</v>
      </c>
      <c r="C80" s="94"/>
      <c r="E80" s="85">
        <v>-483.01</v>
      </c>
    </row>
    <row r="81" spans="1:5">
      <c r="A81" s="97">
        <v>45436</v>
      </c>
      <c r="B81" s="3" t="s">
        <v>338</v>
      </c>
      <c r="C81" s="94"/>
      <c r="E81" s="85">
        <v>-80</v>
      </c>
    </row>
    <row r="82" spans="1:5">
      <c r="A82" s="97">
        <v>45436</v>
      </c>
      <c r="B82" s="3" t="s">
        <v>339</v>
      </c>
      <c r="C82" s="94"/>
      <c r="E82" s="85">
        <v>-1000</v>
      </c>
    </row>
    <row r="83" spans="1:5">
      <c r="A83" s="97">
        <v>45437</v>
      </c>
      <c r="B83" s="3" t="s">
        <v>340</v>
      </c>
      <c r="C83" s="94"/>
      <c r="E83" s="85">
        <v>-70</v>
      </c>
    </row>
    <row r="84" spans="1:5">
      <c r="A84" s="97">
        <v>45438</v>
      </c>
      <c r="B84" s="3" t="s">
        <v>341</v>
      </c>
      <c r="C84" s="94"/>
      <c r="E84" s="85">
        <v>-232.27</v>
      </c>
    </row>
    <row r="85" spans="1:5">
      <c r="A85" s="97">
        <v>45438</v>
      </c>
      <c r="B85" s="3" t="s">
        <v>342</v>
      </c>
      <c r="C85" s="94"/>
      <c r="E85" s="85">
        <v>-130</v>
      </c>
    </row>
    <row r="86" spans="1:5">
      <c r="A86" s="97">
        <v>45469</v>
      </c>
      <c r="B86" s="3" t="s">
        <v>343</v>
      </c>
      <c r="C86" s="94"/>
      <c r="E86" s="85">
        <v>-246.8</v>
      </c>
    </row>
    <row r="87" spans="1:5">
      <c r="A87" s="97">
        <v>45439</v>
      </c>
      <c r="B87" s="3" t="s">
        <v>340</v>
      </c>
      <c r="C87" s="94"/>
      <c r="E87" s="85">
        <v>-70</v>
      </c>
    </row>
    <row r="88" spans="1:5">
      <c r="A88" s="97">
        <v>45440</v>
      </c>
      <c r="B88" s="3" t="s">
        <v>294</v>
      </c>
      <c r="C88" s="94">
        <v>300</v>
      </c>
      <c r="E88" s="85">
        <v>-300</v>
      </c>
    </row>
    <row r="89" spans="1:5">
      <c r="A89" s="97">
        <v>45440</v>
      </c>
      <c r="B89" s="3" t="s">
        <v>344</v>
      </c>
      <c r="C89" s="94"/>
      <c r="E89" s="85">
        <v>-460</v>
      </c>
    </row>
    <row r="90" spans="1:5">
      <c r="A90" s="97">
        <v>45441</v>
      </c>
      <c r="B90" s="3" t="s">
        <v>341</v>
      </c>
      <c r="C90" s="94"/>
      <c r="E90" s="85">
        <v>-27.66</v>
      </c>
    </row>
    <row r="91" spans="1:5">
      <c r="A91" s="97">
        <v>45441</v>
      </c>
      <c r="B91" s="3" t="s">
        <v>294</v>
      </c>
      <c r="C91" s="94">
        <v>400</v>
      </c>
      <c r="E91" s="85">
        <v>-400</v>
      </c>
    </row>
    <row r="92" spans="1:5">
      <c r="A92" s="97">
        <v>45442</v>
      </c>
      <c r="B92" s="3" t="s">
        <v>294</v>
      </c>
      <c r="C92" s="94">
        <v>200</v>
      </c>
      <c r="E92" s="85">
        <v>-200</v>
      </c>
    </row>
    <row r="93" spans="1:5">
      <c r="A93" s="97">
        <v>45442</v>
      </c>
      <c r="B93" s="3" t="s">
        <v>345</v>
      </c>
      <c r="C93" s="94"/>
      <c r="E93" s="85">
        <v>-80</v>
      </c>
    </row>
    <row r="94" spans="1:5">
      <c r="A94" s="97">
        <v>45444</v>
      </c>
      <c r="B94" s="3" t="s">
        <v>346</v>
      </c>
      <c r="C94" s="94"/>
      <c r="E94" s="85">
        <v>-80</v>
      </c>
    </row>
    <row r="95" spans="1:5">
      <c r="A95" s="97">
        <v>45444</v>
      </c>
      <c r="B95" s="3" t="s">
        <v>341</v>
      </c>
      <c r="C95" s="94"/>
      <c r="E95" s="85">
        <v>-12.26</v>
      </c>
    </row>
    <row r="96" spans="1:5">
      <c r="A96" s="97">
        <v>45444</v>
      </c>
      <c r="B96" s="3" t="s">
        <v>294</v>
      </c>
      <c r="C96" s="94">
        <v>350</v>
      </c>
      <c r="E96" s="85">
        <v>-350</v>
      </c>
    </row>
    <row r="97" spans="1:5">
      <c r="A97" s="97">
        <v>45444</v>
      </c>
      <c r="B97" s="3" t="s">
        <v>347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340</v>
      </c>
      <c r="C99" s="94"/>
      <c r="E99" s="85">
        <v>-70</v>
      </c>
    </row>
    <row r="100" spans="1:5">
      <c r="A100" s="97">
        <v>45446</v>
      </c>
      <c r="B100" s="3" t="s">
        <v>285</v>
      </c>
      <c r="C100" s="94"/>
      <c r="D100" s="85">
        <v>7949.1</v>
      </c>
    </row>
    <row r="101" spans="1:5">
      <c r="A101" s="97">
        <v>45447</v>
      </c>
      <c r="B101" s="3" t="s">
        <v>294</v>
      </c>
      <c r="C101" s="94">
        <v>240</v>
      </c>
      <c r="E101" s="85">
        <v>-240</v>
      </c>
    </row>
    <row r="102" spans="1:5">
      <c r="A102" s="97">
        <v>45447</v>
      </c>
      <c r="B102" s="3" t="s">
        <v>340</v>
      </c>
      <c r="C102" s="94"/>
      <c r="E102" s="85">
        <v>-70</v>
      </c>
    </row>
    <row r="103" spans="1:5">
      <c r="A103" s="97">
        <v>45447</v>
      </c>
      <c r="B103" s="3" t="s">
        <v>285</v>
      </c>
      <c r="C103" s="94"/>
      <c r="D103" s="85">
        <v>11998.63</v>
      </c>
    </row>
    <row r="104" spans="1:5">
      <c r="A104" s="20">
        <v>45448</v>
      </c>
      <c r="B104" s="3" t="s">
        <v>294</v>
      </c>
      <c r="C104">
        <v>280</v>
      </c>
      <c r="E104" s="85">
        <v>-280</v>
      </c>
    </row>
    <row r="105" spans="1:5">
      <c r="A105" s="20">
        <v>45448</v>
      </c>
      <c r="B105" s="3" t="s">
        <v>348</v>
      </c>
    </row>
    <row r="106" spans="1:5">
      <c r="A106" s="20">
        <v>45449</v>
      </c>
      <c r="B106" s="3" t="s">
        <v>294</v>
      </c>
      <c r="C106">
        <v>300</v>
      </c>
      <c r="E106" s="85">
        <v>-300</v>
      </c>
    </row>
    <row r="107" spans="1:5">
      <c r="A107" s="20">
        <v>45449</v>
      </c>
      <c r="B107" s="3" t="s">
        <v>341</v>
      </c>
      <c r="E107" s="85">
        <v>-84.7</v>
      </c>
    </row>
    <row r="108" spans="1:5">
      <c r="A108" s="20">
        <v>45450</v>
      </c>
      <c r="B108" s="3" t="s">
        <v>294</v>
      </c>
      <c r="C108">
        <v>300</v>
      </c>
      <c r="E108" s="85">
        <v>-300</v>
      </c>
    </row>
    <row r="109" spans="1:5">
      <c r="A109" s="20">
        <v>45450</v>
      </c>
      <c r="B109" s="3" t="s">
        <v>346</v>
      </c>
      <c r="E109" s="85">
        <v>-80</v>
      </c>
    </row>
    <row r="110" spans="1:5">
      <c r="A110" s="20">
        <v>45451</v>
      </c>
      <c r="B110" s="3" t="s">
        <v>294</v>
      </c>
      <c r="C110">
        <v>250</v>
      </c>
      <c r="E110" s="85">
        <v>-250</v>
      </c>
    </row>
    <row r="111" spans="1:5">
      <c r="A111" s="20">
        <v>45451</v>
      </c>
      <c r="B111" s="3" t="s">
        <v>340</v>
      </c>
      <c r="E111" s="85">
        <v>-145</v>
      </c>
    </row>
    <row r="112" spans="1:5">
      <c r="A112" s="20">
        <v>45454</v>
      </c>
      <c r="B112" s="3" t="s">
        <v>294</v>
      </c>
      <c r="C112">
        <v>400</v>
      </c>
      <c r="E112" s="85">
        <v>-400</v>
      </c>
    </row>
    <row r="113" spans="1:5">
      <c r="A113" s="20">
        <v>45455</v>
      </c>
      <c r="B113" s="3" t="s">
        <v>349</v>
      </c>
      <c r="E113" s="85">
        <v>-300</v>
      </c>
    </row>
    <row r="114" spans="1:5">
      <c r="A114" s="20">
        <v>45456</v>
      </c>
      <c r="B114" s="3" t="s">
        <v>294</v>
      </c>
      <c r="C114">
        <v>300</v>
      </c>
      <c r="E114" s="85">
        <v>-300</v>
      </c>
    </row>
    <row r="115" spans="1:5">
      <c r="A115" s="20">
        <v>45456</v>
      </c>
      <c r="B115" s="3" t="s">
        <v>340</v>
      </c>
      <c r="E115" s="85">
        <v>-70</v>
      </c>
    </row>
    <row r="116" spans="1:5">
      <c r="A116" s="20">
        <v>45459</v>
      </c>
      <c r="B116" s="3" t="s">
        <v>346</v>
      </c>
      <c r="E116" s="85">
        <v>-80</v>
      </c>
    </row>
    <row r="117" spans="1:5">
      <c r="A117" s="20">
        <v>45460</v>
      </c>
      <c r="B117" s="3" t="s">
        <v>341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346</v>
      </c>
      <c r="E119" s="85">
        <v>-80</v>
      </c>
    </row>
    <row r="120" spans="1:5">
      <c r="A120" s="20">
        <v>45464</v>
      </c>
      <c r="B120" s="3" t="s">
        <v>350</v>
      </c>
      <c r="E120" s="85">
        <v>-105</v>
      </c>
    </row>
    <row r="121" spans="1:5">
      <c r="A121" s="20">
        <v>45464</v>
      </c>
      <c r="B121" s="3" t="s">
        <v>351</v>
      </c>
      <c r="E121" s="85">
        <v>-800</v>
      </c>
    </row>
    <row r="122" spans="1:5">
      <c r="A122" s="20">
        <v>45464</v>
      </c>
      <c r="B122" s="3" t="s">
        <v>352</v>
      </c>
      <c r="E122" s="85">
        <v>-277.5</v>
      </c>
    </row>
    <row r="123" spans="1:5">
      <c r="A123" s="20">
        <v>45465</v>
      </c>
      <c r="B123" s="3" t="s">
        <v>353</v>
      </c>
      <c r="E123" s="85">
        <v>-200</v>
      </c>
    </row>
    <row r="124" spans="1:5">
      <c r="A124" s="20">
        <v>45466</v>
      </c>
      <c r="B124" s="3" t="s">
        <v>354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355</v>
      </c>
      <c r="E126" s="85">
        <v>-650</v>
      </c>
    </row>
    <row r="127" spans="1:5">
      <c r="A127" s="20">
        <v>45466</v>
      </c>
      <c r="B127" s="3" t="s">
        <v>356</v>
      </c>
      <c r="E127" s="85">
        <v>-134.33000000000001</v>
      </c>
    </row>
    <row r="128" spans="1:5">
      <c r="A128" s="20">
        <v>45467</v>
      </c>
      <c r="B128" s="3" t="s">
        <v>357</v>
      </c>
      <c r="E128" s="85">
        <v>-28.05</v>
      </c>
    </row>
    <row r="129" spans="1:5">
      <c r="A129" s="20">
        <v>45467</v>
      </c>
      <c r="B129" s="3" t="s">
        <v>358</v>
      </c>
      <c r="E129" s="85">
        <v>-28.05</v>
      </c>
    </row>
    <row r="130" spans="1:5">
      <c r="A130" s="20">
        <v>45467</v>
      </c>
      <c r="B130" s="3" t="s">
        <v>359</v>
      </c>
      <c r="E130" s="85">
        <v>-186.98</v>
      </c>
    </row>
    <row r="131" spans="1:5" ht="15">
      <c r="B131" s="70" t="s">
        <v>360</v>
      </c>
      <c r="C131" s="3">
        <f>SUM(C86:C130)</f>
        <v>3320</v>
      </c>
      <c r="E131" s="108" t="s">
        <v>286</v>
      </c>
    </row>
    <row r="132" spans="1:5">
      <c r="B132" s="3" t="s">
        <v>361</v>
      </c>
    </row>
    <row r="133" spans="1:5">
      <c r="A133" s="76" t="s">
        <v>362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310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311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312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313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314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315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316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317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318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319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320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96"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363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364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365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366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367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368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369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370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371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372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373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322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271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374</v>
      </c>
      <c r="C44" t="s">
        <v>375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376</v>
      </c>
      <c r="C53" s="94">
        <v>7648.33</v>
      </c>
      <c r="D53" s="85" t="s">
        <v>377</v>
      </c>
      <c r="E53" s="85">
        <v>-849.85</v>
      </c>
      <c r="F53" s="85">
        <v>0</v>
      </c>
    </row>
    <row r="54" spans="1:6">
      <c r="A54" s="20">
        <v>45348</v>
      </c>
      <c r="B54" t="s">
        <v>258</v>
      </c>
      <c r="C54">
        <v>1406</v>
      </c>
      <c r="D54" s="85" t="s">
        <v>378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379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379</v>
      </c>
      <c r="E56" s="85">
        <v>-666.56</v>
      </c>
      <c r="F56" s="85">
        <v>0</v>
      </c>
    </row>
    <row r="57" spans="1:6">
      <c r="A57" s="20">
        <v>45358</v>
      </c>
      <c r="B57" t="s">
        <v>261</v>
      </c>
      <c r="C57">
        <v>2273</v>
      </c>
      <c r="D57" s="85" t="s">
        <v>378</v>
      </c>
      <c r="E57" s="85">
        <v>-378.87</v>
      </c>
      <c r="F57" s="85">
        <v>0</v>
      </c>
    </row>
    <row r="58" spans="1:6">
      <c r="A58" s="20">
        <v>45371</v>
      </c>
      <c r="B58" t="s">
        <v>262</v>
      </c>
      <c r="D58" s="85" t="s">
        <v>378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380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381</v>
      </c>
      <c r="E61" s="85">
        <v>-890</v>
      </c>
      <c r="F61" s="85">
        <v>0</v>
      </c>
    </row>
    <row r="62" spans="1:6" ht="15">
      <c r="A62" s="97">
        <v>45418</v>
      </c>
      <c r="B62" s="103" t="s">
        <v>285</v>
      </c>
      <c r="C62" s="94">
        <v>4278.51</v>
      </c>
      <c r="D62" s="109"/>
      <c r="E62" s="108" t="s">
        <v>286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334</v>
      </c>
      <c r="C67" s="94"/>
      <c r="D67" s="85" t="s">
        <v>382</v>
      </c>
      <c r="E67" s="85">
        <v>-3551.66</v>
      </c>
    </row>
    <row r="68" spans="1:6">
      <c r="A68" s="97"/>
      <c r="B68" s="3" t="s">
        <v>287</v>
      </c>
      <c r="C68" s="94"/>
      <c r="D68" s="85" t="s">
        <v>383</v>
      </c>
      <c r="E68" s="85">
        <v>-649.78</v>
      </c>
    </row>
    <row r="69" spans="1:6">
      <c r="A69" s="97"/>
      <c r="B69" s="3" t="s">
        <v>289</v>
      </c>
      <c r="C69" s="94">
        <v>49.98</v>
      </c>
      <c r="D69" s="85" t="s">
        <v>383</v>
      </c>
    </row>
    <row r="70" spans="1:6">
      <c r="A70" s="97"/>
      <c r="B70" s="3"/>
      <c r="C70" s="94"/>
    </row>
    <row r="71" spans="1:6">
      <c r="A71" s="97">
        <v>45408</v>
      </c>
      <c r="B71" s="3" t="s">
        <v>384</v>
      </c>
      <c r="C71" s="94"/>
      <c r="E71" s="85">
        <v>-1407.23</v>
      </c>
    </row>
    <row r="72" spans="1:6">
      <c r="A72" s="97">
        <v>45420</v>
      </c>
      <c r="B72" s="3" t="s">
        <v>348</v>
      </c>
      <c r="C72" s="94">
        <v>300</v>
      </c>
    </row>
    <row r="73" spans="1:6">
      <c r="A73" s="97">
        <v>45426</v>
      </c>
      <c r="B73" s="3" t="s">
        <v>385</v>
      </c>
      <c r="C73" s="94"/>
      <c r="E73" s="85">
        <v>-1469</v>
      </c>
    </row>
    <row r="74" spans="1:6">
      <c r="A74" s="97">
        <v>45426</v>
      </c>
      <c r="B74" s="3" t="s">
        <v>386</v>
      </c>
      <c r="C74" s="94"/>
      <c r="E74" s="85">
        <v>-1453</v>
      </c>
    </row>
    <row r="75" spans="1:6">
      <c r="A75" s="97">
        <v>45427</v>
      </c>
      <c r="B75" s="3" t="s">
        <v>387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388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389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390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391</v>
      </c>
      <c r="C80" s="94" t="s">
        <v>392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393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394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395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396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396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338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285</v>
      </c>
      <c r="C87" s="94">
        <v>23491.02</v>
      </c>
    </row>
    <row r="88" spans="1:6">
      <c r="A88" s="97">
        <v>45420</v>
      </c>
      <c r="B88" s="3" t="s">
        <v>341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397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341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391</v>
      </c>
      <c r="C91" s="94" t="s">
        <v>392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391</v>
      </c>
      <c r="C92" s="94" t="s">
        <v>392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398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399</v>
      </c>
      <c r="C94" s="94">
        <v>95.08</v>
      </c>
      <c r="F94" s="85">
        <v>0</v>
      </c>
    </row>
    <row r="95" spans="1:6">
      <c r="A95" s="20">
        <v>45427</v>
      </c>
      <c r="B95" s="3" t="s">
        <v>400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401</v>
      </c>
      <c r="C96">
        <v>1.26</v>
      </c>
      <c r="F96" s="85">
        <v>0</v>
      </c>
    </row>
    <row r="97" spans="1:6">
      <c r="A97" s="20">
        <v>45427</v>
      </c>
      <c r="B97" s="3" t="s">
        <v>402</v>
      </c>
      <c r="E97" s="85">
        <v>-16</v>
      </c>
      <c r="F97" s="85">
        <v>0</v>
      </c>
    </row>
    <row r="98" spans="1:6">
      <c r="A98" s="20">
        <v>45427</v>
      </c>
      <c r="B98" s="3" t="s">
        <v>403</v>
      </c>
      <c r="E98" s="85">
        <v>-375</v>
      </c>
      <c r="F98" s="85">
        <v>0</v>
      </c>
    </row>
    <row r="99" spans="1:6">
      <c r="A99" s="20">
        <v>45427</v>
      </c>
      <c r="B99" s="3" t="s">
        <v>402</v>
      </c>
      <c r="E99" s="85">
        <v>-11.5</v>
      </c>
      <c r="F99" s="85">
        <v>0</v>
      </c>
    </row>
    <row r="100" spans="1:6">
      <c r="A100" s="20">
        <v>45428</v>
      </c>
      <c r="B100" s="3" t="s">
        <v>404</v>
      </c>
      <c r="E100" s="85">
        <v>-500</v>
      </c>
      <c r="F100" s="85">
        <v>0</v>
      </c>
    </row>
    <row r="101" spans="1:6">
      <c r="A101" s="20">
        <v>45428</v>
      </c>
      <c r="B101" s="3" t="s">
        <v>405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405</v>
      </c>
      <c r="E102" s="85">
        <v>-169.99</v>
      </c>
      <c r="F102" s="85">
        <v>0</v>
      </c>
    </row>
    <row r="103" spans="1:6">
      <c r="A103" s="20">
        <v>45430</v>
      </c>
      <c r="B103" s="3" t="s">
        <v>406</v>
      </c>
      <c r="E103" s="85">
        <v>-330</v>
      </c>
      <c r="F103" s="85">
        <v>0</v>
      </c>
    </row>
    <row r="104" spans="1:6">
      <c r="A104" s="20">
        <v>45430</v>
      </c>
      <c r="B104" s="3" t="s">
        <v>405</v>
      </c>
      <c r="E104" s="85">
        <v>-139.9</v>
      </c>
      <c r="F104" s="85">
        <v>0</v>
      </c>
    </row>
    <row r="105" spans="1:6">
      <c r="A105" s="20">
        <v>45430</v>
      </c>
      <c r="B105" s="3" t="s">
        <v>404</v>
      </c>
      <c r="E105" s="85">
        <v>-500</v>
      </c>
      <c r="F105" s="85">
        <v>0</v>
      </c>
    </row>
    <row r="106" spans="1:6">
      <c r="A106" s="20">
        <v>45431</v>
      </c>
      <c r="B106" s="3" t="s">
        <v>407</v>
      </c>
      <c r="E106" s="85">
        <v>-266</v>
      </c>
      <c r="F106" s="85">
        <v>0</v>
      </c>
    </row>
    <row r="107" spans="1:6">
      <c r="A107" s="20">
        <v>45432</v>
      </c>
      <c r="B107" s="3" t="s">
        <v>407</v>
      </c>
      <c r="E107" s="85">
        <v>-22.1</v>
      </c>
      <c r="F107" s="85">
        <v>0</v>
      </c>
    </row>
    <row r="108" spans="1:6">
      <c r="A108" s="20">
        <v>45432</v>
      </c>
      <c r="B108" s="3" t="s">
        <v>402</v>
      </c>
      <c r="E108" s="85">
        <v>-11.5</v>
      </c>
      <c r="F108" s="85">
        <v>0</v>
      </c>
    </row>
    <row r="109" spans="1:6">
      <c r="A109" s="20">
        <v>45432</v>
      </c>
      <c r="B109" s="3" t="s">
        <v>403</v>
      </c>
      <c r="E109" s="85">
        <v>-335</v>
      </c>
      <c r="F109" s="85">
        <v>0</v>
      </c>
    </row>
    <row r="110" spans="1:6">
      <c r="A110" s="20">
        <v>45432</v>
      </c>
      <c r="B110" s="3" t="s">
        <v>402</v>
      </c>
      <c r="E110" s="85">
        <v>-11.5</v>
      </c>
      <c r="F110" s="85">
        <v>0</v>
      </c>
    </row>
    <row r="111" spans="1:6">
      <c r="A111" s="20">
        <v>45432</v>
      </c>
      <c r="B111" s="3" t="s">
        <v>408</v>
      </c>
      <c r="E111" s="85">
        <v>-650</v>
      </c>
      <c r="F111" s="85">
        <v>0</v>
      </c>
    </row>
    <row r="112" spans="1:6">
      <c r="A112" s="20">
        <v>45435</v>
      </c>
      <c r="B112" s="3" t="s">
        <v>391</v>
      </c>
      <c r="C112" t="s">
        <v>392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409</v>
      </c>
      <c r="E113" s="85">
        <v>-550</v>
      </c>
      <c r="F113" s="85">
        <v>0</v>
      </c>
    </row>
    <row r="114" spans="1:6" ht="15">
      <c r="A114" s="20"/>
      <c r="B114" s="3"/>
      <c r="C114" s="118" t="s">
        <v>360</v>
      </c>
      <c r="D114" s="119">
        <f>SUM(D79:D113)</f>
        <v>-1050</v>
      </c>
      <c r="E114" s="108" t="s">
        <v>286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410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310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311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312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313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316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317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411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319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412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413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414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415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416</v>
      </c>
      <c r="D8" s="86" t="s">
        <v>417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418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419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419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420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376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258</v>
      </c>
      <c r="C44">
        <v>1406</v>
      </c>
      <c r="D44" s="85" t="s">
        <v>421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422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423</v>
      </c>
      <c r="E46" s="85">
        <v>-666.56</v>
      </c>
    </row>
    <row r="47" spans="1:5">
      <c r="A47" s="20">
        <v>45358</v>
      </c>
      <c r="B47" t="s">
        <v>261</v>
      </c>
      <c r="C47">
        <v>2273</v>
      </c>
      <c r="D47" s="85" t="s">
        <v>421</v>
      </c>
      <c r="E47" s="85">
        <v>-378.87</v>
      </c>
    </row>
    <row r="48" spans="1:5">
      <c r="A48" s="20">
        <v>45371</v>
      </c>
      <c r="B48" t="s">
        <v>262</v>
      </c>
      <c r="D48" s="85" t="s">
        <v>424</v>
      </c>
      <c r="E48" s="85">
        <v>101.77</v>
      </c>
    </row>
    <row r="49" spans="1:5">
      <c r="A49" s="20">
        <v>45377</v>
      </c>
      <c r="B49" t="s">
        <v>425</v>
      </c>
      <c r="D49" s="85" t="s">
        <v>426</v>
      </c>
    </row>
    <row r="50" spans="1:5">
      <c r="A50" s="97"/>
      <c r="B50" s="103" t="s">
        <v>427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428</v>
      </c>
      <c r="E52" s="85">
        <v>-790</v>
      </c>
    </row>
    <row r="53" spans="1:5">
      <c r="A53" s="97"/>
      <c r="B53" s="103" t="s">
        <v>429</v>
      </c>
      <c r="C53" s="94"/>
      <c r="E53" s="85">
        <v>-240</v>
      </c>
    </row>
    <row r="54" spans="1:5" ht="15">
      <c r="A54" s="97"/>
      <c r="B54" s="103"/>
      <c r="C54" s="94"/>
      <c r="D54" s="108" t="s">
        <v>286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334</v>
      </c>
      <c r="C59" s="94"/>
      <c r="D59" s="85" t="s">
        <v>430</v>
      </c>
      <c r="E59" s="85">
        <v>-3551.66</v>
      </c>
    </row>
    <row r="60" spans="1:5">
      <c r="A60" s="97"/>
      <c r="B60" s="3" t="s">
        <v>287</v>
      </c>
      <c r="C60" s="94"/>
      <c r="D60" s="85" t="s">
        <v>431</v>
      </c>
      <c r="E60" s="85">
        <v>-649.78</v>
      </c>
    </row>
    <row r="61" spans="1:5">
      <c r="A61" s="97"/>
      <c r="B61" s="3" t="s">
        <v>289</v>
      </c>
      <c r="C61" s="94">
        <v>49.98</v>
      </c>
      <c r="D61" s="85" t="s">
        <v>431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432</v>
      </c>
      <c r="C64" s="94"/>
      <c r="E64" s="85">
        <v>-500</v>
      </c>
    </row>
    <row r="65" spans="1:5">
      <c r="A65" s="97">
        <v>45398</v>
      </c>
      <c r="B65" s="3" t="s">
        <v>433</v>
      </c>
      <c r="C65" s="94"/>
      <c r="E65" s="85">
        <v>-400</v>
      </c>
    </row>
    <row r="66" spans="1:5">
      <c r="A66" s="97">
        <v>45398</v>
      </c>
      <c r="B66" s="3" t="s">
        <v>302</v>
      </c>
      <c r="C66" s="94"/>
      <c r="E66" s="85">
        <v>-48.5</v>
      </c>
    </row>
    <row r="67" spans="1:5">
      <c r="A67" s="97">
        <v>45398</v>
      </c>
      <c r="B67" s="3" t="s">
        <v>433</v>
      </c>
      <c r="C67" s="94"/>
      <c r="E67" s="85">
        <v>-871.29</v>
      </c>
    </row>
    <row r="68" spans="1:5">
      <c r="A68" s="97">
        <v>45398</v>
      </c>
      <c r="B68" s="3" t="s">
        <v>433</v>
      </c>
      <c r="C68" s="94"/>
      <c r="E68" s="85">
        <v>-810.42</v>
      </c>
    </row>
    <row r="69" spans="1:5">
      <c r="A69" s="97">
        <v>45397</v>
      </c>
      <c r="B69" s="3" t="s">
        <v>391</v>
      </c>
      <c r="C69" s="94">
        <v>240</v>
      </c>
      <c r="E69" s="85">
        <v>-240</v>
      </c>
    </row>
    <row r="70" spans="1:5">
      <c r="A70" s="97">
        <v>45388</v>
      </c>
      <c r="B70" s="3" t="s">
        <v>434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391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302</v>
      </c>
      <c r="C76" s="94"/>
      <c r="E76" s="85">
        <v>-34.6</v>
      </c>
    </row>
    <row r="77" spans="1:5">
      <c r="A77" s="97">
        <v>24.4</v>
      </c>
      <c r="B77" s="3" t="s">
        <v>302</v>
      </c>
      <c r="C77" s="94"/>
      <c r="E77" s="85">
        <v>-370.4</v>
      </c>
    </row>
    <row r="78" spans="1:5">
      <c r="A78" s="97">
        <v>45405</v>
      </c>
      <c r="B78" s="3" t="s">
        <v>435</v>
      </c>
      <c r="C78" s="94"/>
      <c r="E78" s="85">
        <v>-1306.8800000000001</v>
      </c>
    </row>
    <row r="79" spans="1:5">
      <c r="A79" s="97">
        <v>45387</v>
      </c>
      <c r="B79" s="3" t="s">
        <v>436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1496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286</v>
      </c>
    </row>
    <row r="101" spans="1:5">
      <c r="A101" s="76" t="s">
        <v>437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310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311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312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313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316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317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411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319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412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15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438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439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440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441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442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443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416</v>
      </c>
      <c r="D10" s="85" t="s">
        <v>444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445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446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447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447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448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449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450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451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452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452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452</v>
      </c>
      <c r="C27" t="s">
        <v>453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452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454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455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456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457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458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459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376</v>
      </c>
      <c r="C67" s="94">
        <v>7648.33</v>
      </c>
      <c r="D67" s="85" t="s">
        <v>253</v>
      </c>
      <c r="E67" s="85">
        <v>-849.81</v>
      </c>
    </row>
    <row r="68" spans="1:5">
      <c r="A68" s="20">
        <v>45348</v>
      </c>
      <c r="B68" t="s">
        <v>258</v>
      </c>
      <c r="C68">
        <v>1406</v>
      </c>
      <c r="D68" s="85" t="s">
        <v>460</v>
      </c>
      <c r="E68" s="85">
        <v>-234.33</v>
      </c>
    </row>
    <row r="69" spans="1:5">
      <c r="A69" s="20">
        <v>45358</v>
      </c>
      <c r="B69" t="s">
        <v>261</v>
      </c>
      <c r="C69">
        <v>2273</v>
      </c>
      <c r="D69" s="85" t="s">
        <v>460</v>
      </c>
      <c r="E69" s="85">
        <v>-378.87</v>
      </c>
    </row>
    <row r="70" spans="1:5">
      <c r="A70" s="20">
        <v>45371</v>
      </c>
      <c r="B70" t="s">
        <v>262</v>
      </c>
      <c r="D70" s="85" t="s">
        <v>461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462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462</v>
      </c>
      <c r="E72" s="85">
        <v>-666.56</v>
      </c>
    </row>
    <row r="73" spans="1:5">
      <c r="A73" s="20"/>
    </row>
    <row r="74" spans="1:5">
      <c r="A74" s="20">
        <v>45347</v>
      </c>
      <c r="B74" t="s">
        <v>463</v>
      </c>
      <c r="E74" s="85">
        <v>-343</v>
      </c>
    </row>
    <row r="75" spans="1:5">
      <c r="A75" s="97">
        <v>45348</v>
      </c>
      <c r="B75" s="94" t="s">
        <v>464</v>
      </c>
      <c r="C75" s="94"/>
      <c r="E75" s="85">
        <v>-150</v>
      </c>
    </row>
    <row r="76" spans="1:5">
      <c r="A76" s="97">
        <v>45351</v>
      </c>
      <c r="B76" s="94" t="s">
        <v>465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466</v>
      </c>
      <c r="C78" s="94"/>
      <c r="E78" s="85">
        <v>-600</v>
      </c>
    </row>
    <row r="79" spans="1:5">
      <c r="A79" s="97">
        <v>45354</v>
      </c>
      <c r="B79" s="103" t="s">
        <v>467</v>
      </c>
      <c r="C79" s="94"/>
      <c r="E79" s="85">
        <v>-330</v>
      </c>
    </row>
    <row r="80" spans="1:5">
      <c r="A80" s="97">
        <v>45355</v>
      </c>
      <c r="B80" s="103" t="s">
        <v>468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338</v>
      </c>
      <c r="C81" s="94"/>
      <c r="E81" s="85">
        <v>-50</v>
      </c>
    </row>
    <row r="82" spans="1:5">
      <c r="A82" s="97">
        <v>45356</v>
      </c>
      <c r="B82" s="103" t="s">
        <v>468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469</v>
      </c>
      <c r="C83" s="94"/>
      <c r="E83" s="85">
        <v>-160</v>
      </c>
    </row>
    <row r="84" spans="1:5">
      <c r="A84" s="97">
        <v>45357</v>
      </c>
      <c r="B84" s="103" t="s">
        <v>285</v>
      </c>
      <c r="C84" s="94">
        <v>6341.66</v>
      </c>
    </row>
    <row r="85" spans="1:5">
      <c r="A85" s="97">
        <v>45361</v>
      </c>
      <c r="B85" s="103" t="s">
        <v>341</v>
      </c>
      <c r="E85" s="85">
        <v>-294.14</v>
      </c>
    </row>
    <row r="86" spans="1:5">
      <c r="A86" s="97">
        <v>45358</v>
      </c>
      <c r="B86" s="103" t="s">
        <v>468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470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471</v>
      </c>
      <c r="C90" s="94"/>
      <c r="E90" s="85">
        <v>500</v>
      </c>
    </row>
    <row r="91" spans="1:5" ht="15">
      <c r="A91" s="97">
        <v>45374</v>
      </c>
      <c r="B91" s="103" t="s">
        <v>471</v>
      </c>
      <c r="D91" s="108" t="s">
        <v>286</v>
      </c>
    </row>
    <row r="92" spans="1:5" ht="15">
      <c r="A92" s="97"/>
      <c r="B92" s="37" t="s">
        <v>360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472</v>
      </c>
      <c r="D99" s="85" t="s">
        <v>473</v>
      </c>
      <c r="E99" s="85">
        <v>-600</v>
      </c>
    </row>
    <row r="100" spans="1:6">
      <c r="A100" s="96">
        <v>45285</v>
      </c>
      <c r="B100" s="94" t="s">
        <v>334</v>
      </c>
      <c r="C100" s="94"/>
      <c r="D100" s="85" t="s">
        <v>474</v>
      </c>
      <c r="E100" s="85">
        <v>-3551.66</v>
      </c>
      <c r="F100" s="85">
        <v>0</v>
      </c>
    </row>
    <row r="101" spans="1:6">
      <c r="A101" s="97"/>
      <c r="B101" s="3" t="s">
        <v>475</v>
      </c>
      <c r="C101" s="94"/>
      <c r="D101" s="85" t="s">
        <v>476</v>
      </c>
      <c r="E101" s="85">
        <v>-649.78</v>
      </c>
      <c r="F101" s="85">
        <v>0</v>
      </c>
    </row>
    <row r="102" spans="1:6">
      <c r="A102" s="97"/>
      <c r="B102" s="3" t="s">
        <v>289</v>
      </c>
      <c r="C102" s="94">
        <v>49.98</v>
      </c>
      <c r="D102" s="85" t="s">
        <v>476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477</v>
      </c>
      <c r="C104" s="94"/>
      <c r="E104" s="85">
        <v>-1750</v>
      </c>
    </row>
    <row r="105" spans="1:6" ht="15">
      <c r="A105" s="97"/>
      <c r="B105" s="3"/>
      <c r="C105" s="94"/>
      <c r="D105" s="108" t="s">
        <v>286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478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310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311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312</v>
      </c>
      <c r="C119" s="2" t="s">
        <v>479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317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411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319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412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topLeftCell="A7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480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481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482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483</v>
      </c>
      <c r="C10" t="s">
        <v>484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483</v>
      </c>
      <c r="C11" t="s">
        <v>484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485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485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486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487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488</v>
      </c>
      <c r="C37" t="s">
        <v>489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490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376</v>
      </c>
      <c r="C47" s="94">
        <v>7648.33</v>
      </c>
      <c r="D47" s="102" t="s">
        <v>491</v>
      </c>
      <c r="E47" s="85">
        <v>-849.81</v>
      </c>
      <c r="G47" s="65"/>
      <c r="H47" s="65"/>
    </row>
    <row r="48" spans="1:8">
      <c r="A48" s="97">
        <v>45187</v>
      </c>
      <c r="B48" s="94" t="s">
        <v>492</v>
      </c>
      <c r="C48" s="94">
        <v>11128</v>
      </c>
      <c r="D48" s="102" t="s">
        <v>259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341</v>
      </c>
      <c r="E49" s="85">
        <v>-453.4</v>
      </c>
      <c r="G49" s="65"/>
      <c r="H49" s="65"/>
    </row>
    <row r="50" spans="1:8">
      <c r="A50" s="20">
        <v>45326</v>
      </c>
      <c r="B50" t="s">
        <v>493</v>
      </c>
      <c r="E50" s="85">
        <v>-300</v>
      </c>
      <c r="G50" s="65"/>
      <c r="H50" s="65"/>
    </row>
    <row r="51" spans="1:8">
      <c r="A51" s="20">
        <v>45327</v>
      </c>
      <c r="B51" t="s">
        <v>285</v>
      </c>
      <c r="C51">
        <v>3900.57</v>
      </c>
      <c r="G51" s="65"/>
      <c r="H51" s="65"/>
    </row>
    <row r="52" spans="1:8">
      <c r="A52" s="20">
        <v>45330</v>
      </c>
      <c r="B52" t="s">
        <v>494</v>
      </c>
      <c r="E52" s="85">
        <v>-900</v>
      </c>
      <c r="G52" s="65"/>
      <c r="H52" s="65"/>
    </row>
    <row r="53" spans="1:8">
      <c r="A53" s="20">
        <v>45330</v>
      </c>
      <c r="B53" t="s">
        <v>495</v>
      </c>
      <c r="E53" s="85">
        <v>-116.38</v>
      </c>
      <c r="G53" s="65"/>
      <c r="H53" s="65"/>
    </row>
    <row r="54" spans="1:8">
      <c r="A54" s="97">
        <v>45331</v>
      </c>
      <c r="B54" s="94" t="s">
        <v>468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496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468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497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498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468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468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286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499</v>
      </c>
      <c r="C67" s="94"/>
      <c r="D67" s="102" t="s">
        <v>500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472</v>
      </c>
      <c r="D68" s="102" t="s">
        <v>501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334</v>
      </c>
      <c r="C69" s="94"/>
      <c r="D69" s="102" t="s">
        <v>502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503</v>
      </c>
      <c r="C70" s="113">
        <v>-1204.5</v>
      </c>
      <c r="D70" s="102" t="s">
        <v>504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-148.6</v>
      </c>
      <c r="D71" s="102" t="s">
        <v>504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-244.8</v>
      </c>
      <c r="D72" s="102" t="s">
        <v>504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507</v>
      </c>
      <c r="C73" s="113">
        <v>-532.6</v>
      </c>
      <c r="D73" s="102" t="s">
        <v>504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508</v>
      </c>
      <c r="E74" s="85">
        <v>-449.5</v>
      </c>
      <c r="F74" s="65"/>
      <c r="G74" s="65"/>
      <c r="H74" s="65"/>
    </row>
    <row r="75" spans="1:8">
      <c r="A75" s="96"/>
      <c r="B75" s="94" t="s">
        <v>509</v>
      </c>
      <c r="C75" s="94"/>
      <c r="D75" s="130" t="s">
        <v>508</v>
      </c>
      <c r="E75" s="85">
        <v>-299.64</v>
      </c>
      <c r="F75" s="65"/>
      <c r="G75" s="65"/>
      <c r="H75" s="65"/>
    </row>
    <row r="76" spans="1:8">
      <c r="A76" s="96"/>
      <c r="B76" s="94" t="s">
        <v>510</v>
      </c>
      <c r="C76" s="94"/>
      <c r="D76" s="130" t="s">
        <v>508</v>
      </c>
      <c r="E76" s="85">
        <v>-546.82000000000005</v>
      </c>
      <c r="F76" s="65"/>
      <c r="G76" s="65"/>
      <c r="H76" s="65"/>
    </row>
    <row r="77" spans="1:8">
      <c r="A77" s="97"/>
      <c r="B77" s="3" t="s">
        <v>287</v>
      </c>
      <c r="C77" s="94"/>
      <c r="D77" s="130" t="s">
        <v>511</v>
      </c>
      <c r="E77" s="85">
        <v>-649.78</v>
      </c>
      <c r="F77" s="65"/>
      <c r="G77" s="65"/>
      <c r="H77" s="65"/>
    </row>
    <row r="78" spans="1:8">
      <c r="A78" s="97"/>
      <c r="B78" s="3" t="s">
        <v>289</v>
      </c>
      <c r="C78" s="94">
        <v>49.98</v>
      </c>
      <c r="D78" s="130" t="s">
        <v>511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512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513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514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285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286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515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516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311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312</v>
      </c>
      <c r="C116" s="2" t="s">
        <v>517</v>
      </c>
      <c r="D116" s="2"/>
      <c r="E116" s="13">
        <v>129254.5</v>
      </c>
    </row>
    <row r="117" spans="1:5">
      <c r="A117" s="81">
        <f t="shared" si="1"/>
        <v>45352</v>
      </c>
      <c r="B117" t="s">
        <v>518</v>
      </c>
      <c r="C117" s="2" t="s">
        <v>519</v>
      </c>
      <c r="D117" s="2"/>
      <c r="E117" s="13">
        <v>256.56</v>
      </c>
    </row>
    <row r="118" spans="1:5">
      <c r="A118" s="81">
        <f t="shared" si="1"/>
        <v>45352</v>
      </c>
      <c r="B118" t="s">
        <v>520</v>
      </c>
      <c r="C118" s="81" t="s">
        <v>521</v>
      </c>
      <c r="D118" s="82"/>
      <c r="E118" s="13">
        <v>0</v>
      </c>
    </row>
    <row r="119" spans="1:5">
      <c r="A119" s="81">
        <f t="shared" si="1"/>
        <v>45352</v>
      </c>
      <c r="B119" t="s">
        <v>522</v>
      </c>
      <c r="C119" s="81" t="s">
        <v>523</v>
      </c>
      <c r="D119" s="82"/>
      <c r="E119" s="13">
        <v>588.6</v>
      </c>
    </row>
    <row r="120" spans="1:5">
      <c r="A120" s="81">
        <f t="shared" si="1"/>
        <v>45352</v>
      </c>
      <c r="B120" t="s">
        <v>524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525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526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319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527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14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528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529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530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531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532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532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533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534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535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536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537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486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538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539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540</v>
      </c>
      <c r="C50" s="94">
        <v>10764.57</v>
      </c>
      <c r="D50" s="37" t="s">
        <v>541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376</v>
      </c>
      <c r="C51" s="94">
        <v>7648.33</v>
      </c>
      <c r="D51" s="139" t="s">
        <v>542</v>
      </c>
      <c r="E51" s="110">
        <v>-849.81</v>
      </c>
      <c r="G51" s="65"/>
      <c r="H51" s="65"/>
    </row>
    <row r="52" spans="1:8">
      <c r="A52" s="97">
        <v>45187</v>
      </c>
      <c r="B52" s="94" t="s">
        <v>492</v>
      </c>
      <c r="C52" s="94">
        <v>11128</v>
      </c>
      <c r="D52" s="139" t="s">
        <v>279</v>
      </c>
      <c r="E52" s="110">
        <v>-1854.67</v>
      </c>
      <c r="G52" s="65"/>
      <c r="H52" s="65"/>
    </row>
    <row r="53" spans="1:8" ht="15">
      <c r="D53" s="108" t="s">
        <v>286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499</v>
      </c>
      <c r="C66" s="94"/>
      <c r="D66" t="s">
        <v>543</v>
      </c>
      <c r="E66" s="110">
        <v>-3974.44</v>
      </c>
      <c r="G66" s="65"/>
      <c r="H66" s="65"/>
    </row>
    <row r="67" spans="1:8">
      <c r="A67" s="96">
        <v>45214</v>
      </c>
      <c r="B67" t="s">
        <v>472</v>
      </c>
      <c r="D67" t="s">
        <v>544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334</v>
      </c>
      <c r="C68" s="94"/>
      <c r="D68" t="s">
        <v>545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503</v>
      </c>
      <c r="C69" s="113">
        <v>-1204.5</v>
      </c>
      <c r="D69" t="s">
        <v>546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505</v>
      </c>
      <c r="C70" s="113">
        <v>-148.6</v>
      </c>
      <c r="D70" t="s">
        <v>546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506</v>
      </c>
      <c r="C71" s="113">
        <v>-244.8</v>
      </c>
      <c r="D71" t="s">
        <v>546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507</v>
      </c>
      <c r="C72" s="113">
        <v>-532.6</v>
      </c>
      <c r="D72" t="s">
        <v>546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547</v>
      </c>
      <c r="E73" s="110">
        <v>-449.5</v>
      </c>
      <c r="F73" s="65"/>
      <c r="G73" s="65"/>
      <c r="H73" s="65"/>
    </row>
    <row r="74" spans="1:8">
      <c r="A74" s="96"/>
      <c r="B74" s="94" t="s">
        <v>509</v>
      </c>
      <c r="C74" s="94"/>
      <c r="D74" t="s">
        <v>547</v>
      </c>
      <c r="E74" s="110">
        <v>-299.64</v>
      </c>
      <c r="F74" s="65"/>
      <c r="G74" s="65"/>
      <c r="H74" s="65"/>
    </row>
    <row r="75" spans="1:8">
      <c r="A75" s="96"/>
      <c r="B75" s="94" t="s">
        <v>510</v>
      </c>
      <c r="C75" s="94"/>
      <c r="D75" t="s">
        <v>547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355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343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355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548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549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549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285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550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551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552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552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548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553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554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341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555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341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294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556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557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558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559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560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561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562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562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563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286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564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565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311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566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312</v>
      </c>
      <c r="C119" s="2" t="s">
        <v>517</v>
      </c>
      <c r="D119" s="2"/>
      <c r="E119" s="13">
        <v>129254.5</v>
      </c>
    </row>
    <row r="120" spans="1:6">
      <c r="A120" s="81">
        <f t="shared" si="1"/>
        <v>45352</v>
      </c>
      <c r="B120" t="s">
        <v>518</v>
      </c>
      <c r="C120" s="2" t="s">
        <v>519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520</v>
      </c>
      <c r="C121" s="81" t="s">
        <v>567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522</v>
      </c>
      <c r="C122" s="81" t="s">
        <v>523</v>
      </c>
      <c r="D122" s="82"/>
      <c r="E122" s="13">
        <v>588.6</v>
      </c>
    </row>
    <row r="123" spans="1:6">
      <c r="A123" s="81">
        <f t="shared" si="1"/>
        <v>45352</v>
      </c>
      <c r="B123" t="s">
        <v>524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525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526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319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527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568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569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569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570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571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572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573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574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538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575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576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576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577</v>
      </c>
      <c r="F36" s="113">
        <v>24000</v>
      </c>
      <c r="H36" s="110">
        <f t="shared" si="0"/>
        <v>137234.37</v>
      </c>
    </row>
    <row r="37" spans="1:8">
      <c r="A37" s="96"/>
      <c r="B37" t="s">
        <v>578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578</v>
      </c>
      <c r="G38" s="110">
        <v>-1000</v>
      </c>
      <c r="H38" s="110">
        <f t="shared" si="0"/>
        <v>132234.37</v>
      </c>
    </row>
    <row r="39" spans="1:8">
      <c r="A39" s="96"/>
      <c r="B39" t="s">
        <v>579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580</v>
      </c>
      <c r="H41" s="110">
        <f t="shared" si="0"/>
        <v>128534.37</v>
      </c>
    </row>
    <row r="42" spans="1:8">
      <c r="B42" t="s">
        <v>581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582</v>
      </c>
      <c r="D50" s="110">
        <v>1329.72</v>
      </c>
      <c r="E50" s="110">
        <v>1330</v>
      </c>
    </row>
    <row r="51" spans="1:5">
      <c r="B51" t="s">
        <v>583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584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540</v>
      </c>
      <c r="C63" s="110">
        <v>10764.57</v>
      </c>
      <c r="D63" s="110" t="s">
        <v>585</v>
      </c>
      <c r="E63" s="110">
        <v>-1196.06</v>
      </c>
    </row>
    <row r="64" spans="1:5">
      <c r="A64" s="97">
        <v>45187</v>
      </c>
      <c r="B64" s="94" t="s">
        <v>376</v>
      </c>
      <c r="C64" s="110">
        <v>7648.33</v>
      </c>
      <c r="D64" s="110" t="s">
        <v>586</v>
      </c>
      <c r="E64" s="110">
        <v>-849.81</v>
      </c>
    </row>
    <row r="65" spans="1:5">
      <c r="A65" s="97">
        <v>45187</v>
      </c>
      <c r="B65" s="94" t="s">
        <v>492</v>
      </c>
      <c r="C65" s="110">
        <v>11128</v>
      </c>
      <c r="D65" s="110" t="s">
        <v>327</v>
      </c>
      <c r="E65" s="110">
        <v>-1854.67</v>
      </c>
    </row>
    <row r="66" spans="1:5">
      <c r="A66" s="81">
        <v>44995</v>
      </c>
      <c r="B66" t="s">
        <v>587</v>
      </c>
      <c r="C66" s="110">
        <v>613.91</v>
      </c>
      <c r="D66" s="110" t="s">
        <v>588</v>
      </c>
      <c r="E66" s="110">
        <v>-61.4</v>
      </c>
    </row>
    <row r="67" spans="1:5">
      <c r="D67" s="110" t="s">
        <v>286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499</v>
      </c>
      <c r="D79" s="110" t="s">
        <v>589</v>
      </c>
      <c r="E79" s="110">
        <v>-3974.44</v>
      </c>
    </row>
    <row r="80" spans="1:5">
      <c r="A80" s="96">
        <v>45214</v>
      </c>
      <c r="B80" t="s">
        <v>472</v>
      </c>
      <c r="D80" s="110" t="s">
        <v>474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503</v>
      </c>
      <c r="C82" s="110">
        <v>-1204.5</v>
      </c>
      <c r="D82" s="110" t="s">
        <v>590</v>
      </c>
      <c r="E82" s="110">
        <v>-401.5</v>
      </c>
    </row>
    <row r="83" spans="1:5">
      <c r="A83" s="96">
        <v>45259</v>
      </c>
      <c r="B83" t="s">
        <v>505</v>
      </c>
      <c r="C83" s="110">
        <v>-148.6</v>
      </c>
      <c r="D83" s="110" t="s">
        <v>590</v>
      </c>
      <c r="E83" s="110">
        <v>-49.53</v>
      </c>
    </row>
    <row r="84" spans="1:5">
      <c r="A84" s="96">
        <v>45259</v>
      </c>
      <c r="B84" t="s">
        <v>506</v>
      </c>
      <c r="C84" s="110">
        <v>-244.8</v>
      </c>
      <c r="D84" s="110" t="s">
        <v>590</v>
      </c>
      <c r="E84" s="110">
        <v>-81.599999999999994</v>
      </c>
    </row>
    <row r="85" spans="1:5">
      <c r="A85" s="96">
        <v>45259</v>
      </c>
      <c r="B85" t="s">
        <v>507</v>
      </c>
      <c r="C85" s="110">
        <v>-532.6</v>
      </c>
      <c r="D85" s="110" t="s">
        <v>590</v>
      </c>
      <c r="E85" s="110">
        <v>-177.53</v>
      </c>
    </row>
    <row r="86" spans="1:5">
      <c r="A86" s="96">
        <v>45285</v>
      </c>
      <c r="B86" s="94" t="s">
        <v>334</v>
      </c>
    </row>
    <row r="87" spans="1:5">
      <c r="A87" s="97"/>
      <c r="B87" s="3" t="s">
        <v>348</v>
      </c>
      <c r="C87" s="110">
        <v>109.92</v>
      </c>
    </row>
    <row r="88" spans="1:5">
      <c r="A88" s="97">
        <v>45283</v>
      </c>
      <c r="B88" s="3" t="s">
        <v>355</v>
      </c>
      <c r="E88" s="110">
        <v>-90</v>
      </c>
    </row>
    <row r="89" spans="1:5">
      <c r="A89" s="97">
        <v>45283</v>
      </c>
      <c r="B89" s="3" t="s">
        <v>465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465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355</v>
      </c>
      <c r="E91" s="110">
        <v>-110</v>
      </c>
    </row>
    <row r="92" spans="1:5">
      <c r="A92" s="97">
        <v>45281</v>
      </c>
      <c r="B92" s="3" t="s">
        <v>465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465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591</v>
      </c>
      <c r="E94" s="110">
        <v>-260</v>
      </c>
    </row>
    <row r="95" spans="1:5">
      <c r="A95" s="97">
        <v>45278</v>
      </c>
      <c r="B95" s="3" t="s">
        <v>465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592</v>
      </c>
      <c r="E96" s="110">
        <v>-300</v>
      </c>
    </row>
    <row r="97" spans="1:5">
      <c r="A97" s="97">
        <v>45276</v>
      </c>
      <c r="B97" s="3" t="s">
        <v>465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593</v>
      </c>
      <c r="E98" s="110">
        <v>-470</v>
      </c>
    </row>
    <row r="99" spans="1:5">
      <c r="A99" s="97">
        <v>45275</v>
      </c>
      <c r="B99" s="3" t="s">
        <v>594</v>
      </c>
      <c r="E99" s="110">
        <v>-285</v>
      </c>
    </row>
    <row r="100" spans="1:5">
      <c r="A100" s="97">
        <v>45274</v>
      </c>
      <c r="B100" s="3" t="s">
        <v>465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595</v>
      </c>
      <c r="E101" s="110">
        <v>-1108.1500000000001</v>
      </c>
    </row>
    <row r="102" spans="1:5">
      <c r="A102" s="97">
        <v>45271</v>
      </c>
      <c r="B102" s="3" t="s">
        <v>465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596</v>
      </c>
      <c r="E103" s="110">
        <v>-1551.29</v>
      </c>
    </row>
    <row r="104" spans="1:5">
      <c r="A104" s="97">
        <v>45270</v>
      </c>
      <c r="B104" s="3" t="s">
        <v>597</v>
      </c>
      <c r="E104" s="110">
        <v>-315.10000000000002</v>
      </c>
    </row>
    <row r="105" spans="1:5">
      <c r="A105" s="97">
        <v>45267</v>
      </c>
      <c r="B105" s="3" t="s">
        <v>355</v>
      </c>
      <c r="E105" s="110">
        <v>-300</v>
      </c>
    </row>
    <row r="106" spans="1:5">
      <c r="A106" s="97">
        <v>45266</v>
      </c>
      <c r="B106" s="3" t="s">
        <v>465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465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285</v>
      </c>
      <c r="D108" s="110">
        <v>11990.16</v>
      </c>
    </row>
    <row r="109" spans="1:5">
      <c r="A109" s="97">
        <v>45260</v>
      </c>
      <c r="B109" s="3" t="s">
        <v>465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465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465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465</v>
      </c>
      <c r="C112" s="110">
        <f>E112</f>
        <v>-160</v>
      </c>
      <c r="E112" s="110">
        <v>-160</v>
      </c>
    </row>
    <row r="113" spans="1:5">
      <c r="D113" s="110" t="s">
        <v>286</v>
      </c>
    </row>
    <row r="114" spans="1:5">
      <c r="B114" s="70" t="s">
        <v>360</v>
      </c>
      <c r="C114" s="110">
        <f>SUM(C89:C113)</f>
        <v>-2400.41</v>
      </c>
    </row>
    <row r="118" spans="1:5">
      <c r="A118" s="76" t="s">
        <v>598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599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311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600</v>
      </c>
      <c r="D125" s="2"/>
      <c r="E125" s="13">
        <v>132120.79</v>
      </c>
    </row>
    <row r="126" spans="1:5">
      <c r="A126" s="81">
        <f>A125</f>
        <v>45327</v>
      </c>
      <c r="B126" t="s">
        <v>601</v>
      </c>
      <c r="C126" s="2"/>
      <c r="D126" s="2"/>
      <c r="E126" s="13">
        <v>0</v>
      </c>
    </row>
    <row r="127" spans="1:5">
      <c r="A127" s="81">
        <v>45327</v>
      </c>
      <c r="B127" t="s">
        <v>602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603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604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605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319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606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607</v>
      </c>
    </row>
    <row r="141" spans="1:5">
      <c r="A141" s="20">
        <v>45317</v>
      </c>
      <c r="B141" t="s">
        <v>608</v>
      </c>
      <c r="C141" s="110">
        <v>12500</v>
      </c>
      <c r="D141" s="110" t="s">
        <v>609</v>
      </c>
      <c r="E141" s="110">
        <v>10000</v>
      </c>
    </row>
    <row r="142" spans="1:5">
      <c r="B142" t="s">
        <v>608</v>
      </c>
      <c r="C142" s="110">
        <v>13400</v>
      </c>
      <c r="D142" s="110" t="s">
        <v>183</v>
      </c>
      <c r="E142" s="110">
        <v>25000</v>
      </c>
    </row>
    <row r="143" spans="1:5">
      <c r="B143" t="s">
        <v>608</v>
      </c>
      <c r="C143" s="110">
        <v>13700</v>
      </c>
      <c r="D143" s="110" t="s">
        <v>610</v>
      </c>
      <c r="E143" s="110">
        <v>10400</v>
      </c>
    </row>
    <row r="144" spans="1:5">
      <c r="B144" t="s">
        <v>608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611</v>
      </c>
      <c r="C146" s="110">
        <v>14400</v>
      </c>
    </row>
    <row r="147" spans="2:4">
      <c r="B147" t="s">
        <v>612</v>
      </c>
      <c r="C147" s="110">
        <v>2800</v>
      </c>
      <c r="D147" s="110">
        <f>SUM(C146:C147)</f>
        <v>17200</v>
      </c>
    </row>
    <row r="148" spans="2:4">
      <c r="B148" t="s">
        <v>613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614</v>
      </c>
      <c r="L2" s="147" t="s">
        <v>615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616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617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618</v>
      </c>
    </row>
    <row r="20" spans="2:13" ht="15">
      <c r="C20" s="10"/>
      <c r="D20" s="69" t="s">
        <v>619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620</v>
      </c>
    </row>
    <row r="26" spans="2:13">
      <c r="B26" s="78"/>
      <c r="C26" s="77" t="s">
        <v>621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622</v>
      </c>
      <c r="G1" s="4" t="s">
        <v>3</v>
      </c>
    </row>
    <row r="2" spans="2:7">
      <c r="F2" s="7" t="s">
        <v>285</v>
      </c>
    </row>
    <row r="3" spans="2:7">
      <c r="B3" s="1">
        <v>44873</v>
      </c>
      <c r="C3" t="s">
        <v>623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624</v>
      </c>
      <c r="F5" s="13"/>
      <c r="G5" s="2">
        <f t="shared" si="0"/>
        <v>-1000</v>
      </c>
    </row>
    <row r="6" spans="2:7">
      <c r="B6" s="1">
        <v>44873</v>
      </c>
      <c r="C6" t="s">
        <v>625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626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627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628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629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629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630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631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632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633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484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634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635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484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636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637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638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639</v>
      </c>
      <c r="E25" s="2">
        <v>2258</v>
      </c>
      <c r="F25" s="13"/>
      <c r="G25" s="2">
        <f t="shared" si="0"/>
        <v>1535.9999999999993</v>
      </c>
    </row>
    <row r="26" spans="2:7">
      <c r="C26" t="s">
        <v>640</v>
      </c>
      <c r="E26" s="2">
        <v>613</v>
      </c>
      <c r="F26" s="4"/>
      <c r="G26" s="2">
        <f t="shared" si="0"/>
        <v>2148.9999999999991</v>
      </c>
    </row>
    <row r="27" spans="2:7">
      <c r="C27" t="s">
        <v>641</v>
      </c>
      <c r="E27" s="2">
        <v>720</v>
      </c>
      <c r="F27" s="4"/>
      <c r="G27" s="2">
        <f t="shared" si="0"/>
        <v>2868.9999999999991</v>
      </c>
    </row>
    <row r="28" spans="2:7">
      <c r="C28" t="s">
        <v>642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643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644</v>
      </c>
      <c r="E30" s="2">
        <v>2650</v>
      </c>
      <c r="F30" s="4"/>
      <c r="G30" s="2">
        <f t="shared" si="0"/>
        <v>3982.9999999999991</v>
      </c>
    </row>
    <row r="31" spans="2:7">
      <c r="C31" t="s">
        <v>645</v>
      </c>
      <c r="E31" s="2">
        <v>1356</v>
      </c>
      <c r="F31" s="4"/>
      <c r="G31" s="2">
        <f t="shared" si="0"/>
        <v>5338.9999999999991</v>
      </c>
    </row>
    <row r="32" spans="2:7">
      <c r="C32" t="s">
        <v>645</v>
      </c>
      <c r="E32" s="2">
        <v>869</v>
      </c>
      <c r="F32" s="4"/>
      <c r="G32" s="2">
        <f t="shared" si="0"/>
        <v>6207.9999999999991</v>
      </c>
    </row>
    <row r="33" spans="2:7">
      <c r="C33" t="s">
        <v>646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647</v>
      </c>
      <c r="F34" s="4">
        <v>3450</v>
      </c>
      <c r="G34" s="2">
        <f t="shared" si="0"/>
        <v>2757.9999999999991</v>
      </c>
    </row>
    <row r="35" spans="2:7">
      <c r="C35" t="s">
        <v>648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649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650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651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652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653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654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655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656</v>
      </c>
      <c r="E46" s="2">
        <v>573</v>
      </c>
      <c r="G46" s="2">
        <f t="shared" si="1"/>
        <v>4931</v>
      </c>
    </row>
    <row r="47" spans="2:7">
      <c r="C47" t="s">
        <v>657</v>
      </c>
      <c r="D47">
        <v>1500</v>
      </c>
      <c r="G47" s="2">
        <f t="shared" si="1"/>
        <v>4931</v>
      </c>
    </row>
    <row r="48" spans="2:7">
      <c r="C48" t="s">
        <v>658</v>
      </c>
      <c r="E48" s="2">
        <v>1207</v>
      </c>
      <c r="G48" s="2">
        <f t="shared" si="1"/>
        <v>6138</v>
      </c>
    </row>
    <row r="49" spans="2:7">
      <c r="C49" t="s">
        <v>659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660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661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662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663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664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665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596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666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667</v>
      </c>
      <c r="E61" s="176" t="s">
        <v>668</v>
      </c>
      <c r="F61" s="176" t="s">
        <v>669</v>
      </c>
      <c r="G61" s="177" t="s">
        <v>669</v>
      </c>
    </row>
    <row r="62" spans="2:7">
      <c r="D62" s="175" t="s">
        <v>670</v>
      </c>
      <c r="E62" s="176" t="s">
        <v>671</v>
      </c>
      <c r="F62" s="176" t="s">
        <v>97</v>
      </c>
      <c r="G62" s="178" t="s">
        <v>672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zoomScale="170" zoomScaleNormal="17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673</v>
      </c>
    </row>
    <row r="3" spans="2:9">
      <c r="D3" s="181" t="s">
        <v>674</v>
      </c>
      <c r="E3" s="110" t="s">
        <v>675</v>
      </c>
      <c r="F3" s="181" t="s">
        <v>676</v>
      </c>
      <c r="G3" s="182"/>
      <c r="I3" s="181" t="s">
        <v>677</v>
      </c>
    </row>
    <row r="4" spans="2:9">
      <c r="D4" s="181" t="s">
        <v>678</v>
      </c>
      <c r="E4" s="110" t="s">
        <v>679</v>
      </c>
      <c r="F4" s="181" t="s">
        <v>678</v>
      </c>
      <c r="G4" s="182"/>
      <c r="I4" s="181" t="s">
        <v>679</v>
      </c>
    </row>
    <row r="5" spans="2:9" ht="14.25">
      <c r="E5" s="183">
        <v>119305.95</v>
      </c>
      <c r="F5" s="183"/>
      <c r="G5" s="184"/>
      <c r="H5" s="185" t="s">
        <v>680</v>
      </c>
      <c r="I5" s="186">
        <f>NZN_23!I8*-1</f>
        <v>119305.95484700002</v>
      </c>
    </row>
    <row r="6" spans="2:9" ht="14.25">
      <c r="H6" s="187" t="s">
        <v>681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682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683</v>
      </c>
      <c r="I8" s="191">
        <f t="shared" ref="I8:I19" si="0">I7-F8</f>
        <v>149272.95484700002</v>
      </c>
    </row>
    <row r="9" spans="2:9">
      <c r="B9" s="81">
        <v>45324</v>
      </c>
      <c r="C9" t="s">
        <v>682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683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I10" s="113">
        <f t="shared" si="0"/>
        <v>139272.95484700002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I11" s="113">
        <f t="shared" si="0"/>
        <v>139272.95484700002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I12" s="113">
        <f t="shared" si="0"/>
        <v>139272.95484700002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I13" s="113">
        <f t="shared" si="0"/>
        <v>139272.95484700002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I14" s="113">
        <f t="shared" si="0"/>
        <v>139272.95484700002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I15" s="113">
        <f t="shared" si="0"/>
        <v>139272.95484700002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I16" s="113">
        <f t="shared" si="0"/>
        <v>139272.95484700002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I17" s="113">
        <f t="shared" si="0"/>
        <v>139272.95484700002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I18" s="113">
        <f t="shared" si="0"/>
        <v>139272.95484700002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139272.95484700002</v>
      </c>
    </row>
    <row r="20" spans="2:11">
      <c r="D20" s="110"/>
    </row>
    <row r="21" spans="2:11" ht="15.75">
      <c r="C21" s="192" t="s">
        <v>684</v>
      </c>
      <c r="E21" s="193">
        <v>0.2351</v>
      </c>
      <c r="F21" s="193">
        <f>1-E21</f>
        <v>0.76490000000000002</v>
      </c>
    </row>
    <row r="22" spans="2:11">
      <c r="B22" s="194" t="s">
        <v>685</v>
      </c>
      <c r="C22" s="194" t="s">
        <v>686</v>
      </c>
      <c r="D22" s="195" t="s">
        <v>687</v>
      </c>
      <c r="E22" s="196" t="s">
        <v>688</v>
      </c>
      <c r="F22" s="195" t="s">
        <v>689</v>
      </c>
      <c r="G22" s="197" t="s">
        <v>690</v>
      </c>
      <c r="H22" s="195" t="s">
        <v>691</v>
      </c>
      <c r="I22" s="195" t="s">
        <v>692</v>
      </c>
    </row>
    <row r="23" spans="2:11">
      <c r="B23" s="194"/>
      <c r="C23" s="198" t="s">
        <v>693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694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695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696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697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698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698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581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699</v>
      </c>
      <c r="E40" s="113" t="s">
        <v>700</v>
      </c>
      <c r="F40" s="113" t="s">
        <v>701</v>
      </c>
      <c r="H40" s="215"/>
      <c r="I40" s="215"/>
      <c r="J40" s="216"/>
    </row>
    <row r="41" spans="2:11" ht="15.75">
      <c r="C41" t="s">
        <v>702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703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704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705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706</v>
      </c>
      <c r="E47" s="181" t="s">
        <v>707</v>
      </c>
      <c r="F47" s="181" t="s">
        <v>708</v>
      </c>
      <c r="K47" s="65"/>
    </row>
    <row r="48" spans="2:11">
      <c r="E48" s="187"/>
      <c r="K48" s="65"/>
    </row>
    <row r="49" spans="3:6">
      <c r="C49" s="65" t="s">
        <v>616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673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684</v>
      </c>
      <c r="E5" s="222">
        <v>0.2351</v>
      </c>
      <c r="F5" s="222">
        <f>1-E5</f>
        <v>0.76490000000000002</v>
      </c>
      <c r="I5" s="65"/>
    </row>
    <row r="6" spans="2:11">
      <c r="B6" t="s">
        <v>685</v>
      </c>
      <c r="C6" t="s">
        <v>686</v>
      </c>
      <c r="D6" s="37" t="s">
        <v>687</v>
      </c>
      <c r="E6" s="130" t="s">
        <v>688</v>
      </c>
      <c r="F6" s="37" t="s">
        <v>689</v>
      </c>
      <c r="G6" s="223" t="s">
        <v>690</v>
      </c>
      <c r="H6" s="37" t="s">
        <v>691</v>
      </c>
      <c r="I6" s="224" t="s">
        <v>692</v>
      </c>
    </row>
    <row r="7" spans="2:11">
      <c r="K7" s="201"/>
    </row>
    <row r="8" spans="2:11" ht="15.75">
      <c r="B8" s="202">
        <v>45290</v>
      </c>
      <c r="C8" t="s">
        <v>694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709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710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711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712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713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713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713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696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714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715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716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696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696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717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718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719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720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693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721</v>
      </c>
      <c r="D28" s="65"/>
      <c r="E28" s="65">
        <f>E8</f>
        <v>-5843.55</v>
      </c>
      <c r="F28" s="65"/>
      <c r="H28" s="65"/>
      <c r="I28" s="65"/>
    </row>
    <row r="29" spans="2:10">
      <c r="C29" t="s">
        <v>722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699</v>
      </c>
      <c r="E31" s="65" t="s">
        <v>700</v>
      </c>
      <c r="F31" s="65" t="s">
        <v>701</v>
      </c>
      <c r="H31" s="237"/>
      <c r="I31" s="237"/>
      <c r="J31" s="216"/>
    </row>
    <row r="32" spans="2:10" ht="15.75">
      <c r="C32" t="s">
        <v>702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703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704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705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706</v>
      </c>
      <c r="E38" s="70" t="s">
        <v>707</v>
      </c>
      <c r="F38" s="70" t="s">
        <v>708</v>
      </c>
      <c r="H38" s="65"/>
      <c r="I38" s="65"/>
      <c r="K38" s="65"/>
    </row>
    <row r="39" spans="3:11">
      <c r="C39" t="s">
        <v>723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616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724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725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726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727</v>
      </c>
      <c r="C8" s="88"/>
      <c r="D8" s="88"/>
      <c r="E8" s="84"/>
      <c r="H8" s="65">
        <f t="shared" si="0"/>
        <v>-1097</v>
      </c>
    </row>
    <row r="9" spans="1:8">
      <c r="B9" s="88" t="s">
        <v>728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729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729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730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731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732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572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574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733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734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735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735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736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735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587</v>
      </c>
      <c r="C60">
        <v>613.91</v>
      </c>
      <c r="D60" s="37" t="s">
        <v>737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540</v>
      </c>
      <c r="C62" s="94">
        <v>10764.57</v>
      </c>
      <c r="D62" s="37" t="s">
        <v>253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738</v>
      </c>
      <c r="D63" s="139" t="s">
        <v>259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376</v>
      </c>
      <c r="C64" s="94">
        <v>7648.33</v>
      </c>
      <c r="D64" s="139" t="s">
        <v>739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492</v>
      </c>
      <c r="C65" s="94">
        <v>11128</v>
      </c>
      <c r="D65" s="139" t="s">
        <v>740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286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499</v>
      </c>
      <c r="C82" s="94"/>
      <c r="D82" t="s">
        <v>741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472</v>
      </c>
      <c r="D83" t="s">
        <v>742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743</v>
      </c>
      <c r="E85" s="84">
        <v>-1046.0999999999999</v>
      </c>
    </row>
    <row r="86" spans="1:8">
      <c r="A86" s="96">
        <v>45226</v>
      </c>
      <c r="B86" t="s">
        <v>743</v>
      </c>
      <c r="E86" s="84">
        <v>-1046.0999999999999</v>
      </c>
    </row>
    <row r="87" spans="1:8">
      <c r="A87" s="96">
        <v>45224</v>
      </c>
      <c r="B87" t="s">
        <v>468</v>
      </c>
      <c r="D87">
        <v>160</v>
      </c>
      <c r="E87" s="84">
        <v>-160</v>
      </c>
    </row>
    <row r="88" spans="1:8">
      <c r="A88" s="96">
        <v>45225</v>
      </c>
      <c r="B88" t="s">
        <v>468</v>
      </c>
      <c r="D88">
        <v>200</v>
      </c>
      <c r="E88" s="84">
        <v>-200</v>
      </c>
    </row>
    <row r="89" spans="1:8">
      <c r="A89" s="96">
        <v>45225</v>
      </c>
      <c r="B89" t="s">
        <v>744</v>
      </c>
      <c r="E89" s="84">
        <v>-200</v>
      </c>
    </row>
    <row r="90" spans="1:8">
      <c r="A90" s="96">
        <v>45226</v>
      </c>
      <c r="B90" t="s">
        <v>468</v>
      </c>
      <c r="D90" s="37">
        <v>150</v>
      </c>
      <c r="E90" s="84">
        <v>-150</v>
      </c>
    </row>
    <row r="91" spans="1:8">
      <c r="A91" s="96">
        <v>45227</v>
      </c>
      <c r="B91" t="s">
        <v>468</v>
      </c>
      <c r="D91" s="37">
        <v>100</v>
      </c>
      <c r="E91" s="84">
        <v>-100</v>
      </c>
    </row>
    <row r="92" spans="1:8">
      <c r="A92" s="96">
        <v>45227</v>
      </c>
      <c r="B92" t="s">
        <v>465</v>
      </c>
      <c r="D92">
        <v>70</v>
      </c>
      <c r="E92" s="84">
        <v>-70</v>
      </c>
    </row>
    <row r="93" spans="1:8">
      <c r="A93" s="96">
        <v>45229</v>
      </c>
      <c r="B93" t="s">
        <v>468</v>
      </c>
      <c r="D93">
        <v>200</v>
      </c>
      <c r="E93" s="84">
        <v>-200</v>
      </c>
    </row>
    <row r="94" spans="1:8">
      <c r="A94" s="96">
        <v>45229</v>
      </c>
      <c r="B94" t="s">
        <v>745</v>
      </c>
      <c r="D94">
        <v>95.49</v>
      </c>
      <c r="E94" s="84">
        <v>-95.49</v>
      </c>
    </row>
    <row r="95" spans="1:8">
      <c r="A95" s="96">
        <v>45232</v>
      </c>
      <c r="B95" t="s">
        <v>468</v>
      </c>
      <c r="D95">
        <v>250</v>
      </c>
      <c r="E95" s="84">
        <v>-250</v>
      </c>
    </row>
    <row r="96" spans="1:8">
      <c r="A96" s="96">
        <v>45233</v>
      </c>
      <c r="B96" t="s">
        <v>468</v>
      </c>
      <c r="D96">
        <v>180</v>
      </c>
      <c r="E96" s="84">
        <v>-160</v>
      </c>
    </row>
    <row r="97" spans="1:5">
      <c r="A97" s="96">
        <v>45234</v>
      </c>
      <c r="B97" t="s">
        <v>468</v>
      </c>
      <c r="D97">
        <v>320</v>
      </c>
      <c r="E97" s="84">
        <v>-320</v>
      </c>
    </row>
    <row r="98" spans="1:5">
      <c r="A98" s="96">
        <v>45237</v>
      </c>
      <c r="B98" t="s">
        <v>468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746</v>
      </c>
      <c r="E100" s="84">
        <v>-180</v>
      </c>
    </row>
    <row r="101" spans="1:5">
      <c r="A101" s="96">
        <v>45238</v>
      </c>
      <c r="B101" t="s">
        <v>468</v>
      </c>
      <c r="D101">
        <v>160</v>
      </c>
      <c r="E101" s="84">
        <v>-160</v>
      </c>
    </row>
    <row r="102" spans="1:5">
      <c r="A102" s="96">
        <v>45239</v>
      </c>
      <c r="B102" t="s">
        <v>468</v>
      </c>
      <c r="D102">
        <v>250</v>
      </c>
      <c r="E102" s="84">
        <v>-250</v>
      </c>
    </row>
    <row r="103" spans="1:5">
      <c r="A103" s="96">
        <v>45240</v>
      </c>
      <c r="B103" t="s">
        <v>468</v>
      </c>
      <c r="D103">
        <v>160</v>
      </c>
      <c r="E103" s="84">
        <v>-160</v>
      </c>
    </row>
    <row r="104" spans="1:5">
      <c r="A104" s="96">
        <v>45241</v>
      </c>
      <c r="B104" t="s">
        <v>468</v>
      </c>
      <c r="D104">
        <v>250</v>
      </c>
      <c r="E104" s="84">
        <v>-250</v>
      </c>
    </row>
    <row r="105" spans="1:5">
      <c r="A105" s="96">
        <v>45244</v>
      </c>
      <c r="B105" t="s">
        <v>747</v>
      </c>
      <c r="E105" s="84">
        <v>-1144.1099999999999</v>
      </c>
    </row>
    <row r="106" spans="1:5">
      <c r="A106" s="96">
        <v>45245</v>
      </c>
      <c r="B106" t="s">
        <v>748</v>
      </c>
      <c r="E106" s="84">
        <v>-373.92</v>
      </c>
    </row>
    <row r="107" spans="1:5">
      <c r="A107" s="96">
        <v>45253</v>
      </c>
      <c r="B107" t="s">
        <v>468</v>
      </c>
      <c r="D107">
        <v>200</v>
      </c>
      <c r="E107" s="84">
        <v>-200</v>
      </c>
    </row>
    <row r="108" spans="1:5">
      <c r="E108" s="84"/>
    </row>
    <row r="109" spans="1:5">
      <c r="B109" t="s">
        <v>749</v>
      </c>
      <c r="D109">
        <f>SUM(D87:D108)</f>
        <v>2945.49</v>
      </c>
      <c r="E109" s="84"/>
    </row>
    <row r="110" spans="1:5" ht="15">
      <c r="D110" s="108" t="s">
        <v>286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750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751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752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752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753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754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755</v>
      </c>
      <c r="C22" t="s">
        <v>756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757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758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759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760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761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762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503</v>
      </c>
      <c r="C30" t="s">
        <v>725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505</v>
      </c>
      <c r="C31" t="s">
        <v>725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506</v>
      </c>
      <c r="C32" t="s">
        <v>725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763</v>
      </c>
      <c r="C33" t="s">
        <v>725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734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587</v>
      </c>
      <c r="C57">
        <v>613.91</v>
      </c>
      <c r="D57" s="37" t="s">
        <v>764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766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540</v>
      </c>
      <c r="C59" s="94">
        <v>10764.57</v>
      </c>
      <c r="D59" s="37" t="s">
        <v>491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766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738</v>
      </c>
      <c r="D61" s="139" t="s">
        <v>279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376</v>
      </c>
      <c r="C62" s="94">
        <v>7648.33</v>
      </c>
      <c r="D62" s="139" t="s">
        <v>423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492</v>
      </c>
      <c r="C63" s="94">
        <v>11128</v>
      </c>
      <c r="D63" s="139" t="s">
        <v>421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285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286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768</v>
      </c>
      <c r="C72">
        <v>1140.99</v>
      </c>
      <c r="D72" t="s">
        <v>473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769</v>
      </c>
      <c r="D73" s="37" t="s">
        <v>770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499</v>
      </c>
      <c r="C74" s="94"/>
      <c r="D74" t="s">
        <v>742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472</v>
      </c>
      <c r="D76" t="s">
        <v>771</v>
      </c>
      <c r="E76" s="84">
        <v>-600</v>
      </c>
      <c r="F76" s="65"/>
    </row>
    <row r="77" spans="1:8">
      <c r="A77" s="96">
        <v>45198</v>
      </c>
      <c r="B77" t="s">
        <v>468</v>
      </c>
      <c r="E77" s="84">
        <v>-160</v>
      </c>
    </row>
    <row r="78" spans="1:8">
      <c r="A78" s="96">
        <v>45201</v>
      </c>
      <c r="B78" t="s">
        <v>772</v>
      </c>
      <c r="E78" s="84">
        <v>-1180</v>
      </c>
    </row>
    <row r="79" spans="1:8">
      <c r="A79" s="96">
        <v>45204</v>
      </c>
      <c r="B79" t="s">
        <v>773</v>
      </c>
      <c r="E79" s="84">
        <v>-713.25</v>
      </c>
    </row>
    <row r="80" spans="1:8">
      <c r="A80" s="96">
        <v>45204</v>
      </c>
      <c r="B80" t="s">
        <v>773</v>
      </c>
      <c r="E80" s="84">
        <v>-713.25</v>
      </c>
    </row>
    <row r="81" spans="1:5">
      <c r="A81" s="96">
        <v>45194</v>
      </c>
      <c r="B81" t="s">
        <v>468</v>
      </c>
      <c r="D81" s="37"/>
      <c r="E81" s="84">
        <v>-200</v>
      </c>
    </row>
    <row r="82" spans="1:5">
      <c r="A82" s="96">
        <v>45225</v>
      </c>
      <c r="B82" t="s">
        <v>468</v>
      </c>
      <c r="D82" s="37"/>
      <c r="E82" s="84">
        <v>-160</v>
      </c>
    </row>
    <row r="83" spans="1:5">
      <c r="A83" s="96">
        <v>45226</v>
      </c>
      <c r="B83" t="s">
        <v>468</v>
      </c>
      <c r="E83" s="84">
        <v>-200</v>
      </c>
    </row>
    <row r="84" spans="1:5">
      <c r="A84" s="96">
        <v>45227</v>
      </c>
      <c r="B84" t="s">
        <v>468</v>
      </c>
      <c r="E84" s="84">
        <v>-200</v>
      </c>
    </row>
    <row r="85" spans="1:5">
      <c r="A85" s="96">
        <v>45227</v>
      </c>
      <c r="B85" t="s">
        <v>355</v>
      </c>
      <c r="E85" s="84">
        <v>-245</v>
      </c>
    </row>
    <row r="86" spans="1:5">
      <c r="A86" s="96">
        <v>45228</v>
      </c>
      <c r="B86" t="s">
        <v>468</v>
      </c>
      <c r="E86" s="84">
        <v>-160</v>
      </c>
    </row>
    <row r="87" spans="1:5">
      <c r="A87" s="96">
        <v>45228</v>
      </c>
      <c r="B87" t="s">
        <v>774</v>
      </c>
      <c r="E87" s="84">
        <v>-33.65</v>
      </c>
    </row>
    <row r="88" spans="1:5">
      <c r="A88" s="96">
        <v>45201</v>
      </c>
      <c r="B88" t="s">
        <v>468</v>
      </c>
      <c r="E88" s="84">
        <v>-160</v>
      </c>
    </row>
    <row r="89" spans="1:5">
      <c r="A89" s="96">
        <v>45201</v>
      </c>
      <c r="B89" t="s">
        <v>285</v>
      </c>
      <c r="C89">
        <v>-16000.55</v>
      </c>
      <c r="E89" s="84"/>
    </row>
    <row r="90" spans="1:5">
      <c r="A90" s="96">
        <v>45202</v>
      </c>
      <c r="B90" t="s">
        <v>468</v>
      </c>
      <c r="E90" s="84">
        <v>-250</v>
      </c>
    </row>
    <row r="91" spans="1:5">
      <c r="A91" s="96">
        <v>45204</v>
      </c>
      <c r="B91" t="s">
        <v>468</v>
      </c>
      <c r="E91" s="84">
        <v>-300</v>
      </c>
    </row>
    <row r="92" spans="1:5">
      <c r="A92" s="96">
        <v>45205</v>
      </c>
      <c r="B92" t="s">
        <v>468</v>
      </c>
      <c r="E92" s="84">
        <v>-250</v>
      </c>
    </row>
    <row r="93" spans="1:5">
      <c r="A93" s="96">
        <v>45206</v>
      </c>
      <c r="B93" t="s">
        <v>468</v>
      </c>
      <c r="E93" s="84">
        <v>-250</v>
      </c>
    </row>
    <row r="94" spans="1:5">
      <c r="A94" s="96">
        <v>45206</v>
      </c>
      <c r="B94" t="s">
        <v>775</v>
      </c>
      <c r="E94" s="84">
        <v>-107.32</v>
      </c>
    </row>
    <row r="95" spans="1:5">
      <c r="A95" s="96">
        <v>45210</v>
      </c>
      <c r="B95" t="s">
        <v>468</v>
      </c>
      <c r="E95" s="84">
        <v>-200</v>
      </c>
    </row>
    <row r="96" spans="1:5">
      <c r="A96" s="96">
        <v>45215</v>
      </c>
      <c r="B96" t="s">
        <v>468</v>
      </c>
      <c r="E96" s="84">
        <v>-160</v>
      </c>
    </row>
    <row r="97" spans="1:5">
      <c r="A97" s="96">
        <v>45216</v>
      </c>
      <c r="B97" t="s">
        <v>468</v>
      </c>
      <c r="E97" s="84">
        <v>-160</v>
      </c>
    </row>
    <row r="98" spans="1:5">
      <c r="A98" s="96">
        <v>45217</v>
      </c>
      <c r="B98" t="s">
        <v>468</v>
      </c>
      <c r="E98" s="84">
        <v>-160</v>
      </c>
    </row>
    <row r="99" spans="1:5">
      <c r="A99" s="96">
        <v>45218</v>
      </c>
      <c r="B99" t="s">
        <v>468</v>
      </c>
      <c r="E99" s="84">
        <v>-200</v>
      </c>
    </row>
    <row r="100" spans="1:5">
      <c r="A100" s="96">
        <v>45219</v>
      </c>
      <c r="B100" t="s">
        <v>468</v>
      </c>
      <c r="E100" s="84">
        <v>-165</v>
      </c>
    </row>
    <row r="101" spans="1:5">
      <c r="A101" s="96">
        <v>45219</v>
      </c>
      <c r="B101" t="s">
        <v>774</v>
      </c>
      <c r="E101" s="84">
        <v>-93.36</v>
      </c>
    </row>
    <row r="102" spans="1:5">
      <c r="A102" s="96">
        <v>45220</v>
      </c>
      <c r="B102" t="s">
        <v>468</v>
      </c>
      <c r="E102" s="84">
        <v>-165</v>
      </c>
    </row>
    <row r="103" spans="1:5">
      <c r="A103" s="96">
        <v>45220</v>
      </c>
      <c r="B103" t="s">
        <v>776</v>
      </c>
      <c r="E103" s="84">
        <v>-80</v>
      </c>
    </row>
    <row r="104" spans="1:5">
      <c r="A104" s="96">
        <v>45221</v>
      </c>
      <c r="B104" t="s">
        <v>777</v>
      </c>
      <c r="E104" s="84">
        <v>-500</v>
      </c>
    </row>
    <row r="105" spans="1:5" ht="15">
      <c r="D105" s="108" t="s">
        <v>286</v>
      </c>
    </row>
    <row r="107" spans="1:5">
      <c r="B107" t="s">
        <v>778</v>
      </c>
      <c r="E107" s="84">
        <v>3707.01</v>
      </c>
    </row>
    <row r="108" spans="1:5">
      <c r="B108" t="s">
        <v>779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780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781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782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783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784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785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786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787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788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789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790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791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792</v>
      </c>
      <c r="C24" t="s">
        <v>756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793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794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761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795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796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734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587</v>
      </c>
      <c r="C52">
        <v>613.91</v>
      </c>
      <c r="D52" s="37" t="s">
        <v>797</v>
      </c>
      <c r="E52" s="84">
        <v>-61.39</v>
      </c>
      <c r="G52" s="65"/>
      <c r="H52" s="65"/>
    </row>
    <row r="53" spans="1:8">
      <c r="A53" s="81">
        <v>45043</v>
      </c>
      <c r="B53" s="94" t="s">
        <v>765</v>
      </c>
      <c r="C53" s="94">
        <v>3299</v>
      </c>
      <c r="D53" s="37" t="s">
        <v>279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540</v>
      </c>
      <c r="C54" s="94">
        <v>10764.57</v>
      </c>
      <c r="D54" s="37" t="s">
        <v>542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767</v>
      </c>
      <c r="C55" s="94">
        <v>3123.29</v>
      </c>
      <c r="D55" s="139" t="s">
        <v>279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738</v>
      </c>
      <c r="D56" s="139" t="s">
        <v>327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294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798</v>
      </c>
      <c r="C58" s="94">
        <v>148.6</v>
      </c>
      <c r="D58" s="139" t="s">
        <v>799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800</v>
      </c>
      <c r="C59" s="94">
        <v>244.8</v>
      </c>
      <c r="D59" s="139" t="s">
        <v>799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801</v>
      </c>
      <c r="C60" s="94">
        <v>1204.5</v>
      </c>
      <c r="D60" s="139" t="s">
        <v>799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802</v>
      </c>
      <c r="C61" s="94">
        <v>532.6</v>
      </c>
      <c r="D61" s="139" t="s">
        <v>799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803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376</v>
      </c>
      <c r="C63" s="94">
        <v>7648.33</v>
      </c>
      <c r="D63" s="139" t="s">
        <v>804</v>
      </c>
      <c r="E63" s="84">
        <v>-849.81</v>
      </c>
      <c r="F63" s="65"/>
    </row>
    <row r="64" spans="1:8">
      <c r="A64" s="81">
        <v>45187</v>
      </c>
      <c r="B64" s="94" t="s">
        <v>805</v>
      </c>
      <c r="C64" s="94">
        <v>11128</v>
      </c>
      <c r="D64" s="139" t="s">
        <v>460</v>
      </c>
      <c r="E64" s="84">
        <v>-1854.67</v>
      </c>
      <c r="F64" s="65"/>
    </row>
    <row r="66" spans="1:9" ht="15">
      <c r="D66" s="108" t="s">
        <v>286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768</v>
      </c>
      <c r="C69">
        <v>1140.99</v>
      </c>
      <c r="D69" t="s">
        <v>501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769</v>
      </c>
      <c r="D70" s="37" t="s">
        <v>806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807</v>
      </c>
      <c r="C71" s="94"/>
      <c r="D71" t="s">
        <v>771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808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809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810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811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812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285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341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813</v>
      </c>
      <c r="E88" s="84">
        <v>-529.98</v>
      </c>
    </row>
    <row r="89" spans="1:8">
      <c r="A89" s="81">
        <v>45179</v>
      </c>
      <c r="B89" t="s">
        <v>813</v>
      </c>
      <c r="E89" s="84">
        <v>-2351.9499999999998</v>
      </c>
    </row>
    <row r="90" spans="1:8">
      <c r="A90" s="81">
        <v>45180</v>
      </c>
      <c r="B90" t="s">
        <v>814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814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815</v>
      </c>
      <c r="E94" s="84">
        <v>-578</v>
      </c>
    </row>
    <row r="95" spans="1:8">
      <c r="A95" s="81">
        <v>45184</v>
      </c>
      <c r="B95" t="s">
        <v>816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817</v>
      </c>
      <c r="E101" s="84">
        <v>-230</v>
      </c>
    </row>
    <row r="102" spans="1:5">
      <c r="A102" s="81">
        <v>45191</v>
      </c>
      <c r="B102" t="s">
        <v>818</v>
      </c>
      <c r="E102" s="84">
        <v>-382</v>
      </c>
    </row>
    <row r="103" spans="1:5">
      <c r="A103" s="81">
        <v>45191</v>
      </c>
      <c r="B103" t="s">
        <v>819</v>
      </c>
      <c r="E103" s="84">
        <v>-699.6</v>
      </c>
    </row>
    <row r="104" spans="1:5">
      <c r="A104" s="81">
        <v>45192</v>
      </c>
      <c r="B104" t="s">
        <v>465</v>
      </c>
      <c r="E104" s="84">
        <v>-160</v>
      </c>
    </row>
    <row r="106" spans="1:5" ht="15">
      <c r="D106" s="108" t="s">
        <v>286</v>
      </c>
    </row>
    <row r="111" spans="1:5">
      <c r="A111" s="76" t="s">
        <v>820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821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822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823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824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825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820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826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827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828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828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829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830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831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257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832</v>
      </c>
      <c r="D26" s="102"/>
      <c r="G26" s="65"/>
      <c r="H26" s="65">
        <f t="shared" si="0"/>
        <v>-18024.010000000002</v>
      </c>
    </row>
    <row r="27" spans="1:8">
      <c r="A27" s="97"/>
      <c r="B27" t="s">
        <v>833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834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835</v>
      </c>
      <c r="G29" s="65"/>
      <c r="H29" s="65">
        <f t="shared" si="0"/>
        <v>67975.989999999991</v>
      </c>
    </row>
    <row r="30" spans="1:8">
      <c r="A30" s="96">
        <v>45171</v>
      </c>
      <c r="B30" t="s">
        <v>836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837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838</v>
      </c>
      <c r="D32" s="102"/>
      <c r="G32" s="65"/>
      <c r="H32" s="65">
        <f t="shared" si="0"/>
        <v>138975.99</v>
      </c>
    </row>
    <row r="33" spans="1:8">
      <c r="A33" s="97"/>
      <c r="B33" t="s">
        <v>839</v>
      </c>
      <c r="D33" s="102"/>
      <c r="G33" s="65"/>
      <c r="H33" s="65">
        <f t="shared" si="0"/>
        <v>138975.99</v>
      </c>
    </row>
    <row r="34" spans="1:8">
      <c r="A34" s="97"/>
      <c r="B34" t="s">
        <v>840</v>
      </c>
      <c r="D34" s="102"/>
      <c r="G34" s="65"/>
      <c r="H34" s="65">
        <f t="shared" si="0"/>
        <v>138975.99</v>
      </c>
    </row>
    <row r="35" spans="1:8">
      <c r="A35" s="97"/>
      <c r="B35" t="s">
        <v>538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841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842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843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734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587</v>
      </c>
      <c r="C64">
        <v>613.91</v>
      </c>
      <c r="D64" s="37" t="s">
        <v>844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845</v>
      </c>
      <c r="C65">
        <v>2258.94</v>
      </c>
      <c r="D65" s="37" t="s">
        <v>259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765</v>
      </c>
      <c r="C66" s="94">
        <v>3299</v>
      </c>
      <c r="D66" s="37" t="s">
        <v>327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540</v>
      </c>
      <c r="C67" s="94">
        <v>10764.57</v>
      </c>
      <c r="D67" s="37" t="s">
        <v>586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767</v>
      </c>
      <c r="C68" s="94">
        <v>3123.29</v>
      </c>
      <c r="D68" s="139" t="s">
        <v>327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738</v>
      </c>
      <c r="D69" s="139" t="s">
        <v>740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798</v>
      </c>
      <c r="C70" s="94">
        <v>148.6</v>
      </c>
      <c r="D70" s="139" t="s">
        <v>846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800</v>
      </c>
      <c r="C71" s="94">
        <v>244.8</v>
      </c>
      <c r="D71" s="139" t="s">
        <v>846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801</v>
      </c>
      <c r="C72" s="94">
        <v>1204.5</v>
      </c>
      <c r="D72" s="139" t="s">
        <v>846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802</v>
      </c>
      <c r="C73" s="94">
        <v>532.6</v>
      </c>
      <c r="D73" s="139" t="s">
        <v>846</v>
      </c>
      <c r="E73" s="84">
        <v>-133.15</v>
      </c>
      <c r="F73" s="65"/>
    </row>
    <row r="74" spans="1:8">
      <c r="A74" s="97">
        <v>45139</v>
      </c>
      <c r="B74" s="94" t="s">
        <v>847</v>
      </c>
      <c r="E74" s="84">
        <v>-260.02</v>
      </c>
    </row>
    <row r="75" spans="1:8">
      <c r="A75" s="96">
        <v>45139</v>
      </c>
      <c r="B75" s="94" t="s">
        <v>848</v>
      </c>
      <c r="E75" s="84">
        <v>-116.6</v>
      </c>
    </row>
    <row r="76" spans="1:8">
      <c r="A76" s="96">
        <v>45139</v>
      </c>
      <c r="B76" s="94" t="s">
        <v>848</v>
      </c>
      <c r="E76" s="84">
        <v>-23.75</v>
      </c>
    </row>
    <row r="77" spans="1:8">
      <c r="A77" s="96">
        <v>45140</v>
      </c>
      <c r="B77" s="94" t="s">
        <v>849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850</v>
      </c>
      <c r="E79" s="84">
        <v>-71</v>
      </c>
    </row>
    <row r="80" spans="1:8">
      <c r="A80" s="96">
        <v>45153</v>
      </c>
      <c r="B80" s="94" t="s">
        <v>851</v>
      </c>
      <c r="E80" s="84">
        <v>-1806</v>
      </c>
    </row>
    <row r="81" spans="1:8">
      <c r="A81" s="96">
        <v>45158</v>
      </c>
      <c r="B81" s="94" t="s">
        <v>852</v>
      </c>
      <c r="E81" s="84">
        <v>-160.9</v>
      </c>
    </row>
    <row r="82" spans="1:8">
      <c r="A82" s="96">
        <v>45160</v>
      </c>
      <c r="B82" s="94" t="s">
        <v>853</v>
      </c>
      <c r="D82" s="37"/>
      <c r="E82" s="84">
        <v>-231</v>
      </c>
    </row>
    <row r="83" spans="1:8" ht="15">
      <c r="A83" s="96"/>
      <c r="B83" s="94"/>
      <c r="D83" s="108" t="s">
        <v>286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768</v>
      </c>
      <c r="C88">
        <v>1140.99</v>
      </c>
      <c r="D88" t="s">
        <v>544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854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468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855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856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302</v>
      </c>
      <c r="E93" s="84">
        <v>-42.15</v>
      </c>
      <c r="F93" s="65"/>
    </row>
    <row r="94" spans="1:8">
      <c r="A94" s="97">
        <v>45136</v>
      </c>
      <c r="B94" t="s">
        <v>857</v>
      </c>
      <c r="E94">
        <v>-400</v>
      </c>
      <c r="F94" s="65"/>
    </row>
    <row r="95" spans="1:8">
      <c r="A95" s="97">
        <v>45136</v>
      </c>
      <c r="B95" t="s">
        <v>858</v>
      </c>
      <c r="E95">
        <v>-266</v>
      </c>
      <c r="F95" s="65"/>
    </row>
    <row r="96" spans="1:8">
      <c r="A96" s="97">
        <v>45199</v>
      </c>
      <c r="B96" t="s">
        <v>859</v>
      </c>
      <c r="E96">
        <v>-489.97</v>
      </c>
      <c r="F96" s="65"/>
    </row>
    <row r="97" spans="1:6">
      <c r="A97" s="97">
        <v>45139</v>
      </c>
      <c r="B97" t="s">
        <v>285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769</v>
      </c>
      <c r="D99" s="37" t="s">
        <v>860</v>
      </c>
      <c r="E99">
        <v>-181.83</v>
      </c>
    </row>
    <row r="100" spans="1:6">
      <c r="A100" s="96">
        <v>45141</v>
      </c>
      <c r="B100" t="s">
        <v>465</v>
      </c>
      <c r="D100" s="37"/>
      <c r="E100">
        <v>-150</v>
      </c>
    </row>
    <row r="101" spans="1:6">
      <c r="A101" s="96">
        <v>45143</v>
      </c>
      <c r="B101" t="s">
        <v>465</v>
      </c>
      <c r="E101">
        <v>-150</v>
      </c>
    </row>
    <row r="102" spans="1:6">
      <c r="A102" s="96">
        <v>45143</v>
      </c>
      <c r="B102" t="s">
        <v>302</v>
      </c>
      <c r="E102">
        <v>-337.19</v>
      </c>
    </row>
    <row r="103" spans="1:6">
      <c r="A103" s="96">
        <v>45161</v>
      </c>
      <c r="B103" t="s">
        <v>465</v>
      </c>
      <c r="E103">
        <v>-200</v>
      </c>
    </row>
    <row r="104" spans="1:6" ht="15">
      <c r="D104" s="108" t="s">
        <v>286</v>
      </c>
    </row>
    <row r="111" spans="1:6">
      <c r="A111" s="76" t="s">
        <v>861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862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822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824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825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863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864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865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865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866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448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867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868</v>
      </c>
      <c r="D25" s="102"/>
      <c r="F25" s="65"/>
      <c r="G25" s="65"/>
      <c r="H25" s="65">
        <f t="shared" si="0"/>
        <v>-15085.350000000002</v>
      </c>
    </row>
    <row r="26" spans="1:8">
      <c r="B26" t="s">
        <v>869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870</v>
      </c>
      <c r="D27" s="121">
        <v>70000</v>
      </c>
      <c r="G27" s="65"/>
      <c r="H27" s="65">
        <f t="shared" si="0"/>
        <v>-15085.350000000002</v>
      </c>
    </row>
    <row r="28" spans="1:8">
      <c r="B28" t="s">
        <v>871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734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872</v>
      </c>
      <c r="C50" s="94"/>
      <c r="D50" s="94" t="s">
        <v>541</v>
      </c>
      <c r="E50" s="84">
        <v>-1111.1199999999999</v>
      </c>
      <c r="G50" s="65"/>
      <c r="H50" s="65"/>
    </row>
    <row r="51" spans="1:8">
      <c r="A51" s="97">
        <v>44995</v>
      </c>
      <c r="B51" t="s">
        <v>587</v>
      </c>
      <c r="C51">
        <v>613.91</v>
      </c>
      <c r="D51" s="37" t="s">
        <v>873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845</v>
      </c>
      <c r="C52">
        <v>2258.94</v>
      </c>
      <c r="D52" s="37" t="s">
        <v>279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765</v>
      </c>
      <c r="C53" s="94">
        <v>3299</v>
      </c>
      <c r="D53" s="37" t="s">
        <v>740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540</v>
      </c>
      <c r="C54" s="94">
        <v>10764.57</v>
      </c>
      <c r="D54" s="37" t="s">
        <v>739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767</v>
      </c>
      <c r="C55" s="94">
        <v>3123.29</v>
      </c>
      <c r="D55" s="139" t="s">
        <v>740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738</v>
      </c>
      <c r="D56" s="139" t="s">
        <v>421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798</v>
      </c>
      <c r="C57" s="94">
        <v>148.6</v>
      </c>
      <c r="D57" s="139" t="s">
        <v>874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800</v>
      </c>
      <c r="C58" s="94">
        <v>244.8</v>
      </c>
      <c r="D58" s="139" t="s">
        <v>874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801</v>
      </c>
      <c r="C59" s="94">
        <v>1204.5</v>
      </c>
      <c r="D59" s="139" t="s">
        <v>874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802</v>
      </c>
      <c r="C60" s="94">
        <v>532.6</v>
      </c>
      <c r="D60" s="139" t="s">
        <v>874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875</v>
      </c>
      <c r="E62" s="84">
        <v>-132.9</v>
      </c>
    </row>
    <row r="63" spans="1:8">
      <c r="A63" s="97"/>
      <c r="D63" s="3" t="s">
        <v>286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768</v>
      </c>
      <c r="C68">
        <v>1140.99</v>
      </c>
      <c r="D68" t="s">
        <v>876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877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878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879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880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285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596</v>
      </c>
      <c r="E75">
        <v>-1356.36</v>
      </c>
    </row>
    <row r="76" spans="1:8">
      <c r="A76" s="97">
        <v>45115</v>
      </c>
      <c r="B76" t="s">
        <v>596</v>
      </c>
      <c r="E76">
        <v>-1120</v>
      </c>
    </row>
    <row r="77" spans="1:8">
      <c r="B77" t="s">
        <v>881</v>
      </c>
    </row>
    <row r="78" spans="1:8">
      <c r="A78" s="97">
        <v>45116</v>
      </c>
      <c r="B78" t="s">
        <v>882</v>
      </c>
      <c r="E78">
        <v>-437</v>
      </c>
    </row>
    <row r="79" spans="1:8">
      <c r="A79" s="97">
        <v>45116</v>
      </c>
      <c r="B79" t="s">
        <v>596</v>
      </c>
      <c r="D79" s="37"/>
      <c r="E79">
        <v>-863</v>
      </c>
    </row>
    <row r="80" spans="1:8">
      <c r="A80" s="97">
        <v>45119</v>
      </c>
      <c r="B80" t="s">
        <v>341</v>
      </c>
      <c r="D80" s="37"/>
      <c r="E80">
        <v>-146.88999999999999</v>
      </c>
    </row>
    <row r="81" spans="1:5">
      <c r="A81" s="97">
        <v>45119</v>
      </c>
      <c r="B81" t="s">
        <v>468</v>
      </c>
      <c r="E81">
        <v>-150</v>
      </c>
    </row>
    <row r="82" spans="1:5">
      <c r="A82" s="97">
        <v>45120</v>
      </c>
      <c r="B82" t="s">
        <v>468</v>
      </c>
      <c r="E82">
        <v>-150</v>
      </c>
    </row>
    <row r="83" spans="1:5">
      <c r="A83" s="97">
        <v>45121</v>
      </c>
      <c r="B83" t="s">
        <v>468</v>
      </c>
      <c r="E83">
        <v>-150</v>
      </c>
    </row>
    <row r="84" spans="1:5">
      <c r="A84" s="97">
        <v>45124</v>
      </c>
      <c r="B84" t="s">
        <v>468</v>
      </c>
      <c r="E84">
        <v>-150</v>
      </c>
    </row>
    <row r="85" spans="1:5">
      <c r="A85" s="97">
        <v>45125</v>
      </c>
      <c r="B85" t="s">
        <v>468</v>
      </c>
      <c r="E85">
        <v>-160</v>
      </c>
    </row>
    <row r="86" spans="1:5">
      <c r="A86" s="97">
        <v>45129</v>
      </c>
      <c r="B86" t="s">
        <v>341</v>
      </c>
      <c r="E86">
        <v>-20.059999999999999</v>
      </c>
    </row>
    <row r="87" spans="1:5">
      <c r="A87" s="97">
        <v>45130</v>
      </c>
      <c r="B87" t="s">
        <v>883</v>
      </c>
      <c r="E87">
        <v>-275.54000000000002</v>
      </c>
    </row>
    <row r="88" spans="1:5">
      <c r="A88" s="97">
        <v>45130</v>
      </c>
      <c r="B88" t="s">
        <v>775</v>
      </c>
      <c r="E88">
        <v>-212.45</v>
      </c>
    </row>
    <row r="89" spans="1:5">
      <c r="A89" s="97">
        <v>45131</v>
      </c>
      <c r="B89" t="s">
        <v>357</v>
      </c>
      <c r="E89">
        <v>-4.57</v>
      </c>
    </row>
    <row r="90" spans="1:5">
      <c r="A90" s="97">
        <v>45131</v>
      </c>
      <c r="B90" t="s">
        <v>884</v>
      </c>
      <c r="E90">
        <v>-4.57</v>
      </c>
    </row>
    <row r="91" spans="1:5">
      <c r="A91" s="97">
        <v>45131</v>
      </c>
      <c r="B91" t="s">
        <v>359</v>
      </c>
      <c r="E91">
        <v>-30.44</v>
      </c>
    </row>
    <row r="92" spans="1:5">
      <c r="D92" s="3" t="s">
        <v>286</v>
      </c>
    </row>
    <row r="111" spans="1:5">
      <c r="A111" s="76" t="s">
        <v>885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886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822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887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888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889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890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891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892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893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894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895</v>
      </c>
      <c r="C14" s="88" t="s">
        <v>896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895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897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898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899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900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901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734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872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587</v>
      </c>
      <c r="C55">
        <v>613.91</v>
      </c>
      <c r="D55" s="37" t="s">
        <v>902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845</v>
      </c>
      <c r="C56">
        <v>2258.94</v>
      </c>
      <c r="D56" s="37" t="s">
        <v>327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765</v>
      </c>
      <c r="C57" s="94">
        <v>3299</v>
      </c>
      <c r="D57" s="37" t="s">
        <v>421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540</v>
      </c>
      <c r="C58" s="94">
        <v>10764.57</v>
      </c>
      <c r="D58" s="37" t="s">
        <v>423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767</v>
      </c>
      <c r="C59" s="94">
        <v>3123.29</v>
      </c>
      <c r="D59" s="139" t="s">
        <v>421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798</v>
      </c>
      <c r="C60" s="94">
        <v>148.6</v>
      </c>
      <c r="D60" s="139" t="s">
        <v>903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800</v>
      </c>
      <c r="C61" s="94">
        <v>244.8</v>
      </c>
      <c r="D61" s="139" t="s">
        <v>903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801</v>
      </c>
      <c r="C62" s="94">
        <v>1204.5</v>
      </c>
      <c r="D62" s="139" t="s">
        <v>903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802</v>
      </c>
      <c r="C63" s="94">
        <v>532.6</v>
      </c>
      <c r="D63" s="139" t="s">
        <v>903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738</v>
      </c>
      <c r="D64" s="139" t="s">
        <v>460</v>
      </c>
      <c r="E64" s="84">
        <v>-666.67</v>
      </c>
      <c r="F64" s="65"/>
    </row>
    <row r="65" spans="1:8">
      <c r="A65" s="97">
        <v>45091</v>
      </c>
      <c r="B65" s="94" t="s">
        <v>904</v>
      </c>
      <c r="E65" s="84">
        <v>-1129</v>
      </c>
      <c r="F65" s="65"/>
    </row>
    <row r="66" spans="1:8">
      <c r="A66" s="97"/>
      <c r="B66" s="94"/>
      <c r="D66" s="3" t="s">
        <v>286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768</v>
      </c>
      <c r="C70">
        <v>1140.99</v>
      </c>
      <c r="D70" t="s">
        <v>742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905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906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907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907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907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907</v>
      </c>
      <c r="E77" s="84">
        <v>-180</v>
      </c>
    </row>
    <row r="78" spans="1:8">
      <c r="A78" s="96">
        <v>45080</v>
      </c>
      <c r="B78" s="94" t="s">
        <v>908</v>
      </c>
      <c r="E78" s="84">
        <v>-850</v>
      </c>
    </row>
    <row r="79" spans="1:8">
      <c r="A79" s="96">
        <v>45082</v>
      </c>
      <c r="B79" s="94" t="s">
        <v>909</v>
      </c>
      <c r="E79" s="84">
        <v>-112.11</v>
      </c>
    </row>
    <row r="80" spans="1:8">
      <c r="A80" s="96">
        <v>45082</v>
      </c>
      <c r="B80" s="94" t="s">
        <v>907</v>
      </c>
      <c r="E80" s="84">
        <v>-150</v>
      </c>
    </row>
    <row r="81" spans="1:5">
      <c r="A81" s="96">
        <v>45084</v>
      </c>
      <c r="B81" s="94" t="s">
        <v>907</v>
      </c>
      <c r="D81" s="37"/>
      <c r="E81" s="84">
        <v>-250</v>
      </c>
    </row>
    <row r="82" spans="1:5">
      <c r="A82" s="96">
        <v>45085</v>
      </c>
      <c r="B82" s="94" t="s">
        <v>907</v>
      </c>
      <c r="D82" s="37"/>
      <c r="E82" s="84">
        <v>-250</v>
      </c>
    </row>
    <row r="83" spans="1:5">
      <c r="A83" s="96">
        <v>45086</v>
      </c>
      <c r="B83" t="s">
        <v>910</v>
      </c>
      <c r="E83" s="84">
        <v>-1420</v>
      </c>
    </row>
    <row r="84" spans="1:5">
      <c r="A84" s="96">
        <v>45087</v>
      </c>
      <c r="B84" t="s">
        <v>911</v>
      </c>
      <c r="E84" s="84">
        <v>-242.56</v>
      </c>
    </row>
    <row r="85" spans="1:5">
      <c r="A85" s="96">
        <v>45089</v>
      </c>
      <c r="B85" t="s">
        <v>912</v>
      </c>
      <c r="E85" s="84">
        <v>-167.19</v>
      </c>
    </row>
    <row r="86" spans="1:5">
      <c r="A86" s="96">
        <v>45091</v>
      </c>
      <c r="B86" t="s">
        <v>907</v>
      </c>
      <c r="E86" s="84">
        <v>-200</v>
      </c>
    </row>
    <row r="87" spans="1:5">
      <c r="A87" s="96">
        <v>45091</v>
      </c>
      <c r="B87" t="s">
        <v>909</v>
      </c>
      <c r="E87" s="84">
        <v>-61.41</v>
      </c>
    </row>
    <row r="88" spans="1:5">
      <c r="A88" s="96">
        <v>45092</v>
      </c>
      <c r="B88" t="s">
        <v>907</v>
      </c>
      <c r="E88" s="84">
        <v>-200</v>
      </c>
    </row>
    <row r="89" spans="1:5">
      <c r="A89" s="97">
        <v>45095</v>
      </c>
      <c r="B89" t="s">
        <v>913</v>
      </c>
      <c r="E89" s="84">
        <v>-257</v>
      </c>
    </row>
    <row r="90" spans="1:5">
      <c r="A90" s="97">
        <v>45096</v>
      </c>
      <c r="B90" t="s">
        <v>468</v>
      </c>
      <c r="E90" s="84">
        <v>-250</v>
      </c>
    </row>
    <row r="91" spans="1:5">
      <c r="A91" s="97">
        <v>45097</v>
      </c>
      <c r="B91" t="s">
        <v>914</v>
      </c>
      <c r="E91" s="84">
        <v>-110</v>
      </c>
    </row>
    <row r="92" spans="1:5">
      <c r="A92" s="97">
        <v>45098</v>
      </c>
      <c r="B92" t="s">
        <v>915</v>
      </c>
      <c r="E92" s="84">
        <v>-405</v>
      </c>
    </row>
    <row r="93" spans="1:5">
      <c r="A93" s="97">
        <v>45099</v>
      </c>
      <c r="B93" t="s">
        <v>916</v>
      </c>
      <c r="E93" s="84">
        <v>-820</v>
      </c>
    </row>
    <row r="94" spans="1:5">
      <c r="A94" s="97">
        <v>45099</v>
      </c>
      <c r="B94" t="s">
        <v>917</v>
      </c>
      <c r="E94" s="84">
        <v>-599</v>
      </c>
    </row>
    <row r="95" spans="1:5">
      <c r="A95" s="97">
        <v>45099</v>
      </c>
      <c r="B95" t="s">
        <v>918</v>
      </c>
      <c r="E95" s="84">
        <v>-8</v>
      </c>
    </row>
    <row r="96" spans="1:5">
      <c r="A96" s="97">
        <v>45099</v>
      </c>
      <c r="B96" t="s">
        <v>918</v>
      </c>
      <c r="E96" s="84">
        <v>-1197.3800000000001</v>
      </c>
    </row>
    <row r="97" spans="1:5">
      <c r="A97" s="97">
        <v>45100</v>
      </c>
      <c r="B97" t="s">
        <v>919</v>
      </c>
      <c r="E97" s="84">
        <v>-418.5</v>
      </c>
    </row>
    <row r="98" spans="1:5">
      <c r="D98" s="3" t="s">
        <v>286</v>
      </c>
    </row>
    <row r="110" spans="1:5">
      <c r="D110" s="37"/>
    </row>
    <row r="111" spans="1:5">
      <c r="A111" s="76" t="s">
        <v>920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822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921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922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923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924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371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925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926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369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927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928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929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930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931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932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933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734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872</v>
      </c>
      <c r="C50" s="94"/>
      <c r="D50" s="94" t="s">
        <v>253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934</v>
      </c>
      <c r="C51">
        <v>659.93</v>
      </c>
      <c r="D51" s="37" t="s">
        <v>799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587</v>
      </c>
      <c r="C52">
        <v>613.91</v>
      </c>
      <c r="D52" s="37" t="s">
        <v>935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936</v>
      </c>
      <c r="C53">
        <v>720.19</v>
      </c>
      <c r="D53" s="255" t="s">
        <v>937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845</v>
      </c>
      <c r="C54">
        <v>2258.94</v>
      </c>
      <c r="D54" s="37" t="s">
        <v>938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540</v>
      </c>
      <c r="C57" s="94">
        <v>10764.57</v>
      </c>
      <c r="D57" s="37" t="s">
        <v>804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765</v>
      </c>
      <c r="C58" s="94">
        <v>3299</v>
      </c>
      <c r="D58" s="37" t="s">
        <v>460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767</v>
      </c>
      <c r="C60" s="94">
        <v>3123.29</v>
      </c>
      <c r="D60" s="139" t="s">
        <v>460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939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940</v>
      </c>
      <c r="E63" s="84">
        <v>-496</v>
      </c>
    </row>
    <row r="64" spans="1:8">
      <c r="A64" s="97">
        <v>45043</v>
      </c>
      <c r="B64" s="94" t="s">
        <v>941</v>
      </c>
      <c r="C64" s="94"/>
      <c r="D64" s="94"/>
      <c r="E64" s="84">
        <v>-120</v>
      </c>
    </row>
    <row r="65" spans="1:6">
      <c r="A65" s="97">
        <v>45044</v>
      </c>
      <c r="B65" t="s">
        <v>942</v>
      </c>
      <c r="E65" s="84">
        <v>-321</v>
      </c>
      <c r="F65" s="65"/>
    </row>
    <row r="66" spans="1:6">
      <c r="A66" s="97">
        <v>45044</v>
      </c>
      <c r="B66" t="s">
        <v>943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944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944</v>
      </c>
      <c r="C69">
        <v>225</v>
      </c>
      <c r="E69" s="84"/>
    </row>
    <row r="70" spans="1:6">
      <c r="A70" s="97">
        <v>45062</v>
      </c>
      <c r="B70" t="s">
        <v>944</v>
      </c>
      <c r="C70">
        <v>500</v>
      </c>
      <c r="E70" s="84"/>
    </row>
    <row r="71" spans="1:6">
      <c r="A71" s="97">
        <v>45066</v>
      </c>
      <c r="B71" t="s">
        <v>945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286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946</v>
      </c>
      <c r="C85" s="94"/>
      <c r="D85" s="94"/>
      <c r="E85" s="84">
        <v>-140</v>
      </c>
      <c r="F85" s="65" t="s">
        <v>947</v>
      </c>
      <c r="G85" s="65"/>
      <c r="H85" s="65"/>
    </row>
    <row r="86" spans="1:8">
      <c r="A86" s="97">
        <v>45044</v>
      </c>
      <c r="B86" s="94" t="s">
        <v>948</v>
      </c>
      <c r="C86" s="94"/>
      <c r="D86" s="94"/>
      <c r="E86" s="84">
        <v>-35.78</v>
      </c>
      <c r="F86" s="65" t="s">
        <v>947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947</v>
      </c>
      <c r="G87" s="65"/>
      <c r="H87" s="65"/>
    </row>
    <row r="88" spans="1:8">
      <c r="A88" s="97">
        <v>45023</v>
      </c>
      <c r="B88" s="94" t="s">
        <v>302</v>
      </c>
      <c r="C88" s="94"/>
      <c r="D88" s="94"/>
      <c r="E88" s="84">
        <v>-39.950000000000003</v>
      </c>
      <c r="F88" s="65" t="s">
        <v>947</v>
      </c>
      <c r="G88" s="65"/>
      <c r="H88" s="65"/>
    </row>
    <row r="89" spans="1:8">
      <c r="A89" s="97">
        <v>45023</v>
      </c>
      <c r="B89" s="94" t="s">
        <v>302</v>
      </c>
      <c r="C89" s="94"/>
      <c r="D89" s="94"/>
      <c r="E89" s="84">
        <v>-154.44999999999999</v>
      </c>
      <c r="F89" s="65" t="s">
        <v>947</v>
      </c>
      <c r="G89" s="65"/>
      <c r="H89" s="65"/>
    </row>
    <row r="90" spans="1:8">
      <c r="A90" s="97">
        <v>45023</v>
      </c>
      <c r="B90" s="103" t="s">
        <v>302</v>
      </c>
      <c r="E90" s="84">
        <v>-260</v>
      </c>
      <c r="F90" s="65" t="s">
        <v>947</v>
      </c>
    </row>
    <row r="91" spans="1:8">
      <c r="A91" s="97">
        <v>45026</v>
      </c>
      <c r="B91" t="s">
        <v>949</v>
      </c>
      <c r="E91" s="84">
        <v>-140</v>
      </c>
      <c r="F91" s="65" t="s">
        <v>947</v>
      </c>
    </row>
    <row r="92" spans="1:8">
      <c r="A92" s="97">
        <v>45026</v>
      </c>
      <c r="B92" t="s">
        <v>948</v>
      </c>
      <c r="E92" s="84">
        <v>-57.07</v>
      </c>
      <c r="F92" s="65" t="s">
        <v>947</v>
      </c>
    </row>
    <row r="93" spans="1:8">
      <c r="A93" s="97">
        <v>45026</v>
      </c>
      <c r="B93" t="s">
        <v>768</v>
      </c>
      <c r="C93">
        <v>1140.99</v>
      </c>
      <c r="D93" t="s">
        <v>771</v>
      </c>
      <c r="E93" s="84">
        <v>-190.17</v>
      </c>
      <c r="F93" t="s">
        <v>947</v>
      </c>
    </row>
    <row r="94" spans="1:8">
      <c r="A94" s="97">
        <v>45061</v>
      </c>
      <c r="B94" t="s">
        <v>950</v>
      </c>
      <c r="E94" s="84">
        <v>-190</v>
      </c>
      <c r="F94" s="65" t="s">
        <v>947</v>
      </c>
    </row>
    <row r="95" spans="1:8">
      <c r="E95" t="s">
        <v>286</v>
      </c>
    </row>
    <row r="96" spans="1:8">
      <c r="D96" s="37"/>
    </row>
    <row r="97" spans="1:5">
      <c r="D97" s="37"/>
    </row>
    <row r="111" spans="1:5">
      <c r="A111" s="76" t="s">
        <v>951</v>
      </c>
      <c r="B111" s="77" t="s">
        <v>952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921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922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954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955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419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418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956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957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958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933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959</v>
      </c>
      <c r="C28" s="88"/>
      <c r="D28" s="88"/>
      <c r="E28" s="84"/>
      <c r="H28" s="65"/>
    </row>
    <row r="29" spans="1:8">
      <c r="A29" s="97"/>
      <c r="B29" s="88" t="s">
        <v>960</v>
      </c>
      <c r="C29" s="88"/>
      <c r="D29" s="88"/>
      <c r="E29" s="84"/>
      <c r="H29" s="65"/>
    </row>
    <row r="30" spans="1:8">
      <c r="A30" s="97"/>
      <c r="B30" s="88" t="s">
        <v>961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962</v>
      </c>
      <c r="C32" s="88" t="s">
        <v>963</v>
      </c>
      <c r="D32" s="88"/>
      <c r="E32" s="84"/>
      <c r="H32" s="65"/>
    </row>
    <row r="33" spans="1:8">
      <c r="A33" s="97"/>
      <c r="B33" t="s">
        <v>964</v>
      </c>
      <c r="C33" s="88"/>
      <c r="D33" s="88"/>
      <c r="E33" s="84"/>
      <c r="H33" s="65"/>
    </row>
    <row r="34" spans="1:8">
      <c r="A34" s="97"/>
      <c r="B34" t="s">
        <v>965</v>
      </c>
      <c r="C34" s="88"/>
      <c r="D34" s="88"/>
      <c r="E34" s="84"/>
      <c r="H34" s="65"/>
    </row>
    <row r="35" spans="1:8">
      <c r="A35" s="97"/>
      <c r="B35" s="88" t="s">
        <v>966</v>
      </c>
      <c r="C35" s="88"/>
      <c r="D35" s="88"/>
      <c r="E35" s="84"/>
      <c r="H35" s="65"/>
    </row>
    <row r="36" spans="1:8">
      <c r="A36" s="97"/>
      <c r="B36" s="88" t="s">
        <v>967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734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872</v>
      </c>
      <c r="C60" s="94"/>
      <c r="D60" s="94" t="s">
        <v>491</v>
      </c>
      <c r="E60" s="84">
        <v>-1111.1099999999999</v>
      </c>
      <c r="G60" s="65"/>
      <c r="H60" s="65"/>
    </row>
    <row r="61" spans="1:8">
      <c r="A61" s="97">
        <v>45016</v>
      </c>
      <c r="B61" t="s">
        <v>630</v>
      </c>
      <c r="C61">
        <v>437.97</v>
      </c>
      <c r="D61" s="37" t="s">
        <v>937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631</v>
      </c>
      <c r="C62">
        <v>404.23</v>
      </c>
      <c r="D62" s="37" t="s">
        <v>937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632</v>
      </c>
      <c r="C63">
        <v>1135</v>
      </c>
      <c r="D63" s="37" t="s">
        <v>937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934</v>
      </c>
      <c r="C64">
        <v>659.93</v>
      </c>
      <c r="D64" s="37" t="s">
        <v>846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936</v>
      </c>
      <c r="C65">
        <v>720.19</v>
      </c>
      <c r="D65" s="255" t="s">
        <v>968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587</v>
      </c>
      <c r="C66">
        <v>613.91</v>
      </c>
      <c r="D66" s="37" t="s">
        <v>969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845</v>
      </c>
      <c r="C67">
        <v>2258.94</v>
      </c>
      <c r="D67" s="37" t="s">
        <v>421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970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971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972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299</v>
      </c>
      <c r="E72" s="84">
        <v>-158.63999999999999</v>
      </c>
    </row>
    <row r="73" spans="1:8">
      <c r="A73" s="97">
        <v>45037</v>
      </c>
      <c r="B73" t="s">
        <v>875</v>
      </c>
      <c r="D73" s="37"/>
      <c r="E73" s="84">
        <v>-100</v>
      </c>
    </row>
    <row r="74" spans="1:8">
      <c r="A74" s="97">
        <v>45037</v>
      </c>
      <c r="B74" t="s">
        <v>875</v>
      </c>
      <c r="E74" s="84">
        <v>-15</v>
      </c>
    </row>
    <row r="75" spans="1:8">
      <c r="A75" s="97">
        <v>45039</v>
      </c>
      <c r="B75" t="s">
        <v>973</v>
      </c>
      <c r="E75" s="84">
        <v>-430</v>
      </c>
    </row>
    <row r="76" spans="1:8">
      <c r="A76" s="97">
        <v>45040</v>
      </c>
      <c r="B76" t="s">
        <v>974</v>
      </c>
      <c r="E76" s="84">
        <v>-69.739999999999995</v>
      </c>
    </row>
    <row r="77" spans="1:8">
      <c r="A77" s="97">
        <v>45040</v>
      </c>
      <c r="B77" t="s">
        <v>975</v>
      </c>
      <c r="E77" s="84">
        <v>-125</v>
      </c>
    </row>
    <row r="78" spans="1:8">
      <c r="A78" s="97"/>
      <c r="E78" s="84" t="s">
        <v>976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977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976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978</v>
      </c>
      <c r="B111" s="77" t="s">
        <v>952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886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822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921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922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953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979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447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441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980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892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891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981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982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983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984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985</v>
      </c>
      <c r="D26" s="102"/>
      <c r="H26" s="65">
        <f t="shared" si="0"/>
        <v>-18317.020000000004</v>
      </c>
    </row>
    <row r="27" spans="1:8">
      <c r="A27" s="97">
        <v>45042</v>
      </c>
      <c r="B27" t="s">
        <v>986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987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988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989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734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990</v>
      </c>
      <c r="C55" s="94"/>
      <c r="D55" s="94" t="s">
        <v>542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991</v>
      </c>
      <c r="C56" s="94"/>
      <c r="D56" s="94" t="s">
        <v>799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992</v>
      </c>
      <c r="C57" s="94"/>
      <c r="D57" s="94" t="s">
        <v>799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993</v>
      </c>
      <c r="C58" s="94"/>
      <c r="D58" s="94" t="s">
        <v>799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994</v>
      </c>
      <c r="C59" s="94"/>
      <c r="D59" s="94" t="s">
        <v>799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630</v>
      </c>
      <c r="C60">
        <v>437.97</v>
      </c>
      <c r="D60" s="37" t="s">
        <v>968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631</v>
      </c>
      <c r="C61">
        <v>404.23</v>
      </c>
      <c r="D61" s="37" t="s">
        <v>968</v>
      </c>
      <c r="E61" s="84">
        <v>-134.74</v>
      </c>
      <c r="F61" s="65"/>
    </row>
    <row r="62" spans="1:8">
      <c r="A62" s="97">
        <v>44985</v>
      </c>
      <c r="B62" t="s">
        <v>632</v>
      </c>
      <c r="C62">
        <v>1135</v>
      </c>
      <c r="D62" s="37" t="s">
        <v>968</v>
      </c>
      <c r="E62" s="84">
        <v>-378.33</v>
      </c>
      <c r="F62" s="65"/>
    </row>
    <row r="63" spans="1:8">
      <c r="A63" s="97">
        <v>44982</v>
      </c>
      <c r="B63" t="s">
        <v>995</v>
      </c>
      <c r="C63">
        <v>659.93</v>
      </c>
      <c r="D63" s="37" t="s">
        <v>874</v>
      </c>
      <c r="E63" s="84">
        <v>-164.98</v>
      </c>
      <c r="F63" s="65"/>
    </row>
    <row r="64" spans="1:8">
      <c r="A64" s="97">
        <v>44995</v>
      </c>
      <c r="B64" t="s">
        <v>936</v>
      </c>
      <c r="C64">
        <v>720.19</v>
      </c>
      <c r="D64" s="255" t="s">
        <v>996</v>
      </c>
      <c r="E64" s="84">
        <v>-240.06</v>
      </c>
      <c r="F64" s="65"/>
    </row>
    <row r="65" spans="1:8">
      <c r="A65" s="97">
        <v>44995</v>
      </c>
      <c r="B65" t="s">
        <v>587</v>
      </c>
      <c r="C65">
        <v>613.91</v>
      </c>
      <c r="D65" s="37" t="s">
        <v>997</v>
      </c>
      <c r="E65" s="84">
        <v>-61.39</v>
      </c>
      <c r="F65" s="65"/>
    </row>
    <row r="66" spans="1:8">
      <c r="A66" s="97">
        <v>44995</v>
      </c>
      <c r="B66" t="s">
        <v>845</v>
      </c>
      <c r="C66">
        <v>2258.94</v>
      </c>
      <c r="D66" s="37" t="s">
        <v>460</v>
      </c>
      <c r="E66" s="84">
        <v>-376.49</v>
      </c>
      <c r="F66" s="65"/>
    </row>
    <row r="67" spans="1:8">
      <c r="A67" s="97">
        <v>44985</v>
      </c>
      <c r="B67" t="s">
        <v>998</v>
      </c>
      <c r="D67" s="37"/>
      <c r="E67" s="84">
        <v>-161.31</v>
      </c>
      <c r="F67" s="65"/>
    </row>
    <row r="68" spans="1:8">
      <c r="A68" s="97">
        <v>44986</v>
      </c>
      <c r="B68" t="s">
        <v>998</v>
      </c>
      <c r="D68" s="37"/>
      <c r="E68" s="84">
        <v>-137.93</v>
      </c>
      <c r="F68" s="65"/>
    </row>
    <row r="69" spans="1:8">
      <c r="A69" s="97">
        <v>44987</v>
      </c>
      <c r="B69" t="s">
        <v>998</v>
      </c>
      <c r="D69" s="37"/>
      <c r="E69" s="84">
        <v>-121.99</v>
      </c>
      <c r="F69" s="65"/>
    </row>
    <row r="70" spans="1:8">
      <c r="A70" s="97">
        <v>45004</v>
      </c>
      <c r="B70" t="s">
        <v>999</v>
      </c>
      <c r="D70" s="37"/>
      <c r="E70" s="84">
        <v>-94.85</v>
      </c>
      <c r="F70" s="65"/>
    </row>
    <row r="71" spans="1:8">
      <c r="A71" s="97">
        <v>45005</v>
      </c>
      <c r="B71" t="s">
        <v>1000</v>
      </c>
      <c r="D71" s="37"/>
      <c r="E71" s="84">
        <v>-456.1</v>
      </c>
      <c r="F71" s="65"/>
    </row>
    <row r="72" spans="1:8">
      <c r="A72" s="97">
        <v>45005</v>
      </c>
      <c r="B72" t="s">
        <v>1001</v>
      </c>
      <c r="E72" s="84">
        <v>-110</v>
      </c>
    </row>
    <row r="73" spans="1:8">
      <c r="A73" s="97">
        <v>45007</v>
      </c>
      <c r="B73" t="s">
        <v>1002</v>
      </c>
      <c r="D73" s="37"/>
      <c r="E73" s="84">
        <v>-554.11</v>
      </c>
    </row>
    <row r="74" spans="1:8">
      <c r="A74" s="97">
        <v>45010</v>
      </c>
      <c r="B74" t="s">
        <v>1003</v>
      </c>
      <c r="D74" s="37"/>
      <c r="E74" s="84">
        <v>-530.54999999999995</v>
      </c>
    </row>
    <row r="75" spans="1:8">
      <c r="A75" s="97">
        <v>45010</v>
      </c>
      <c r="B75" t="s">
        <v>1004</v>
      </c>
      <c r="D75" s="37"/>
      <c r="E75" s="84">
        <v>-26.53</v>
      </c>
    </row>
    <row r="76" spans="1:8">
      <c r="A76" s="97"/>
      <c r="D76" s="37"/>
      <c r="E76" s="84" t="s">
        <v>976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468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467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468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1005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976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1006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886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822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921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922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1007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1008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1009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485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482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1010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1011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1012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1013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1014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1015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1016</v>
      </c>
      <c r="D25" s="102"/>
      <c r="F25" s="65"/>
      <c r="G25" s="65"/>
      <c r="H25" s="65">
        <f t="shared" si="0"/>
        <v>-270.29999999999927</v>
      </c>
    </row>
    <row r="26" spans="1:8">
      <c r="B26" t="s">
        <v>1017</v>
      </c>
      <c r="D26" s="102"/>
      <c r="F26" s="65"/>
      <c r="G26" s="65"/>
      <c r="H26" s="65">
        <f t="shared" si="0"/>
        <v>-270.29999999999927</v>
      </c>
    </row>
    <row r="27" spans="1:8">
      <c r="B27" t="s">
        <v>1018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468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1019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1020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581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1021</v>
      </c>
      <c r="D35" t="s">
        <v>896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1022</v>
      </c>
      <c r="D36" t="s">
        <v>896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1023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1024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1025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1026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1027</v>
      </c>
      <c r="D50">
        <v>200</v>
      </c>
      <c r="F50" s="65"/>
      <c r="G50" s="65"/>
    </row>
    <row r="51" spans="1:8">
      <c r="B51" t="s">
        <v>1028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1029</v>
      </c>
      <c r="C60" s="94"/>
      <c r="D60" s="94" t="s">
        <v>259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1030</v>
      </c>
      <c r="C61" s="94"/>
      <c r="D61" s="94" t="s">
        <v>259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1031</v>
      </c>
      <c r="C62" s="94"/>
      <c r="D62" s="94" t="s">
        <v>586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991</v>
      </c>
      <c r="C63" s="94"/>
      <c r="D63" s="94" t="s">
        <v>846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992</v>
      </c>
      <c r="C64" s="94"/>
      <c r="D64" s="94" t="s">
        <v>846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993</v>
      </c>
      <c r="C65" s="94"/>
      <c r="D65" s="94" t="s">
        <v>846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994</v>
      </c>
      <c r="C66" s="94"/>
      <c r="D66" s="94" t="s">
        <v>846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1032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1033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1034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1035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1036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629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629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630</v>
      </c>
      <c r="C74">
        <v>437.97</v>
      </c>
      <c r="D74" s="37" t="s">
        <v>996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631</v>
      </c>
      <c r="C75">
        <v>404.23</v>
      </c>
      <c r="D75" s="37" t="s">
        <v>996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632</v>
      </c>
      <c r="C76">
        <v>1135</v>
      </c>
      <c r="D76" s="37" t="s">
        <v>996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1037</v>
      </c>
      <c r="E77" s="84">
        <v>-880.22</v>
      </c>
      <c r="G77" s="65"/>
    </row>
    <row r="78" spans="1:8">
      <c r="A78" s="97">
        <v>44958</v>
      </c>
      <c r="B78" t="s">
        <v>1038</v>
      </c>
      <c r="E78" s="84">
        <v>-218.24</v>
      </c>
      <c r="G78" s="65"/>
    </row>
    <row r="79" spans="1:8">
      <c r="A79" s="97">
        <v>44960</v>
      </c>
      <c r="B79" t="s">
        <v>1039</v>
      </c>
      <c r="E79" s="84">
        <v>-120.45</v>
      </c>
      <c r="G79" s="65"/>
    </row>
    <row r="80" spans="1:8">
      <c r="A80" s="97">
        <v>44963</v>
      </c>
      <c r="B80" t="s">
        <v>1040</v>
      </c>
      <c r="D80" s="37"/>
      <c r="E80" s="84">
        <v>-130.56</v>
      </c>
      <c r="G80" s="65"/>
    </row>
    <row r="81" spans="1:8">
      <c r="A81" s="97">
        <v>44969</v>
      </c>
      <c r="B81" t="s">
        <v>1041</v>
      </c>
      <c r="D81" s="37"/>
      <c r="E81" s="84">
        <v>-51.99</v>
      </c>
      <c r="G81" s="65"/>
    </row>
    <row r="82" spans="1:8">
      <c r="A82" s="97">
        <v>44970</v>
      </c>
      <c r="B82" t="s">
        <v>338</v>
      </c>
      <c r="D82" s="37"/>
      <c r="E82" s="84">
        <v>-379</v>
      </c>
      <c r="G82" s="65"/>
    </row>
    <row r="83" spans="1:8">
      <c r="A83" s="97">
        <v>44970</v>
      </c>
      <c r="B83" t="s">
        <v>338</v>
      </c>
      <c r="D83" s="37"/>
      <c r="E83" s="84">
        <v>-510</v>
      </c>
      <c r="G83" s="65"/>
    </row>
    <row r="84" spans="1:8">
      <c r="A84" s="97">
        <v>44971</v>
      </c>
      <c r="B84" t="s">
        <v>1041</v>
      </c>
      <c r="D84" s="37"/>
      <c r="E84" s="84">
        <v>-51.99</v>
      </c>
      <c r="G84" s="65"/>
    </row>
    <row r="85" spans="1:8">
      <c r="A85" s="97">
        <v>44972</v>
      </c>
      <c r="B85" t="s">
        <v>1042</v>
      </c>
      <c r="D85" s="37"/>
      <c r="E85" s="84">
        <v>-54.77</v>
      </c>
      <c r="G85" s="65"/>
    </row>
    <row r="86" spans="1:8">
      <c r="A86" s="97">
        <v>44972</v>
      </c>
      <c r="B86" t="s">
        <v>1043</v>
      </c>
      <c r="D86" s="37"/>
      <c r="E86" s="84">
        <v>-459</v>
      </c>
      <c r="G86" s="65"/>
    </row>
    <row r="87" spans="1:8">
      <c r="A87" s="97">
        <v>44972</v>
      </c>
      <c r="B87" t="s">
        <v>1044</v>
      </c>
      <c r="D87" s="37"/>
      <c r="E87" s="84">
        <v>-211</v>
      </c>
      <c r="G87" s="65"/>
    </row>
    <row r="88" spans="1:8">
      <c r="A88" s="97">
        <v>44977</v>
      </c>
      <c r="B88" t="s">
        <v>1045</v>
      </c>
      <c r="D88" s="37"/>
      <c r="E88" s="84">
        <v>-100</v>
      </c>
      <c r="G88" s="65"/>
    </row>
    <row r="89" spans="1:8">
      <c r="A89" s="97">
        <v>44977</v>
      </c>
      <c r="B89" t="s">
        <v>1045</v>
      </c>
      <c r="D89" s="37"/>
      <c r="E89" s="84">
        <v>-10</v>
      </c>
      <c r="G89" s="65"/>
    </row>
    <row r="90" spans="1:8">
      <c r="A90" s="97">
        <v>44981</v>
      </c>
      <c r="B90" t="s">
        <v>465</v>
      </c>
      <c r="D90" s="37"/>
      <c r="E90" s="84">
        <v>-132.77000000000001</v>
      </c>
      <c r="G90" s="65"/>
    </row>
    <row r="91" spans="1:8">
      <c r="A91" s="97">
        <v>44982</v>
      </c>
      <c r="B91" t="s">
        <v>465</v>
      </c>
      <c r="D91" s="37"/>
      <c r="E91" s="84">
        <v>-186.34</v>
      </c>
      <c r="G91" s="65"/>
    </row>
    <row r="92" spans="1:8">
      <c r="A92" s="97">
        <v>44982</v>
      </c>
      <c r="B92" t="s">
        <v>934</v>
      </c>
      <c r="C92">
        <v>659.93</v>
      </c>
      <c r="D92" s="37" t="s">
        <v>903</v>
      </c>
      <c r="E92" s="84">
        <v>-164.98</v>
      </c>
      <c r="G92" s="65"/>
    </row>
    <row r="93" spans="1:8">
      <c r="A93" s="257">
        <v>44982</v>
      </c>
      <c r="D93" s="37"/>
      <c r="E93" s="258" t="s">
        <v>976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1046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1047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974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974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974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976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1048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1049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822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921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922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1050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889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1051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1052</v>
      </c>
      <c r="C8" s="259" t="s">
        <v>896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1053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532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1054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1055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1056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1057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1058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1059</v>
      </c>
      <c r="F27" s="65"/>
      <c r="G27" s="65">
        <v>-5040</v>
      </c>
      <c r="H27" s="65">
        <f t="shared" si="0"/>
        <v>-18663.48</v>
      </c>
    </row>
    <row r="28" spans="1:8">
      <c r="B28" t="s">
        <v>1011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1060</v>
      </c>
      <c r="F29" s="65">
        <v>2000</v>
      </c>
      <c r="G29" s="65"/>
      <c r="H29" s="65">
        <f t="shared" si="0"/>
        <v>-16663.48</v>
      </c>
    </row>
    <row r="30" spans="1:8">
      <c r="B30" t="s">
        <v>1061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1062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1063</v>
      </c>
      <c r="D32" s="263">
        <v>1000</v>
      </c>
      <c r="H32" s="65">
        <f t="shared" si="0"/>
        <v>-10163.48</v>
      </c>
    </row>
    <row r="33" spans="1:8">
      <c r="B33" s="27" t="s">
        <v>1064</v>
      </c>
      <c r="D33" s="102"/>
      <c r="G33" s="65"/>
      <c r="H33" s="65">
        <f t="shared" si="0"/>
        <v>-10163.48</v>
      </c>
    </row>
    <row r="34" spans="1:8">
      <c r="A34" s="97"/>
      <c r="B34" s="246" t="s">
        <v>1065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1066</v>
      </c>
      <c r="C38" t="s">
        <v>896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1067</v>
      </c>
      <c r="C39" t="s">
        <v>896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1068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1069</v>
      </c>
      <c r="C46" s="246"/>
      <c r="D46" s="246" t="s">
        <v>1070</v>
      </c>
      <c r="H46" s="65"/>
    </row>
    <row r="47" spans="1:8">
      <c r="A47" s="251">
        <v>44844</v>
      </c>
      <c r="B47" s="246" t="s">
        <v>1071</v>
      </c>
      <c r="C47" s="248"/>
      <c r="D47" s="246" t="s">
        <v>1072</v>
      </c>
      <c r="H47" s="65"/>
    </row>
    <row r="48" spans="1:8">
      <c r="A48" s="251"/>
      <c r="B48" s="246" t="s">
        <v>1073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1026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1074</v>
      </c>
      <c r="D54">
        <v>200</v>
      </c>
      <c r="F54" s="65"/>
      <c r="G54" s="65"/>
    </row>
    <row r="55" spans="1:8">
      <c r="B55" t="s">
        <v>1075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1076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1029</v>
      </c>
      <c r="C64" s="94"/>
      <c r="D64" s="94" t="s">
        <v>279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1030</v>
      </c>
      <c r="C65" s="94"/>
      <c r="D65" s="94" t="s">
        <v>279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1077</v>
      </c>
      <c r="C66" s="94"/>
      <c r="D66" s="94" t="s">
        <v>739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1078</v>
      </c>
      <c r="C67" s="94"/>
      <c r="D67" s="88" t="s">
        <v>937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991</v>
      </c>
      <c r="C68" s="94"/>
      <c r="D68" s="94" t="s">
        <v>874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992</v>
      </c>
      <c r="C69" s="94"/>
      <c r="D69" s="94" t="s">
        <v>874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993</v>
      </c>
      <c r="C70" s="94"/>
      <c r="D70" s="94" t="s">
        <v>874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994</v>
      </c>
      <c r="C71" s="94"/>
      <c r="D71" s="94" t="s">
        <v>874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560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1079</v>
      </c>
      <c r="D73" t="s">
        <v>1080</v>
      </c>
    </row>
    <row r="74" spans="1:8">
      <c r="A74" s="97">
        <v>44925</v>
      </c>
      <c r="B74" t="s">
        <v>1081</v>
      </c>
      <c r="E74" s="84">
        <v>-47.8</v>
      </c>
    </row>
    <row r="75" spans="1:8">
      <c r="A75" s="97">
        <v>44934</v>
      </c>
      <c r="B75" t="s">
        <v>1082</v>
      </c>
      <c r="E75" s="84">
        <v>-556.07000000000005</v>
      </c>
    </row>
    <row r="76" spans="1:8">
      <c r="A76" s="97">
        <v>44936</v>
      </c>
      <c r="B76" t="s">
        <v>1083</v>
      </c>
      <c r="E76" s="84">
        <v>-79.34</v>
      </c>
    </row>
    <row r="77" spans="1:8">
      <c r="A77" s="97">
        <v>44937</v>
      </c>
      <c r="B77" t="s">
        <v>1033</v>
      </c>
      <c r="E77" s="84">
        <v>-123.45</v>
      </c>
    </row>
    <row r="78" spans="1:8">
      <c r="A78" s="97">
        <v>44938</v>
      </c>
      <c r="B78" t="s">
        <v>1034</v>
      </c>
      <c r="E78" s="84">
        <v>-113.57</v>
      </c>
    </row>
    <row r="79" spans="1:8">
      <c r="A79" s="97">
        <v>44939</v>
      </c>
      <c r="B79" t="s">
        <v>1035</v>
      </c>
      <c r="E79" s="84">
        <v>-118.62</v>
      </c>
    </row>
    <row r="80" spans="1:8">
      <c r="A80" s="97">
        <v>44940</v>
      </c>
      <c r="B80" t="s">
        <v>1036</v>
      </c>
      <c r="E80" s="84">
        <v>-123.85</v>
      </c>
    </row>
    <row r="81" spans="1:8">
      <c r="A81" s="97">
        <v>44942</v>
      </c>
      <c r="B81" t="s">
        <v>1039</v>
      </c>
      <c r="E81" s="84">
        <v>-177.33</v>
      </c>
    </row>
    <row r="82" spans="1:8">
      <c r="A82" s="97">
        <v>44947</v>
      </c>
      <c r="B82" t="s">
        <v>875</v>
      </c>
      <c r="E82" s="84">
        <v>-100</v>
      </c>
    </row>
    <row r="83" spans="1:8">
      <c r="A83" s="97">
        <v>44949</v>
      </c>
      <c r="B83" t="s">
        <v>1040</v>
      </c>
      <c r="E83" s="84">
        <v>-111.1</v>
      </c>
    </row>
    <row r="84" spans="1:8">
      <c r="A84" s="97">
        <v>44950</v>
      </c>
      <c r="B84" t="s">
        <v>1084</v>
      </c>
      <c r="E84" s="84">
        <v>-99.87</v>
      </c>
    </row>
    <row r="85" spans="1:8">
      <c r="A85" s="97">
        <v>44951</v>
      </c>
      <c r="B85" t="s">
        <v>1085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1086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1087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1088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1089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1090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355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1091</v>
      </c>
      <c r="E94" s="84">
        <v>-164.8</v>
      </c>
    </row>
    <row r="95" spans="1:8">
      <c r="A95" s="97">
        <v>44930</v>
      </c>
      <c r="B95" s="103" t="s">
        <v>1092</v>
      </c>
      <c r="E95" s="84">
        <v>-139.33000000000001</v>
      </c>
    </row>
    <row r="96" spans="1:8">
      <c r="A96" s="97">
        <v>44931</v>
      </c>
      <c r="B96" s="103" t="s">
        <v>1093</v>
      </c>
      <c r="E96" s="84">
        <v>-143.19999999999999</v>
      </c>
    </row>
    <row r="97" spans="1:7">
      <c r="A97" s="97">
        <v>44934</v>
      </c>
      <c r="B97" t="s">
        <v>1094</v>
      </c>
      <c r="E97" s="84">
        <v>-297.38</v>
      </c>
    </row>
    <row r="98" spans="1:7">
      <c r="A98" s="97">
        <v>44944</v>
      </c>
      <c r="B98" t="s">
        <v>1095</v>
      </c>
      <c r="E98" s="84">
        <v>-286.02999999999997</v>
      </c>
    </row>
    <row r="99" spans="1:7">
      <c r="A99" s="97">
        <v>44944</v>
      </c>
      <c r="B99" t="s">
        <v>1095</v>
      </c>
      <c r="E99" s="84">
        <v>-423.18</v>
      </c>
    </row>
    <row r="100" spans="1:7">
      <c r="A100" s="97">
        <v>44950</v>
      </c>
      <c r="B100" t="s">
        <v>1096</v>
      </c>
      <c r="D100" s="37"/>
      <c r="E100" s="84">
        <v>-31.35</v>
      </c>
    </row>
    <row r="101" spans="1:7">
      <c r="B101" t="s">
        <v>1097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1098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1099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1100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569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570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1101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1102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628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1061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1103</v>
      </c>
      <c r="B22" t="s">
        <v>1052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1103</v>
      </c>
      <c r="B23" t="s">
        <v>1104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1105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1069</v>
      </c>
      <c r="C31" s="246"/>
      <c r="D31" s="246" t="s">
        <v>1106</v>
      </c>
      <c r="E31" s="247"/>
      <c r="H31" s="65"/>
    </row>
    <row r="32" spans="1:8">
      <c r="A32" s="251">
        <v>44844</v>
      </c>
      <c r="B32" s="246" t="s">
        <v>1071</v>
      </c>
      <c r="C32" s="248"/>
      <c r="D32" s="246" t="s">
        <v>1072</v>
      </c>
      <c r="E32" s="246"/>
      <c r="H32" s="65"/>
    </row>
    <row r="33" spans="1:8">
      <c r="A33" s="251"/>
      <c r="B33" s="246" t="s">
        <v>1107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1108</v>
      </c>
      <c r="D39" s="13">
        <v>200</v>
      </c>
      <c r="F39" s="65"/>
      <c r="G39" s="65"/>
    </row>
    <row r="40" spans="1:8">
      <c r="B40" t="s">
        <v>1109</v>
      </c>
      <c r="D40" s="2">
        <v>1479.95</v>
      </c>
      <c r="E40">
        <v>1480</v>
      </c>
      <c r="F40" s="65"/>
      <c r="G40" s="65"/>
    </row>
    <row r="41" spans="1:8">
      <c r="B41" t="s">
        <v>1110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1111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1112</v>
      </c>
      <c r="C50" s="94"/>
      <c r="D50" s="94" t="s">
        <v>327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1113</v>
      </c>
      <c r="C51" s="94"/>
      <c r="D51" s="94" t="s">
        <v>327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1114</v>
      </c>
      <c r="C52" s="94"/>
      <c r="D52" s="94" t="s">
        <v>423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1115</v>
      </c>
      <c r="C53" s="94"/>
      <c r="D53" s="88" t="s">
        <v>968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991</v>
      </c>
      <c r="C54" s="94"/>
      <c r="D54" s="94" t="s">
        <v>903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992</v>
      </c>
      <c r="C55" s="94"/>
      <c r="D55" s="94" t="s">
        <v>903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993</v>
      </c>
      <c r="C56" s="94"/>
      <c r="D56" s="94" t="s">
        <v>903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994</v>
      </c>
      <c r="C57" s="94"/>
      <c r="D57" s="94" t="s">
        <v>903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1116</v>
      </c>
      <c r="E58" s="65">
        <v>-182.4</v>
      </c>
      <c r="F58" s="65"/>
      <c r="G58" s="65"/>
      <c r="H58" s="65"/>
    </row>
    <row r="59" spans="1:8">
      <c r="A59" s="97"/>
      <c r="B59" t="s">
        <v>1117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1118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1119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341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1120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1121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1122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1123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1124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1125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1126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1127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1128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1129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1130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596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1131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1132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1133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1134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1135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1136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1137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1138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614</v>
      </c>
      <c r="L2" s="269" t="s">
        <v>615</v>
      </c>
      <c r="M2" s="269" t="s">
        <v>124</v>
      </c>
      <c r="N2" s="28" t="s">
        <v>1139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1140</v>
      </c>
      <c r="J7">
        <v>95</v>
      </c>
      <c r="M7" s="2">
        <v>23.75</v>
      </c>
    </row>
    <row r="8" spans="1:14">
      <c r="A8" t="s">
        <v>1141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1142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1143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1144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1145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1146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1147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1148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1150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1151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1152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1153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1154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1155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1156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1157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1158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1159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1160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1161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1162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1163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1163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1164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1165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1166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1167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1168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1169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1170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1171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1172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1173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1174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1175</v>
      </c>
      <c r="C46" s="94" t="s">
        <v>1176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1177</v>
      </c>
      <c r="C47" s="94" t="s">
        <v>1176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1178</v>
      </c>
      <c r="C48" s="94" t="s">
        <v>1179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1180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1181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1182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1183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1184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1185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1187</v>
      </c>
      <c r="C69" s="211"/>
      <c r="D69" s="260">
        <v>200</v>
      </c>
      <c r="E69" s="65" t="s">
        <v>1188</v>
      </c>
      <c r="H69" s="65"/>
    </row>
    <row r="70" spans="1:8">
      <c r="A70" s="279">
        <v>44839</v>
      </c>
      <c r="B70" s="211" t="s">
        <v>1189</v>
      </c>
      <c r="C70" s="211"/>
      <c r="D70" s="260">
        <v>200</v>
      </c>
      <c r="E70" s="65" t="s">
        <v>1188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1069</v>
      </c>
      <c r="C72" s="211">
        <v>3</v>
      </c>
      <c r="D72" t="s">
        <v>1190</v>
      </c>
      <c r="E72" s="65"/>
    </row>
    <row r="73" spans="1:8">
      <c r="A73" s="279">
        <v>44844</v>
      </c>
      <c r="B73" s="211" t="s">
        <v>1071</v>
      </c>
      <c r="C73" s="98"/>
      <c r="D73" t="s">
        <v>1072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1191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1187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1192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1152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1193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1145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1146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1194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1195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1196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1197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1198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1199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1200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1201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1202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1203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1045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1204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1205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1206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1207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1208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1209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1210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1211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1212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1213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1214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1215</v>
      </c>
      <c r="H54" s="65">
        <f t="shared" si="1"/>
        <v>159986.79999999999</v>
      </c>
    </row>
    <row r="56" spans="1:8">
      <c r="A56" s="97">
        <v>44844</v>
      </c>
      <c r="B56" s="283" t="s">
        <v>1071</v>
      </c>
      <c r="C56" s="283"/>
      <c r="D56" s="284">
        <v>2000</v>
      </c>
    </row>
    <row r="57" spans="1:8">
      <c r="A57" s="97">
        <v>44839</v>
      </c>
      <c r="B57" s="283" t="s">
        <v>1189</v>
      </c>
      <c r="C57" s="283"/>
      <c r="D57" s="284">
        <v>200</v>
      </c>
    </row>
    <row r="59" spans="1:8">
      <c r="A59" s="279">
        <v>44803</v>
      </c>
      <c r="B59" s="211" t="s">
        <v>1069</v>
      </c>
      <c r="C59" s="211"/>
      <c r="D59" s="280"/>
    </row>
    <row r="60" spans="1:8">
      <c r="A60" s="279">
        <v>44772</v>
      </c>
      <c r="B60" s="211" t="s">
        <v>1216</v>
      </c>
      <c r="C60" s="211"/>
      <c r="D60" s="280"/>
    </row>
    <row r="61" spans="1:8">
      <c r="A61" s="279">
        <v>44742</v>
      </c>
      <c r="B61" s="211" t="s">
        <v>1217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1218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1219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1189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1152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1145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1146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1220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1221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1222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1223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1224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1225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1226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1227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1228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427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427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1229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427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1230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338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1231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1232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427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427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1233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1234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1235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1236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1237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427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1229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1238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1239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1228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1240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1241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1242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1243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1244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1245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1246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1247</v>
      </c>
      <c r="G56" s="65"/>
      <c r="H56" s="65">
        <f t="shared" si="1"/>
        <v>-42104.91</v>
      </c>
    </row>
    <row r="57" spans="1:8">
      <c r="A57" s="97"/>
      <c r="B57" t="s">
        <v>1248</v>
      </c>
      <c r="G57" s="65"/>
      <c r="H57" s="65">
        <f t="shared" si="1"/>
        <v>-42104.91</v>
      </c>
    </row>
    <row r="58" spans="1:8">
      <c r="A58" s="97">
        <v>44844</v>
      </c>
      <c r="B58" t="s">
        <v>1249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1250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1071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1251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1252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1253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1254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1255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1256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1257</v>
      </c>
      <c r="H82" s="65">
        <f t="shared" si="2"/>
        <v>-11205.910000000003</v>
      </c>
    </row>
    <row r="83" spans="1:8">
      <c r="B83" s="285" t="s">
        <v>1258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1259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1069</v>
      </c>
      <c r="C87" s="211"/>
      <c r="D87" s="287">
        <v>4000</v>
      </c>
      <c r="H87" s="65"/>
    </row>
    <row r="88" spans="1:8">
      <c r="A88" s="279">
        <v>44772</v>
      </c>
      <c r="B88" s="211" t="s">
        <v>1216</v>
      </c>
      <c r="C88" s="211"/>
      <c r="D88" s="287">
        <v>4000</v>
      </c>
      <c r="H88" s="65"/>
    </row>
    <row r="89" spans="1:8">
      <c r="A89" s="279">
        <v>44742</v>
      </c>
      <c r="B89" s="211" t="s">
        <v>1217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1260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1152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1145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1146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1262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1263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1264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1252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1265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1266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1267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1268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1269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1270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1271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1272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1273</v>
      </c>
      <c r="C27" s="94" t="s">
        <v>1274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1275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1276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1277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1278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1279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1258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1069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1216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1217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1280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1152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1145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1146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1282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1283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1284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1252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1265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1285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1286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1272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1287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1288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1289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1290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1291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1292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1293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1294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1295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1296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1297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1298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1299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1299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1300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1301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1302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1303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1258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1069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1304</v>
      </c>
      <c r="H54" s="65">
        <f t="shared" si="1"/>
        <v>61721.7</v>
      </c>
    </row>
    <row r="55" spans="1:8">
      <c r="B55" s="259" t="s">
        <v>1305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1306</v>
      </c>
      <c r="C56" s="293" t="s">
        <v>1307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1308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1217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1216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1309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1152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1145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1146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1310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1311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1312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1313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1314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1252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1265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1315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1316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1041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1317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1318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1319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1320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1321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1322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1045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1272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1323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892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891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1324</v>
      </c>
      <c r="C41" t="s">
        <v>1307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1325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1327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1305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1328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1216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1329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1217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1330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1331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1152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1145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1146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1332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1333</v>
      </c>
      <c r="C15" t="s">
        <v>1307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1334</v>
      </c>
      <c r="C16" t="s">
        <v>1335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1336</v>
      </c>
      <c r="E18" s="65"/>
      <c r="F18" s="65"/>
      <c r="G18" s="65"/>
      <c r="H18" s="65">
        <f t="shared" si="0"/>
        <v>-5596.51</v>
      </c>
    </row>
    <row r="19" spans="1:8">
      <c r="B19" t="s">
        <v>1337</v>
      </c>
      <c r="E19" s="65"/>
      <c r="F19" s="65"/>
      <c r="G19" s="65"/>
      <c r="H19" s="65">
        <f t="shared" si="0"/>
        <v>-5596.51</v>
      </c>
    </row>
    <row r="20" spans="1:8">
      <c r="B20" t="s">
        <v>1338</v>
      </c>
      <c r="E20" s="65"/>
      <c r="F20" s="65"/>
      <c r="G20" s="65"/>
      <c r="H20" s="65">
        <f t="shared" si="0"/>
        <v>-5596.51</v>
      </c>
    </row>
    <row r="21" spans="1:8">
      <c r="B21" t="s">
        <v>1339</v>
      </c>
      <c r="C21" t="s">
        <v>1307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1340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1341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1320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1342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1343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1344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1345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875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1272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1346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1252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1265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1349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1350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1351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1217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1352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1353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1152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1145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1146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1252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1265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596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1355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1355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596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1167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1356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1357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1272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1358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1351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1359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1152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1145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1146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1252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1265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1360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1361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1362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1363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1364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1365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1272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1369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1370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1372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1331</v>
      </c>
      <c r="C5" t="s">
        <v>1373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1281</v>
      </c>
      <c r="C7" t="s">
        <v>1373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1152</v>
      </c>
      <c r="C9" s="94" t="s">
        <v>1374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1145</v>
      </c>
      <c r="C10" s="88" t="s">
        <v>1374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1146</v>
      </c>
      <c r="C11" s="88" t="s">
        <v>1374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1252</v>
      </c>
      <c r="C13" s="94" t="s">
        <v>1374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1265</v>
      </c>
      <c r="C14" s="94" t="s">
        <v>1374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1375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1376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1377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1272</v>
      </c>
      <c r="C19" s="316" t="s">
        <v>1374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1378</v>
      </c>
      <c r="C23" t="s">
        <v>1374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1379</v>
      </c>
      <c r="C28" s="65" t="s">
        <v>1373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1380</v>
      </c>
      <c r="C30" s="65" t="s">
        <v>1373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1383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1152</v>
      </c>
      <c r="C9" s="94" t="s">
        <v>1374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1145</v>
      </c>
      <c r="C10" s="88" t="s">
        <v>1374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1146</v>
      </c>
      <c r="C11" s="88" t="s">
        <v>1374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1252</v>
      </c>
      <c r="C13" s="94" t="s">
        <v>1374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1265</v>
      </c>
      <c r="C14" s="94" t="s">
        <v>1374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1272</v>
      </c>
      <c r="C16" s="316" t="s">
        <v>1374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1375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1384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1385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1386</v>
      </c>
      <c r="C22" t="s">
        <v>1387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1388</v>
      </c>
      <c r="C24" t="s">
        <v>1307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1389</v>
      </c>
      <c r="C28" t="s">
        <v>1374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1389</v>
      </c>
      <c r="C29" t="s">
        <v>1374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1390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1391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1392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1331</v>
      </c>
      <c r="C5" t="s">
        <v>1373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1281</v>
      </c>
      <c r="C7" t="s">
        <v>1373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1152</v>
      </c>
      <c r="C9" s="94" t="s">
        <v>1374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1145</v>
      </c>
      <c r="C10" s="88" t="s">
        <v>1374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1146</v>
      </c>
      <c r="C11" s="88" t="s">
        <v>1374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1252</v>
      </c>
      <c r="C13" s="94" t="s">
        <v>1374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1265</v>
      </c>
      <c r="C14" s="94" t="s">
        <v>1374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1375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1272</v>
      </c>
      <c r="C17" s="316" t="s">
        <v>1374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1393</v>
      </c>
      <c r="C25" t="s">
        <v>1373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1394</v>
      </c>
    </row>
    <row r="3" spans="1:14">
      <c r="A3" t="s">
        <v>1395</v>
      </c>
      <c r="C3" t="s">
        <v>1396</v>
      </c>
      <c r="D3" t="s">
        <v>1397</v>
      </c>
    </row>
    <row r="4" spans="1:14">
      <c r="A4" t="s">
        <v>1398</v>
      </c>
      <c r="C4" t="s">
        <v>1399</v>
      </c>
      <c r="D4" t="s">
        <v>1400</v>
      </c>
    </row>
    <row r="5" spans="1:14">
      <c r="A5" t="s">
        <v>1401</v>
      </c>
      <c r="C5" t="s">
        <v>1399</v>
      </c>
      <c r="D5" t="s">
        <v>1402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614</v>
      </c>
      <c r="L11" s="269" t="s">
        <v>615</v>
      </c>
      <c r="M11" s="269" t="s">
        <v>124</v>
      </c>
      <c r="N11" s="28" t="s">
        <v>1139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1140</v>
      </c>
      <c r="J16">
        <v>95</v>
      </c>
      <c r="K16" s="2"/>
      <c r="M16" s="2">
        <v>23.75</v>
      </c>
    </row>
    <row r="17" spans="1:14">
      <c r="A17" t="s">
        <v>1141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1142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1143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270</cp:revision>
  <cp:lastPrinted>2023-12-11T05:55:06Z</cp:lastPrinted>
  <dcterms:created xsi:type="dcterms:W3CDTF">2022-03-04T11:30:59Z</dcterms:created>
  <dcterms:modified xsi:type="dcterms:W3CDTF">2024-10-10T21:26:30Z</dcterms:modified>
  <dc:language>tr-TR</dc:language>
</cp:coreProperties>
</file>