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814F9EDD-032A-49BC-958E-9A050D8F61BD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9" i="1" l="1"/>
  <c r="G30" i="1"/>
  <c r="G31" i="1"/>
  <c r="G32" i="1" s="1"/>
  <c r="G33" i="1" s="1"/>
  <c r="H31" i="8"/>
  <c r="H32" i="8"/>
  <c r="H33" i="8"/>
  <c r="H34" i="8" s="1"/>
  <c r="H35" i="8" s="1"/>
  <c r="H36" i="8" s="1"/>
  <c r="H37" i="8" s="1"/>
  <c r="H38" i="8" s="1"/>
  <c r="E22" i="8"/>
  <c r="E44" i="8"/>
  <c r="E18" i="2"/>
  <c r="N8" i="2"/>
  <c r="E141" i="8"/>
  <c r="E142" i="8"/>
  <c r="E143" i="8"/>
  <c r="E144" i="8"/>
  <c r="E145" i="8"/>
  <c r="E146" i="8"/>
  <c r="E147" i="8"/>
  <c r="E148" i="8"/>
  <c r="E149" i="8"/>
  <c r="E150" i="8"/>
  <c r="E140" i="8"/>
  <c r="C158" i="8"/>
  <c r="E152" i="8"/>
  <c r="C151" i="8"/>
  <c r="E151" i="8" s="1"/>
  <c r="A135" i="8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C139" i="9"/>
  <c r="E133" i="9"/>
  <c r="C132" i="9"/>
  <c r="E132" i="9" s="1"/>
  <c r="E131" i="9"/>
  <c r="E130" i="9"/>
  <c r="E129" i="9"/>
  <c r="E127" i="9"/>
  <c r="E126" i="9"/>
  <c r="E138" i="9" s="1"/>
  <c r="A120" i="9"/>
  <c r="A121" i="9" s="1"/>
  <c r="A122" i="9" s="1"/>
  <c r="A123" i="9" s="1"/>
  <c r="A124" i="9" s="1"/>
  <c r="A125" i="9" s="1"/>
  <c r="A126" i="9" s="1"/>
  <c r="C131" i="8"/>
  <c r="E72" i="8"/>
  <c r="E20" i="9"/>
  <c r="G16" i="9"/>
  <c r="G15" i="9"/>
  <c r="G14" i="9"/>
  <c r="G5" i="9"/>
  <c r="E11" i="9"/>
  <c r="G11" i="9" s="1"/>
  <c r="E133" i="8" l="1"/>
  <c r="N9" i="2" s="1"/>
  <c r="A150" i="8"/>
  <c r="A151" i="8" s="1"/>
  <c r="A152" i="8" s="1"/>
  <c r="A153" i="8" s="1"/>
  <c r="E157" i="8"/>
  <c r="A128" i="9"/>
  <c r="A127" i="9"/>
  <c r="E118" i="9"/>
  <c r="D112" i="9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50" i="9"/>
  <c r="E10" i="9" s="1"/>
  <c r="E41" i="9"/>
  <c r="D41" i="9"/>
  <c r="H4" i="9"/>
  <c r="G2" i="9"/>
  <c r="F8" i="2" s="1"/>
  <c r="F2" i="9"/>
  <c r="E8" i="2" s="1"/>
  <c r="D2" i="9"/>
  <c r="B8" i="2" s="1"/>
  <c r="E55" i="8"/>
  <c r="D44" i="8"/>
  <c r="E10" i="8"/>
  <c r="G10" i="8" s="1"/>
  <c r="H4" i="8"/>
  <c r="F2" i="8"/>
  <c r="E9" i="2" s="1"/>
  <c r="D2" i="8"/>
  <c r="B9" i="2" s="1"/>
  <c r="E121" i="7"/>
  <c r="E120" i="7"/>
  <c r="N10" i="2" s="1"/>
  <c r="E119" i="7"/>
  <c r="E114" i="7"/>
  <c r="E74" i="7"/>
  <c r="E16" i="7" s="1"/>
  <c r="E59" i="7"/>
  <c r="E15" i="7" s="1"/>
  <c r="E48" i="7"/>
  <c r="D48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10" i="2" s="1"/>
  <c r="F2" i="7"/>
  <c r="E10" i="2" s="1"/>
  <c r="D2" i="7"/>
  <c r="B10" i="2" s="1"/>
  <c r="E120" i="6"/>
  <c r="E119" i="6"/>
  <c r="E118" i="6"/>
  <c r="E113" i="6" s="1"/>
  <c r="E73" i="6"/>
  <c r="E58" i="6"/>
  <c r="E15" i="6" s="1"/>
  <c r="E47" i="6"/>
  <c r="D47" i="6"/>
  <c r="E16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G2" i="6"/>
  <c r="F11" i="2" s="1"/>
  <c r="F2" i="6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L9" i="2"/>
  <c r="K9" i="2"/>
  <c r="M8" i="2"/>
  <c r="E6" i="2"/>
  <c r="B6" i="2"/>
  <c r="M5" i="2"/>
  <c r="E5" i="2"/>
  <c r="B5" i="2"/>
  <c r="K4" i="2"/>
  <c r="L4" i="2" s="1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E2" i="6" l="1"/>
  <c r="C11" i="2" s="1"/>
  <c r="H5" i="8"/>
  <c r="H6" i="8" s="1"/>
  <c r="H7" i="8" s="1"/>
  <c r="E20" i="2"/>
  <c r="K15" i="2"/>
  <c r="K16" i="2" s="1"/>
  <c r="A154" i="8"/>
  <c r="A130" i="9"/>
  <c r="A131" i="9" s="1"/>
  <c r="A132" i="9" s="1"/>
  <c r="A133" i="9" s="1"/>
  <c r="A134" i="9" s="1"/>
  <c r="A135" i="9" s="1"/>
  <c r="A129" i="9"/>
  <c r="E9" i="8"/>
  <c r="G9" i="8" s="1"/>
  <c r="G2" i="8" s="1"/>
  <c r="F9" i="2" s="1"/>
  <c r="G20" i="1"/>
  <c r="G21" i="1" s="1"/>
  <c r="G22" i="1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D114" i="9"/>
  <c r="E2" i="10"/>
  <c r="C7" i="2" s="1"/>
  <c r="E2" i="7"/>
  <c r="C10" i="2" s="1"/>
  <c r="E2" i="8"/>
  <c r="C9" i="2" s="1"/>
  <c r="F65" i="9"/>
  <c r="H2" i="9"/>
  <c r="E13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22" i="6" s="1"/>
  <c r="E12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23" i="7" s="1"/>
  <c r="E125" i="7" s="1"/>
  <c r="E7" i="2"/>
  <c r="E15" i="2" s="1"/>
  <c r="E111" i="11"/>
  <c r="N6" i="2" s="1"/>
  <c r="B128" i="2"/>
  <c r="B129" i="2" s="1"/>
  <c r="B130" i="2" s="1"/>
  <c r="B131" i="2" s="1"/>
  <c r="B132" i="2" s="1"/>
  <c r="H2" i="13"/>
  <c r="E134" i="13" s="1"/>
  <c r="E111" i="19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2" i="8" l="1"/>
  <c r="E158" i="8" s="1"/>
  <c r="H8" i="8"/>
  <c r="H9" i="8" s="1"/>
  <c r="H10" i="8" s="1"/>
  <c r="H11" i="8" s="1"/>
  <c r="H12" i="8" s="1"/>
  <c r="G23" i="1"/>
  <c r="G24" i="1" s="1"/>
  <c r="G25" i="1" s="1"/>
  <c r="H30" i="9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G26" i="1" l="1"/>
  <c r="G27" i="1" s="1"/>
  <c r="G28" i="1" s="1"/>
  <c r="G34" i="1" s="1"/>
  <c r="G35" i="1" s="1"/>
  <c r="G36" i="1" s="1"/>
  <c r="G37" i="1" s="1"/>
  <c r="H13" i="8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C16" i="2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<sst xmlns="http://schemas.openxmlformats.org/spreadsheetml/2006/main" count="3473" uniqueCount="1301">
  <si>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</si>
  <si>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</si>
  <si>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</si>
  <si>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</si>
  <si>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</si>
  <si>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</si>
  <si>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</si>
  <si>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</si>
  <si>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</si>
  <si>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</si>
  <si>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</si>
  <si>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</si>
  <si>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</si>
  <si>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</si>
  <si>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</si>
  <si>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</si>
  <si>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</si>
  <si>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</si>
  <si>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</si>
  <si>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</si>
  <si>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</si>
  <si>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</si>
  <si>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</si>
  <si>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</si>
  <si>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</si>
  <si>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</si>
  <si>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</si>
  <si>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</si>
  <si>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</si>
  <si>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</si>
  <si>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</si>
  <si>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</si>
  <si>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</si>
  <si>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</si>
  <si>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</si>
  <si>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</si>
  <si>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</si>
  <si>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</si>
  <si>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</si>
  <si>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</si>
  <si>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</si>
  <si>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</si>
  <si>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</si>
  <si>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</si>
  <si>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</si>
  <si>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</si>
  <si>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</si>
  <si>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</si>
  <si>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</si>
  <si>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</si>
  <si>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</si>
  <si>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</si>
  <si>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</si>
  <si>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</si>
  <si>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</si>
  <si>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</si>
  <si>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</si>
  <si>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</si>
  <si>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</si>
  <si>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</si>
  <si>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</si>
  <si>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</si>
  <si>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</si>
  <si>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</si>
  <si>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</si>
  <si>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</si>
  <si>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</si>
  <si>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</si>
  <si>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</si>
  <si>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</si>
  <si>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</si>
  <si>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</si>
  <si>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</si>
  <si>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</si>
  <si>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</si>
  <si>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</si>
  <si>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</si>
  <si>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</si>
  <si>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</si>
  <si>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</si>
  <si>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</si>
  <si>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</si>
  <si>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</si>
  <si>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</si>
  <si>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</si>
  <si>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</si>
  <si>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</si>
  <si>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</si>
  <si>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</si>
  <si>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</si>
  <si>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</si>
  <si>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</si>
  <si>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</si>
  <si>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</si>
  <si>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</si>
  <si>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</si>
  <si>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</si>
  <si>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</si>
  <si>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</si>
  <si>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</si>
  <si>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</si>
  <si>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</si>
  <si>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</si>
  <si>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</si>
  <si>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</si>
  <si>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</si>
  <si>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</si>
  <si>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</si>
  <si>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</si>
  <si>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</si>
  <si>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</si>
  <si>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</si>
  <si>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</si>
  <si>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</si>
  <si>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</si>
  <si>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</si>
  <si>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</si>
  <si>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</si>
  <si>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</si>
  <si>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</si>
  <si>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</si>
  <si>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</si>
  <si>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</si>
  <si>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</si>
  <si>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</si>
  <si>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</si>
  <si>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</si>
  <si>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</si>
  <si>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</si>
  <si>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</si>
  <si>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</si>
  <si>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</si>
  <si>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</si>
  <si>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</si>
  <si>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</si>
  <si>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</si>
  <si>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</si>
  <si>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</si>
  <si>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</si>
  <si>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</si>
  <si>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</si>
  <si>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</si>
  <si>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</si>
  <si>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</si>
  <si>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</si>
  <si>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</si>
  <si>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</si>
  <si>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</si>
  <si>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</si>
  <si>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</si>
  <si>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</si>
  <si>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</si>
  <si>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</si>
  <si>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</si>
  <si>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</si>
  <si>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</si>
  <si>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</si>
  <si>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</si>
  <si>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</si>
  <si>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</si>
  <si>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</si>
  <si>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</si>
  <si>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</si>
  <si>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</si>
  <si>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</si>
  <si>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</si>
  <si>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</si>
  <si>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</si>
  <si>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</si>
  <si>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</si>
  <si>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</si>
  <si>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</si>
  <si>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</si>
  <si>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</si>
  <si>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</si>
  <si>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</si>
  <si>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</si>
  <si>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</si>
  <si>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</si>
  <si>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</si>
  <si>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</si>
  <si>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</si>
  <si>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</si>
  <si>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</si>
  <si>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</si>
  <si>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</si>
  <si>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</si>
  <si>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</si>
  <si>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</si>
  <si>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</si>
  <si>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</si>
  <si>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</si>
  <si>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</si>
  <si>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</si>
  <si>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</si>
  <si>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</si>
  <si>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</si>
  <si>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</si>
  <si>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</si>
  <si>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</si>
  <si>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</si>
  <si>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</si>
  <si>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</si>
  <si>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</si>
  <si>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</si>
  <si>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</si>
  <si>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</si>
  <si>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</si>
  <si>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</si>
  <si>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</si>
  <si>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</si>
  <si>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</si>
  <si>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</si>
  <si>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</si>
  <si>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</si>
  <si>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</si>
  <si>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</si>
  <si>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</si>
  <si>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</si>
  <si>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</si>
  <si>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</si>
  <si>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</si>
  <si>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</si>
  <si>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</si>
  <si>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</si>
  <si>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</si>
  <si>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</si>
  <si>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</si>
  <si>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</si>
  <si>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</si>
  <si>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</si>
  <si>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</si>
  <si>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</si>
  <si>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</si>
  <si>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</si>
  <si>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</si>
  <si>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</si>
  <si>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</si>
  <si>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</si>
  <si>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</si>
  <si>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</si>
  <si>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</si>
  <si>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</si>
  <si>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</si>
  <si>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</si>
  <si>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</si>
  <si>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</si>
  <si>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</si>
  <si>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</si>
  <si>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</si>
  <si>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</si>
  <si>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</si>
  <si>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</si>
  <si>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</si>
  <si>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</si>
  <si>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</si>
  <si>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</si>
  <si>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</si>
  <si>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</si>
  <si>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</si>
  <si>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</si>
  <si>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</si>
  <si>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</si>
  <si>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</si>
  <si>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</si>
  <si>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</si>
  <si>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</si>
  <si>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</si>
  <si>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</si>
  <si>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</si>
  <si>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</si>
  <si>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</si>
  <si>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</si>
  <si>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</si>
  <si>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</si>
  <si>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</si>
  <si>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</si>
  <si>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</si>
  <si>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</si>
  <si>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</si>
  <si>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</si>
  <si>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</si>
  <si>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</si>
  <si>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</si>
  <si>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</si>
  <si>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</si>
  <si>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</si>
  <si>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</si>
  <si>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</si>
  <si>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</si>
  <si>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</si>
  <si>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</si>
  <si>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</si>
  <si>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</si>
  <si>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</si>
  <si>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</si>
  <si>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</si>
  <si>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</si>
  <si>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</si>
  <si>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</si>
  <si>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</si>
  <si>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</si>
  <si>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</si>
  <si>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</si>
  <si>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</si>
  <si>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</si>
  <si>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</si>
  <si>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</si>
  <si>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</si>
  <si>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</si>
  <si>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</si>
  <si>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</si>
  <si>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</si>
  <si>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</si>
  <si>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</si>
  <si>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</si>
  <si>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</si>
  <si>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</si>
  <si>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</si>
  <si>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</si>
  <si>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</si>
  <si>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</si>
  <si>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</si>
  <si>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</si>
  <si>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</si>
  <si>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</si>
  <si>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</si>
  <si>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</si>
  <si>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</si>
  <si>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</si>
  <si>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</si>
  <si>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</si>
  <si>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</si>
  <si>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</si>
  <si>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</si>
  <si>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</si>
  <si>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</si>
  <si>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</si>
  <si>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</si>
  <si>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</si>
  <si>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</si>
  <si>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</si>
  <si>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</si>
  <si>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</si>
  <si>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</si>
  <si>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</si>
  <si>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</si>
  <si>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</si>
  <si>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</si>
  <si>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</si>
  <si>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</si>
  <si>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</si>
  <si>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</si>
  <si>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</si>
  <si>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</si>
  <si>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</si>
  <si>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</si>
  <si>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</si>
  <si>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</si>
  <si>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</si>
  <si>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</si>
  <si>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</si>
  <si>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</si>
  <si>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</si>
  <si>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</si>
  <si>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</si>
  <si>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</si>
  <si>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</si>
  <si>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</si>
  <si>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</si>
  <si>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</si>
  <si>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</si>
  <si>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</si>
  <si>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</si>
  <si>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</si>
  <si>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</si>
  <si>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</si>
  <si>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</si>
  <si>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</si>
  <si>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</si>
  <si>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</si>
  <si>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</si>
  <si>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</si>
  <si>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</si>
  <si>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</si>
  <si>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</si>
  <si>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</si>
  <si>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</si>
  <si>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</si>
  <si>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</si>
  <si>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</si>
  <si>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</si>
  <si>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</si>
  <si>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</si>
  <si>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</si>
  <si>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</si>
  <si>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</si>
  <si>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</si>
  <si>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</si>
  <si>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</si>
  <si>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</si>
  <si>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</si>
  <si>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</si>
  <si>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</si>
  <si>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</si>
  <si>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</si>
  <si>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</si>
  <si>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</si>
  <si>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</si>
  <si>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</si>
  <si>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</si>
  <si>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</si>
  <si>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</si>
  <si>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</si>
  <si>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</si>
  <si>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</si>
  <si>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</si>
  <si>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</si>
  <si>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</si>
  <si>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</si>
  <si>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</si>
  <si>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</si>
  <si>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</si>
  <si>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</si>
  <si>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</si>
  <si>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</si>
  <si>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</si>
  <si>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</si>
  <si>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</si>
  <si>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</si>
  <si>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</si>
  <si>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</si>
  <si>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</si>
  <si>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</si>
  <si>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</si>
  <si>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</si>
  <si>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</si>
  <si>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</si>
  <si>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</si>
  <si>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</si>
  <si>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</si>
  <si>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</si>
  <si>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</si>
  <si>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</si>
  <si>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</si>
  <si>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</si>
  <si>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</si>
  <si>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</si>
  <si>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</si>
  <si>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</si>
  <si>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</si>
  <si>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</si>
  <si>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</si>
  <si>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</si>
  <si>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</si>
  <si>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</si>
  <si>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</si>
  <si>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</si>
  <si>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</si>
  <si>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</si>
  <si>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</si>
  <si>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</si>
  <si>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</si>
  <si>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</si>
  <si>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</si>
  <si>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</si>
  <si>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</si>
  <si>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</si>
  <si>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</si>
  <si>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</si>
  <si>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</si>
  <si>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</si>
  <si>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</si>
  <si>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</si>
  <si>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</si>
  <si>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</si>
  <si>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</si>
  <si>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</si>
  <si>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</si>
  <si>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</si>
  <si>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</si>
  <si>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</si>
  <si>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</si>
  <si>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</si>
  <si>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</si>
  <si>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</si>
  <si>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</si>
  <si>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</si>
  <si>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</si>
  <si>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</si>
  <si>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</si>
  <si>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</si>
  <si>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</si>
  <si>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</si>
  <si>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</si>
  <si>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</si>
  <si>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</si>
  <si>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</si>
  <si>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</si>
  <si>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</si>
  <si>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</si>
  <si>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</si>
  <si>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</si>
  <si>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</si>
  <si>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</si>
  <si>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</si>
  <si>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</si>
  <si>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</si>
  <si>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</si>
  <si>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</si>
  <si>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</si>
  <si>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</si>
  <si>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</si>
  <si>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</si>
  <si>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</si>
  <si>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</si>
  <si>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</si>
  <si>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</si>
  <si>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</si>
  <si>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</si>
  <si>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</si>
  <si>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</si>
  <si>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</si>
  <si>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</si>
  <si>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</si>
  <si>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</si>
  <si>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</si>
  <si>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</si>
  <si>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</si>
  <si>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</si>
  <si>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</si>
  <si>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</si>
  <si>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</si>
  <si>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</si>
  <si>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</si>
  <si>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</si>
  <si>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</si>
  <si>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</si>
  <si>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</si>
  <si>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</si>
  <si>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</si>
  <si>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</si>
  <si>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</si>
  <si>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</si>
  <si>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</si>
  <si>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</si>
  <si>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</si>
  <si>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</si>
  <si>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</si>
  <si>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</si>
  <si>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</si>
  <si>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</si>
  <si>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</si>
  <si>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</si>
  <si>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</si>
  <si>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</si>
  <si>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</si>
  <si>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</si>
  <si>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</si>
  <si>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</si>
  <si>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</si>
  <si>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</si>
  <si>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</si>
  <si>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</si>
  <si>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</si>
  <si>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</si>
  <si>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</si>
  <si>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</si>
  <si>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</si>
  <si>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</si>
  <si>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</si>
  <si>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</si>
  <si>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</si>
  <si>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</si>
  <si>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</si>
  <si>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</si>
  <si>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</si>
  <si>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</si>
  <si>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</si>
  <si>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</si>
  <si>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</si>
  <si>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</si>
  <si>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</si>
  <si>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</si>
  <si>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</si>
  <si>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</si>
  <si>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</si>
  <si>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</si>
  <si>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</si>
  <si>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</si>
  <si>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</si>
  <si>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</si>
  <si>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</si>
  <si>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</si>
  <si>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</si>
  <si>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</si>
  <si>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</si>
  <si>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</si>
  <si>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</si>
  <si>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</si>
  <si>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</si>
  <si>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</si>
  <si>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</si>
  <si>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</si>
  <si>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</si>
  <si>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</si>
  <si>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</si>
  <si>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</si>
  <si>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</si>
  <si>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</si>
  <si>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</si>
  <si>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</si>
  <si>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</si>
  <si>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</si>
  <si>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</si>
  <si>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</si>
  <si>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</si>
  <si>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</si>
  <si>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</si>
  <si>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</si>
  <si>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</si>
  <si>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</si>
  <si>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</si>
  <si>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</si>
  <si>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</si>
  <si>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</si>
  <si>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</si>
  <si>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</si>
  <si>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</si>
  <si>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</si>
  <si>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</si>
  <si>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</si>
  <si>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</si>
  <si>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</si>
  <si>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</si>
  <si>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</si>
  <si>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</si>
  <si>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</si>
  <si>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</si>
  <si>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</si>
  <si>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</si>
  <si>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</si>
  <si>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</si>
  <si>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</si>
  <si>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</si>
  <si>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</si>
  <si>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</si>
  <si>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</si>
  <si>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</si>
  <si>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</si>
  <si>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</si>
  <si>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</si>
  <si>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</si>
  <si>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</si>
  <si>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</si>
  <si>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</si>
  <si>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</si>
  <si>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</si>
  <si>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</si>
  <si>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</si>
  <si>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</si>
  <si>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</si>
  <si>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</si>
  <si>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</si>
  <si>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</si>
  <si>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</si>
  <si>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</si>
  <si>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</si>
  <si>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</si>
  <si>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</si>
  <si>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</si>
  <si>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</si>
  <si>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</si>
  <si>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</si>
  <si>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</si>
  <si>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</si>
  <si>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</si>
  <si>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</si>
  <si>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</si>
  <si>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</si>
  <si>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</si>
  <si>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</si>
  <si>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</si>
  <si>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</si>
  <si>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</si>
  <si>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</si>
  <si>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</si>
  <si>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</si>
  <si>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</si>
  <si>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</si>
  <si>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</si>
  <si>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</si>
  <si>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</si>
  <si>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</si>
  <si>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</si>
  <si>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</si>
  <si>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</si>
  <si>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</si>
  <si>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</si>
  <si>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</si>
  <si>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</si>
  <si>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</si>
  <si>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</si>
  <si>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</si>
  <si>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</si>
  <si>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</si>
  <si>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</si>
  <si>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</si>
  <si>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</si>
  <si>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</si>
  <si>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</si>
  <si>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</si>
  <si>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</si>
  <si>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</si>
  <si>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</si>
  <si>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</si>
  <si>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</si>
  <si>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</si>
  <si>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</si>
  <si>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</si>
  <si>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</si>
  <si>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</si>
  <si>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</si>
  <si>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</si>
  <si>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</si>
  <si>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</si>
  <si>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</si>
  <si>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</si>
  <si>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</si>
  <si>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</si>
  <si>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</si>
  <si>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</si>
  <si>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</si>
  <si>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</si>
  <si>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</si>
  <si>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</si>
  <si>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</si>
  <si>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</si>
  <si>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</si>
  <si>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</si>
  <si>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</si>
  <si>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</si>
  <si>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</si>
  <si>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</si>
  <si>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</si>
  <si>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</si>
  <si>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</si>
  <si>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</si>
  <si>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</si>
  <si>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</si>
  <si>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</si>
  <si>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</si>
  <si>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</si>
  <si>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</si>
  <si>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</si>
  <si>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</si>
  <si>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</si>
  <si>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</si>
  <si>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</si>
  <si>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</si>
  <si>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</si>
  <si>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</si>
  <si>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</si>
  <si>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</si>
  <si>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</si>
  <si>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</si>
  <si>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</si>
  <si>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</si>
  <si>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</si>
  <si>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</si>
  <si>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</si>
  <si>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</si>
  <si>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</si>
  <si>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</si>
  <si>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</si>
  <si>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</si>
  <si>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</si>
  <si>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</si>
  <si>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</si>
  <si>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</si>
  <si>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</si>
  <si>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</si>
  <si>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</si>
  <si>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</si>
  <si>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</si>
  <si>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</si>
  <si>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</si>
  <si>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</si>
  <si>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</si>
  <si>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</si>
  <si>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</si>
  <si>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</si>
  <si>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</si>
  <si>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</si>
  <si>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</si>
  <si>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</si>
  <si>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</si>
  <si>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</si>
  <si>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</si>
  <si>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</si>
  <si>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</si>
  <si>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</si>
  <si>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</si>
  <si>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</si>
  <si>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</si>
  <si>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</si>
  <si>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</si>
  <si>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</si>
  <si>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</si>
  <si>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</si>
  <si>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</si>
  <si>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</si>
  <si>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</si>
  <si>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</si>
  <si>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</si>
  <si>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</si>
  <si>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</si>
  <si>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</si>
  <si>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</si>
  <si>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</si>
  <si>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</si>
  <si>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</si>
  <si>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</si>
  <si>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</si>
  <si>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</si>
  <si>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</si>
  <si>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</si>
  <si>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</si>
  <si>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</si>
  <si>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</si>
  <si>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</si>
  <si>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</si>
  <si>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</si>
  <si>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</si>
  <si>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</si>
  <si>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</si>
  <si>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</si>
  <si>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</si>
  <si>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</si>
  <si>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</si>
  <si>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</si>
  <si>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</si>
  <si>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</si>
  <si>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</si>
  <si>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</si>
  <si>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</si>
  <si>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</si>
  <si>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</si>
  <si>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</si>
  <si>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</si>
  <si>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</si>
  <si>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</si>
  <si>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</si>
  <si>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</si>
  <si>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</si>
  <si>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</si>
  <si>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</si>
  <si>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</si>
  <si>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</si>
  <si>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</si>
  <si>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</si>
  <si>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</si>
  <si>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</si>
  <si>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</si>
  <si>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</si>
  <si>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</si>
  <si>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</si>
  <si>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</si>
  <si>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</si>
  <si>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</si>
  <si>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</si>
  <si>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</si>
  <si>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</si>
  <si>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</si>
  <si>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</si>
  <si>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</si>
  <si>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</si>
  <si>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</si>
  <si>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</si>
  <si>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</si>
  <si>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</si>
  <si>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</si>
  <si>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</si>
  <si>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</si>
  <si>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</si>
  <si>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</si>
  <si>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</si>
  <si>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</si>
  <si>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</si>
  <si>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</si>
  <si>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</si>
  <si>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</si>
  <si>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</si>
  <si>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</si>
  <si>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</si>
  <si>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</si>
  <si>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</si>
  <si>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</si>
  <si>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</si>
  <si>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</si>
  <si>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</si>
  <si>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</si>
  <si>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</si>
  <si>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</si>
  <si>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</si>
  <si>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</si>
  <si>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</si>
  <si>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</si>
  <si>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</si>
  <si>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</si>
  <si>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</si>
  <si>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</si>
  <si>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</si>
  <si>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</si>
  <si>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</si>
  <si>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</si>
  <si>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</si>
  <si>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</si>
  <si>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</si>
  <si>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</si>
  <si>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</si>
  <si>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</si>
  <si>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</si>
  <si>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</si>
  <si>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</si>
  <si>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</si>
  <si>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</si>
  <si>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</si>
  <si>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</si>
  <si>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</si>
  <si>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</si>
  <si>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</si>
  <si>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</si>
  <si>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</si>
  <si>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</si>
  <si>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</si>
  <si>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</si>
  <si>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</si>
  <si>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</si>
  <si>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</si>
  <si>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</si>
  <si>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</si>
  <si>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</si>
  <si>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</si>
  <si>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</si>
  <si>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</si>
  <si>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</si>
  <si>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</si>
  <si>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</si>
  <si>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</si>
  <si>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</si>
  <si>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</si>
  <si>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</si>
  <si>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</si>
  <si>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</si>
  <si>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</si>
  <si>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</si>
  <si>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</si>
  <si>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</si>
  <si>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</si>
  <si>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</si>
  <si>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</si>
  <si>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</si>
  <si>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</si>
  <si>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</si>
  <si>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</si>
  <si>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</si>
  <si>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</si>
  <si>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</si>
  <si>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</si>
  <si>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</si>
  <si>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</si>
  <si>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</si>
  <si>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</si>
  <si>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</si>
  <si>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</si>
  <si>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</si>
  <si>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</si>
  <si>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</si>
  <si>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</si>
  <si>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</si>
  <si>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</si>
  <si>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</si>
  <si>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</si>
  <si>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</si>
  <si>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</si>
  <si>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</si>
  <si>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</si>
  <si>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</si>
  <si>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</si>
  <si>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</si>
  <si>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</si>
  <si>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</si>
  <si>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</si>
  <si>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</si>
  <si>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</si>
  <si>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</si>
  <si>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</si>
  <si>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</si>
  <si>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</si>
  <si>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</si>
  <si>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</si>
  <si>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</si>
  <si>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</si>
  <si>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</si>
  <si>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</si>
  <si>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</si>
  <si>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</si>
  <si>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</si>
  <si>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</si>
  <si>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</si>
  <si>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</si>
  <si>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</si>
  <si>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</si>
  <si>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</si>
  <si>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</si>
  <si>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</si>
  <si>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</si>
  <si>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</si>
  <si>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</si>
  <si>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</si>
  <si>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</si>
  <si>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</si>
  <si>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</si>
  <si>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</si>
  <si>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</si>
  <si>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</si>
  <si>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</si>
  <si>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</si>
  <si>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</si>
  <si>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</si>
  <si>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</si>
  <si>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</si>
  <si>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</si>
  <si>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</si>
  <si>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</si>
  <si>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</si>
  <si>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</si>
  <si>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</si>
  <si>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</si>
  <si>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</si>
  <si>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</si>
  <si>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</si>
  <si>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</si>
  <si>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</si>
  <si>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</si>
  <si>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</si>
  <si>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</si>
  <si>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</si>
  <si>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</si>
  <si>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</si>
  <si>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</si>
  <si>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</si>
  <si>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</si>
  <si>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</si>
  <si>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</si>
  <si>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</si>
  <si>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</si>
  <si>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</si>
  <si>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</si>
  <si>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</si>
  <si>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</si>
  <si>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</si>
  <si>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</si>
  <si>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</si>
  <si>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</si>
  <si>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</si>
  <si>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</si>
  <si>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</si>
  <si>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</si>
  <si>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</si>
  <si>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</si>
  <si>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</si>
  <si>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</si>
  <si>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</si>
  <si>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</si>
  <si>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</si>
  <si>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</si>
  <si>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</si>
  <si>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</si>
  <si>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</si>
  <si>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</si>
  <si>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</si>
  <si>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</si>
  <si>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</si>
  <si>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</si>
  <si>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</si>
  <si>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</si>
  <si>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</si>
  <si>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</si>
  <si>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</si>
  <si>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</si>
  <si>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</si>
  <si>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</si>
  <si>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</si>
  <si>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</si>
  <si>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</si>
  <si>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</si>
  <si>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</si>
  <si>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</si>
  <si>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</si>
  <si>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</si>
  <si>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</si>
  <si>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</si>
  <si>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</si>
  <si>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</si>
  <si>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</si>
  <si>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</si>
  <si>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</si>
  <si>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</si>
  <si>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</si>
  <si>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</si>
  <si>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</si>
  <si>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</si>
  <si>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</si>
  <si>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</si>
  <si>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</si>
  <si>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</si>
  <si>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</si>
  <si>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</si>
  <si>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</si>
  <si>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</si>
  <si>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</si>
  <si>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</si>
  <si>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</si>
  <si>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</si>
  <si>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</si>
  <si>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</si>
  <si>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</si>
  <si>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</si>
  <si>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</si>
  <si>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</si>
  <si>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</si>
  <si>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</si>
  <si>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</si>
  <si>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</si>
  <si>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</si>
  <si>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</si>
  <si>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</si>
  <si>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</si>
  <si>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</si>
  <si>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</si>
  <si>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</si>
  <si>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</si>
  <si>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</si>
  <si>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</si>
  <si>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</si>
  <si>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</si>
  <si>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</si>
  <si>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</si>
  <si>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</si>
  <si>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</si>
  <si>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</si>
  <si>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</si>
  <si>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</si>
  <si>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</si>
  <si>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</si>
  <si>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</si>
  <si>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</si>
  <si>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</si>
  <si>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</si>
  <si>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</si>
  <si>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</si>
  <si>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</si>
  <si>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</si>
  <si>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</si>
  <si>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</si>
  <si>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</si>
  <si>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</si>
  <si>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</si>
  <si>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</si>
  <si>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</si>
  <si>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</si>
  <si>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</si>
  <si>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</si>
  <si>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</si>
  <si>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</si>
  <si>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</si>
  <si>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</si>
  <si>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</si>
  <si>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</si>
  <si>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</si>
  <si>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</si>
  <si>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</si>
  <si>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</si>
  <si>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</si>
  <si>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</si>
  <si>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</si>
  <si>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</si>
  <si>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</si>
  <si>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</si>
  <si>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</si>
  <si>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</si>
  <si>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</si>
  <si>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</si>
  <si>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</si>
  <si>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</si>
  <si>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</si>
  <si>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</si>
  <si>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</si>
  <si>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</si>
  <si>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</si>
  <si>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</si>
  <si>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</si>
  <si>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</si>
  <si>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</si>
  <si>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</si>
  <si>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</si>
  <si>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</si>
  <si>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</si>
  <si>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</si>
  <si>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</si>
  <si>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</si>
  <si>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</si>
  <si>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</si>
  <si>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</si>
  <si>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</si>
  <si>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</si>
  <si>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</si>
  <si>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</si>
  <si>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</si>
  <si>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</si>
  <si>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</si>
  <si>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</si>
  <si>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</si>
  <si>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</si>
  <si>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</si>
  <si>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</si>
  <si>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</si>
  <si>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</si>
  <si>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</si>
  <si>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</si>
  <si>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</si>
  <si>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</si>
  <si>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</si>
  <si>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</si>
  <si>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</si>
  <si>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</si>
  <si>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</si>
  <si>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</si>
  <si>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</si>
  <si>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</si>
  <si>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</si>
  <si>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</si>
  <si>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</si>
  <si>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</si>
  <si>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</si>
  <si>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</si>
  <si>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</si>
  <si>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</si>
  <si>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</si>
  <si>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</si>
  <si>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</si>
  <si>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</si>
  <si>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</si>
  <si>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</si>
  <si>
    <t xml:space="preserve"> 1 / 2</t>
  </si>
  <si>
    <t xml:space="preserve"> 1 / 3</t>
  </si>
  <si>
    <t>Kızılay kurban 11750/2</t>
  </si>
  <si>
    <t>Kızılay kurban 4300*2 = 8600/2</t>
  </si>
  <si>
    <t xml:space="preserve"> 2 / 2</t>
  </si>
  <si>
    <t xml:space="preserve"> 2 / 3</t>
  </si>
  <si>
    <t xml:space="preserve"> 3 / 3</t>
  </si>
  <si>
    <t>ali kredi için -ali bankaya yatırmış</t>
  </si>
  <si>
    <t xml:space="preserve">aliden kredi için alınan 15/06/2024 taksidi </t>
  </si>
  <si>
    <t>ziraate havale kredi için bayram öncesi</t>
  </si>
  <si>
    <t>audi teker porya-yazlık lastik değişimi</t>
  </si>
  <si>
    <t>vergi</t>
  </si>
  <si>
    <t>ulusu mak eksoz için</t>
  </si>
  <si>
    <t>sivas döner</t>
  </si>
  <si>
    <t>tavukçu</t>
  </si>
  <si>
    <t>tat lok</t>
  </si>
  <si>
    <t>inş</t>
  </si>
  <si>
    <t>çorba</t>
  </si>
  <si>
    <t>çalışkan fide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</si>
  <si>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</si>
  <si>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</si>
  <si>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</si>
  <si>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</si>
  <si>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</si>
  <si>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</si>
  <si>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adıgüzel market</t>
  </si>
  <si>
    <t>gecikme faizi bsmv</t>
  </si>
  <si>
    <t>,</t>
  </si>
  <si>
    <t>bosch matkap 500maxipuan</t>
  </si>
  <si>
    <t>avans maximil</t>
  </si>
  <si>
    <t>kurban kızılay</t>
  </si>
  <si>
    <t>çeyrek 5 ad. 4030 * 5</t>
  </si>
  <si>
    <t>HAZİRANa</t>
  </si>
  <si>
    <t>TEMMUZa</t>
  </si>
  <si>
    <t>iş KOTON</t>
  </si>
  <si>
    <t>iş LILAK</t>
  </si>
  <si>
    <t>usd iş satış-alış                 32,9542</t>
  </si>
  <si>
    <t>eur iş alış                           35,47,85</t>
  </si>
  <si>
    <t>ödendi</t>
  </si>
  <si>
    <t>hepsi</t>
  </si>
  <si>
    <t>3074 usulsuzluk</t>
  </si>
  <si>
    <t xml:space="preserve">       5 - 6</t>
  </si>
  <si>
    <t>trafik cezaı yıldızeli</t>
  </si>
  <si>
    <t>elden nakit aliden alınan kredi için</t>
  </si>
  <si>
    <t>peri ziraat kredi ödemesi taksit 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</si>
</sst>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  <numFmt numFmtId="184" formatCode="#,##0.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31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" fontId="23" fillId="0" borderId="0" xfId="0" applyNumberFormat="1" applyFont="1"/>
    <xf numFmtId="184" fontId="0" fillId="0" borderId="0" xfId="0" applyNumberFormat="1"/>
    <xf numFmtId="178" fontId="0" fillId="21" borderId="0" xfId="0" applyNumberFormat="1" applyFont="1" applyFill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7"/>
  <sheetViews>
    <sheetView tabSelected="1" topLeftCell="A8" zoomScale="115" zoomScaleNormal="115" workbookViewId="0">
      <selection activeCell="E36" sqref="E36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1249</v>
      </c>
      <c r="F2" s="7" t="s">
        <v>433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7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1266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16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17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1263</v>
      </c>
      <c r="G20" s="2">
        <f t="shared" si="0"/>
        <v>-8570.35</v>
      </c>
    </row>
    <row r="21" spans="2:7">
      <c r="B21" s="1">
        <v>45442</v>
      </c>
      <c r="C21" t="s">
        <v>18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1247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1248</v>
      </c>
      <c r="E23" s="2">
        <v>21000</v>
      </c>
      <c r="G23" s="2">
        <f t="shared" si="0"/>
        <v>-108070.35</v>
      </c>
    </row>
    <row r="24" spans="2:7">
      <c r="B24" s="1">
        <v>45458</v>
      </c>
      <c r="C24" t="s">
        <v>1264</v>
      </c>
      <c r="E24" s="2">
        <v>3450</v>
      </c>
      <c r="G24" s="2">
        <f t="shared" si="0"/>
        <v>-104620.35</v>
      </c>
    </row>
    <row r="25" spans="2:7">
      <c r="B25" s="1">
        <v>45458</v>
      </c>
      <c r="C25" t="s">
        <v>1265</v>
      </c>
      <c r="F25" s="2">
        <v>3467</v>
      </c>
      <c r="G25" s="2">
        <f t="shared" si="0"/>
        <v>-108087.35</v>
      </c>
    </row>
    <row r="26" spans="2:7">
      <c r="B26" s="1">
        <v>45453</v>
      </c>
      <c r="C26" t="s">
        <v>271</v>
      </c>
      <c r="D26">
        <v>1000</v>
      </c>
      <c r="G26" s="2">
        <f t="shared" si="0"/>
        <v>-108087.35</v>
      </c>
    </row>
    <row r="27" spans="2:7">
      <c r="C27" t="s">
        <v>1298</v>
      </c>
      <c r="D27">
        <v>1300</v>
      </c>
      <c r="G27" s="2">
        <f t="shared" si="0"/>
        <v>-108087.35</v>
      </c>
    </row>
    <row r="28" spans="2:7">
      <c r="B28" s="1">
        <v>45470</v>
      </c>
      <c r="C28" t="s">
        <v>1287</v>
      </c>
      <c r="E28" s="2">
        <v>20150</v>
      </c>
      <c r="G28" s="2">
        <f t="shared" si="0"/>
        <v>-87937.35</v>
      </c>
    </row>
    <row r="29" spans="2:7">
      <c r="B29" s="1">
        <v>45473</v>
      </c>
      <c r="C29" t="s">
        <v>19</v>
      </c>
      <c r="F29" s="2">
        <v>500</v>
      </c>
      <c r="G29" s="2">
        <f t="shared" si="0"/>
        <v>-88437.35</v>
      </c>
    </row>
    <row r="30" spans="2:7">
      <c r="B30" s="1">
        <v>45487</v>
      </c>
      <c r="C30" t="s">
        <v>1299</v>
      </c>
      <c r="E30" s="2">
        <v>3500</v>
      </c>
      <c r="G30" s="2">
        <f t="shared" si="0"/>
        <v>-84937.35</v>
      </c>
    </row>
    <row r="31" spans="2:7">
      <c r="B31" s="1">
        <v>45487</v>
      </c>
      <c r="C31" t="s">
        <v>1300</v>
      </c>
      <c r="F31" s="2">
        <v>3465.81</v>
      </c>
      <c r="G31" s="2">
        <f t="shared" si="0"/>
        <v>-88403.16</v>
      </c>
    </row>
    <row r="32" spans="2:7">
      <c r="B32" s="1">
        <v>45503</v>
      </c>
      <c r="C32" t="s">
        <v>20</v>
      </c>
      <c r="F32" s="2">
        <v>500</v>
      </c>
      <c r="G32" s="2">
        <f t="shared" si="0"/>
        <v>-88903.16</v>
      </c>
    </row>
    <row r="33" spans="2:7">
      <c r="B33" s="1">
        <v>45534</v>
      </c>
      <c r="C33" t="s">
        <v>21</v>
      </c>
      <c r="F33" s="2">
        <v>500</v>
      </c>
      <c r="G33" s="2">
        <f t="shared" si="0"/>
        <v>-89403.16</v>
      </c>
    </row>
    <row r="34" spans="2:7">
      <c r="B34" s="1">
        <v>45565</v>
      </c>
      <c r="C34" t="s">
        <v>22</v>
      </c>
      <c r="F34" s="2">
        <v>500</v>
      </c>
      <c r="G34" s="2">
        <f t="shared" si="0"/>
        <v>-89903.16</v>
      </c>
    </row>
    <row r="35" spans="2:7">
      <c r="B35" s="1">
        <v>45595</v>
      </c>
      <c r="C35" t="s">
        <v>23</v>
      </c>
      <c r="F35" s="2">
        <v>500</v>
      </c>
      <c r="G35" s="2">
        <f t="shared" si="0"/>
        <v>-90403.16</v>
      </c>
    </row>
    <row r="36" spans="2:7">
      <c r="B36" s="1">
        <v>45626</v>
      </c>
      <c r="C36" t="s">
        <v>24</v>
      </c>
      <c r="F36" s="2">
        <v>500</v>
      </c>
      <c r="G36" s="2">
        <f t="shared" si="0"/>
        <v>-90903.16</v>
      </c>
    </row>
    <row r="37" spans="2:7">
      <c r="B37" s="1">
        <v>45656</v>
      </c>
      <c r="C37" t="s">
        <v>25</v>
      </c>
      <c r="F37" s="2">
        <v>500</v>
      </c>
      <c r="G37" s="2">
        <f t="shared" si="0"/>
        <v>-91403.16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60" zoomScaleNormal="160" workbookViewId="0">
      <selection activeCell="C10" sqref="C10:C14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7" t="s">
        <v>28</v>
      </c>
      <c r="L1" s="329" t="s">
        <v>29</v>
      </c>
      <c r="M1" s="329"/>
      <c r="N1" t="s">
        <v>30</v>
      </c>
    </row>
    <row r="2" spans="1:14" ht="15.75">
      <c r="A2" s="9">
        <v>-2024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9">
        <v>0.23538400000000001</v>
      </c>
      <c r="L2" s="20">
        <f>1-K2</f>
        <v>0.76461599999999996</v>
      </c>
      <c r="M2" s="21" t="s">
        <v>35</v>
      </c>
      <c r="N2">
        <f>F115/1000</f>
        <v>698.22030499999994</v>
      </c>
    </row>
    <row r="3" spans="1:14">
      <c r="A3" s="22" t="s">
        <v>36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39</v>
      </c>
      <c r="J4" s="22">
        <v>85</v>
      </c>
      <c r="K4" s="30">
        <f>J4*$K$2</f>
        <v>20.007640000000002</v>
      </c>
      <c r="L4" s="31">
        <f>J4-K4</f>
        <v>64.992359999999991</v>
      </c>
      <c r="M4" s="29"/>
      <c r="N4">
        <f>'02_24'!E111/1000</f>
        <v>809.24983035699995</v>
      </c>
    </row>
    <row r="5" spans="1:14">
      <c r="A5" s="22" t="s">
        <v>40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41</v>
      </c>
      <c r="J5" s="22"/>
      <c r="K5" s="30"/>
      <c r="L5" s="28"/>
      <c r="M5" s="29">
        <f>J5</f>
        <v>0</v>
      </c>
      <c r="N5">
        <f>'03_24'!E108/1000</f>
        <v>745.85205035699994</v>
      </c>
    </row>
    <row r="6" spans="1:14">
      <c r="A6" s="22" t="s">
        <v>42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43</v>
      </c>
      <c r="K6" s="30"/>
      <c r="L6" s="28"/>
      <c r="M6" s="33">
        <f>E18/1000</f>
        <v>78.933189999999996</v>
      </c>
      <c r="N6">
        <f>'04_24'!E111/1000</f>
        <v>774.2877365999999</v>
      </c>
    </row>
    <row r="7" spans="1:14">
      <c r="A7" s="22" t="s">
        <v>44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45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46</v>
      </c>
      <c r="B8" s="23">
        <f>'06_24'!D2</f>
        <v>33500</v>
      </c>
      <c r="C8" s="23">
        <f>'06_24'!E2</f>
        <v>-77377.563693000004</v>
      </c>
      <c r="D8" s="24">
        <f t="shared" si="0"/>
        <v>45063.296306999982</v>
      </c>
      <c r="E8" s="23">
        <f>'06_24'!F2</f>
        <v>13427.62</v>
      </c>
      <c r="F8" s="23">
        <f>'06_24'!G2</f>
        <v>-97778.153693</v>
      </c>
      <c r="G8" s="24">
        <f t="shared" si="1"/>
        <v>104895.16630700001</v>
      </c>
      <c r="H8" s="25"/>
      <c r="I8" s="26" t="s">
        <v>47</v>
      </c>
      <c r="J8" s="22">
        <v>225</v>
      </c>
      <c r="K8" s="30"/>
      <c r="L8" s="31"/>
      <c r="M8" s="29">
        <f>J8/4</f>
        <v>56.25</v>
      </c>
      <c r="N8">
        <f>'06_24'!E118/1000</f>
        <v>794.30215999999996</v>
      </c>
    </row>
    <row r="9" spans="1:14">
      <c r="A9" s="22" t="s">
        <v>48</v>
      </c>
      <c r="B9" s="23">
        <f>'07_24'!D2</f>
        <v>51000</v>
      </c>
      <c r="C9" s="23">
        <f>'07_24'!E2</f>
        <v>-85166.06</v>
      </c>
      <c r="D9" s="24">
        <f t="shared" si="0"/>
        <v>10897.236306999985</v>
      </c>
      <c r="E9" s="23">
        <f>'07_24'!F2</f>
        <v>15000</v>
      </c>
      <c r="F9" s="23">
        <f>'07_24'!G2</f>
        <v>-68411.62</v>
      </c>
      <c r="G9" s="24">
        <f t="shared" si="1"/>
        <v>51483.546307000011</v>
      </c>
      <c r="H9" s="25"/>
      <c r="I9" s="26" t="s">
        <v>49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'07_24'!E133/1000</f>
        <v>981.30372722800007</v>
      </c>
    </row>
    <row r="10" spans="1:14">
      <c r="A10" s="22" t="s">
        <v>50</v>
      </c>
      <c r="B10" s="23">
        <f>'08_24'!D2</f>
        <v>174000</v>
      </c>
      <c r="C10" s="23">
        <f>'08_24'!E2</f>
        <v>-64037.96</v>
      </c>
      <c r="D10" s="24">
        <f t="shared" si="0"/>
        <v>120859.27630699999</v>
      </c>
      <c r="E10" s="23">
        <f>'08_24'!F2</f>
        <v>0</v>
      </c>
      <c r="F10" s="23">
        <f>'08_24'!G2</f>
        <v>-7337.5</v>
      </c>
      <c r="G10" s="24">
        <f t="shared" si="1"/>
        <v>44146.046307000011</v>
      </c>
      <c r="H10" s="25"/>
      <c r="I10" s="26" t="s">
        <v>51</v>
      </c>
      <c r="J10" s="22">
        <v>100</v>
      </c>
      <c r="K10" s="30"/>
      <c r="L10" s="31"/>
      <c r="M10" s="29">
        <f>J10*0.13</f>
        <v>13</v>
      </c>
      <c r="N10">
        <f>'08_24'!E120/1000</f>
        <v>0</v>
      </c>
    </row>
    <row r="11" spans="1:14">
      <c r="A11" s="22" t="s">
        <v>52</v>
      </c>
      <c r="B11" s="23">
        <f>'09_24'!D2</f>
        <v>174000</v>
      </c>
      <c r="C11" s="23">
        <f>'09_24'!E2</f>
        <v>-47304.020000000004</v>
      </c>
      <c r="D11" s="24">
        <f t="shared" si="0"/>
        <v>247555.256307</v>
      </c>
      <c r="E11" s="23">
        <f>'09_24'!F2</f>
        <v>0</v>
      </c>
      <c r="F11" s="23">
        <f>'09_24'!G2</f>
        <v>-513.76</v>
      </c>
      <c r="G11" s="24">
        <f t="shared" si="1"/>
        <v>43632.286307000009</v>
      </c>
      <c r="H11" s="25"/>
      <c r="I11" s="26" t="s">
        <v>53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'09_24'!E128/1000</f>
        <v>0</v>
      </c>
    </row>
    <row r="12" spans="1:14">
      <c r="A12" s="22" t="s">
        <v>54</v>
      </c>
      <c r="B12" s="23">
        <f>'10_24'!D2</f>
        <v>150000</v>
      </c>
      <c r="C12" s="23">
        <f>'10_24'!E2</f>
        <v>-142869.26</v>
      </c>
      <c r="D12" s="24">
        <f t="shared" si="0"/>
        <v>254685.99630699999</v>
      </c>
      <c r="E12" s="23">
        <f>'10_24'!F2</f>
        <v>0</v>
      </c>
      <c r="F12" s="23">
        <f>'10_24'!G2</f>
        <v>0</v>
      </c>
      <c r="G12" s="24">
        <f t="shared" si="1"/>
        <v>43632.286307000009</v>
      </c>
      <c r="H12" s="25"/>
      <c r="I12" s="26" t="s">
        <v>55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56</v>
      </c>
      <c r="B13" s="23">
        <f>'11_24'!D2</f>
        <v>280000</v>
      </c>
      <c r="C13" s="23">
        <f>'11_24'!E2</f>
        <v>-42869.26</v>
      </c>
      <c r="D13" s="24">
        <f t="shared" si="0"/>
        <v>491816.73630699998</v>
      </c>
      <c r="E13" s="23">
        <f>'11_24'!F2</f>
        <v>0</v>
      </c>
      <c r="F13" s="23">
        <f>'11_24'!G2</f>
        <v>0</v>
      </c>
      <c r="G13" s="24">
        <f t="shared" si="1"/>
        <v>43632.286307000009</v>
      </c>
      <c r="H13" s="25"/>
      <c r="I13" s="26" t="s">
        <v>57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58</v>
      </c>
      <c r="B14" s="23">
        <f>'12_24'!D2</f>
        <v>30000</v>
      </c>
      <c r="C14" s="23">
        <f>'12_24'!E2</f>
        <v>-43900.020000000004</v>
      </c>
      <c r="D14" s="24">
        <f t="shared" si="0"/>
        <v>477916.71630699997</v>
      </c>
      <c r="E14" s="23">
        <f>'12_24'!F2</f>
        <v>0</v>
      </c>
      <c r="F14" s="23">
        <f>'12_24'!G2</f>
        <v>0</v>
      </c>
      <c r="G14" s="24">
        <f t="shared" si="1"/>
        <v>43632.286307000009</v>
      </c>
      <c r="H14" s="25"/>
      <c r="I14" s="35" t="s">
        <v>59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60</v>
      </c>
      <c r="B15" s="24">
        <f>SUM(B3:B14)</f>
        <v>1330064.6000000001</v>
      </c>
      <c r="C15" s="24">
        <f>SUM(C3:C14)</f>
        <v>-852147.88369300007</v>
      </c>
      <c r="D15" s="24">
        <f>B15+C15</f>
        <v>477916.71630700002</v>
      </c>
      <c r="E15" s="24">
        <f>SUM(E3:E14)</f>
        <v>621405.57000000007</v>
      </c>
      <c r="F15" s="24">
        <f>SUM(F3:F14)</f>
        <v>-577773.28369299998</v>
      </c>
      <c r="G15" s="24">
        <f>E15+F15</f>
        <v>43632.286307000089</v>
      </c>
      <c r="H15" s="38"/>
      <c r="I15" s="39"/>
      <c r="J15" s="40">
        <f>SUM(J3:J14)</f>
        <v>1570</v>
      </c>
      <c r="K15" s="41">
        <f>SUM(K4:K14)</f>
        <v>250.68396000000004</v>
      </c>
      <c r="L15" s="42">
        <f>SUM(L4:L14)</f>
        <v>814.31603999999993</v>
      </c>
      <c r="M15" s="43">
        <f>M10+M8+M6+M5+M3+M7</f>
        <v>328.18318999999997</v>
      </c>
    </row>
    <row r="16" spans="1:14">
      <c r="A16" s="44">
        <v>12</v>
      </c>
      <c r="B16" s="45">
        <f>B15/A16</f>
        <v>110838.71666666667</v>
      </c>
      <c r="C16" s="46">
        <f>C15/A16</f>
        <v>-71012.323641083334</v>
      </c>
      <c r="D16" s="46"/>
      <c r="E16" s="46">
        <f>E15/A16</f>
        <v>51783.797500000008</v>
      </c>
      <c r="F16" s="46">
        <f>F15/A16</f>
        <v>-48147.773641083331</v>
      </c>
      <c r="G16" s="46">
        <f>G15/A16</f>
        <v>3636.0238589166743</v>
      </c>
      <c r="H16" s="47"/>
      <c r="I16" s="48"/>
      <c r="J16" s="49">
        <f>J15/12</f>
        <v>130.83333333333334</v>
      </c>
      <c r="K16" s="50">
        <f>K15/12</f>
        <v>20.890330000000002</v>
      </c>
      <c r="L16" s="51">
        <f>L15/12</f>
        <v>67.859669999999994</v>
      </c>
      <c r="M16" s="52">
        <f>M15/12</f>
        <v>27.348599166666663</v>
      </c>
      <c r="N16" s="53">
        <f>AVERAGE(N2:N15)</f>
        <v>510.41040047246156</v>
      </c>
    </row>
    <row r="17" spans="2:13">
      <c r="C17" s="2"/>
      <c r="D17" s="2"/>
      <c r="G17" s="54"/>
      <c r="H17" s="54"/>
      <c r="I17" s="26"/>
      <c r="K17" s="2" t="s">
        <v>60</v>
      </c>
      <c r="L17" s="330">
        <f>L15+M15</f>
        <v>1142.4992299999999</v>
      </c>
      <c r="M17" s="330"/>
    </row>
    <row r="18" spans="2:13">
      <c r="D18" s="55" t="s">
        <v>61</v>
      </c>
      <c r="E18" s="2">
        <f>'01_24'!F27+'02_24'!F14+'02_24'!F25+'03_24'!F19+'04_24'!F41+'05_24'!F22+'06_24'!F19+'05_24'!F22+'06_24'!F31+'04_24'!F15</f>
        <v>78933.19</v>
      </c>
      <c r="J18" s="26"/>
      <c r="K18" s="2" t="s">
        <v>62</v>
      </c>
      <c r="L18" s="56"/>
      <c r="M18" s="57">
        <f>L17/12</f>
        <v>95.208269166666653</v>
      </c>
    </row>
    <row r="19" spans="2:13">
      <c r="C19" s="58"/>
      <c r="D19" s="59" t="s">
        <v>63</v>
      </c>
      <c r="E19" s="60">
        <f>'07_24'!F29+'08_24'!F23+'09_24'!F30+'10_24'!F24+'11_24'!F22+'12_24'!F29</f>
        <v>0</v>
      </c>
    </row>
    <row r="20" spans="2:13">
      <c r="D20" s="61" t="s">
        <v>64</v>
      </c>
      <c r="E20" s="62">
        <f>SUM(E18:E19)</f>
        <v>78933.19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66</v>
      </c>
      <c r="D24" s="66">
        <f>D23+B22</f>
        <v>10427.620161375</v>
      </c>
    </row>
    <row r="30" spans="2:13">
      <c r="B30" t="s">
        <v>67</v>
      </c>
    </row>
    <row r="31" spans="2:13">
      <c r="C31" t="s">
        <v>68</v>
      </c>
    </row>
    <row r="32" spans="2:13">
      <c r="C32" t="s">
        <v>69</v>
      </c>
    </row>
    <row r="34" spans="2:3">
      <c r="B34" t="s">
        <v>70</v>
      </c>
    </row>
    <row r="35" spans="2:3">
      <c r="C35" t="s">
        <v>71</v>
      </c>
    </row>
    <row r="36" spans="2:3">
      <c r="C36" t="s">
        <v>72</v>
      </c>
    </row>
    <row r="37" spans="2:3">
      <c r="B37" t="s">
        <v>73</v>
      </c>
    </row>
    <row r="38" spans="2:3">
      <c r="C38" t="s">
        <v>74</v>
      </c>
    </row>
    <row r="39" spans="2:3">
      <c r="C39" t="s">
        <v>75</v>
      </c>
    </row>
    <row r="40" spans="2:3">
      <c r="C40" t="s">
        <v>76</v>
      </c>
    </row>
    <row r="41" spans="2:3">
      <c r="C41" t="s">
        <v>77</v>
      </c>
    </row>
    <row r="42" spans="2:3">
      <c r="C42" t="s">
        <v>78</v>
      </c>
    </row>
    <row r="43" spans="2:3">
      <c r="B43" t="s">
        <v>79</v>
      </c>
    </row>
    <row r="44" spans="2:3">
      <c r="C44" t="s">
        <v>80</v>
      </c>
    </row>
    <row r="115" spans="2:7">
      <c r="B115" s="68" t="s">
        <v>81</v>
      </c>
      <c r="C115" s="69" t="s">
        <v>82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87</v>
      </c>
      <c r="E120" s="2"/>
      <c r="F120" s="62">
        <v>6267.13</v>
      </c>
    </row>
    <row r="121" spans="2:7">
      <c r="B121" s="73">
        <f t="shared" si="2"/>
        <v>45290</v>
      </c>
      <c r="C121" t="s">
        <v>88</v>
      </c>
      <c r="D121" s="2" t="s">
        <v>89</v>
      </c>
      <c r="E121" s="2"/>
      <c r="F121" s="62">
        <v>21088.49</v>
      </c>
    </row>
    <row r="122" spans="2:7">
      <c r="B122" s="73">
        <f t="shared" si="2"/>
        <v>45290</v>
      </c>
      <c r="C122" t="s">
        <v>90</v>
      </c>
      <c r="D122" s="2" t="s">
        <v>91</v>
      </c>
      <c r="E122" s="2"/>
      <c r="F122" s="62">
        <v>5587.73</v>
      </c>
    </row>
    <row r="123" spans="2:7">
      <c r="B123" s="73">
        <f t="shared" si="2"/>
        <v>45290</v>
      </c>
      <c r="C123" t="s">
        <v>92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99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102</v>
      </c>
      <c r="F133" s="76">
        <f>H33</f>
        <v>0</v>
      </c>
    </row>
    <row r="134" spans="2:6">
      <c r="E134" s="3"/>
    </row>
    <row r="135" spans="2:6">
      <c r="E135" s="61" t="s">
        <v>103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31</v>
      </c>
      <c r="G1" s="77" t="s">
        <v>32</v>
      </c>
      <c r="H1" s="77" t="s">
        <v>4</v>
      </c>
    </row>
    <row r="2" spans="1:15">
      <c r="A2" s="3" t="s">
        <v>104</v>
      </c>
      <c r="C2" s="79" t="s">
        <v>105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106</v>
      </c>
      <c r="E4" s="77">
        <v>-152</v>
      </c>
      <c r="H4" s="77">
        <f>H3+F4+G4</f>
        <v>0</v>
      </c>
    </row>
    <row r="5" spans="1:15">
      <c r="B5" t="s">
        <v>107</v>
      </c>
      <c r="E5" s="77">
        <v>-11030.76</v>
      </c>
    </row>
    <row r="6" spans="1:15">
      <c r="B6" s="80" t="s">
        <v>108</v>
      </c>
      <c r="C6" s="80"/>
      <c r="E6" s="77">
        <v>-400</v>
      </c>
      <c r="H6" s="77">
        <f>H4+F6+G6</f>
        <v>0</v>
      </c>
    </row>
    <row r="7" spans="1:15">
      <c r="B7" s="80" t="s">
        <v>109</v>
      </c>
      <c r="C7" s="80"/>
      <c r="E7" s="77">
        <v>-500</v>
      </c>
      <c r="H7" s="77">
        <f>H6+F7+G7</f>
        <v>0</v>
      </c>
    </row>
    <row r="8" spans="1:15">
      <c r="B8" s="80" t="s">
        <v>110</v>
      </c>
      <c r="C8" s="80" t="s">
        <v>111</v>
      </c>
      <c r="E8" s="77">
        <v>-250</v>
      </c>
      <c r="H8" s="77">
        <f>H7+F8+G8</f>
        <v>0</v>
      </c>
    </row>
    <row r="9" spans="1:15">
      <c r="B9" s="81" t="s">
        <v>112</v>
      </c>
      <c r="C9" s="80"/>
      <c r="K9" s="82"/>
    </row>
    <row r="10" spans="1:15">
      <c r="B10" s="81" t="s">
        <v>113</v>
      </c>
      <c r="C10" s="80"/>
      <c r="L10" s="82"/>
    </row>
    <row r="11" spans="1:15">
      <c r="B11" s="80" t="s">
        <v>114</v>
      </c>
      <c r="C11" s="80"/>
      <c r="K11" s="82" t="s">
        <v>115</v>
      </c>
      <c r="L11" s="78">
        <v>8</v>
      </c>
      <c r="M11" s="83">
        <v>250</v>
      </c>
      <c r="N11" s="78">
        <f>M11*L11</f>
        <v>2000</v>
      </c>
      <c r="O11" t="s">
        <v>116</v>
      </c>
    </row>
    <row r="12" spans="1:15">
      <c r="B12" s="80" t="s">
        <v>117</v>
      </c>
      <c r="C12" s="80"/>
      <c r="K12" s="82" t="s">
        <v>118</v>
      </c>
      <c r="L12" s="83">
        <v>2</v>
      </c>
      <c r="M12" s="83">
        <v>250</v>
      </c>
      <c r="N12" s="78">
        <f>M12*L12</f>
        <v>500</v>
      </c>
      <c r="O12" t="s">
        <v>116</v>
      </c>
    </row>
    <row r="13" spans="1:15">
      <c r="B13" s="80" t="s">
        <v>119</v>
      </c>
      <c r="C13" s="80"/>
      <c r="K13" s="82" t="s">
        <v>120</v>
      </c>
      <c r="L13" s="78">
        <v>11</v>
      </c>
      <c r="M13" s="78">
        <v>250</v>
      </c>
      <c r="N13" s="78">
        <f>M13*L13</f>
        <v>2750</v>
      </c>
      <c r="O13" t="s">
        <v>116</v>
      </c>
    </row>
    <row r="14" spans="1:15">
      <c r="B14" s="80"/>
      <c r="C14" s="80"/>
      <c r="H14" s="77">
        <f>H8+F14+G14</f>
        <v>0</v>
      </c>
      <c r="K14" s="82" t="s">
        <v>121</v>
      </c>
      <c r="L14" s="77">
        <v>1</v>
      </c>
      <c r="M14" s="77">
        <v>8595</v>
      </c>
      <c r="N14" s="77">
        <f>M14*L14</f>
        <v>8595</v>
      </c>
      <c r="O14" s="3" t="s">
        <v>122</v>
      </c>
    </row>
    <row r="15" spans="1:15">
      <c r="B15" s="80" t="s">
        <v>123</v>
      </c>
      <c r="C15" s="80" t="s">
        <v>124</v>
      </c>
      <c r="E15" s="77">
        <v>-150</v>
      </c>
      <c r="H15" s="77">
        <f t="shared" ref="H15:H37" si="0">H14+F15+G15</f>
        <v>0</v>
      </c>
      <c r="K15" s="82" t="s">
        <v>121</v>
      </c>
      <c r="L15" s="77">
        <v>9</v>
      </c>
      <c r="M15" s="77">
        <v>8845</v>
      </c>
      <c r="N15" s="77">
        <f>M15*L15</f>
        <v>79605</v>
      </c>
      <c r="O15" s="3" t="s">
        <v>122</v>
      </c>
    </row>
    <row r="16" spans="1:15">
      <c r="B16" s="84" t="s">
        <v>125</v>
      </c>
      <c r="C16" s="84" t="s">
        <v>124</v>
      </c>
      <c r="E16" s="77">
        <v>-300</v>
      </c>
      <c r="H16" s="77">
        <f t="shared" si="0"/>
        <v>0</v>
      </c>
      <c r="K16" s="83"/>
      <c r="L16" s="83"/>
      <c r="M16" s="85" t="s">
        <v>105</v>
      </c>
      <c r="N16" s="86">
        <f>SUM(N11:N15)</f>
        <v>93450</v>
      </c>
    </row>
    <row r="17" spans="1:13">
      <c r="B17" s="84" t="s">
        <v>126</v>
      </c>
      <c r="C17" s="84" t="s">
        <v>124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127</v>
      </c>
      <c r="E19" s="77">
        <f>E50*-1</f>
        <v>0</v>
      </c>
      <c r="H19" s="77">
        <f t="shared" si="0"/>
        <v>0</v>
      </c>
    </row>
    <row r="20" spans="1:13">
      <c r="B20" s="87" t="s">
        <v>128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129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131</v>
      </c>
      <c r="C23" s="80"/>
      <c r="E23" s="77">
        <v>-6000</v>
      </c>
      <c r="H23" s="77">
        <f t="shared" si="0"/>
        <v>0</v>
      </c>
    </row>
    <row r="24" spans="1:13">
      <c r="B24" s="80" t="s">
        <v>132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83</v>
      </c>
      <c r="H28" s="77">
        <f t="shared" si="0"/>
        <v>0</v>
      </c>
    </row>
    <row r="29" spans="1:13">
      <c r="B29" t="s">
        <v>83</v>
      </c>
      <c r="E29" s="77">
        <v>-5000</v>
      </c>
      <c r="H29" s="77">
        <f t="shared" si="0"/>
        <v>0</v>
      </c>
    </row>
    <row r="30" spans="1:13">
      <c r="B30" t="s">
        <v>84</v>
      </c>
      <c r="E30" s="77">
        <v>-5000</v>
      </c>
      <c r="H30" s="77">
        <f t="shared" si="0"/>
        <v>0</v>
      </c>
    </row>
    <row r="31" spans="1:13">
      <c r="B31" t="s">
        <v>133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134</v>
      </c>
      <c r="D33" s="77">
        <v>15000</v>
      </c>
      <c r="H33" s="77">
        <f t="shared" si="0"/>
        <v>0</v>
      </c>
    </row>
    <row r="34" spans="1:14">
      <c r="A34" s="89"/>
      <c r="B34" t="s">
        <v>135</v>
      </c>
      <c r="H34" s="77">
        <f t="shared" si="0"/>
        <v>0</v>
      </c>
    </row>
    <row r="35" spans="1:14">
      <c r="A35" s="89"/>
      <c r="B35" t="s">
        <v>136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138</v>
      </c>
    </row>
    <row r="42" spans="1:14">
      <c r="A42" s="70" t="s">
        <v>139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141</v>
      </c>
      <c r="C45" s="22"/>
    </row>
    <row r="46" spans="1:14">
      <c r="B46" t="s">
        <v>142</v>
      </c>
    </row>
    <row r="47" spans="1:14">
      <c r="B47" t="s">
        <v>143</v>
      </c>
    </row>
    <row r="48" spans="1:14">
      <c r="B48" t="s">
        <v>144</v>
      </c>
    </row>
    <row r="49" spans="1:5">
      <c r="B49" t="s">
        <v>145</v>
      </c>
    </row>
    <row r="50" spans="1:5">
      <c r="B50" t="s">
        <v>146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147</v>
      </c>
      <c r="C55" s="70"/>
      <c r="E55" s="77">
        <f>SUM(E56:E67)</f>
        <v>-1797.26</v>
      </c>
    </row>
    <row r="57" spans="1:5">
      <c r="A57" s="96">
        <v>45373</v>
      </c>
      <c r="B57" t="s">
        <v>148</v>
      </c>
      <c r="C57">
        <v>10176.39</v>
      </c>
      <c r="D57" s="77" t="s">
        <v>149</v>
      </c>
      <c r="E57" s="77">
        <v>-1130.71</v>
      </c>
    </row>
    <row r="58" spans="1:5">
      <c r="A58" s="96">
        <v>45375</v>
      </c>
      <c r="B58" t="s">
        <v>150</v>
      </c>
      <c r="C58">
        <v>5999</v>
      </c>
      <c r="D58" s="77" t="s">
        <v>149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155</v>
      </c>
      <c r="C110" s="70"/>
      <c r="E110" s="77">
        <f>SUM(E111:E118)</f>
        <v>0</v>
      </c>
    </row>
    <row r="111" spans="1:5">
      <c r="A111" s="89"/>
      <c r="B111" t="s">
        <v>83</v>
      </c>
    </row>
    <row r="112" spans="1:5">
      <c r="A112" s="89"/>
      <c r="B112" t="s">
        <v>84</v>
      </c>
    </row>
    <row r="113" spans="1:5">
      <c r="A113" s="89"/>
      <c r="B113" t="s">
        <v>85</v>
      </c>
    </row>
    <row r="114" spans="1:5">
      <c r="A114" s="89"/>
      <c r="B114" t="s">
        <v>86</v>
      </c>
    </row>
    <row r="115" spans="1:5">
      <c r="A115" s="89"/>
      <c r="B115" t="s">
        <v>156</v>
      </c>
      <c r="D115" s="77">
        <v>111</v>
      </c>
      <c r="E115" s="77">
        <f>D115*C115</f>
        <v>0</v>
      </c>
    </row>
    <row r="116" spans="1:5">
      <c r="A116" s="89"/>
      <c r="B116" t="s">
        <v>157</v>
      </c>
      <c r="D116" s="77">
        <v>850</v>
      </c>
      <c r="E116" s="77">
        <f>D116*C116</f>
        <v>0</v>
      </c>
    </row>
    <row r="117" spans="1:5">
      <c r="A117" s="89"/>
      <c r="B117" t="s">
        <v>158</v>
      </c>
      <c r="D117" s="77">
        <v>100</v>
      </c>
      <c r="E117" s="77">
        <f>D117*C117</f>
        <v>0</v>
      </c>
    </row>
    <row r="118" spans="1:5">
      <c r="A118" s="89"/>
      <c r="B118" t="s">
        <v>159</v>
      </c>
    </row>
    <row r="119" spans="1:5">
      <c r="B119" t="s">
        <v>160</v>
      </c>
      <c r="E119" s="77">
        <f>H2</f>
        <v>0</v>
      </c>
    </row>
    <row r="121" spans="1:5">
      <c r="D121" s="77" t="s">
        <v>103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164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152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zoomScale="130" zoomScaleNormal="130" workbookViewId="0">
      <selection activeCell="C58" sqref="C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165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E23" s="77">
        <v>-5000</v>
      </c>
      <c r="H23" s="77">
        <f t="shared" si="0"/>
        <v>0</v>
      </c>
    </row>
    <row r="24" spans="1:8">
      <c r="B24" t="s">
        <v>166</v>
      </c>
      <c r="E24" s="77">
        <v>-100000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167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168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169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169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24"/>
  <sheetViews>
    <sheetView topLeftCell="A13" zoomScale="190" zoomScaleNormal="190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SUM(D4:D42)</f>
        <v>174000</v>
      </c>
      <c r="E2" s="77">
        <f>SUM(E4:E42)</f>
        <v>-47304.020000000004</v>
      </c>
      <c r="F2" s="77">
        <f>SUM(F4:F42)</f>
        <v>0</v>
      </c>
      <c r="G2" s="77">
        <f>SUM(G4:G42)</f>
        <v>-513.76</v>
      </c>
      <c r="H2" s="77">
        <f>F2+G2</f>
        <v>-513.76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40" si="0">H6+F7+G7</f>
        <v>0</v>
      </c>
    </row>
    <row r="8" spans="1:8">
      <c r="B8" s="80" t="s">
        <v>171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E53*-1</f>
        <v>0</v>
      </c>
      <c r="H14" s="77">
        <f t="shared" si="0"/>
        <v>0</v>
      </c>
    </row>
    <row r="15" spans="1:8">
      <c r="B15" s="87" t="s">
        <v>128</v>
      </c>
      <c r="E15" s="77">
        <f>E58</f>
        <v>-6232.02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E73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A21" s="322">
        <v>45554</v>
      </c>
      <c r="G21" s="77">
        <v>-136.08000000000001</v>
      </c>
    </row>
    <row r="22" spans="1:8">
      <c r="A22" s="322">
        <v>45554</v>
      </c>
      <c r="G22" s="77">
        <v>-258.61</v>
      </c>
    </row>
    <row r="23" spans="1:8">
      <c r="A23" s="322">
        <v>45554</v>
      </c>
      <c r="G23" s="77">
        <v>-119.07</v>
      </c>
    </row>
    <row r="29" spans="1:8">
      <c r="H29" s="77">
        <f>H20+F29+G29</f>
        <v>0</v>
      </c>
    </row>
    <row r="30" spans="1:8">
      <c r="H30" s="77">
        <f t="shared" si="0"/>
        <v>0</v>
      </c>
    </row>
    <row r="31" spans="1:8">
      <c r="B31" t="s">
        <v>83</v>
      </c>
      <c r="H31" s="77">
        <f t="shared" si="0"/>
        <v>0</v>
      </c>
    </row>
    <row r="32" spans="1:8">
      <c r="B32" t="s">
        <v>83</v>
      </c>
      <c r="E32" s="77">
        <v>-5000</v>
      </c>
      <c r="H32" s="77">
        <f t="shared" si="0"/>
        <v>0</v>
      </c>
    </row>
    <row r="33" spans="1:8">
      <c r="B33" t="s">
        <v>84</v>
      </c>
      <c r="E33" s="77">
        <v>-5000</v>
      </c>
      <c r="H33" s="77">
        <f t="shared" si="0"/>
        <v>0</v>
      </c>
    </row>
    <row r="34" spans="1:8">
      <c r="B34" t="s">
        <v>133</v>
      </c>
      <c r="E34" s="77">
        <v>-5000</v>
      </c>
      <c r="H34" s="77">
        <f t="shared" si="0"/>
        <v>0</v>
      </c>
    </row>
    <row r="35" spans="1:8">
      <c r="H35" s="77">
        <f t="shared" si="0"/>
        <v>0</v>
      </c>
    </row>
    <row r="36" spans="1:8">
      <c r="B36" t="s">
        <v>134</v>
      </c>
      <c r="D36" s="77">
        <v>15000</v>
      </c>
      <c r="H36" s="77">
        <f t="shared" si="0"/>
        <v>0</v>
      </c>
    </row>
    <row r="37" spans="1:8">
      <c r="A37" s="89"/>
      <c r="B37" t="s">
        <v>135</v>
      </c>
      <c r="H37" s="77">
        <f t="shared" si="0"/>
        <v>0</v>
      </c>
    </row>
    <row r="38" spans="1:8">
      <c r="A38" s="89"/>
      <c r="B38" t="s">
        <v>172</v>
      </c>
      <c r="D38" s="77">
        <v>15000</v>
      </c>
      <c r="H38" s="77">
        <f t="shared" si="0"/>
        <v>0</v>
      </c>
    </row>
    <row r="39" spans="1:8">
      <c r="A39" s="89"/>
      <c r="H39" s="77">
        <f t="shared" si="0"/>
        <v>0</v>
      </c>
    </row>
    <row r="40" spans="1:8">
      <c r="B40" t="s">
        <v>173</v>
      </c>
      <c r="C40" s="90">
        <v>0.234011</v>
      </c>
      <c r="D40" s="77">
        <v>144000</v>
      </c>
      <c r="H40" s="77">
        <f t="shared" si="0"/>
        <v>0</v>
      </c>
    </row>
    <row r="42" spans="1:8" ht="15.75">
      <c r="B42" s="91"/>
    </row>
    <row r="44" spans="1:8">
      <c r="B44" t="s">
        <v>138</v>
      </c>
    </row>
    <row r="45" spans="1:8">
      <c r="A45" s="70" t="s">
        <v>139</v>
      </c>
      <c r="B45" s="70"/>
      <c r="C45" s="70"/>
    </row>
    <row r="46" spans="1:8" s="22" customFormat="1">
      <c r="A46" s="89"/>
      <c r="C46" s="90"/>
      <c r="D46" s="77"/>
      <c r="E46" s="77"/>
      <c r="F46" s="77"/>
      <c r="G46" s="77"/>
      <c r="H46" s="77"/>
    </row>
    <row r="47" spans="1:8">
      <c r="A47" s="93">
        <v>44929</v>
      </c>
      <c r="B47" s="94" t="s">
        <v>140</v>
      </c>
      <c r="C47" s="70"/>
      <c r="D47" s="77">
        <f>SUM(D48:D53)</f>
        <v>0</v>
      </c>
      <c r="E47" s="77">
        <f>SUM(E48:E53)</f>
        <v>0</v>
      </c>
    </row>
    <row r="48" spans="1:8">
      <c r="A48" s="89"/>
      <c r="B48" s="84" t="s">
        <v>141</v>
      </c>
      <c r="C48" s="22"/>
    </row>
    <row r="49" spans="1:5">
      <c r="B49" t="s">
        <v>142</v>
      </c>
    </row>
    <row r="50" spans="1:5">
      <c r="B50" t="s">
        <v>143</v>
      </c>
    </row>
    <row r="51" spans="1:5">
      <c r="B51" t="s">
        <v>144</v>
      </c>
    </row>
    <row r="52" spans="1:5">
      <c r="B52" t="s">
        <v>145</v>
      </c>
    </row>
    <row r="53" spans="1:5">
      <c r="B53" t="s">
        <v>146</v>
      </c>
      <c r="C53" s="84"/>
    </row>
    <row r="54" spans="1:5">
      <c r="C54" s="84"/>
    </row>
    <row r="56" spans="1:5">
      <c r="B56" s="62"/>
    </row>
    <row r="57" spans="1:5">
      <c r="B57" s="95"/>
    </row>
    <row r="58" spans="1:5">
      <c r="A58" s="70"/>
      <c r="B58" s="69" t="s">
        <v>147</v>
      </c>
      <c r="C58" s="70"/>
      <c r="E58" s="77">
        <f>SUM(E59:E70)</f>
        <v>-6232.02</v>
      </c>
    </row>
    <row r="60" spans="1:5">
      <c r="A60" s="96">
        <v>45348</v>
      </c>
      <c r="B60" t="s">
        <v>174</v>
      </c>
      <c r="C60">
        <v>1406</v>
      </c>
      <c r="D60" s="77" t="s">
        <v>175</v>
      </c>
      <c r="E60" s="77">
        <v>-234.33</v>
      </c>
    </row>
    <row r="61" spans="1:5">
      <c r="A61" s="96">
        <v>45373</v>
      </c>
      <c r="B61" t="s">
        <v>148</v>
      </c>
      <c r="C61">
        <v>10176.39</v>
      </c>
      <c r="D61" s="77" t="s">
        <v>170</v>
      </c>
      <c r="E61" s="77">
        <v>-1130.71</v>
      </c>
    </row>
    <row r="62" spans="1:5">
      <c r="A62" s="96">
        <v>45375</v>
      </c>
      <c r="B62" t="s">
        <v>150</v>
      </c>
      <c r="C62">
        <v>5999</v>
      </c>
      <c r="D62" s="77" t="s">
        <v>170</v>
      </c>
      <c r="E62" s="77">
        <v>-666.55</v>
      </c>
    </row>
    <row r="63" spans="1:5">
      <c r="A63" s="96">
        <v>45358</v>
      </c>
      <c r="B63" t="s">
        <v>176</v>
      </c>
      <c r="C63">
        <v>2273</v>
      </c>
      <c r="D63" s="77" t="s">
        <v>175</v>
      </c>
      <c r="E63" s="77">
        <v>-378.87</v>
      </c>
    </row>
    <row r="64" spans="1:5">
      <c r="A64" s="96">
        <v>45371</v>
      </c>
      <c r="B64" t="s">
        <v>177</v>
      </c>
      <c r="D64" s="77" t="s">
        <v>175</v>
      </c>
      <c r="E64" s="77">
        <v>101.77</v>
      </c>
    </row>
    <row r="65" spans="1:5">
      <c r="A65" s="89">
        <v>45456</v>
      </c>
      <c r="B65" s="97" t="s">
        <v>1286</v>
      </c>
      <c r="C65" s="84"/>
      <c r="D65" s="77" t="s">
        <v>1262</v>
      </c>
      <c r="E65" s="77">
        <v>-3923.33</v>
      </c>
    </row>
    <row r="66" spans="1:5">
      <c r="A66" s="89"/>
      <c r="B66" s="84"/>
      <c r="C66" s="84"/>
    </row>
    <row r="67" spans="1:5">
      <c r="A67" s="89"/>
      <c r="B67" s="97"/>
      <c r="C67" s="84"/>
    </row>
    <row r="68" spans="1:5">
      <c r="A68" s="89"/>
      <c r="B68" s="97"/>
      <c r="C68" s="84"/>
    </row>
    <row r="69" spans="1:5">
      <c r="A69" s="89"/>
      <c r="B69" s="97"/>
    </row>
    <row r="70" spans="1:5">
      <c r="A70" s="89"/>
      <c r="B70" s="97"/>
      <c r="C70" s="84"/>
    </row>
    <row r="71" spans="1:5">
      <c r="A71" s="89"/>
      <c r="B71" s="3"/>
    </row>
    <row r="72" spans="1:5">
      <c r="A72" s="89"/>
      <c r="B72" s="84"/>
      <c r="C72" s="84"/>
    </row>
    <row r="73" spans="1:5">
      <c r="A73" s="70"/>
      <c r="B73" s="69" t="s">
        <v>154</v>
      </c>
      <c r="C73" s="70"/>
      <c r="E73" s="77">
        <f>SUM(E74:E82)</f>
        <v>0</v>
      </c>
    </row>
    <row r="74" spans="1:5">
      <c r="A74" s="89"/>
      <c r="B74" s="84"/>
      <c r="C74" s="84"/>
    </row>
    <row r="75" spans="1:5">
      <c r="A75" s="89"/>
      <c r="B75" s="84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3">
      <c r="A97" s="89"/>
      <c r="B97" s="3"/>
      <c r="C97" s="84"/>
    </row>
    <row r="98" spans="1:3">
      <c r="A98" s="89"/>
      <c r="B98" s="3"/>
      <c r="C98" s="84"/>
    </row>
    <row r="99" spans="1:3">
      <c r="A99" s="89"/>
      <c r="B99" s="3"/>
      <c r="C99" s="84"/>
    </row>
    <row r="100" spans="1:3">
      <c r="A100" s="89"/>
      <c r="B100" s="3"/>
      <c r="C100" s="84"/>
    </row>
    <row r="101" spans="1:3">
      <c r="A101" s="89"/>
      <c r="B101" s="3"/>
      <c r="C101" s="84"/>
    </row>
    <row r="102" spans="1:3">
      <c r="A102" s="89"/>
      <c r="B102" s="3"/>
      <c r="C102" s="84"/>
    </row>
    <row r="103" spans="1:3">
      <c r="A103" s="89"/>
      <c r="B103" s="3"/>
      <c r="C103" s="84"/>
    </row>
    <row r="104" spans="1:3">
      <c r="A104" s="89"/>
      <c r="B104" s="3"/>
      <c r="C104" s="84"/>
    </row>
    <row r="113" spans="1:5">
      <c r="A113" s="70"/>
      <c r="B113" s="69" t="s">
        <v>155</v>
      </c>
      <c r="C113" s="70"/>
      <c r="E113" s="77">
        <f>SUM(E114:E121)</f>
        <v>0</v>
      </c>
    </row>
    <row r="114" spans="1:5">
      <c r="A114" s="89"/>
      <c r="B114" t="s">
        <v>83</v>
      </c>
    </row>
    <row r="115" spans="1:5">
      <c r="A115" s="89"/>
      <c r="B115" t="s">
        <v>84</v>
      </c>
    </row>
    <row r="116" spans="1:5">
      <c r="A116" s="89"/>
      <c r="B116" t="s">
        <v>85</v>
      </c>
    </row>
    <row r="117" spans="1:5">
      <c r="A117" s="89"/>
      <c r="B117" t="s">
        <v>86</v>
      </c>
    </row>
    <row r="118" spans="1:5">
      <c r="A118" s="89"/>
      <c r="B118" t="s">
        <v>156</v>
      </c>
      <c r="D118" s="77">
        <v>111</v>
      </c>
      <c r="E118" s="77">
        <f>D118*C118</f>
        <v>0</v>
      </c>
    </row>
    <row r="119" spans="1:5">
      <c r="A119" s="89"/>
      <c r="B119" t="s">
        <v>157</v>
      </c>
      <c r="D119" s="77">
        <v>850</v>
      </c>
      <c r="E119" s="77">
        <f>D119*C119</f>
        <v>0</v>
      </c>
    </row>
    <row r="120" spans="1:5">
      <c r="A120" s="89"/>
      <c r="B120" t="s">
        <v>158</v>
      </c>
      <c r="D120" s="77">
        <v>100</v>
      </c>
      <c r="E120" s="77">
        <f>D120*C120</f>
        <v>0</v>
      </c>
    </row>
    <row r="121" spans="1:5">
      <c r="A121" s="89"/>
      <c r="B121" t="s">
        <v>159</v>
      </c>
    </row>
    <row r="122" spans="1:5">
      <c r="B122" t="s">
        <v>160</v>
      </c>
      <c r="E122" s="77">
        <f>H2</f>
        <v>-513.76</v>
      </c>
    </row>
    <row r="124" spans="1:5">
      <c r="D124" s="77" t="s">
        <v>103</v>
      </c>
      <c r="E124" s="77">
        <f>SUM(E114:E123)</f>
        <v>-513.76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25"/>
  <sheetViews>
    <sheetView topLeftCell="A7" zoomScale="145" zoomScaleNormal="145" workbookViewId="0">
      <selection activeCell="A39" sqref="A3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SUM(D4:D43)</f>
        <v>174000</v>
      </c>
      <c r="E2" s="77">
        <f>SUM(E4:E43)</f>
        <v>-64037.96</v>
      </c>
      <c r="F2" s="77">
        <f>SUM(F4:F43)</f>
        <v>0</v>
      </c>
      <c r="G2" s="77">
        <f>SUM(G4:G43)</f>
        <v>-7337.5</v>
      </c>
      <c r="H2" s="77">
        <f>F2+G2</f>
        <v>-7337.5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E54*-1</f>
        <v>0</v>
      </c>
      <c r="H14" s="77">
        <f t="shared" si="0"/>
        <v>0</v>
      </c>
    </row>
    <row r="15" spans="1:8">
      <c r="B15" s="87" t="s">
        <v>128</v>
      </c>
      <c r="E15" s="77">
        <f>E59</f>
        <v>-7286.16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E74</f>
        <v>-10899.8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-17500</v>
      </c>
      <c r="H17" s="77">
        <f t="shared" si="0"/>
        <v>0</v>
      </c>
    </row>
    <row r="18" spans="1:8">
      <c r="A18" s="89"/>
      <c r="B18" s="80"/>
      <c r="C18" s="80"/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181</v>
      </c>
      <c r="C32" s="90">
        <v>0.234011</v>
      </c>
      <c r="D32" s="77">
        <v>144000</v>
      </c>
      <c r="H32" s="77">
        <f t="shared" si="0"/>
        <v>0</v>
      </c>
    </row>
    <row r="33" spans="1:8">
      <c r="A33" s="322">
        <v>45531</v>
      </c>
      <c r="B33" t="s">
        <v>1296</v>
      </c>
      <c r="C33" s="90"/>
      <c r="G33" s="77">
        <v>-750</v>
      </c>
    </row>
    <row r="34" spans="1:8">
      <c r="A34" s="322">
        <v>45531</v>
      </c>
      <c r="B34" t="s">
        <v>1296</v>
      </c>
      <c r="C34" s="90"/>
      <c r="G34" s="77">
        <v>-2137.5</v>
      </c>
    </row>
    <row r="35" spans="1:8">
      <c r="A35" s="322">
        <v>45531</v>
      </c>
      <c r="B35" t="s">
        <v>1296</v>
      </c>
      <c r="C35" s="90"/>
      <c r="G35" s="77">
        <v>-925</v>
      </c>
    </row>
    <row r="36" spans="1:8">
      <c r="A36" s="322">
        <v>45531</v>
      </c>
      <c r="B36" t="s">
        <v>1296</v>
      </c>
      <c r="C36" s="90"/>
      <c r="G36" s="77">
        <v>-625</v>
      </c>
    </row>
    <row r="37" spans="1:8">
      <c r="A37" s="322">
        <v>45531</v>
      </c>
      <c r="B37" t="s">
        <v>1296</v>
      </c>
      <c r="C37" s="90"/>
      <c r="G37" s="77">
        <v>-1075</v>
      </c>
    </row>
    <row r="38" spans="1:8">
      <c r="A38" s="322">
        <v>45531</v>
      </c>
      <c r="B38" t="s">
        <v>1296</v>
      </c>
      <c r="C38" s="90"/>
      <c r="G38" s="77">
        <v>-1825</v>
      </c>
    </row>
    <row r="39" spans="1:8">
      <c r="C39" s="90"/>
    </row>
    <row r="40" spans="1:8">
      <c r="C40" s="90"/>
    </row>
    <row r="41" spans="1:8">
      <c r="C41" s="90"/>
    </row>
    <row r="43" spans="1:8" ht="15.75">
      <c r="B43" s="91"/>
    </row>
    <row r="45" spans="1:8">
      <c r="B45" t="s">
        <v>138</v>
      </c>
    </row>
    <row r="46" spans="1:8">
      <c r="A46" s="70" t="s">
        <v>139</v>
      </c>
      <c r="B46" s="70"/>
      <c r="C46" s="70"/>
    </row>
    <row r="47" spans="1:8" s="22" customFormat="1">
      <c r="A47" s="89"/>
      <c r="C47" s="90"/>
      <c r="D47" s="77"/>
      <c r="E47" s="77"/>
      <c r="F47" s="77"/>
      <c r="G47" s="77"/>
      <c r="H47" s="77"/>
    </row>
    <row r="48" spans="1:8">
      <c r="A48" s="93">
        <v>44929</v>
      </c>
      <c r="B48" s="94" t="s">
        <v>140</v>
      </c>
      <c r="C48" s="70"/>
      <c r="D48" s="77">
        <f>SUM(D49:D54)</f>
        <v>0</v>
      </c>
      <c r="E48" s="77">
        <f>SUM(E49:E54)</f>
        <v>0</v>
      </c>
    </row>
    <row r="49" spans="1:5">
      <c r="A49" s="89"/>
      <c r="B49" s="84" t="s">
        <v>141</v>
      </c>
      <c r="C49" s="22"/>
    </row>
    <row r="50" spans="1:5">
      <c r="B50" t="s">
        <v>142</v>
      </c>
    </row>
    <row r="51" spans="1:5">
      <c r="B51" t="s">
        <v>143</v>
      </c>
    </row>
    <row r="52" spans="1:5">
      <c r="B52" t="s">
        <v>144</v>
      </c>
    </row>
    <row r="53" spans="1:5">
      <c r="B53" t="s">
        <v>145</v>
      </c>
    </row>
    <row r="54" spans="1:5">
      <c r="B54" t="s">
        <v>146</v>
      </c>
      <c r="C54" s="84"/>
    </row>
    <row r="55" spans="1:5">
      <c r="C55" s="84"/>
    </row>
    <row r="57" spans="1:5">
      <c r="B57" s="62"/>
    </row>
    <row r="58" spans="1:5">
      <c r="B58" s="95"/>
    </row>
    <row r="59" spans="1:5">
      <c r="A59" s="70"/>
      <c r="B59" s="69" t="s">
        <v>147</v>
      </c>
      <c r="C59" s="70"/>
      <c r="E59" s="77">
        <f>SUM(E60:E71)</f>
        <v>-7286.16</v>
      </c>
    </row>
    <row r="61" spans="1:5">
      <c r="A61" s="96">
        <v>45348</v>
      </c>
      <c r="B61" t="s">
        <v>174</v>
      </c>
      <c r="C61">
        <v>1406</v>
      </c>
      <c r="D61" s="77" t="s">
        <v>182</v>
      </c>
      <c r="E61" s="77">
        <v>-234.33</v>
      </c>
    </row>
    <row r="62" spans="1:5">
      <c r="A62" s="96">
        <v>45373</v>
      </c>
      <c r="B62" t="s">
        <v>148</v>
      </c>
      <c r="C62">
        <v>10176.39</v>
      </c>
      <c r="D62" s="77" t="s">
        <v>183</v>
      </c>
      <c r="E62" s="77">
        <v>-1130.71</v>
      </c>
    </row>
    <row r="63" spans="1:5">
      <c r="A63" s="96">
        <v>45375</v>
      </c>
      <c r="B63" t="s">
        <v>150</v>
      </c>
      <c r="C63">
        <v>5999</v>
      </c>
      <c r="D63" s="77" t="s">
        <v>183</v>
      </c>
      <c r="E63" s="77">
        <v>-666.55</v>
      </c>
    </row>
    <row r="64" spans="1:5">
      <c r="A64" s="96">
        <v>45358</v>
      </c>
      <c r="B64" t="s">
        <v>176</v>
      </c>
      <c r="C64">
        <v>2273</v>
      </c>
      <c r="D64" s="77" t="s">
        <v>182</v>
      </c>
      <c r="E64" s="77">
        <v>-378.87</v>
      </c>
    </row>
    <row r="65" spans="1:5">
      <c r="A65" s="96">
        <v>45371</v>
      </c>
      <c r="B65" t="s">
        <v>177</v>
      </c>
      <c r="D65" s="77" t="s">
        <v>182</v>
      </c>
      <c r="E65" s="77">
        <v>101.77</v>
      </c>
    </row>
    <row r="66" spans="1:5">
      <c r="A66" s="89">
        <v>45442</v>
      </c>
      <c r="B66" s="326" t="s">
        <v>1284</v>
      </c>
      <c r="C66" s="84"/>
      <c r="D66" s="77" t="s">
        <v>1260</v>
      </c>
      <c r="E66" s="77">
        <v>-1054.1400000000001</v>
      </c>
    </row>
    <row r="67" spans="1:5">
      <c r="A67" s="89">
        <v>45456</v>
      </c>
      <c r="B67" s="97" t="s">
        <v>1286</v>
      </c>
      <c r="C67" s="84"/>
      <c r="D67" s="77" t="s">
        <v>1261</v>
      </c>
      <c r="E67" s="77">
        <v>-3923.33</v>
      </c>
    </row>
    <row r="68" spans="1:5">
      <c r="A68" s="89"/>
      <c r="B68" s="97"/>
      <c r="C68" s="84"/>
    </row>
    <row r="69" spans="1:5">
      <c r="A69" s="89"/>
      <c r="B69" s="97"/>
      <c r="C69" s="84"/>
    </row>
    <row r="70" spans="1:5">
      <c r="A70" s="89"/>
      <c r="B70" s="97"/>
    </row>
    <row r="71" spans="1:5">
      <c r="A71" s="89"/>
      <c r="B71" s="97"/>
      <c r="C71" s="84"/>
    </row>
    <row r="72" spans="1:5">
      <c r="A72" s="89"/>
      <c r="B72" s="3"/>
    </row>
    <row r="73" spans="1:5">
      <c r="A73" s="89"/>
      <c r="B73" s="84"/>
      <c r="C73" s="84"/>
    </row>
    <row r="74" spans="1:5">
      <c r="A74" s="70"/>
      <c r="B74" s="69" t="s">
        <v>154</v>
      </c>
      <c r="C74" s="70"/>
      <c r="E74" s="77">
        <f>SUM(E75:E83)</f>
        <v>-10899.8</v>
      </c>
    </row>
    <row r="75" spans="1:5">
      <c r="A75" s="89"/>
      <c r="B75" s="84"/>
      <c r="C75" s="84"/>
    </row>
    <row r="76" spans="1:5">
      <c r="A76" s="89"/>
      <c r="B76" s="3" t="s">
        <v>185</v>
      </c>
      <c r="C76" s="84"/>
      <c r="D76" s="77" t="s">
        <v>186</v>
      </c>
      <c r="E76" s="77">
        <v>-649.78</v>
      </c>
    </row>
    <row r="77" spans="1:5">
      <c r="A77" s="89"/>
      <c r="B77" s="3" t="s">
        <v>187</v>
      </c>
      <c r="C77" s="84"/>
      <c r="D77" s="77" t="s">
        <v>186</v>
      </c>
      <c r="E77" s="77">
        <v>49.98</v>
      </c>
    </row>
    <row r="78" spans="1:5">
      <c r="A78" s="89"/>
      <c r="B78" s="3"/>
      <c r="C78" s="84"/>
    </row>
    <row r="79" spans="1:5">
      <c r="A79" s="89">
        <v>45456</v>
      </c>
      <c r="B79" t="s">
        <v>1258</v>
      </c>
      <c r="C79" s="84"/>
      <c r="D79" s="77" t="s">
        <v>1260</v>
      </c>
      <c r="E79" s="77">
        <v>-6000</v>
      </c>
    </row>
    <row r="80" spans="1:5">
      <c r="A80" s="89">
        <v>45456</v>
      </c>
      <c r="B80" t="s">
        <v>1259</v>
      </c>
      <c r="C80" s="84"/>
      <c r="D80" s="77" t="s">
        <v>1260</v>
      </c>
      <c r="E80" s="77">
        <v>-4300</v>
      </c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3">
      <c r="A97" s="89"/>
      <c r="B97" s="3"/>
      <c r="C97" s="84"/>
    </row>
    <row r="98" spans="1:3">
      <c r="A98" s="89"/>
      <c r="B98" s="3"/>
      <c r="C98" s="84"/>
    </row>
    <row r="99" spans="1:3">
      <c r="A99" s="89"/>
      <c r="B99" s="3"/>
      <c r="C99" s="84"/>
    </row>
    <row r="100" spans="1:3">
      <c r="A100" s="89"/>
      <c r="B100" s="3"/>
      <c r="C100" s="84"/>
    </row>
    <row r="101" spans="1:3">
      <c r="A101" s="89"/>
      <c r="B101" s="3"/>
      <c r="C101" s="84"/>
    </row>
    <row r="102" spans="1:3">
      <c r="A102" s="89"/>
      <c r="B102" s="3"/>
      <c r="C102" s="84"/>
    </row>
    <row r="103" spans="1:3">
      <c r="A103" s="89"/>
      <c r="B103" s="3"/>
      <c r="C103" s="84"/>
    </row>
    <row r="104" spans="1:3">
      <c r="A104" s="89"/>
      <c r="B104" s="3"/>
      <c r="C104" s="84"/>
    </row>
    <row r="105" spans="1:3">
      <c r="A105" s="89"/>
      <c r="B105" s="3"/>
      <c r="C105" s="84"/>
    </row>
    <row r="114" spans="1:5">
      <c r="A114" s="70"/>
      <c r="B114" s="69" t="s">
        <v>155</v>
      </c>
      <c r="C114" s="70"/>
      <c r="E114" s="77">
        <f>SUM(E115:E122)</f>
        <v>0</v>
      </c>
    </row>
    <row r="115" spans="1:5">
      <c r="A115" s="89"/>
      <c r="B115" t="s">
        <v>83</v>
      </c>
    </row>
    <row r="116" spans="1:5">
      <c r="A116" s="89"/>
      <c r="B116" t="s">
        <v>84</v>
      </c>
    </row>
    <row r="117" spans="1:5">
      <c r="A117" s="89"/>
      <c r="B117" t="s">
        <v>85</v>
      </c>
    </row>
    <row r="118" spans="1:5">
      <c r="A118" s="89"/>
      <c r="B118" t="s">
        <v>86</v>
      </c>
    </row>
    <row r="119" spans="1:5">
      <c r="A119" s="89"/>
      <c r="B119" t="s">
        <v>156</v>
      </c>
      <c r="D119" s="77">
        <v>111</v>
      </c>
      <c r="E119" s="77">
        <f>D119*C119</f>
        <v>0</v>
      </c>
    </row>
    <row r="120" spans="1:5">
      <c r="A120" s="89"/>
      <c r="B120" t="s">
        <v>157</v>
      </c>
      <c r="D120" s="77">
        <v>850</v>
      </c>
      <c r="E120" s="77">
        <f>D120*C120</f>
        <v>0</v>
      </c>
    </row>
    <row r="121" spans="1:5">
      <c r="A121" s="89"/>
      <c r="B121" t="s">
        <v>158</v>
      </c>
      <c r="D121" s="77">
        <v>100</v>
      </c>
      <c r="E121" s="77">
        <f>D121*C121</f>
        <v>0</v>
      </c>
    </row>
    <row r="122" spans="1:5">
      <c r="A122" s="89"/>
      <c r="B122" t="s">
        <v>159</v>
      </c>
    </row>
    <row r="123" spans="1:5">
      <c r="B123" t="s">
        <v>160</v>
      </c>
      <c r="E123" s="77">
        <f>H2</f>
        <v>-7337.5</v>
      </c>
    </row>
    <row r="125" spans="1:5">
      <c r="D125" s="77" t="s">
        <v>103</v>
      </c>
      <c r="E125" s="77">
        <f>SUM(E115:E124)</f>
        <v>-7337.5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58"/>
  <sheetViews>
    <sheetView topLeftCell="A45" zoomScale="145" zoomScaleNormal="145" workbookViewId="0">
      <selection activeCell="D76" sqref="D76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SUM(D4:D39)</f>
        <v>51000</v>
      </c>
      <c r="E2" s="77">
        <f>SUM(E4:E39)</f>
        <v>-85166.06</v>
      </c>
      <c r="F2" s="77">
        <f>SUM(F4:F39)</f>
        <v>15000</v>
      </c>
      <c r="G2" s="77">
        <f>SUM(G4:G39)</f>
        <v>-68411.62</v>
      </c>
      <c r="H2" s="77">
        <f>F2+G2</f>
        <v>-53411.619999999995</v>
      </c>
    </row>
    <row r="3" spans="1:8">
      <c r="B3" s="61"/>
    </row>
    <row r="4" spans="1:8">
      <c r="A4" s="322">
        <v>45468</v>
      </c>
      <c r="B4" s="32" t="s">
        <v>106</v>
      </c>
      <c r="E4" s="92">
        <v>-152</v>
      </c>
      <c r="F4" s="92"/>
      <c r="G4" s="92">
        <v>-167</v>
      </c>
      <c r="H4" s="77">
        <f>H3+F4+G4</f>
        <v>-167</v>
      </c>
    </row>
    <row r="5" spans="1:8">
      <c r="H5" s="77">
        <f t="shared" ref="H5:H38" si="0">H4+F5+G5</f>
        <v>-167</v>
      </c>
    </row>
    <row r="6" spans="1:8">
      <c r="A6" s="325">
        <v>45474</v>
      </c>
      <c r="B6" s="80" t="s">
        <v>108</v>
      </c>
      <c r="C6" s="80"/>
      <c r="D6" s="92"/>
      <c r="E6" s="92">
        <v>-400</v>
      </c>
      <c r="F6" s="92"/>
      <c r="G6" s="92">
        <v>-275</v>
      </c>
      <c r="H6" s="77">
        <f t="shared" si="0"/>
        <v>-442</v>
      </c>
    </row>
    <row r="7" spans="1:8">
      <c r="A7" s="325">
        <v>45474</v>
      </c>
      <c r="B7" s="80" t="s">
        <v>109</v>
      </c>
      <c r="C7" s="80"/>
      <c r="D7" s="92"/>
      <c r="E7" s="92">
        <v>-500</v>
      </c>
      <c r="F7" s="92"/>
      <c r="G7" s="92">
        <v>-520</v>
      </c>
      <c r="H7" s="77">
        <f t="shared" si="0"/>
        <v>-962</v>
      </c>
    </row>
    <row r="8" spans="1:8">
      <c r="B8" s="80" t="s">
        <v>188</v>
      </c>
      <c r="C8" s="80" t="s">
        <v>111</v>
      </c>
      <c r="E8" s="92">
        <v>-250</v>
      </c>
      <c r="H8" s="77">
        <f t="shared" si="0"/>
        <v>-962</v>
      </c>
    </row>
    <row r="9" spans="1:8">
      <c r="A9" s="325">
        <v>45478</v>
      </c>
      <c r="B9" s="100" t="s">
        <v>128</v>
      </c>
      <c r="C9" s="22"/>
      <c r="D9" s="92"/>
      <c r="E9" s="92">
        <f>E55</f>
        <v>-8944.5400000000009</v>
      </c>
      <c r="F9" s="92"/>
      <c r="G9" s="92">
        <f>E9</f>
        <v>-8944.5400000000009</v>
      </c>
      <c r="H9" s="77">
        <f t="shared" si="0"/>
        <v>-9906.5400000000009</v>
      </c>
    </row>
    <row r="10" spans="1:8">
      <c r="A10" s="101">
        <v>45478</v>
      </c>
      <c r="B10" s="100" t="s">
        <v>129</v>
      </c>
      <c r="C10" s="22"/>
      <c r="D10" s="92"/>
      <c r="E10" s="92">
        <f>E72</f>
        <v>-26619.52</v>
      </c>
      <c r="F10" s="92"/>
      <c r="G10" s="92">
        <f>E10</f>
        <v>-26619.52</v>
      </c>
      <c r="H10" s="77">
        <f t="shared" si="0"/>
        <v>-36526.06</v>
      </c>
    </row>
    <row r="11" spans="1:8">
      <c r="A11" s="102">
        <v>45481</v>
      </c>
      <c r="B11" s="22" t="s">
        <v>201</v>
      </c>
      <c r="C11" s="22"/>
      <c r="D11" s="92">
        <v>15000</v>
      </c>
      <c r="E11" s="92"/>
      <c r="F11" s="92">
        <v>15000</v>
      </c>
      <c r="G11" s="92"/>
      <c r="H11" s="92">
        <f t="shared" si="0"/>
        <v>-21526.059999999998</v>
      </c>
    </row>
    <row r="12" spans="1:8">
      <c r="A12" s="325">
        <v>45481</v>
      </c>
      <c r="B12" s="80" t="s">
        <v>130</v>
      </c>
      <c r="C12" s="80"/>
      <c r="D12" s="92"/>
      <c r="E12" s="92">
        <v>-17500</v>
      </c>
      <c r="F12" s="92"/>
      <c r="G12" s="92">
        <v>-17500</v>
      </c>
      <c r="H12" s="92">
        <f t="shared" si="0"/>
        <v>-39026.06</v>
      </c>
    </row>
    <row r="13" spans="1:8">
      <c r="A13" s="325">
        <v>45481</v>
      </c>
      <c r="B13" s="80" t="s">
        <v>132</v>
      </c>
      <c r="C13" s="80"/>
      <c r="D13" s="92"/>
      <c r="E13" s="92">
        <v>-1500</v>
      </c>
      <c r="F13" s="92"/>
      <c r="G13" s="92">
        <v>-1519.7</v>
      </c>
      <c r="H13" s="92">
        <f t="shared" si="0"/>
        <v>-40545.759999999995</v>
      </c>
    </row>
    <row r="14" spans="1:8">
      <c r="A14" s="22"/>
      <c r="B14" s="80" t="s">
        <v>123</v>
      </c>
      <c r="C14" s="80" t="s">
        <v>124</v>
      </c>
      <c r="D14" s="92"/>
      <c r="E14" s="92">
        <v>-150</v>
      </c>
      <c r="F14" s="92"/>
      <c r="G14" s="92"/>
      <c r="H14" s="92">
        <f t="shared" si="0"/>
        <v>-40545.759999999995</v>
      </c>
    </row>
    <row r="15" spans="1:8">
      <c r="A15" s="325">
        <v>45481</v>
      </c>
      <c r="B15" s="22" t="s">
        <v>107</v>
      </c>
      <c r="C15" s="80"/>
      <c r="D15" s="92"/>
      <c r="E15" s="92">
        <v>-10000</v>
      </c>
      <c r="F15" s="92"/>
      <c r="G15" s="92">
        <v>-10000</v>
      </c>
      <c r="H15" s="92">
        <f t="shared" si="0"/>
        <v>-50545.759999999995</v>
      </c>
    </row>
    <row r="16" spans="1:8">
      <c r="B16" s="80"/>
      <c r="C16" s="80"/>
      <c r="H16" s="92">
        <f t="shared" si="0"/>
        <v>-50545.759999999995</v>
      </c>
    </row>
    <row r="17" spans="1:8">
      <c r="B17" s="80"/>
      <c r="C17" s="80"/>
      <c r="H17" s="92">
        <f t="shared" si="0"/>
        <v>-50545.759999999995</v>
      </c>
    </row>
    <row r="18" spans="1:8">
      <c r="H18" s="92">
        <f t="shared" si="0"/>
        <v>-50545.759999999995</v>
      </c>
    </row>
    <row r="19" spans="1:8">
      <c r="B19" s="84" t="s">
        <v>125</v>
      </c>
      <c r="C19" s="84" t="s">
        <v>124</v>
      </c>
      <c r="E19" s="77">
        <v>-300</v>
      </c>
      <c r="H19" s="92">
        <f t="shared" si="0"/>
        <v>-50545.759999999995</v>
      </c>
    </row>
    <row r="20" spans="1:8">
      <c r="B20" s="84" t="s">
        <v>126</v>
      </c>
      <c r="C20" s="84" t="s">
        <v>124</v>
      </c>
      <c r="E20" s="77">
        <v>-100</v>
      </c>
      <c r="H20" s="77">
        <f t="shared" si="0"/>
        <v>-50545.759999999995</v>
      </c>
    </row>
    <row r="21" spans="1:8">
      <c r="B21" s="80"/>
      <c r="C21" s="80"/>
      <c r="H21" s="77">
        <f t="shared" si="0"/>
        <v>-50545.759999999995</v>
      </c>
    </row>
    <row r="22" spans="1:8">
      <c r="B22" s="87" t="s">
        <v>127</v>
      </c>
      <c r="E22" s="77">
        <f>F50*-1</f>
        <v>0</v>
      </c>
      <c r="H22" s="77">
        <f t="shared" si="0"/>
        <v>-50545.759999999995</v>
      </c>
    </row>
    <row r="23" spans="1:8">
      <c r="A23" s="96"/>
      <c r="H23" s="77">
        <f t="shared" si="0"/>
        <v>-50545.759999999995</v>
      </c>
    </row>
    <row r="24" spans="1:8">
      <c r="H24" s="77">
        <f t="shared" si="0"/>
        <v>-50545.759999999995</v>
      </c>
    </row>
    <row r="25" spans="1:8">
      <c r="H25" s="77">
        <f t="shared" si="0"/>
        <v>-50545.759999999995</v>
      </c>
    </row>
    <row r="26" spans="1:8">
      <c r="B26" t="s">
        <v>83</v>
      </c>
      <c r="E26" s="77">
        <v>-6250</v>
      </c>
      <c r="H26" s="77">
        <f t="shared" si="0"/>
        <v>-50545.759999999995</v>
      </c>
    </row>
    <row r="27" spans="1:8">
      <c r="B27" t="s">
        <v>84</v>
      </c>
      <c r="E27" s="77">
        <v>-6250</v>
      </c>
      <c r="H27" s="77">
        <f t="shared" si="0"/>
        <v>-50545.759999999995</v>
      </c>
    </row>
    <row r="28" spans="1:8">
      <c r="B28" t="s">
        <v>133</v>
      </c>
      <c r="E28" s="77">
        <v>-6250</v>
      </c>
      <c r="H28" s="77">
        <f t="shared" si="0"/>
        <v>-50545.759999999995</v>
      </c>
    </row>
    <row r="29" spans="1:8">
      <c r="H29" s="77">
        <f t="shared" si="0"/>
        <v>-50545.759999999995</v>
      </c>
    </row>
    <row r="30" spans="1:8">
      <c r="B30" t="s">
        <v>134</v>
      </c>
      <c r="D30" s="77">
        <v>12500</v>
      </c>
      <c r="H30" s="77">
        <f t="shared" si="0"/>
        <v>-50545.759999999995</v>
      </c>
    </row>
    <row r="31" spans="1:8">
      <c r="A31" s="89"/>
      <c r="H31" s="77">
        <f t="shared" si="0"/>
        <v>-50545.759999999995</v>
      </c>
    </row>
    <row r="32" spans="1:8">
      <c r="A32" s="89"/>
      <c r="B32" s="103" t="s">
        <v>216</v>
      </c>
      <c r="C32" s="103"/>
      <c r="D32" s="104">
        <v>8500</v>
      </c>
      <c r="H32" s="77">
        <f t="shared" si="0"/>
        <v>-50545.759999999995</v>
      </c>
    </row>
    <row r="33" spans="1:8">
      <c r="A33" s="89"/>
      <c r="B33" t="s">
        <v>189</v>
      </c>
      <c r="D33" s="77">
        <v>15000</v>
      </c>
      <c r="H33" s="77">
        <f t="shared" si="0"/>
        <v>-50545.759999999995</v>
      </c>
    </row>
    <row r="34" spans="1:8">
      <c r="A34" s="89">
        <v>45502</v>
      </c>
      <c r="B34" s="80" t="s">
        <v>108</v>
      </c>
      <c r="G34" s="77">
        <v>-350</v>
      </c>
      <c r="H34" s="77">
        <f t="shared" si="0"/>
        <v>-50895.759999999995</v>
      </c>
    </row>
    <row r="35" spans="1:8">
      <c r="A35" s="89">
        <v>45502</v>
      </c>
      <c r="B35" s="80" t="s">
        <v>109</v>
      </c>
      <c r="G35" s="77">
        <v>-710</v>
      </c>
      <c r="H35" s="77">
        <f t="shared" si="0"/>
        <v>-51605.759999999995</v>
      </c>
    </row>
    <row r="36" spans="1:8">
      <c r="A36" s="89">
        <v>45504</v>
      </c>
      <c r="B36" s="3" t="s">
        <v>190</v>
      </c>
      <c r="G36" s="77">
        <v>-1805.86</v>
      </c>
      <c r="H36" s="77">
        <f t="shared" si="0"/>
        <v>-53411.619999999995</v>
      </c>
    </row>
    <row r="37" spans="1:8">
      <c r="H37" s="77">
        <f t="shared" si="0"/>
        <v>-53411.619999999995</v>
      </c>
    </row>
    <row r="38" spans="1:8">
      <c r="H38" s="77">
        <f t="shared" si="0"/>
        <v>-53411.619999999995</v>
      </c>
    </row>
    <row r="39" spans="1:8" ht="15.75">
      <c r="B39" s="91"/>
    </row>
    <row r="41" spans="1:8">
      <c r="B41" t="s">
        <v>138</v>
      </c>
    </row>
    <row r="42" spans="1:8">
      <c r="A42" s="70" t="s">
        <v>139</v>
      </c>
      <c r="B42" s="70"/>
      <c r="C42" s="70"/>
    </row>
    <row r="43" spans="1:8" s="22" customFormat="1">
      <c r="A43" s="89"/>
      <c r="C43" s="90"/>
      <c r="D43" s="77"/>
      <c r="E43" s="77"/>
      <c r="F43" s="77"/>
      <c r="G43" s="77"/>
      <c r="H43" s="77"/>
    </row>
    <row r="44" spans="1:8">
      <c r="A44" s="93">
        <v>44929</v>
      </c>
      <c r="B44" s="94" t="s">
        <v>140</v>
      </c>
      <c r="C44" s="70"/>
      <c r="D44" s="77">
        <f>SUM(D45:D50)</f>
        <v>0</v>
      </c>
      <c r="E44" s="77">
        <f>SUM(E45:E51)</f>
        <v>0</v>
      </c>
    </row>
    <row r="45" spans="1:8">
      <c r="A45" s="89"/>
      <c r="B45" s="84" t="s">
        <v>141</v>
      </c>
      <c r="C45" s="22"/>
    </row>
    <row r="46" spans="1:8">
      <c r="B46" t="s">
        <v>142</v>
      </c>
    </row>
    <row r="47" spans="1:8">
      <c r="B47" t="s">
        <v>143</v>
      </c>
    </row>
    <row r="48" spans="1:8">
      <c r="B48" t="s">
        <v>144</v>
      </c>
      <c r="D48" s="77" t="s">
        <v>1295</v>
      </c>
    </row>
    <row r="49" spans="1:5">
      <c r="B49" t="s">
        <v>145</v>
      </c>
      <c r="D49" s="77" t="s">
        <v>1294</v>
      </c>
    </row>
    <row r="50" spans="1:5">
      <c r="B50" t="s">
        <v>146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147</v>
      </c>
      <c r="C55" s="70"/>
      <c r="E55" s="77">
        <f>SUM(E56:E68)</f>
        <v>-8944.5400000000009</v>
      </c>
    </row>
    <row r="57" spans="1:5">
      <c r="A57" s="96">
        <v>45348</v>
      </c>
      <c r="B57" t="s">
        <v>174</v>
      </c>
      <c r="C57">
        <v>1406</v>
      </c>
      <c r="D57" s="77" t="s">
        <v>191</v>
      </c>
      <c r="E57" s="77">
        <v>-234.33</v>
      </c>
    </row>
    <row r="58" spans="1:5">
      <c r="A58" s="96">
        <v>45373</v>
      </c>
      <c r="B58" t="s">
        <v>148</v>
      </c>
      <c r="C58">
        <v>10176.39</v>
      </c>
      <c r="D58" s="77" t="s">
        <v>192</v>
      </c>
      <c r="E58" s="77">
        <v>-1130.71</v>
      </c>
    </row>
    <row r="59" spans="1:5">
      <c r="A59" s="96">
        <v>45375</v>
      </c>
      <c r="B59" t="s">
        <v>150</v>
      </c>
      <c r="C59">
        <v>5999</v>
      </c>
      <c r="D59" s="77" t="s">
        <v>192</v>
      </c>
      <c r="E59" s="77">
        <v>-666.56</v>
      </c>
    </row>
    <row r="60" spans="1:5">
      <c r="A60" s="96">
        <v>45358</v>
      </c>
      <c r="B60" t="s">
        <v>176</v>
      </c>
      <c r="C60">
        <v>2273</v>
      </c>
      <c r="D60" s="77" t="s">
        <v>191</v>
      </c>
      <c r="E60" s="77">
        <v>-378.87</v>
      </c>
    </row>
    <row r="61" spans="1:5">
      <c r="A61" s="96">
        <v>45371</v>
      </c>
      <c r="B61" t="s">
        <v>177</v>
      </c>
      <c r="D61" s="77" t="s">
        <v>193</v>
      </c>
      <c r="E61" s="77">
        <v>101.77</v>
      </c>
    </row>
    <row r="62" spans="1:5">
      <c r="A62" s="96"/>
    </row>
    <row r="63" spans="1:5">
      <c r="A63" s="89">
        <v>45442</v>
      </c>
      <c r="B63" s="326" t="s">
        <v>1284</v>
      </c>
      <c r="C63" s="84"/>
      <c r="D63" s="77" t="s">
        <v>1256</v>
      </c>
      <c r="E63" s="77">
        <v>-1054.1400000000001</v>
      </c>
    </row>
    <row r="64" spans="1:5">
      <c r="A64" s="89">
        <v>45456</v>
      </c>
      <c r="B64" s="97" t="s">
        <v>1286</v>
      </c>
      <c r="C64" s="84"/>
      <c r="D64" s="77" t="s">
        <v>1257</v>
      </c>
      <c r="E64" s="77">
        <v>-3923.33</v>
      </c>
    </row>
    <row r="65" spans="1:5">
      <c r="A65" s="89">
        <v>45442</v>
      </c>
      <c r="B65" s="84" t="s">
        <v>1267</v>
      </c>
      <c r="C65" s="84"/>
      <c r="E65" s="77">
        <v>-278.97000000000003</v>
      </c>
    </row>
    <row r="67" spans="1:5">
      <c r="A67" s="89">
        <v>45444</v>
      </c>
      <c r="B67" s="97" t="s">
        <v>1285</v>
      </c>
      <c r="C67" s="84"/>
      <c r="E67" s="77">
        <v>-1379.4</v>
      </c>
    </row>
    <row r="68" spans="1:5" ht="15">
      <c r="A68" s="89">
        <v>45447</v>
      </c>
      <c r="B68" s="97" t="s">
        <v>3</v>
      </c>
      <c r="D68" s="77">
        <v>4300</v>
      </c>
      <c r="E68" s="105" t="s">
        <v>224</v>
      </c>
    </row>
    <row r="70" spans="1:5">
      <c r="A70" s="89"/>
      <c r="B70" s="3"/>
    </row>
    <row r="71" spans="1:5">
      <c r="A71" s="89"/>
      <c r="B71" s="84"/>
      <c r="C71" s="84"/>
    </row>
    <row r="72" spans="1:5">
      <c r="A72" s="70"/>
      <c r="B72" s="69" t="s">
        <v>154</v>
      </c>
      <c r="C72" s="70"/>
      <c r="E72" s="77">
        <f>SUM(E73:E130)</f>
        <v>-26619.52</v>
      </c>
    </row>
    <row r="73" spans="1:5">
      <c r="A73" s="89"/>
      <c r="B73" s="84"/>
      <c r="C73" s="84"/>
    </row>
    <row r="74" spans="1:5">
      <c r="A74" s="88">
        <v>45285</v>
      </c>
      <c r="B74" s="84" t="s">
        <v>195</v>
      </c>
      <c r="C74" s="84"/>
      <c r="D74" s="77" t="s">
        <v>196</v>
      </c>
      <c r="E74" s="77">
        <v>-3551.68</v>
      </c>
    </row>
    <row r="75" spans="1:5">
      <c r="A75" s="89"/>
      <c r="B75" s="3" t="s">
        <v>185</v>
      </c>
      <c r="C75" s="84"/>
      <c r="D75" s="77" t="s">
        <v>1297</v>
      </c>
      <c r="E75" s="77">
        <v>-649.78</v>
      </c>
    </row>
    <row r="76" spans="1:5">
      <c r="A76" s="89"/>
      <c r="B76" s="3" t="s">
        <v>187</v>
      </c>
      <c r="C76" s="84"/>
      <c r="D76" s="77" t="s">
        <v>197</v>
      </c>
    </row>
    <row r="77" spans="1:5">
      <c r="A77" s="89"/>
      <c r="B77" s="3"/>
      <c r="C77" s="84"/>
    </row>
    <row r="78" spans="1:5">
      <c r="A78" s="89">
        <v>45456</v>
      </c>
      <c r="B78" t="s">
        <v>1258</v>
      </c>
      <c r="C78" s="84"/>
      <c r="D78" s="77" t="s">
        <v>1256</v>
      </c>
      <c r="E78" s="77">
        <v>-5875</v>
      </c>
    </row>
    <row r="79" spans="1:5">
      <c r="A79" s="89">
        <v>45456</v>
      </c>
      <c r="B79" t="s">
        <v>1259</v>
      </c>
      <c r="C79" s="84"/>
      <c r="D79" s="77" t="s">
        <v>1256</v>
      </c>
      <c r="E79" s="77">
        <v>-4300</v>
      </c>
    </row>
    <row r="80" spans="1:5">
      <c r="A80" s="89">
        <v>45465</v>
      </c>
      <c r="B80" s="3" t="s">
        <v>1267</v>
      </c>
      <c r="C80" s="84"/>
      <c r="E80" s="77">
        <v>-483.01</v>
      </c>
    </row>
    <row r="81" spans="1:5">
      <c r="A81" s="89">
        <v>45436</v>
      </c>
      <c r="B81" s="3" t="s">
        <v>275</v>
      </c>
      <c r="C81" s="84"/>
      <c r="E81" s="77">
        <v>-80</v>
      </c>
    </row>
    <row r="82" spans="1:5">
      <c r="A82" s="89">
        <v>45436</v>
      </c>
      <c r="B82" s="3" t="s">
        <v>1268</v>
      </c>
      <c r="C82" s="84"/>
      <c r="E82" s="77">
        <v>-1000</v>
      </c>
    </row>
    <row r="83" spans="1:5">
      <c r="A83" s="89">
        <v>45437</v>
      </c>
      <c r="B83" s="3" t="s">
        <v>1270</v>
      </c>
      <c r="C83" s="84"/>
      <c r="E83" s="77">
        <v>-70</v>
      </c>
    </row>
    <row r="84" spans="1:5">
      <c r="A84" s="89">
        <v>45438</v>
      </c>
      <c r="B84" s="3" t="s">
        <v>277</v>
      </c>
      <c r="C84" s="84"/>
      <c r="E84" s="77">
        <v>-232.27</v>
      </c>
    </row>
    <row r="85" spans="1:5">
      <c r="A85" s="89">
        <v>45438</v>
      </c>
      <c r="B85" s="3" t="s">
        <v>1269</v>
      </c>
      <c r="C85" s="84"/>
      <c r="E85" s="77">
        <v>-130</v>
      </c>
    </row>
    <row r="86" spans="1:5">
      <c r="A86" s="89">
        <v>45469</v>
      </c>
      <c r="B86" s="3" t="s">
        <v>356</v>
      </c>
      <c r="C86" s="84"/>
      <c r="E86" s="77">
        <v>-246.8</v>
      </c>
    </row>
    <row r="87" spans="1:5">
      <c r="A87" s="89">
        <v>45439</v>
      </c>
      <c r="B87" s="3" t="s">
        <v>1270</v>
      </c>
      <c r="C87" s="84"/>
      <c r="E87" s="77">
        <v>-70</v>
      </c>
    </row>
    <row r="88" spans="1:5">
      <c r="A88" s="89">
        <v>45440</v>
      </c>
      <c r="B88" s="3" t="s">
        <v>365</v>
      </c>
      <c r="C88" s="84">
        <v>300</v>
      </c>
      <c r="E88" s="77">
        <v>-300</v>
      </c>
    </row>
    <row r="89" spans="1:5">
      <c r="A89" s="89">
        <v>45440</v>
      </c>
      <c r="B89" s="3" t="s">
        <v>1271</v>
      </c>
      <c r="C89" s="84"/>
      <c r="E89" s="77">
        <v>-460</v>
      </c>
    </row>
    <row r="90" spans="1:5">
      <c r="A90" s="89">
        <v>45441</v>
      </c>
      <c r="B90" s="3" t="s">
        <v>277</v>
      </c>
      <c r="C90" s="84"/>
      <c r="E90" s="77">
        <v>-27.66</v>
      </c>
    </row>
    <row r="91" spans="1:5">
      <c r="A91" s="89">
        <v>45441</v>
      </c>
      <c r="B91" s="3" t="s">
        <v>365</v>
      </c>
      <c r="C91" s="84">
        <v>400</v>
      </c>
      <c r="E91" s="77">
        <v>-400</v>
      </c>
    </row>
    <row r="92" spans="1:5">
      <c r="A92" s="89">
        <v>45442</v>
      </c>
      <c r="B92" s="3" t="s">
        <v>365</v>
      </c>
      <c r="C92" s="84">
        <v>200</v>
      </c>
      <c r="E92" s="77">
        <v>-200</v>
      </c>
    </row>
    <row r="93" spans="1:5">
      <c r="A93" s="89">
        <v>45442</v>
      </c>
      <c r="B93" s="3" t="s">
        <v>1272</v>
      </c>
      <c r="C93" s="84"/>
      <c r="E93" s="77">
        <v>-80</v>
      </c>
    </row>
    <row r="94" spans="1:5">
      <c r="A94" s="89">
        <v>45444</v>
      </c>
      <c r="B94" s="3" t="s">
        <v>1273</v>
      </c>
      <c r="C94" s="84"/>
      <c r="E94" s="77">
        <v>-80</v>
      </c>
    </row>
    <row r="95" spans="1:5">
      <c r="A95" s="89">
        <v>45444</v>
      </c>
      <c r="B95" s="3" t="s">
        <v>277</v>
      </c>
      <c r="C95" s="84"/>
      <c r="E95" s="77">
        <v>-12.26</v>
      </c>
    </row>
    <row r="96" spans="1:5">
      <c r="A96" s="89">
        <v>45444</v>
      </c>
      <c r="B96" s="3" t="s">
        <v>365</v>
      </c>
      <c r="C96" s="84">
        <v>350</v>
      </c>
      <c r="E96" s="77">
        <v>-350</v>
      </c>
    </row>
    <row r="97" spans="1:5">
      <c r="A97" s="89">
        <v>45444</v>
      </c>
      <c r="B97" s="3" t="s">
        <v>1274</v>
      </c>
      <c r="C97" s="84"/>
      <c r="E97" s="77">
        <v>-300</v>
      </c>
    </row>
    <row r="98" spans="1:5">
      <c r="A98" s="89">
        <v>45446</v>
      </c>
      <c r="B98" s="3" t="s">
        <v>271</v>
      </c>
      <c r="C98" s="84"/>
      <c r="E98" s="77">
        <v>-500</v>
      </c>
    </row>
    <row r="99" spans="1:5">
      <c r="A99" s="89">
        <v>45446</v>
      </c>
      <c r="B99" s="3" t="s">
        <v>1270</v>
      </c>
      <c r="C99" s="84"/>
      <c r="E99" s="77">
        <v>-70</v>
      </c>
    </row>
    <row r="100" spans="1:5">
      <c r="A100" s="89">
        <v>45446</v>
      </c>
      <c r="B100" s="3" t="s">
        <v>3</v>
      </c>
      <c r="C100" s="84"/>
      <c r="D100" s="77">
        <v>7949.1</v>
      </c>
    </row>
    <row r="101" spans="1:5">
      <c r="A101" s="89">
        <v>45447</v>
      </c>
      <c r="B101" s="3" t="s">
        <v>365</v>
      </c>
      <c r="C101" s="84">
        <v>240</v>
      </c>
      <c r="E101" s="77">
        <v>-240</v>
      </c>
    </row>
    <row r="102" spans="1:5">
      <c r="A102" s="89">
        <v>45447</v>
      </c>
      <c r="B102" s="3" t="s">
        <v>1270</v>
      </c>
      <c r="C102" s="84"/>
      <c r="E102" s="77">
        <v>-70</v>
      </c>
    </row>
    <row r="103" spans="1:5">
      <c r="A103" s="89">
        <v>45447</v>
      </c>
      <c r="B103" s="3" t="s">
        <v>3</v>
      </c>
      <c r="C103" s="84"/>
      <c r="D103" s="77">
        <v>11998.63</v>
      </c>
    </row>
    <row r="104" spans="1:5">
      <c r="A104" s="322">
        <v>45448</v>
      </c>
      <c r="B104" s="3" t="s">
        <v>365</v>
      </c>
      <c r="C104">
        <v>280</v>
      </c>
      <c r="E104" s="77">
        <v>-280</v>
      </c>
    </row>
    <row r="105" spans="1:5">
      <c r="A105" s="322">
        <v>45448</v>
      </c>
      <c r="B105" s="3" t="s">
        <v>400</v>
      </c>
    </row>
    <row r="106" spans="1:5">
      <c r="A106" s="322">
        <v>45449</v>
      </c>
      <c r="B106" s="3" t="s">
        <v>365</v>
      </c>
      <c r="C106">
        <v>300</v>
      </c>
      <c r="E106" s="77">
        <v>-300</v>
      </c>
    </row>
    <row r="107" spans="1:5">
      <c r="A107" s="322">
        <v>45449</v>
      </c>
      <c r="B107" s="3" t="s">
        <v>277</v>
      </c>
      <c r="E107" s="77">
        <v>-84.7</v>
      </c>
    </row>
    <row r="108" spans="1:5">
      <c r="A108" s="322">
        <v>45450</v>
      </c>
      <c r="B108" s="3" t="s">
        <v>365</v>
      </c>
      <c r="C108">
        <v>300</v>
      </c>
      <c r="E108" s="77">
        <v>-300</v>
      </c>
    </row>
    <row r="109" spans="1:5">
      <c r="A109" s="322">
        <v>45450</v>
      </c>
      <c r="B109" s="3" t="s">
        <v>1273</v>
      </c>
      <c r="E109" s="77">
        <v>-80</v>
      </c>
    </row>
    <row r="110" spans="1:5">
      <c r="A110" s="322">
        <v>45451</v>
      </c>
      <c r="B110" s="3" t="s">
        <v>365</v>
      </c>
      <c r="C110">
        <v>250</v>
      </c>
      <c r="E110" s="77">
        <v>-250</v>
      </c>
    </row>
    <row r="111" spans="1:5">
      <c r="A111" s="322">
        <v>45451</v>
      </c>
      <c r="B111" s="3" t="s">
        <v>1270</v>
      </c>
      <c r="E111" s="77">
        <v>-145</v>
      </c>
    </row>
    <row r="112" spans="1:5">
      <c r="A112" s="322">
        <v>45454</v>
      </c>
      <c r="B112" s="3" t="s">
        <v>365</v>
      </c>
      <c r="C112">
        <v>400</v>
      </c>
      <c r="E112" s="77">
        <v>-400</v>
      </c>
    </row>
    <row r="113" spans="1:5">
      <c r="A113" s="322">
        <v>45455</v>
      </c>
      <c r="B113" s="3" t="s">
        <v>1275</v>
      </c>
      <c r="E113" s="77">
        <v>-300</v>
      </c>
    </row>
    <row r="114" spans="1:5">
      <c r="A114" s="322">
        <v>45456</v>
      </c>
      <c r="B114" s="3" t="s">
        <v>365</v>
      </c>
      <c r="C114">
        <v>300</v>
      </c>
      <c r="E114" s="77">
        <v>-300</v>
      </c>
    </row>
    <row r="115" spans="1:5">
      <c r="A115" s="322">
        <v>45456</v>
      </c>
      <c r="B115" s="3" t="s">
        <v>1270</v>
      </c>
      <c r="E115" s="77">
        <v>-70</v>
      </c>
    </row>
    <row r="116" spans="1:5">
      <c r="A116" s="322">
        <v>45459</v>
      </c>
      <c r="B116" s="3" t="s">
        <v>1273</v>
      </c>
      <c r="E116" s="77">
        <v>-80</v>
      </c>
    </row>
    <row r="117" spans="1:5">
      <c r="A117" s="322">
        <v>45460</v>
      </c>
      <c r="B117" s="3" t="s">
        <v>277</v>
      </c>
      <c r="E117" s="77">
        <v>-71.95</v>
      </c>
    </row>
    <row r="118" spans="1:5">
      <c r="A118" s="322">
        <v>45460</v>
      </c>
      <c r="B118" s="3" t="s">
        <v>271</v>
      </c>
      <c r="E118" s="77">
        <v>-500</v>
      </c>
    </row>
    <row r="119" spans="1:5">
      <c r="A119" s="322">
        <v>45463</v>
      </c>
      <c r="B119" s="3" t="s">
        <v>1273</v>
      </c>
      <c r="E119" s="77">
        <v>-80</v>
      </c>
    </row>
    <row r="120" spans="1:5">
      <c r="A120" s="322">
        <v>45464</v>
      </c>
      <c r="B120" s="3" t="s">
        <v>1276</v>
      </c>
      <c r="E120" s="77">
        <v>-105</v>
      </c>
    </row>
    <row r="121" spans="1:5">
      <c r="A121" s="322">
        <v>45464</v>
      </c>
      <c r="B121" s="3" t="s">
        <v>1277</v>
      </c>
      <c r="E121" s="77">
        <v>-800</v>
      </c>
    </row>
    <row r="122" spans="1:5">
      <c r="A122" s="322">
        <v>45464</v>
      </c>
      <c r="B122" s="3" t="s">
        <v>1278</v>
      </c>
      <c r="E122" s="77">
        <v>-277.5</v>
      </c>
    </row>
    <row r="123" spans="1:5">
      <c r="A123" s="322">
        <v>45465</v>
      </c>
      <c r="B123" s="3" t="s">
        <v>1279</v>
      </c>
      <c r="E123" s="77">
        <v>-200</v>
      </c>
    </row>
    <row r="124" spans="1:5">
      <c r="A124" s="322">
        <v>45466</v>
      </c>
      <c r="B124" s="3" t="s">
        <v>1280</v>
      </c>
      <c r="E124" s="77">
        <v>-689.5</v>
      </c>
    </row>
    <row r="125" spans="1:5">
      <c r="A125" s="322">
        <v>45466</v>
      </c>
      <c r="B125" s="3" t="s">
        <v>271</v>
      </c>
      <c r="E125" s="77">
        <v>-500</v>
      </c>
    </row>
    <row r="126" spans="1:5">
      <c r="A126" s="322">
        <v>45466</v>
      </c>
      <c r="B126" s="3" t="s">
        <v>355</v>
      </c>
      <c r="E126" s="77">
        <v>-650</v>
      </c>
    </row>
    <row r="127" spans="1:5">
      <c r="A127" s="322">
        <v>45466</v>
      </c>
      <c r="B127" s="3" t="s">
        <v>1281</v>
      </c>
      <c r="E127" s="77">
        <v>-134.33000000000001</v>
      </c>
    </row>
    <row r="128" spans="1:5">
      <c r="A128" s="322">
        <v>45467</v>
      </c>
      <c r="B128" s="3" t="s">
        <v>693</v>
      </c>
      <c r="E128" s="77">
        <v>-28.05</v>
      </c>
    </row>
    <row r="129" spans="1:5">
      <c r="A129" s="322">
        <v>45467</v>
      </c>
      <c r="B129" s="3" t="s">
        <v>1282</v>
      </c>
      <c r="E129" s="77">
        <v>-28.05</v>
      </c>
    </row>
    <row r="130" spans="1:5">
      <c r="A130" s="322">
        <v>45467</v>
      </c>
      <c r="B130" s="3" t="s">
        <v>695</v>
      </c>
      <c r="E130" s="77">
        <v>-186.98</v>
      </c>
    </row>
    <row r="131" spans="1:5" ht="15">
      <c r="B131" s="61" t="s">
        <v>280</v>
      </c>
      <c r="C131" s="3">
        <f>SUM(C86:C130)</f>
        <v>3320</v>
      </c>
      <c r="E131" s="105" t="s">
        <v>224</v>
      </c>
    </row>
    <row r="132" spans="1:5">
      <c r="B132" s="3" t="s">
        <v>1283</v>
      </c>
    </row>
    <row r="133" spans="1:5">
      <c r="A133" s="68" t="s">
        <v>1289</v>
      </c>
      <c r="B133" s="69" t="s">
        <v>82</v>
      </c>
      <c r="C133" s="70">
        <v>2024</v>
      </c>
      <c r="D133" s="71"/>
      <c r="E133" s="72">
        <f>SUM(E134:E154)</f>
        <v>981303.72722800006</v>
      </c>
    </row>
    <row r="134" spans="1:5">
      <c r="A134" s="106">
        <v>45474</v>
      </c>
      <c r="B134" s="22" t="s">
        <v>83</v>
      </c>
      <c r="C134" s="107"/>
      <c r="D134" s="107"/>
      <c r="E134" s="107">
        <v>64000</v>
      </c>
    </row>
    <row r="135" spans="1:5">
      <c r="A135" s="106">
        <f t="shared" ref="A135:A153" si="1">A134</f>
        <v>45474</v>
      </c>
      <c r="B135" s="22" t="s">
        <v>235</v>
      </c>
      <c r="C135" s="107"/>
      <c r="D135" s="107"/>
      <c r="E135" s="107">
        <v>150845</v>
      </c>
    </row>
    <row r="136" spans="1:5">
      <c r="A136" s="73">
        <f t="shared" si="1"/>
        <v>45474</v>
      </c>
      <c r="B136" t="s">
        <v>85</v>
      </c>
      <c r="C136" s="2"/>
      <c r="D136" s="2"/>
      <c r="E136" s="62">
        <v>12712.47</v>
      </c>
    </row>
    <row r="137" spans="1:5">
      <c r="A137" s="73">
        <f t="shared" si="1"/>
        <v>45474</v>
      </c>
      <c r="B137" t="s">
        <v>86</v>
      </c>
      <c r="C137" s="2"/>
      <c r="D137" s="2"/>
      <c r="E137" s="62">
        <v>0</v>
      </c>
    </row>
    <row r="138" spans="1:5">
      <c r="A138" s="73">
        <f t="shared" si="1"/>
        <v>45474</v>
      </c>
      <c r="B138" t="s">
        <v>236</v>
      </c>
      <c r="C138" s="2"/>
      <c r="D138" s="2"/>
      <c r="E138" s="62">
        <v>0</v>
      </c>
    </row>
    <row r="139" spans="1:5">
      <c r="A139" s="73">
        <f t="shared" si="1"/>
        <v>45474</v>
      </c>
      <c r="B139" t="s">
        <v>87</v>
      </c>
      <c r="C139" s="108"/>
      <c r="D139" s="2"/>
      <c r="E139" s="62">
        <v>0</v>
      </c>
    </row>
    <row r="140" spans="1:5">
      <c r="A140" s="73">
        <f t="shared" si="1"/>
        <v>45474</v>
      </c>
      <c r="B140" t="s">
        <v>88</v>
      </c>
      <c r="C140" s="2">
        <v>74</v>
      </c>
      <c r="D140" s="327">
        <v>677.53942199999995</v>
      </c>
      <c r="E140" s="62">
        <f>D140*C140</f>
        <v>50137.917227999998</v>
      </c>
    </row>
    <row r="141" spans="1:5">
      <c r="A141" s="73">
        <f t="shared" si="1"/>
        <v>45474</v>
      </c>
      <c r="B141" t="s">
        <v>237</v>
      </c>
      <c r="C141" s="109">
        <v>125000</v>
      </c>
      <c r="D141" s="327">
        <v>0.83506999999999998</v>
      </c>
      <c r="E141" s="62">
        <f t="shared" ref="E141:E151" si="2">D141*C141</f>
        <v>104383.75</v>
      </c>
    </row>
    <row r="142" spans="1:5">
      <c r="A142" s="73">
        <f t="shared" si="1"/>
        <v>45474</v>
      </c>
      <c r="B142" t="s">
        <v>238</v>
      </c>
      <c r="C142" s="2">
        <v>10</v>
      </c>
      <c r="D142" s="2">
        <v>123.7</v>
      </c>
      <c r="E142" s="62">
        <f t="shared" si="2"/>
        <v>1237</v>
      </c>
    </row>
    <row r="143" spans="1:5">
      <c r="A143" s="73">
        <f t="shared" si="1"/>
        <v>45474</v>
      </c>
      <c r="B143" t="s">
        <v>1290</v>
      </c>
      <c r="C143" s="2">
        <v>38</v>
      </c>
      <c r="D143" s="2">
        <v>22.78</v>
      </c>
      <c r="E143" s="62">
        <f t="shared" si="2"/>
        <v>865.6400000000001</v>
      </c>
    </row>
    <row r="144" spans="1:5">
      <c r="A144" s="73">
        <f t="shared" si="1"/>
        <v>45474</v>
      </c>
      <c r="B144" t="s">
        <v>1291</v>
      </c>
      <c r="C144" s="2">
        <v>26</v>
      </c>
      <c r="D144" s="2">
        <v>27.26</v>
      </c>
      <c r="E144" s="62">
        <f t="shared" si="2"/>
        <v>708.76</v>
      </c>
    </row>
    <row r="145" spans="1:5">
      <c r="A145" s="73">
        <f t="shared" si="1"/>
        <v>45474</v>
      </c>
      <c r="B145" t="s">
        <v>96</v>
      </c>
      <c r="C145" s="2"/>
      <c r="D145" s="2"/>
      <c r="E145" s="62">
        <f t="shared" si="2"/>
        <v>0</v>
      </c>
    </row>
    <row r="146" spans="1:5">
      <c r="A146" s="73">
        <f t="shared" si="1"/>
        <v>45474</v>
      </c>
      <c r="B146" t="s">
        <v>239</v>
      </c>
      <c r="C146" s="2">
        <v>7500</v>
      </c>
      <c r="D146" s="2">
        <v>24.5</v>
      </c>
      <c r="E146" s="62">
        <f t="shared" si="2"/>
        <v>183750</v>
      </c>
    </row>
    <row r="147" spans="1:5">
      <c r="A147" s="73">
        <f t="shared" si="1"/>
        <v>45474</v>
      </c>
      <c r="C147" s="2"/>
      <c r="D147" s="2"/>
      <c r="E147" s="62">
        <f t="shared" si="2"/>
        <v>0</v>
      </c>
    </row>
    <row r="148" spans="1:5">
      <c r="A148" s="73">
        <f t="shared" si="1"/>
        <v>45474</v>
      </c>
      <c r="C148" s="2"/>
      <c r="D148" s="2"/>
      <c r="E148" s="62">
        <f t="shared" si="2"/>
        <v>0</v>
      </c>
    </row>
    <row r="149" spans="1:5">
      <c r="A149" s="73">
        <f t="shared" si="1"/>
        <v>45474</v>
      </c>
      <c r="B149" t="s">
        <v>240</v>
      </c>
      <c r="C149" s="2">
        <v>2375.02</v>
      </c>
      <c r="D149" s="2">
        <v>156</v>
      </c>
      <c r="E149" s="62">
        <f t="shared" si="2"/>
        <v>370503.12</v>
      </c>
    </row>
    <row r="150" spans="1:5">
      <c r="A150" s="73">
        <f t="shared" si="1"/>
        <v>45474</v>
      </c>
      <c r="B150" t="s">
        <v>1292</v>
      </c>
      <c r="C150" s="75">
        <v>31.963699999999999</v>
      </c>
      <c r="D150" s="2">
        <v>850</v>
      </c>
      <c r="E150" s="62">
        <f t="shared" si="2"/>
        <v>27169.145</v>
      </c>
    </row>
    <row r="151" spans="1:5">
      <c r="A151" s="73">
        <f t="shared" si="1"/>
        <v>45474</v>
      </c>
      <c r="B151" t="s">
        <v>242</v>
      </c>
      <c r="C151" s="75">
        <f>C150</f>
        <v>31.963699999999999</v>
      </c>
      <c r="D151" s="2">
        <v>250</v>
      </c>
      <c r="E151" s="62">
        <f t="shared" si="2"/>
        <v>7990.9250000000002</v>
      </c>
    </row>
    <row r="152" spans="1:5">
      <c r="A152" s="73">
        <f t="shared" si="1"/>
        <v>45474</v>
      </c>
      <c r="B152" t="s">
        <v>1293</v>
      </c>
      <c r="C152" s="75">
        <v>34.412100000000002</v>
      </c>
      <c r="D152" s="2">
        <v>0</v>
      </c>
      <c r="E152" s="62">
        <f>D152*C152</f>
        <v>0</v>
      </c>
    </row>
    <row r="153" spans="1:5">
      <c r="A153" s="73">
        <f t="shared" si="1"/>
        <v>45474</v>
      </c>
      <c r="B153" t="s">
        <v>100</v>
      </c>
      <c r="C153" s="2"/>
      <c r="D153" s="2"/>
      <c r="E153" s="62">
        <v>3000</v>
      </c>
    </row>
    <row r="154" spans="1:5">
      <c r="A154" s="73">
        <f>A153</f>
        <v>45474</v>
      </c>
      <c r="B154" t="s">
        <v>101</v>
      </c>
      <c r="C154" s="2"/>
      <c r="D154" s="2"/>
      <c r="E154" s="62">
        <v>4000</v>
      </c>
    </row>
    <row r="155" spans="1:5">
      <c r="E155" s="110"/>
    </row>
    <row r="156" spans="1:5">
      <c r="C156" s="108"/>
      <c r="D156" s="3"/>
      <c r="E156" s="108"/>
    </row>
    <row r="157" spans="1:5">
      <c r="C157" s="108"/>
      <c r="D157" s="61" t="s">
        <v>103</v>
      </c>
      <c r="E157" s="8">
        <f>SUM(E134:E154)</f>
        <v>981303.72722800006</v>
      </c>
    </row>
    <row r="158" spans="1:5">
      <c r="C158" s="111" t="str">
        <f>A133</f>
        <v>TEMMUZa</v>
      </c>
      <c r="D158" s="112" t="s">
        <v>102</v>
      </c>
      <c r="E158" s="113">
        <f>H2</f>
        <v>-53411.619999999995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79998168889431442"/>
  </sheetPr>
  <dimension ref="A1:H139"/>
  <sheetViews>
    <sheetView topLeftCell="A15" zoomScale="175" zoomScaleNormal="175" workbookViewId="0">
      <selection activeCell="B32" sqref="B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198</v>
      </c>
      <c r="C2" s="79" t="s">
        <v>105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61"/>
    </row>
    <row r="4" spans="1:8">
      <c r="A4">
        <v>29.5</v>
      </c>
      <c r="B4" s="32" t="s">
        <v>106</v>
      </c>
      <c r="E4" s="92">
        <v>-152</v>
      </c>
      <c r="F4" s="92"/>
      <c r="G4" s="92">
        <v>-166.9</v>
      </c>
      <c r="H4" s="92">
        <f t="shared" ref="H4:H29" si="0">H3+F4+G4</f>
        <v>-166.9</v>
      </c>
    </row>
    <row r="5" spans="1:8">
      <c r="B5" s="80" t="s">
        <v>199</v>
      </c>
      <c r="C5" s="80" t="s">
        <v>111</v>
      </c>
      <c r="E5" s="92">
        <v>-250</v>
      </c>
      <c r="F5" s="92"/>
      <c r="G5" s="92">
        <f>E5</f>
        <v>-250</v>
      </c>
      <c r="H5" s="92">
        <f t="shared" si="0"/>
        <v>-416.9</v>
      </c>
    </row>
    <row r="6" spans="1:8">
      <c r="A6">
        <v>29.5</v>
      </c>
      <c r="B6" s="80" t="s">
        <v>123</v>
      </c>
      <c r="C6" s="80" t="s">
        <v>124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129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1244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1245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128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1246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1242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200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107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1243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131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1250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1255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127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5">
        <v>45463</v>
      </c>
      <c r="B21" s="84" t="s">
        <v>125</v>
      </c>
      <c r="C21" s="84" t="s">
        <v>124</v>
      </c>
      <c r="D21" s="92"/>
      <c r="E21" s="92">
        <v>-300</v>
      </c>
      <c r="F21" s="92"/>
      <c r="G21" s="92">
        <v>-305</v>
      </c>
      <c r="H21" s="92">
        <f t="shared" si="0"/>
        <v>-79766.153693</v>
      </c>
    </row>
    <row r="22" spans="1:8">
      <c r="A22" s="325">
        <v>45463</v>
      </c>
      <c r="B22" s="84" t="s">
        <v>126</v>
      </c>
      <c r="C22" s="84" t="s">
        <v>124</v>
      </c>
      <c r="D22" s="92"/>
      <c r="E22" s="92">
        <v>-100</v>
      </c>
      <c r="F22" s="92"/>
      <c r="G22" s="92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A24" s="322"/>
      <c r="B24" s="80"/>
      <c r="C24" s="80"/>
      <c r="H24" s="92">
        <f t="shared" si="0"/>
        <v>-79766.153693</v>
      </c>
    </row>
    <row r="25" spans="1:8">
      <c r="A25" s="322"/>
      <c r="B25" s="80"/>
      <c r="C25" s="80"/>
      <c r="H25" s="92">
        <f t="shared" si="0"/>
        <v>-79766.153693</v>
      </c>
    </row>
    <row r="26" spans="1:8">
      <c r="H26" s="92">
        <f t="shared" si="0"/>
        <v>-79766.153693</v>
      </c>
    </row>
    <row r="27" spans="1:8">
      <c r="A27" s="325">
        <v>45476</v>
      </c>
      <c r="B27" s="22" t="s">
        <v>83</v>
      </c>
      <c r="C27" s="22"/>
      <c r="D27" s="92"/>
      <c r="E27" s="92">
        <v>-5000</v>
      </c>
      <c r="F27" s="92"/>
      <c r="G27" s="92">
        <v>-5006</v>
      </c>
      <c r="H27" s="92">
        <f t="shared" si="0"/>
        <v>-84772.153693</v>
      </c>
    </row>
    <row r="28" spans="1:8">
      <c r="A28" s="325">
        <v>45476</v>
      </c>
      <c r="B28" s="22" t="s">
        <v>84</v>
      </c>
      <c r="C28" s="22"/>
      <c r="D28" s="92"/>
      <c r="E28" s="92">
        <v>-5000</v>
      </c>
      <c r="F28" s="92"/>
      <c r="G28" s="92">
        <v>-5006</v>
      </c>
      <c r="H28" s="92">
        <f t="shared" si="0"/>
        <v>-89778.153693</v>
      </c>
    </row>
    <row r="29" spans="1:8">
      <c r="A29" s="22"/>
      <c r="B29" s="22" t="s">
        <v>133</v>
      </c>
      <c r="C29" s="22"/>
      <c r="D29" s="92"/>
      <c r="E29" s="92">
        <v>-5000</v>
      </c>
      <c r="F29" s="92"/>
      <c r="G29" s="92">
        <v>-5000</v>
      </c>
      <c r="H29" s="92">
        <f t="shared" si="0"/>
        <v>-94778.153693</v>
      </c>
    </row>
    <row r="30" spans="1:8">
      <c r="A30" s="22"/>
      <c r="B30" s="22"/>
      <c r="C30" s="22"/>
      <c r="D30" s="92"/>
      <c r="E30" s="92"/>
      <c r="F30" s="92"/>
      <c r="G30" s="92"/>
      <c r="H30" s="92">
        <f t="shared" ref="H30:H34" si="1">H29+F30+G30</f>
        <v>-94778.153693</v>
      </c>
    </row>
    <row r="31" spans="1:8">
      <c r="A31" s="22"/>
      <c r="B31" s="22" t="s">
        <v>134</v>
      </c>
      <c r="C31" s="22"/>
      <c r="D31" s="92">
        <v>10000</v>
      </c>
      <c r="E31" s="92"/>
      <c r="F31" s="92">
        <v>10427.620000000001</v>
      </c>
      <c r="G31" s="92"/>
      <c r="H31" s="92">
        <f t="shared" si="1"/>
        <v>-84350.533693000005</v>
      </c>
    </row>
    <row r="32" spans="1:8">
      <c r="A32" s="102"/>
      <c r="B32" s="22" t="s">
        <v>201</v>
      </c>
      <c r="C32" s="22"/>
      <c r="D32" s="92">
        <v>15000</v>
      </c>
      <c r="E32" s="92"/>
      <c r="F32" s="92"/>
      <c r="G32" s="92"/>
      <c r="H32" s="92">
        <f t="shared" si="1"/>
        <v>-84350.533693000005</v>
      </c>
    </row>
    <row r="33" spans="1:8">
      <c r="A33" s="98">
        <v>45351</v>
      </c>
      <c r="B33" s="133" t="s">
        <v>216</v>
      </c>
      <c r="C33" s="133"/>
      <c r="D33" s="328">
        <v>8500</v>
      </c>
      <c r="E33" s="92"/>
      <c r="F33" s="92"/>
      <c r="G33" s="92"/>
      <c r="H33" s="92">
        <f t="shared" si="1"/>
        <v>-84350.533693000005</v>
      </c>
    </row>
    <row r="34" spans="1:8">
      <c r="A34" s="22"/>
      <c r="B34" s="22"/>
      <c r="C34" s="22"/>
      <c r="D34" s="92"/>
      <c r="E34" s="92"/>
      <c r="F34" s="92"/>
      <c r="G34" s="92"/>
      <c r="H34" s="92">
        <f t="shared" si="1"/>
        <v>-84350.533693000005</v>
      </c>
    </row>
    <row r="36" spans="1:8" ht="15.75">
      <c r="B36" s="91"/>
    </row>
    <row r="38" spans="1:8">
      <c r="B38" t="s">
        <v>138</v>
      </c>
    </row>
    <row r="39" spans="1:8">
      <c r="A39" s="70" t="s">
        <v>139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140</v>
      </c>
      <c r="C41" s="70"/>
      <c r="D41" s="77">
        <f>SUM(D42:D47)</f>
        <v>5394.16</v>
      </c>
      <c r="E41" s="77">
        <f>SUM(E42:E47)</f>
        <v>4605.33</v>
      </c>
    </row>
    <row r="42" spans="1:8">
      <c r="A42" s="89"/>
      <c r="B42" s="84" t="s">
        <v>141</v>
      </c>
      <c r="C42" s="22"/>
      <c r="D42" s="77">
        <v>468.65</v>
      </c>
    </row>
    <row r="43" spans="1:8">
      <c r="B43" t="s">
        <v>142</v>
      </c>
      <c r="D43" s="77">
        <v>1257.73</v>
      </c>
      <c r="E43" s="77">
        <v>1260</v>
      </c>
    </row>
    <row r="44" spans="1:8">
      <c r="B44" t="s">
        <v>1251</v>
      </c>
      <c r="C44" t="s">
        <v>1252</v>
      </c>
      <c r="D44" s="77">
        <v>919.84</v>
      </c>
      <c r="E44" s="77">
        <v>919.84</v>
      </c>
    </row>
    <row r="45" spans="1:8">
      <c r="B45" t="s">
        <v>144</v>
      </c>
      <c r="D45" s="77">
        <v>2358.0300000000002</v>
      </c>
      <c r="E45" s="77">
        <v>2358</v>
      </c>
    </row>
    <row r="46" spans="1:8">
      <c r="B46" t="s">
        <v>145</v>
      </c>
      <c r="D46" s="77">
        <v>352.42</v>
      </c>
      <c r="E46" s="77">
        <v>30</v>
      </c>
    </row>
    <row r="47" spans="1:8">
      <c r="B47" t="s">
        <v>146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147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202</v>
      </c>
      <c r="C53" s="84">
        <v>7648.33</v>
      </c>
      <c r="D53" s="77" t="s">
        <v>1254</v>
      </c>
      <c r="E53" s="77">
        <v>-849.85</v>
      </c>
      <c r="F53" s="77">
        <v>0</v>
      </c>
    </row>
    <row r="54" spans="1:6">
      <c r="A54" s="96">
        <v>45348</v>
      </c>
      <c r="B54" t="s">
        <v>174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148</v>
      </c>
      <c r="C55">
        <v>10176.39</v>
      </c>
      <c r="D55" s="77" t="s">
        <v>1253</v>
      </c>
      <c r="E55" s="77">
        <v>-1130.71</v>
      </c>
      <c r="F55" s="77">
        <v>0</v>
      </c>
    </row>
    <row r="56" spans="1:6">
      <c r="A56" s="96">
        <v>45375</v>
      </c>
      <c r="B56" t="s">
        <v>150</v>
      </c>
      <c r="C56">
        <v>5999</v>
      </c>
      <c r="D56" s="77" t="s">
        <v>1253</v>
      </c>
      <c r="E56" s="77">
        <v>-666.56</v>
      </c>
      <c r="F56" s="77">
        <v>0</v>
      </c>
    </row>
    <row r="57" spans="1:6">
      <c r="A57" s="96">
        <v>45358</v>
      </c>
      <c r="B57" t="s">
        <v>176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177</v>
      </c>
      <c r="D58" s="77" t="s">
        <v>204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1240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1241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224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154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195</v>
      </c>
      <c r="C67" s="84"/>
      <c r="D67" s="77" t="s">
        <v>206</v>
      </c>
      <c r="E67" s="77">
        <v>-3551.66</v>
      </c>
    </row>
    <row r="68" spans="1:6">
      <c r="A68" s="89"/>
      <c r="B68" s="3" t="s">
        <v>185</v>
      </c>
      <c r="C68" s="84"/>
      <c r="D68" s="77" t="s">
        <v>207</v>
      </c>
      <c r="E68" s="77">
        <v>-649.78</v>
      </c>
    </row>
    <row r="69" spans="1:6">
      <c r="A69" s="89"/>
      <c r="B69" s="3" t="s">
        <v>187</v>
      </c>
      <c r="C69" s="84">
        <v>49.98</v>
      </c>
      <c r="D69" s="77" t="s">
        <v>207</v>
      </c>
    </row>
    <row r="70" spans="1:6">
      <c r="A70" s="89"/>
      <c r="B70" s="3"/>
      <c r="C70" s="84"/>
    </row>
    <row r="71" spans="1:6">
      <c r="A71" s="89">
        <v>45408</v>
      </c>
      <c r="B71" s="3" t="s">
        <v>1215</v>
      </c>
      <c r="C71" s="84"/>
      <c r="E71" s="77">
        <v>-1407.23</v>
      </c>
    </row>
    <row r="72" spans="1:6">
      <c r="A72" s="89">
        <v>45420</v>
      </c>
      <c r="B72" s="3" t="s">
        <v>400</v>
      </c>
      <c r="C72" s="84">
        <v>300</v>
      </c>
    </row>
    <row r="73" spans="1:6">
      <c r="A73" s="89">
        <v>45426</v>
      </c>
      <c r="B73" s="3" t="s">
        <v>1216</v>
      </c>
      <c r="C73" s="84"/>
      <c r="E73" s="77">
        <v>-1469</v>
      </c>
    </row>
    <row r="74" spans="1:6">
      <c r="A74" s="89">
        <v>45426</v>
      </c>
      <c r="B74" s="3" t="s">
        <v>1226</v>
      </c>
      <c r="C74" s="84"/>
      <c r="E74" s="77">
        <v>-1453</v>
      </c>
    </row>
    <row r="75" spans="1:6">
      <c r="A75" s="89">
        <v>45427</v>
      </c>
      <c r="B75" s="3" t="s">
        <v>1217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1218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1219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1220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230</v>
      </c>
      <c r="C80" s="84" t="s">
        <v>1221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1222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1223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1224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1225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1225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275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277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1227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277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230</v>
      </c>
      <c r="C91" s="84" t="s">
        <v>1221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230</v>
      </c>
      <c r="C92" s="84" t="s">
        <v>1221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1228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1229</v>
      </c>
      <c r="C94" s="84">
        <v>95.08</v>
      </c>
      <c r="F94" s="77">
        <v>0</v>
      </c>
    </row>
    <row r="95" spans="1:6">
      <c r="A95" s="322">
        <v>45427</v>
      </c>
      <c r="B95" s="3" t="s">
        <v>1230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1231</v>
      </c>
      <c r="C96">
        <v>1.26</v>
      </c>
      <c r="F96" s="77">
        <v>0</v>
      </c>
    </row>
    <row r="97" spans="1:6">
      <c r="A97" s="322">
        <v>45427</v>
      </c>
      <c r="B97" s="3" t="s">
        <v>1233</v>
      </c>
      <c r="E97" s="77">
        <v>-16</v>
      </c>
      <c r="F97" s="77">
        <v>0</v>
      </c>
    </row>
    <row r="98" spans="1:6">
      <c r="A98" s="322">
        <v>45427</v>
      </c>
      <c r="B98" s="3" t="s">
        <v>1232</v>
      </c>
      <c r="E98" s="77">
        <v>-375</v>
      </c>
      <c r="F98" s="77">
        <v>0</v>
      </c>
    </row>
    <row r="99" spans="1:6">
      <c r="A99" s="322">
        <v>45427</v>
      </c>
      <c r="B99" s="3" t="s">
        <v>1233</v>
      </c>
      <c r="E99" s="77">
        <v>-11.5</v>
      </c>
      <c r="F99" s="77">
        <v>0</v>
      </c>
    </row>
    <row r="100" spans="1:6">
      <c r="A100" s="322">
        <v>45428</v>
      </c>
      <c r="B100" s="3" t="s">
        <v>1234</v>
      </c>
      <c r="E100" s="77">
        <v>-500</v>
      </c>
      <c r="F100" s="77">
        <v>0</v>
      </c>
    </row>
    <row r="101" spans="1:6">
      <c r="A101" s="322">
        <v>45428</v>
      </c>
      <c r="B101" s="3" t="s">
        <v>1235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1235</v>
      </c>
      <c r="E102" s="77">
        <v>-169.99</v>
      </c>
      <c r="F102" s="77">
        <v>0</v>
      </c>
    </row>
    <row r="103" spans="1:6">
      <c r="A103" s="322">
        <v>45430</v>
      </c>
      <c r="B103" s="3" t="s">
        <v>1236</v>
      </c>
      <c r="E103" s="77">
        <v>-330</v>
      </c>
      <c r="F103" s="77">
        <v>0</v>
      </c>
    </row>
    <row r="104" spans="1:6">
      <c r="A104" s="322">
        <v>45430</v>
      </c>
      <c r="B104" s="3" t="s">
        <v>1235</v>
      </c>
      <c r="E104" s="77">
        <v>-139.9</v>
      </c>
      <c r="F104" s="77">
        <v>0</v>
      </c>
    </row>
    <row r="105" spans="1:6">
      <c r="A105" s="322">
        <v>45430</v>
      </c>
      <c r="B105" s="3" t="s">
        <v>1234</v>
      </c>
      <c r="E105" s="77">
        <v>-500</v>
      </c>
      <c r="F105" s="77">
        <v>0</v>
      </c>
    </row>
    <row r="106" spans="1:6">
      <c r="A106" s="322">
        <v>45431</v>
      </c>
      <c r="B106" s="3" t="s">
        <v>1237</v>
      </c>
      <c r="E106" s="77">
        <v>-266</v>
      </c>
      <c r="F106" s="77">
        <v>0</v>
      </c>
    </row>
    <row r="107" spans="1:6">
      <c r="A107" s="322">
        <v>45432</v>
      </c>
      <c r="B107" s="3" t="s">
        <v>1237</v>
      </c>
      <c r="E107" s="77">
        <v>-22.1</v>
      </c>
      <c r="F107" s="77">
        <v>0</v>
      </c>
    </row>
    <row r="108" spans="1:6">
      <c r="A108" s="322">
        <v>45432</v>
      </c>
      <c r="B108" s="3" t="s">
        <v>1233</v>
      </c>
      <c r="E108" s="77">
        <v>-11.5</v>
      </c>
      <c r="F108" s="77">
        <v>0</v>
      </c>
    </row>
    <row r="109" spans="1:6">
      <c r="A109" s="322">
        <v>45432</v>
      </c>
      <c r="B109" s="3" t="s">
        <v>1232</v>
      </c>
      <c r="E109" s="77">
        <v>-335</v>
      </c>
      <c r="F109" s="77">
        <v>0</v>
      </c>
    </row>
    <row r="110" spans="1:6">
      <c r="A110" s="322">
        <v>45432</v>
      </c>
      <c r="B110" s="3" t="s">
        <v>1233</v>
      </c>
      <c r="E110" s="77">
        <v>-11.5</v>
      </c>
      <c r="F110" s="77">
        <v>0</v>
      </c>
    </row>
    <row r="111" spans="1:6">
      <c r="A111" s="322">
        <v>45432</v>
      </c>
      <c r="B111" s="3" t="s">
        <v>1238</v>
      </c>
      <c r="E111" s="77">
        <v>-650</v>
      </c>
      <c r="F111" s="77">
        <v>0</v>
      </c>
    </row>
    <row r="112" spans="1:6">
      <c r="A112" s="322">
        <v>45435</v>
      </c>
      <c r="B112" s="3" t="s">
        <v>230</v>
      </c>
      <c r="C112" t="s">
        <v>1221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1239</v>
      </c>
      <c r="E113" s="77">
        <v>-550</v>
      </c>
      <c r="F113" s="77">
        <v>0</v>
      </c>
    </row>
    <row r="114" spans="1:6" ht="15">
      <c r="A114" s="322"/>
      <c r="B114" s="3"/>
      <c r="C114" s="323" t="s">
        <v>280</v>
      </c>
      <c r="D114" s="324">
        <f>SUM(D79:D113)</f>
        <v>-1050</v>
      </c>
      <c r="E114" s="105" t="s">
        <v>224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68" t="s">
        <v>1288</v>
      </c>
      <c r="B118" s="69" t="s">
        <v>82</v>
      </c>
      <c r="C118" s="70">
        <v>2024</v>
      </c>
      <c r="D118" s="71"/>
      <c r="E118" s="72">
        <f>SUM(E119:E135)</f>
        <v>794302.15999999992</v>
      </c>
    </row>
    <row r="119" spans="1:6">
      <c r="A119" s="106">
        <v>45413</v>
      </c>
      <c r="B119" s="22" t="s">
        <v>83</v>
      </c>
      <c r="C119" s="107"/>
      <c r="D119" s="107"/>
      <c r="E119" s="107">
        <v>64000</v>
      </c>
    </row>
    <row r="120" spans="1:6">
      <c r="A120" s="106">
        <f t="shared" ref="A120:A127" si="2">A119</f>
        <v>45413</v>
      </c>
      <c r="B120" s="22" t="s">
        <v>235</v>
      </c>
      <c r="C120" s="107"/>
      <c r="D120" s="107"/>
      <c r="E120" s="107">
        <v>150845</v>
      </c>
    </row>
    <row r="121" spans="1:6">
      <c r="A121" s="73">
        <f t="shared" si="2"/>
        <v>45413</v>
      </c>
      <c r="B121" t="s">
        <v>85</v>
      </c>
      <c r="C121" s="2"/>
      <c r="D121" s="2"/>
      <c r="E121" s="62">
        <v>4148.6099999999997</v>
      </c>
    </row>
    <row r="122" spans="1:6">
      <c r="A122" s="73">
        <f t="shared" si="2"/>
        <v>45413</v>
      </c>
      <c r="B122" t="s">
        <v>86</v>
      </c>
      <c r="C122" s="2"/>
      <c r="D122" s="2"/>
      <c r="E122" s="62">
        <v>0</v>
      </c>
    </row>
    <row r="123" spans="1:6">
      <c r="A123" s="73">
        <f t="shared" si="2"/>
        <v>45413</v>
      </c>
      <c r="B123" t="s">
        <v>236</v>
      </c>
      <c r="C123" s="2"/>
      <c r="D123" s="2"/>
      <c r="E123" s="62">
        <v>0</v>
      </c>
    </row>
    <row r="124" spans="1:6">
      <c r="A124" s="73">
        <f t="shared" si="2"/>
        <v>45413</v>
      </c>
      <c r="B124" t="s">
        <v>87</v>
      </c>
      <c r="C124" s="108"/>
      <c r="D124" s="2"/>
      <c r="E124" s="62">
        <v>0</v>
      </c>
    </row>
    <row r="125" spans="1:6">
      <c r="A125" s="73">
        <f t="shared" si="2"/>
        <v>45413</v>
      </c>
      <c r="B125" t="s">
        <v>88</v>
      </c>
      <c r="C125" s="2"/>
      <c r="D125" s="2"/>
      <c r="E125" s="62">
        <v>0</v>
      </c>
    </row>
    <row r="126" spans="1:6">
      <c r="A126" s="73">
        <f t="shared" si="2"/>
        <v>45413</v>
      </c>
      <c r="B126" t="s">
        <v>237</v>
      </c>
      <c r="C126" s="109">
        <v>125000</v>
      </c>
      <c r="D126" s="2">
        <v>0.88097599999999998</v>
      </c>
      <c r="E126" s="62">
        <f>D126*C126</f>
        <v>110122</v>
      </c>
    </row>
    <row r="127" spans="1:6">
      <c r="A127" s="73">
        <f t="shared" si="2"/>
        <v>45413</v>
      </c>
      <c r="B127" t="s">
        <v>238</v>
      </c>
      <c r="C127" s="2">
        <v>10</v>
      </c>
      <c r="D127" s="2">
        <v>122</v>
      </c>
      <c r="E127" s="62">
        <f>D127*C127</f>
        <v>1220</v>
      </c>
    </row>
    <row r="128" spans="1:6">
      <c r="A128" s="73">
        <f>A126</f>
        <v>45413</v>
      </c>
      <c r="B128" t="s">
        <v>96</v>
      </c>
      <c r="C128" s="2"/>
      <c r="D128" s="2"/>
      <c r="E128" s="62">
        <v>450</v>
      </c>
    </row>
    <row r="129" spans="1:5">
      <c r="A129" s="73">
        <f>A128</f>
        <v>45413</v>
      </c>
      <c r="B129" t="s">
        <v>239</v>
      </c>
      <c r="C129" s="2">
        <v>2500</v>
      </c>
      <c r="D129" s="2">
        <v>24.5</v>
      </c>
      <c r="E129" s="62">
        <f>D129*C129</f>
        <v>61250</v>
      </c>
    </row>
    <row r="130" spans="1:5">
      <c r="A130" s="73">
        <f>A128</f>
        <v>45413</v>
      </c>
      <c r="B130" t="s">
        <v>240</v>
      </c>
      <c r="C130" s="2">
        <v>2308.9699999999998</v>
      </c>
      <c r="D130" s="2">
        <v>156</v>
      </c>
      <c r="E130" s="62">
        <f>D130*C130</f>
        <v>360199.31999999995</v>
      </c>
    </row>
    <row r="131" spans="1:5">
      <c r="A131" s="73">
        <f>A130</f>
        <v>45413</v>
      </c>
      <c r="B131" t="s">
        <v>241</v>
      </c>
      <c r="C131" s="75">
        <v>31.879300000000001</v>
      </c>
      <c r="D131" s="2">
        <v>850</v>
      </c>
      <c r="E131" s="62">
        <f>D131*C131</f>
        <v>27097.404999999999</v>
      </c>
    </row>
    <row r="132" spans="1:5">
      <c r="A132" s="73">
        <f>A131</f>
        <v>45413</v>
      </c>
      <c r="B132" t="s">
        <v>242</v>
      </c>
      <c r="C132" s="75">
        <f>C131</f>
        <v>31.879300000000001</v>
      </c>
      <c r="D132" s="2">
        <v>250</v>
      </c>
      <c r="E132" s="62">
        <f>D132*C132</f>
        <v>7969.8249999999998</v>
      </c>
    </row>
    <row r="133" spans="1:5">
      <c r="A133" s="73">
        <f>A132</f>
        <v>45413</v>
      </c>
      <c r="B133" t="s">
        <v>243</v>
      </c>
      <c r="C133" s="75">
        <v>34.394500000000001</v>
      </c>
      <c r="D133" s="2">
        <v>0</v>
      </c>
      <c r="E133" s="62">
        <f>D133*C133</f>
        <v>0</v>
      </c>
    </row>
    <row r="134" spans="1:5">
      <c r="A134" s="73">
        <f>A133</f>
        <v>45413</v>
      </c>
      <c r="B134" t="s">
        <v>100</v>
      </c>
      <c r="C134" s="2"/>
      <c r="D134" s="2"/>
      <c r="E134" s="62">
        <v>3000</v>
      </c>
    </row>
    <row r="135" spans="1:5">
      <c r="A135" s="73">
        <f>A134</f>
        <v>45413</v>
      </c>
      <c r="B135" t="s">
        <v>101</v>
      </c>
      <c r="C135" s="2"/>
      <c r="D135" s="2"/>
      <c r="E135" s="62">
        <v>4000</v>
      </c>
    </row>
    <row r="136" spans="1:5">
      <c r="E136" s="110"/>
    </row>
    <row r="137" spans="1:5">
      <c r="C137" s="108"/>
      <c r="D137" s="3"/>
      <c r="E137" s="108"/>
    </row>
    <row r="138" spans="1:5">
      <c r="C138" s="108"/>
      <c r="D138" s="61" t="s">
        <v>103</v>
      </c>
      <c r="E138" s="8">
        <f>SUM(E119:E135)</f>
        <v>794302.15999999992</v>
      </c>
    </row>
    <row r="139" spans="1:5">
      <c r="C139" s="111" t="str">
        <f>A118</f>
        <v>HAZİRANa</v>
      </c>
      <c r="D139" s="112" t="s">
        <v>102</v>
      </c>
      <c r="E139" s="113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79998168889431442"/>
  </sheetPr>
  <dimension ref="A1:H122"/>
  <sheetViews>
    <sheetView zoomScale="145" zoomScaleNormal="145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208</v>
      </c>
      <c r="C2" s="79" t="s">
        <v>105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209</v>
      </c>
      <c r="C4" s="80" t="s">
        <v>111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106</v>
      </c>
      <c r="C5" s="22" t="s">
        <v>210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108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109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211</v>
      </c>
      <c r="C8" s="22"/>
      <c r="D8" s="92" t="s">
        <v>212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123</v>
      </c>
      <c r="C9" s="80" t="s">
        <v>124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128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129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213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107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214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214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125</v>
      </c>
      <c r="C16" s="84" t="s">
        <v>124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126</v>
      </c>
      <c r="C17" s="84" t="s">
        <v>124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127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83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84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133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134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215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108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109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138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140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141</v>
      </c>
      <c r="C31" s="22"/>
      <c r="D31" s="92">
        <v>786.88</v>
      </c>
      <c r="E31" s="92">
        <v>787</v>
      </c>
    </row>
    <row r="32" spans="1:8">
      <c r="B32" t="s">
        <v>142</v>
      </c>
      <c r="D32" s="92">
        <v>1205</v>
      </c>
      <c r="E32" s="92">
        <v>1205</v>
      </c>
    </row>
    <row r="33" spans="1:5">
      <c r="B33" t="s">
        <v>143</v>
      </c>
      <c r="D33" s="92">
        <v>55.4</v>
      </c>
      <c r="E33" s="92">
        <v>55.4</v>
      </c>
    </row>
    <row r="34" spans="1:5">
      <c r="B34" t="s">
        <v>144</v>
      </c>
      <c r="D34" s="92">
        <v>1257.4000000000001</v>
      </c>
      <c r="E34" s="92">
        <v>1257.4000000000001</v>
      </c>
    </row>
    <row r="35" spans="1:5">
      <c r="B35" t="s">
        <v>145</v>
      </c>
      <c r="D35" s="92">
        <v>370.48</v>
      </c>
      <c r="E35" s="92">
        <v>370.48</v>
      </c>
    </row>
    <row r="36" spans="1:5">
      <c r="B36" t="s">
        <v>146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147</v>
      </c>
      <c r="C41" s="70"/>
      <c r="E41" s="77">
        <f>SUM(E42:E53)</f>
        <v>-4278.51</v>
      </c>
    </row>
    <row r="43" spans="1:5">
      <c r="A43" s="89">
        <v>45187</v>
      </c>
      <c r="B43" s="84" t="s">
        <v>202</v>
      </c>
      <c r="C43" s="84">
        <v>7648.33</v>
      </c>
      <c r="D43" s="77" t="s">
        <v>152</v>
      </c>
      <c r="E43" s="77">
        <v>-849.81</v>
      </c>
    </row>
    <row r="44" spans="1:5">
      <c r="A44" s="96">
        <v>45348</v>
      </c>
      <c r="B44" t="s">
        <v>174</v>
      </c>
      <c r="C44">
        <v>1406</v>
      </c>
      <c r="D44" s="77" t="s">
        <v>217</v>
      </c>
      <c r="E44" s="77">
        <v>-234.33</v>
      </c>
    </row>
    <row r="45" spans="1:5">
      <c r="A45" s="96">
        <v>45373</v>
      </c>
      <c r="B45" t="s">
        <v>148</v>
      </c>
      <c r="C45">
        <v>10176.39</v>
      </c>
      <c r="D45" s="77" t="s">
        <v>218</v>
      </c>
      <c r="E45" s="77">
        <v>-1130.71</v>
      </c>
    </row>
    <row r="46" spans="1:5">
      <c r="A46" s="96">
        <v>45375</v>
      </c>
      <c r="B46" t="s">
        <v>150</v>
      </c>
      <c r="C46">
        <v>5999</v>
      </c>
      <c r="D46" s="77" t="s">
        <v>205</v>
      </c>
      <c r="E46" s="77">
        <v>-666.56</v>
      </c>
    </row>
    <row r="47" spans="1:5">
      <c r="A47" s="96">
        <v>45358</v>
      </c>
      <c r="B47" t="s">
        <v>176</v>
      </c>
      <c r="C47">
        <v>2273</v>
      </c>
      <c r="D47" s="77" t="s">
        <v>217</v>
      </c>
      <c r="E47" s="77">
        <v>-378.87</v>
      </c>
    </row>
    <row r="48" spans="1:5">
      <c r="A48" s="96">
        <v>45371</v>
      </c>
      <c r="B48" t="s">
        <v>177</v>
      </c>
      <c r="D48" s="77" t="s">
        <v>219</v>
      </c>
      <c r="E48" s="77">
        <v>101.77</v>
      </c>
    </row>
    <row r="49" spans="1:5">
      <c r="A49" s="96">
        <v>45377</v>
      </c>
      <c r="B49" t="s">
        <v>151</v>
      </c>
      <c r="D49" s="77" t="s">
        <v>220</v>
      </c>
    </row>
    <row r="50" spans="1:5">
      <c r="A50" s="89"/>
      <c r="B50" s="97" t="s">
        <v>221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222</v>
      </c>
      <c r="E52" s="77">
        <v>-790</v>
      </c>
    </row>
    <row r="53" spans="1:5">
      <c r="A53" s="89"/>
      <c r="B53" s="97" t="s">
        <v>223</v>
      </c>
      <c r="C53" s="84"/>
      <c r="E53" s="77">
        <v>-240</v>
      </c>
    </row>
    <row r="54" spans="1:5" ht="15">
      <c r="A54" s="89"/>
      <c r="B54" s="97"/>
      <c r="C54" s="84"/>
      <c r="D54" s="105" t="s">
        <v>224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154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195</v>
      </c>
      <c r="C59" s="84"/>
      <c r="D59" s="77" t="s">
        <v>225</v>
      </c>
      <c r="E59" s="77">
        <v>-3551.66</v>
      </c>
    </row>
    <row r="60" spans="1:5">
      <c r="A60" s="89"/>
      <c r="B60" s="3" t="s">
        <v>185</v>
      </c>
      <c r="C60" s="84"/>
      <c r="D60" s="77" t="s">
        <v>226</v>
      </c>
      <c r="E60" s="77">
        <v>-649.78</v>
      </c>
    </row>
    <row r="61" spans="1:5">
      <c r="A61" s="89"/>
      <c r="B61" s="3" t="s">
        <v>187</v>
      </c>
      <c r="C61" s="84">
        <v>49.98</v>
      </c>
      <c r="D61" s="77" t="s">
        <v>226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227</v>
      </c>
      <c r="C64" s="84"/>
      <c r="E64" s="77">
        <v>-500</v>
      </c>
    </row>
    <row r="65" spans="1:5">
      <c r="A65" s="89">
        <v>45398</v>
      </c>
      <c r="B65" s="3" t="s">
        <v>228</v>
      </c>
      <c r="C65" s="84"/>
      <c r="E65" s="77">
        <v>-400</v>
      </c>
    </row>
    <row r="66" spans="1:5">
      <c r="A66" s="89">
        <v>45398</v>
      </c>
      <c r="B66" s="3" t="s">
        <v>229</v>
      </c>
      <c r="C66" s="84"/>
      <c r="E66" s="77">
        <v>-48.5</v>
      </c>
    </row>
    <row r="67" spans="1:5">
      <c r="A67" s="89">
        <v>45398</v>
      </c>
      <c r="B67" s="3" t="s">
        <v>228</v>
      </c>
      <c r="C67" s="84"/>
      <c r="E67" s="77">
        <v>-871.29</v>
      </c>
    </row>
    <row r="68" spans="1:5">
      <c r="A68" s="89">
        <v>45398</v>
      </c>
      <c r="B68" s="3" t="s">
        <v>228</v>
      </c>
      <c r="C68" s="84"/>
      <c r="E68" s="77">
        <v>-810.42</v>
      </c>
    </row>
    <row r="69" spans="1:5">
      <c r="A69" s="89">
        <v>45397</v>
      </c>
      <c r="B69" s="3" t="s">
        <v>230</v>
      </c>
      <c r="C69" s="84"/>
      <c r="E69" s="77">
        <v>-240</v>
      </c>
    </row>
    <row r="70" spans="1:5">
      <c r="A70" s="89">
        <v>45388</v>
      </c>
      <c r="B70" s="3" t="s">
        <v>231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230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229</v>
      </c>
      <c r="C76" s="84"/>
      <c r="E76" s="77">
        <v>-34.6</v>
      </c>
    </row>
    <row r="77" spans="1:5">
      <c r="A77" s="89">
        <v>24.4</v>
      </c>
      <c r="B77" s="3" t="s">
        <v>229</v>
      </c>
      <c r="C77" s="84"/>
      <c r="E77" s="77">
        <v>-370.4</v>
      </c>
    </row>
    <row r="78" spans="1:5">
      <c r="A78" s="89">
        <v>45405</v>
      </c>
      <c r="B78" s="3" t="s">
        <v>232</v>
      </c>
      <c r="C78" s="84"/>
      <c r="E78" s="77">
        <v>-1306.8800000000001</v>
      </c>
    </row>
    <row r="79" spans="1:5">
      <c r="A79" s="89">
        <v>45387</v>
      </c>
      <c r="B79" s="3" t="s">
        <v>233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224</v>
      </c>
    </row>
    <row r="101" spans="1:5">
      <c r="A101" s="68" t="s">
        <v>234</v>
      </c>
      <c r="B101" s="69" t="s">
        <v>82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83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235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85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86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236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87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88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237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238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96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239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240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241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242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243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100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101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103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102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79998168889431442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244</v>
      </c>
      <c r="C2" s="79" t="s">
        <v>105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245</v>
      </c>
      <c r="C5" s="80" t="s">
        <v>111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106</v>
      </c>
      <c r="C6" t="s">
        <v>246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190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211</v>
      </c>
      <c r="C10" s="22"/>
      <c r="D10" s="22" t="s">
        <v>249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123</v>
      </c>
      <c r="C11" s="80" t="s">
        <v>124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129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128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250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107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127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253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254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125</v>
      </c>
      <c r="C22" s="84" t="s">
        <v>255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126</v>
      </c>
      <c r="C23" s="84" t="s">
        <v>124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256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257</v>
      </c>
      <c r="C25" s="22" t="s">
        <v>101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257</v>
      </c>
      <c r="C26" s="22" t="s">
        <v>101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257</v>
      </c>
      <c r="C27" s="22" t="s">
        <v>258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257</v>
      </c>
      <c r="C28" s="22" t="s">
        <v>101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259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108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109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83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260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261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133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134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262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263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138</v>
      </c>
    </row>
    <row r="52" spans="1:8">
      <c r="A52" s="70" t="s">
        <v>139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140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141</v>
      </c>
      <c r="C55" s="22"/>
      <c r="D55" s="77">
        <v>874.44</v>
      </c>
      <c r="E55" s="77">
        <v>800</v>
      </c>
    </row>
    <row r="56" spans="1:8">
      <c r="B56" t="s">
        <v>142</v>
      </c>
      <c r="D56" s="77">
        <v>1078.92</v>
      </c>
      <c r="E56" s="77">
        <v>1079</v>
      </c>
    </row>
    <row r="57" spans="1:8">
      <c r="B57" t="s">
        <v>143</v>
      </c>
      <c r="D57" s="77">
        <v>173.45</v>
      </c>
      <c r="E57" s="77">
        <v>172.5</v>
      </c>
    </row>
    <row r="58" spans="1:8">
      <c r="B58" t="s">
        <v>144</v>
      </c>
      <c r="C58" t="s">
        <v>264</v>
      </c>
      <c r="D58" s="77">
        <v>1774</v>
      </c>
      <c r="E58" s="77">
        <v>1774</v>
      </c>
    </row>
    <row r="59" spans="1:8">
      <c r="B59" t="s">
        <v>145</v>
      </c>
      <c r="D59" s="77">
        <v>326.58999999999997</v>
      </c>
      <c r="E59" s="77">
        <v>325</v>
      </c>
    </row>
    <row r="60" spans="1:8">
      <c r="B60" t="s">
        <v>146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147</v>
      </c>
      <c r="C65" s="70"/>
      <c r="E65" s="77">
        <f>SUM(E66:E91)</f>
        <v>-6693.55</v>
      </c>
    </row>
    <row r="67" spans="1:5">
      <c r="A67" s="89">
        <v>45187</v>
      </c>
      <c r="B67" s="84" t="s">
        <v>202</v>
      </c>
      <c r="C67" s="84">
        <v>7648.33</v>
      </c>
      <c r="D67" s="77" t="s">
        <v>169</v>
      </c>
      <c r="E67" s="77">
        <v>-849.81</v>
      </c>
    </row>
    <row r="68" spans="1:5">
      <c r="A68" s="96">
        <v>45348</v>
      </c>
      <c r="B68" t="s">
        <v>174</v>
      </c>
      <c r="C68">
        <v>1406</v>
      </c>
      <c r="D68" s="77" t="s">
        <v>265</v>
      </c>
      <c r="E68" s="77">
        <v>-234.33</v>
      </c>
    </row>
    <row r="69" spans="1:5">
      <c r="A69" s="96">
        <v>45358</v>
      </c>
      <c r="B69" t="s">
        <v>176</v>
      </c>
      <c r="C69">
        <v>2273</v>
      </c>
      <c r="D69" s="77" t="s">
        <v>265</v>
      </c>
      <c r="E69" s="77">
        <v>-378.87</v>
      </c>
    </row>
    <row r="70" spans="1:5">
      <c r="A70" s="96">
        <v>45371</v>
      </c>
      <c r="B70" t="s">
        <v>177</v>
      </c>
      <c r="D70" s="77" t="s">
        <v>266</v>
      </c>
      <c r="E70" s="77">
        <v>101.77</v>
      </c>
    </row>
    <row r="71" spans="1:5">
      <c r="A71" s="96">
        <v>45373</v>
      </c>
      <c r="B71" t="s">
        <v>148</v>
      </c>
      <c r="C71">
        <v>10176.39</v>
      </c>
      <c r="D71" s="77" t="s">
        <v>267</v>
      </c>
      <c r="E71" s="77">
        <v>-1130.71</v>
      </c>
    </row>
    <row r="72" spans="1:5">
      <c r="A72" s="96">
        <v>45375</v>
      </c>
      <c r="B72" t="s">
        <v>150</v>
      </c>
      <c r="C72">
        <v>5999</v>
      </c>
      <c r="D72" s="77" t="s">
        <v>267</v>
      </c>
      <c r="E72" s="77">
        <v>-666.56</v>
      </c>
    </row>
    <row r="73" spans="1:5">
      <c r="A73" s="96"/>
    </row>
    <row r="74" spans="1:5">
      <c r="A74" s="96">
        <v>45347</v>
      </c>
      <c r="B74" t="s">
        <v>268</v>
      </c>
      <c r="E74" s="77">
        <v>-343</v>
      </c>
    </row>
    <row r="75" spans="1:5">
      <c r="A75" s="89">
        <v>45348</v>
      </c>
      <c r="B75" s="84" t="s">
        <v>269</v>
      </c>
      <c r="C75" s="84"/>
      <c r="E75" s="77">
        <v>-150</v>
      </c>
    </row>
    <row r="76" spans="1:5">
      <c r="A76" s="89">
        <v>45351</v>
      </c>
      <c r="B76" s="84" t="s">
        <v>270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271</v>
      </c>
      <c r="C77" s="84"/>
      <c r="E77" s="77">
        <v>-500</v>
      </c>
    </row>
    <row r="78" spans="1:5">
      <c r="A78" s="89">
        <v>45353</v>
      </c>
      <c r="B78" s="97" t="s">
        <v>272</v>
      </c>
      <c r="C78" s="84"/>
      <c r="E78" s="77">
        <v>-600</v>
      </c>
    </row>
    <row r="79" spans="1:5">
      <c r="A79" s="89">
        <v>45354</v>
      </c>
      <c r="B79" s="97" t="s">
        <v>273</v>
      </c>
      <c r="C79" s="84"/>
      <c r="E79" s="77">
        <v>-330</v>
      </c>
    </row>
    <row r="80" spans="1:5">
      <c r="A80" s="89">
        <v>45355</v>
      </c>
      <c r="B80" s="97" t="s">
        <v>274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275</v>
      </c>
      <c r="C81" s="84"/>
      <c r="E81" s="77">
        <v>-50</v>
      </c>
    </row>
    <row r="82" spans="1:5">
      <c r="A82" s="89">
        <v>45356</v>
      </c>
      <c r="B82" s="97" t="s">
        <v>274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276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277</v>
      </c>
      <c r="E85" s="77">
        <v>-294.14</v>
      </c>
    </row>
    <row r="86" spans="1:5">
      <c r="A86" s="89">
        <v>45358</v>
      </c>
      <c r="B86" s="97" t="s">
        <v>274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278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279</v>
      </c>
      <c r="C90" s="84"/>
      <c r="E90" s="77">
        <v>500</v>
      </c>
    </row>
    <row r="91" spans="1:5" ht="15">
      <c r="A91" s="89">
        <v>45374</v>
      </c>
      <c r="B91" s="97" t="s">
        <v>279</v>
      </c>
      <c r="D91" s="105" t="s">
        <v>224</v>
      </c>
    </row>
    <row r="92" spans="1:5" ht="15">
      <c r="A92" s="89"/>
      <c r="B92" s="26" t="s">
        <v>280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154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281</v>
      </c>
      <c r="D99" s="77" t="s">
        <v>282</v>
      </c>
      <c r="E99" s="77">
        <v>-600</v>
      </c>
    </row>
    <row r="100" spans="1:6">
      <c r="A100" s="88">
        <v>45285</v>
      </c>
      <c r="B100" s="84" t="s">
        <v>195</v>
      </c>
      <c r="C100" s="84"/>
      <c r="D100" s="77" t="s">
        <v>283</v>
      </c>
      <c r="E100" s="77">
        <v>-3551.66</v>
      </c>
      <c r="F100" s="77">
        <v>0</v>
      </c>
    </row>
    <row r="101" spans="1:6">
      <c r="A101" s="89"/>
      <c r="B101" s="3" t="s">
        <v>284</v>
      </c>
      <c r="C101" s="84"/>
      <c r="D101" s="77" t="s">
        <v>285</v>
      </c>
      <c r="E101" s="77">
        <v>-649.78</v>
      </c>
      <c r="F101" s="77">
        <v>0</v>
      </c>
    </row>
    <row r="102" spans="1:6">
      <c r="A102" s="89"/>
      <c r="B102" s="3" t="s">
        <v>187</v>
      </c>
      <c r="C102" s="84">
        <v>49.98</v>
      </c>
      <c r="D102" s="77" t="s">
        <v>285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286</v>
      </c>
      <c r="C104" s="84"/>
      <c r="E104" s="77">
        <v>-1750</v>
      </c>
    </row>
    <row r="105" spans="1:6" ht="15">
      <c r="A105" s="89"/>
      <c r="B105" s="3"/>
      <c r="C105" s="84"/>
      <c r="D105" s="105" t="s">
        <v>224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287</v>
      </c>
      <c r="B111" s="69" t="s">
        <v>82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83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235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85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86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236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87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88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237</v>
      </c>
      <c r="C119" s="2" t="s">
        <v>288</v>
      </c>
      <c r="D119" s="2"/>
      <c r="E119" s="62">
        <v>110122</v>
      </c>
    </row>
    <row r="120" spans="1:5">
      <c r="A120" s="73">
        <f t="shared" si="1"/>
        <v>45383</v>
      </c>
      <c r="B120" t="s">
        <v>96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240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241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242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243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100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101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103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102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7" zoomScale="175" zoomScaleNormal="175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B2" s="3" t="s">
        <v>289</v>
      </c>
      <c r="C2" s="79" t="s">
        <v>105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290</v>
      </c>
      <c r="C4" s="80" t="s">
        <v>111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129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128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292</v>
      </c>
      <c r="C10" s="22" t="s">
        <v>293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292</v>
      </c>
      <c r="C11" s="22" t="s">
        <v>293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294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294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295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123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127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125</v>
      </c>
      <c r="C17" s="84" t="s">
        <v>124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126</v>
      </c>
      <c r="C18" s="84" t="s">
        <v>124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134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83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296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84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133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135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108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109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138</v>
      </c>
      <c r="G32" s="54"/>
      <c r="H32" s="54"/>
    </row>
    <row r="33" spans="1:8">
      <c r="A33" s="70"/>
      <c r="B33" s="70" t="s">
        <v>139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141</v>
      </c>
      <c r="C36" s="22"/>
      <c r="D36" s="22">
        <v>967.68</v>
      </c>
      <c r="E36" s="92">
        <v>970</v>
      </c>
      <c r="H36" s="54"/>
    </row>
    <row r="37" spans="1:8">
      <c r="B37" s="22" t="s">
        <v>297</v>
      </c>
      <c r="C37" s="22" t="s">
        <v>298</v>
      </c>
      <c r="D37" s="22">
        <v>1224.42</v>
      </c>
      <c r="E37" s="92">
        <v>1225</v>
      </c>
      <c r="F37" s="54"/>
      <c r="G37" s="54"/>
    </row>
    <row r="38" spans="1:8">
      <c r="B38" s="22" t="s">
        <v>143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299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147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202</v>
      </c>
      <c r="C47" s="84">
        <v>7648.33</v>
      </c>
      <c r="D47" s="95" t="s">
        <v>300</v>
      </c>
      <c r="E47" s="77">
        <v>-849.81</v>
      </c>
      <c r="G47" s="54"/>
      <c r="H47" s="54"/>
    </row>
    <row r="48" spans="1:8">
      <c r="A48" s="89">
        <v>45187</v>
      </c>
      <c r="B48" s="84" t="s">
        <v>301</v>
      </c>
      <c r="C48" s="84">
        <v>11128</v>
      </c>
      <c r="D48" s="95" t="s">
        <v>175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277</v>
      </c>
      <c r="E49" s="77">
        <v>-453.4</v>
      </c>
      <c r="G49" s="54"/>
      <c r="H49" s="54"/>
    </row>
    <row r="50" spans="1:8">
      <c r="A50" s="96">
        <v>45326</v>
      </c>
      <c r="B50" t="s">
        <v>302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303</v>
      </c>
      <c r="E52" s="77">
        <v>-900</v>
      </c>
      <c r="G52" s="54"/>
      <c r="H52" s="54"/>
    </row>
    <row r="53" spans="1:8">
      <c r="A53" s="96">
        <v>45330</v>
      </c>
      <c r="B53" t="s">
        <v>304</v>
      </c>
      <c r="E53" s="77">
        <v>-116.38</v>
      </c>
      <c r="G53" s="54"/>
      <c r="H53" s="54"/>
    </row>
    <row r="54" spans="1:8">
      <c r="A54" s="89">
        <v>45331</v>
      </c>
      <c r="B54" s="84" t="s">
        <v>274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274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274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274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224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154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308</v>
      </c>
      <c r="C67" s="84"/>
      <c r="D67" s="95" t="s">
        <v>309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281</v>
      </c>
      <c r="D68" s="95" t="s">
        <v>310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195</v>
      </c>
      <c r="C69" s="84"/>
      <c r="D69" s="95" t="s">
        <v>311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312</v>
      </c>
      <c r="C70" s="110">
        <v>-1204.5</v>
      </c>
      <c r="D70" s="95" t="s">
        <v>313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314</v>
      </c>
      <c r="C71" s="110">
        <v>-148.6</v>
      </c>
      <c r="D71" s="95" t="s">
        <v>313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315</v>
      </c>
      <c r="C72" s="110">
        <v>-244.8</v>
      </c>
      <c r="D72" s="95" t="s">
        <v>313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316</v>
      </c>
      <c r="C73" s="110">
        <v>-532.6</v>
      </c>
      <c r="D73" s="95" t="s">
        <v>313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317</v>
      </c>
      <c r="E74" s="77">
        <v>-449.5</v>
      </c>
      <c r="F74" s="54"/>
      <c r="G74" s="54"/>
      <c r="H74" s="54"/>
    </row>
    <row r="75" spans="1:8">
      <c r="A75" s="88"/>
      <c r="B75" s="84" t="s">
        <v>318</v>
      </c>
      <c r="C75" s="84"/>
      <c r="D75" s="128" t="s">
        <v>317</v>
      </c>
      <c r="E75" s="77">
        <v>-299.64</v>
      </c>
      <c r="F75" s="54"/>
      <c r="G75" s="54"/>
      <c r="H75" s="54"/>
    </row>
    <row r="76" spans="1:8">
      <c r="A76" s="88"/>
      <c r="B76" s="84" t="s">
        <v>319</v>
      </c>
      <c r="C76" s="84"/>
      <c r="D76" s="128" t="s">
        <v>317</v>
      </c>
      <c r="E76" s="77">
        <v>-546.82000000000005</v>
      </c>
      <c r="F76" s="54"/>
      <c r="G76" s="54"/>
      <c r="H76" s="54"/>
    </row>
    <row r="77" spans="1:8">
      <c r="A77" s="89"/>
      <c r="B77" s="3" t="s">
        <v>185</v>
      </c>
      <c r="C77" s="84"/>
      <c r="D77" s="128" t="s">
        <v>320</v>
      </c>
      <c r="E77" s="77">
        <v>-649.78</v>
      </c>
      <c r="F77" s="54"/>
      <c r="G77" s="54"/>
      <c r="H77" s="54"/>
    </row>
    <row r="78" spans="1:8">
      <c r="A78" s="89"/>
      <c r="B78" s="3" t="s">
        <v>187</v>
      </c>
      <c r="C78" s="84">
        <v>49.98</v>
      </c>
      <c r="D78" s="128" t="s">
        <v>320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166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224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324</v>
      </c>
      <c r="B108" s="69" t="s">
        <v>82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83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325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236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87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237</v>
      </c>
      <c r="C116" s="2" t="s">
        <v>326</v>
      </c>
      <c r="D116" s="2"/>
      <c r="E116" s="62">
        <v>129254.5</v>
      </c>
    </row>
    <row r="117" spans="1:5">
      <c r="A117" s="73">
        <f t="shared" si="1"/>
        <v>45352</v>
      </c>
      <c r="B117" t="s">
        <v>327</v>
      </c>
      <c r="C117" s="2" t="s">
        <v>328</v>
      </c>
      <c r="D117" s="2"/>
      <c r="E117" s="62">
        <v>256.56</v>
      </c>
    </row>
    <row r="118" spans="1:5">
      <c r="A118" s="73">
        <f t="shared" si="1"/>
        <v>45352</v>
      </c>
      <c r="B118" t="s">
        <v>329</v>
      </c>
      <c r="C118" s="73" t="s">
        <v>330</v>
      </c>
      <c r="D118" s="74"/>
      <c r="E118" s="62">
        <v>0</v>
      </c>
    </row>
    <row r="119" spans="1:5">
      <c r="A119" s="73">
        <f t="shared" si="1"/>
        <v>45352</v>
      </c>
      <c r="B119" t="s">
        <v>331</v>
      </c>
      <c r="C119" s="73" t="s">
        <v>332</v>
      </c>
      <c r="D119" s="74"/>
      <c r="E119" s="62">
        <v>588.6</v>
      </c>
    </row>
    <row r="120" spans="1:5">
      <c r="A120" s="73">
        <f t="shared" si="1"/>
        <v>45352</v>
      </c>
      <c r="B120" t="s">
        <v>333</v>
      </c>
      <c r="C120" s="73"/>
      <c r="D120" s="74"/>
      <c r="E120" s="62"/>
    </row>
    <row r="121" spans="1:5">
      <c r="A121" s="73">
        <f t="shared" si="1"/>
        <v>45352</v>
      </c>
      <c r="B121" t="s">
        <v>96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242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101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103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102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14" zoomScale="190" zoomScaleNormal="19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31</v>
      </c>
      <c r="G1" s="121" t="s">
        <v>32</v>
      </c>
      <c r="H1" s="121" t="s">
        <v>4</v>
      </c>
    </row>
    <row r="2" spans="1:8">
      <c r="A2" s="3" t="s">
        <v>337</v>
      </c>
      <c r="C2" s="79" t="s">
        <v>105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106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132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107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338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339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128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129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340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341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341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342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343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344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126</v>
      </c>
      <c r="C17" s="84" t="s">
        <v>345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123</v>
      </c>
      <c r="C18" s="80" t="s">
        <v>124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127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125</v>
      </c>
      <c r="C20" s="84" t="s">
        <v>346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135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83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84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133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134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295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108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109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347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138</v>
      </c>
      <c r="G33" s="54"/>
      <c r="H33" s="108"/>
    </row>
    <row r="34" spans="1:8">
      <c r="A34" s="70" t="s">
        <v>139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140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141</v>
      </c>
      <c r="C37" s="22"/>
      <c r="D37" s="2">
        <v>999.4</v>
      </c>
      <c r="E37" s="110">
        <v>999.4</v>
      </c>
      <c r="H37" s="54"/>
    </row>
    <row r="38" spans="1:8">
      <c r="B38" t="s">
        <v>142</v>
      </c>
      <c r="D38" s="2">
        <v>876.64</v>
      </c>
      <c r="E38" s="110">
        <v>875</v>
      </c>
      <c r="F38" s="54"/>
      <c r="G38" s="54"/>
    </row>
    <row r="39" spans="1:8">
      <c r="B39" t="s">
        <v>143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348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145</v>
      </c>
      <c r="D41" s="2">
        <v>483.72</v>
      </c>
      <c r="E41" s="110">
        <v>483</v>
      </c>
      <c r="F41" s="54"/>
      <c r="G41" s="54"/>
    </row>
    <row r="42" spans="1:8">
      <c r="B42" t="s">
        <v>146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147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349</v>
      </c>
      <c r="C50" s="84">
        <v>10764.57</v>
      </c>
      <c r="D50" s="26" t="s">
        <v>153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202</v>
      </c>
      <c r="C51" s="84">
        <v>7648.33</v>
      </c>
      <c r="D51" s="139" t="s">
        <v>178</v>
      </c>
      <c r="E51" s="108">
        <v>-849.81</v>
      </c>
      <c r="G51" s="54"/>
      <c r="H51" s="54"/>
    </row>
    <row r="52" spans="1:8">
      <c r="A52" s="89">
        <v>45187</v>
      </c>
      <c r="B52" s="84" t="s">
        <v>301</v>
      </c>
      <c r="C52" s="84">
        <v>11128</v>
      </c>
      <c r="D52" s="139" t="s">
        <v>182</v>
      </c>
      <c r="E52" s="108">
        <v>-1854.67</v>
      </c>
      <c r="G52" s="54"/>
      <c r="H52" s="54"/>
    </row>
    <row r="53" spans="1:8" ht="15">
      <c r="D53" s="105" t="s">
        <v>224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154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308</v>
      </c>
      <c r="C66" s="84"/>
      <c r="D66" t="s">
        <v>350</v>
      </c>
      <c r="E66" s="108">
        <v>-3974.44</v>
      </c>
      <c r="G66" s="54"/>
      <c r="H66" s="54"/>
    </row>
    <row r="67" spans="1:8">
      <c r="A67" s="88">
        <v>45214</v>
      </c>
      <c r="B67" t="s">
        <v>281</v>
      </c>
      <c r="D67" t="s">
        <v>351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195</v>
      </c>
      <c r="C68" s="84"/>
      <c r="D68" t="s">
        <v>352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312</v>
      </c>
      <c r="C69" s="110">
        <v>-1204.5</v>
      </c>
      <c r="D69" t="s">
        <v>353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-148.6</v>
      </c>
      <c r="D70" t="s">
        <v>353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-244.8</v>
      </c>
      <c r="D71" t="s">
        <v>353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-532.6</v>
      </c>
      <c r="D72" t="s">
        <v>353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354</v>
      </c>
      <c r="E73" s="108">
        <v>-449.5</v>
      </c>
      <c r="F73" s="54"/>
      <c r="G73" s="54"/>
      <c r="H73" s="54"/>
    </row>
    <row r="74" spans="1:8">
      <c r="A74" s="88"/>
      <c r="B74" s="84" t="s">
        <v>318</v>
      </c>
      <c r="C74" s="84"/>
      <c r="D74" t="s">
        <v>354</v>
      </c>
      <c r="E74" s="108">
        <v>-299.64</v>
      </c>
      <c r="F74" s="54"/>
      <c r="G74" s="54"/>
      <c r="H74" s="54"/>
    </row>
    <row r="75" spans="1:8">
      <c r="A75" s="88"/>
      <c r="B75" s="84" t="s">
        <v>319</v>
      </c>
      <c r="C75" s="84"/>
      <c r="D75" t="s">
        <v>354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355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356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355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357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358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358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359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360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361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361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357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362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363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277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364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277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365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366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367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368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369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370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371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372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372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373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224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374</v>
      </c>
      <c r="B111" s="69" t="s">
        <v>82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375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236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87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88</v>
      </c>
      <c r="C118" s="2" t="s">
        <v>376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237</v>
      </c>
      <c r="C119" s="2" t="s">
        <v>326</v>
      </c>
      <c r="D119" s="2"/>
      <c r="E119" s="62">
        <v>129254.5</v>
      </c>
    </row>
    <row r="120" spans="1:6">
      <c r="A120" s="73">
        <f t="shared" si="1"/>
        <v>45352</v>
      </c>
      <c r="B120" t="s">
        <v>327</v>
      </c>
      <c r="C120" s="2" t="s">
        <v>328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329</v>
      </c>
      <c r="C121" s="73" t="s">
        <v>377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331</v>
      </c>
      <c r="C122" s="73" t="s">
        <v>332</v>
      </c>
      <c r="D122" s="74"/>
      <c r="E122" s="62">
        <v>588.6</v>
      </c>
    </row>
    <row r="123" spans="1:6">
      <c r="A123" s="73">
        <f t="shared" si="1"/>
        <v>45352</v>
      </c>
      <c r="B123" t="s">
        <v>333</v>
      </c>
      <c r="C123" s="73"/>
      <c r="D123" s="74"/>
      <c r="E123" s="62"/>
    </row>
    <row r="124" spans="1:6">
      <c r="A124" s="73">
        <f t="shared" si="1"/>
        <v>45352</v>
      </c>
      <c r="B124" t="s">
        <v>96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242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103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102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31</v>
      </c>
      <c r="G1" s="108" t="s">
        <v>32</v>
      </c>
      <c r="H1" s="108" t="s">
        <v>4</v>
      </c>
    </row>
    <row r="2" spans="1:8">
      <c r="A2" s="3" t="s">
        <v>104</v>
      </c>
      <c r="C2" s="108" t="s">
        <v>105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106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107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378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123</v>
      </c>
      <c r="C8" s="108" t="s">
        <v>124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125</v>
      </c>
      <c r="C9" s="108" t="s">
        <v>124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126</v>
      </c>
      <c r="C10" s="108" t="s">
        <v>124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127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128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129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379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379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380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83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84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133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108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109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381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134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135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382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383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384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347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385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386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386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387</v>
      </c>
      <c r="F36" s="130">
        <v>24000</v>
      </c>
      <c r="H36" s="108">
        <f t="shared" si="0"/>
        <v>137234.37</v>
      </c>
    </row>
    <row r="37" spans="1:8">
      <c r="A37" s="88"/>
      <c r="B37" t="s">
        <v>388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388</v>
      </c>
      <c r="G38" s="108">
        <v>-1000</v>
      </c>
      <c r="H38" s="108">
        <f t="shared" si="0"/>
        <v>132234.37</v>
      </c>
    </row>
    <row r="39" spans="1:8">
      <c r="A39" s="88"/>
      <c r="B39" t="s">
        <v>389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390</v>
      </c>
      <c r="H41" s="108">
        <f t="shared" si="0"/>
        <v>128534.37</v>
      </c>
    </row>
    <row r="42" spans="1:8">
      <c r="B42" t="s">
        <v>391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138</v>
      </c>
    </row>
    <row r="47" spans="1:8">
      <c r="A47" s="70" t="s">
        <v>139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140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141</v>
      </c>
      <c r="C50" s="108" t="s">
        <v>392</v>
      </c>
      <c r="D50" s="108">
        <v>1329.72</v>
      </c>
      <c r="E50" s="108">
        <v>1330</v>
      </c>
    </row>
    <row r="51" spans="1:5">
      <c r="B51" t="s">
        <v>393</v>
      </c>
      <c r="D51" s="108">
        <v>1282.42</v>
      </c>
      <c r="E51" s="108">
        <v>1250</v>
      </c>
    </row>
    <row r="52" spans="1:5">
      <c r="B52" t="s">
        <v>143</v>
      </c>
      <c r="D52" s="108">
        <v>298.67</v>
      </c>
      <c r="E52" s="108">
        <v>298.5</v>
      </c>
    </row>
    <row r="53" spans="1:5">
      <c r="B53" t="s">
        <v>394</v>
      </c>
      <c r="D53" s="108">
        <v>1204.3800000000001</v>
      </c>
      <c r="E53" s="108">
        <v>1205</v>
      </c>
    </row>
    <row r="54" spans="1:5">
      <c r="B54" t="s">
        <v>145</v>
      </c>
      <c r="D54" s="108">
        <v>487.82</v>
      </c>
      <c r="E54" s="108">
        <v>490</v>
      </c>
    </row>
    <row r="55" spans="1:5">
      <c r="B55" t="s">
        <v>146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147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349</v>
      </c>
      <c r="C63" s="108">
        <v>10764.57</v>
      </c>
      <c r="D63" s="108" t="s">
        <v>395</v>
      </c>
      <c r="E63" s="108">
        <v>-1196.06</v>
      </c>
    </row>
    <row r="64" spans="1:5">
      <c r="A64" s="89">
        <v>45187</v>
      </c>
      <c r="B64" s="84" t="s">
        <v>202</v>
      </c>
      <c r="C64" s="108">
        <v>7648.33</v>
      </c>
      <c r="D64" s="108" t="s">
        <v>184</v>
      </c>
      <c r="E64" s="108">
        <v>-849.81</v>
      </c>
    </row>
    <row r="65" spans="1:5">
      <c r="A65" s="89">
        <v>45187</v>
      </c>
      <c r="B65" s="84" t="s">
        <v>301</v>
      </c>
      <c r="C65" s="108">
        <v>11128</v>
      </c>
      <c r="D65" s="108" t="s">
        <v>191</v>
      </c>
      <c r="E65" s="108">
        <v>-1854.67</v>
      </c>
    </row>
    <row r="66" spans="1:5">
      <c r="A66" s="73">
        <v>44995</v>
      </c>
      <c r="B66" t="s">
        <v>396</v>
      </c>
      <c r="C66" s="108">
        <v>613.91</v>
      </c>
      <c r="D66" s="108" t="s">
        <v>397</v>
      </c>
      <c r="E66" s="108">
        <v>-61.4</v>
      </c>
    </row>
    <row r="67" spans="1:5">
      <c r="D67" s="108" t="s">
        <v>224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154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308</v>
      </c>
      <c r="D79" s="108" t="s">
        <v>398</v>
      </c>
      <c r="E79" s="108">
        <v>-3974.44</v>
      </c>
    </row>
    <row r="80" spans="1:5">
      <c r="A80" s="88">
        <v>45214</v>
      </c>
      <c r="B80" t="s">
        <v>281</v>
      </c>
      <c r="D80" s="108" t="s">
        <v>283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312</v>
      </c>
      <c r="C82" s="108">
        <v>-1204.5</v>
      </c>
      <c r="D82" s="108" t="s">
        <v>399</v>
      </c>
      <c r="E82" s="108">
        <v>-401.5</v>
      </c>
    </row>
    <row r="83" spans="1:5">
      <c r="A83" s="88">
        <v>45259</v>
      </c>
      <c r="B83" t="s">
        <v>314</v>
      </c>
      <c r="C83" s="108">
        <v>-148.6</v>
      </c>
      <c r="D83" s="108" t="s">
        <v>399</v>
      </c>
      <c r="E83" s="108">
        <v>-49.53</v>
      </c>
    </row>
    <row r="84" spans="1:5">
      <c r="A84" s="88">
        <v>45259</v>
      </c>
      <c r="B84" t="s">
        <v>315</v>
      </c>
      <c r="C84" s="108">
        <v>-244.8</v>
      </c>
      <c r="D84" s="108" t="s">
        <v>399</v>
      </c>
      <c r="E84" s="108">
        <v>-81.599999999999994</v>
      </c>
    </row>
    <row r="85" spans="1:5">
      <c r="A85" s="88">
        <v>45259</v>
      </c>
      <c r="B85" t="s">
        <v>316</v>
      </c>
      <c r="C85" s="108">
        <v>-532.6</v>
      </c>
      <c r="D85" s="108" t="s">
        <v>399</v>
      </c>
      <c r="E85" s="108">
        <v>-177.53</v>
      </c>
    </row>
    <row r="86" spans="1:5">
      <c r="A86" s="88">
        <v>45285</v>
      </c>
      <c r="B86" s="84" t="s">
        <v>195</v>
      </c>
    </row>
    <row r="87" spans="1:5">
      <c r="A87" s="89"/>
      <c r="B87" s="3" t="s">
        <v>400</v>
      </c>
      <c r="C87" s="108">
        <v>109.92</v>
      </c>
    </row>
    <row r="88" spans="1:5">
      <c r="A88" s="89">
        <v>45283</v>
      </c>
      <c r="B88" s="3" t="s">
        <v>355</v>
      </c>
      <c r="E88" s="108">
        <v>-90</v>
      </c>
    </row>
    <row r="89" spans="1:5">
      <c r="A89" s="89">
        <v>45283</v>
      </c>
      <c r="B89" s="3" t="s">
        <v>270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270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355</v>
      </c>
      <c r="E91" s="108">
        <v>-110</v>
      </c>
    </row>
    <row r="92" spans="1:5">
      <c r="A92" s="89">
        <v>45281</v>
      </c>
      <c r="B92" s="3" t="s">
        <v>270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270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401</v>
      </c>
      <c r="E94" s="108">
        <v>-260</v>
      </c>
    </row>
    <row r="95" spans="1:5">
      <c r="A95" s="89">
        <v>45278</v>
      </c>
      <c r="B95" s="3" t="s">
        <v>270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402</v>
      </c>
      <c r="E96" s="108">
        <v>-300</v>
      </c>
    </row>
    <row r="97" spans="1:5">
      <c r="A97" s="89">
        <v>45276</v>
      </c>
      <c r="B97" s="3" t="s">
        <v>270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403</v>
      </c>
      <c r="E98" s="108">
        <v>-470</v>
      </c>
    </row>
    <row r="99" spans="1:5">
      <c r="A99" s="89">
        <v>45275</v>
      </c>
      <c r="B99" s="3" t="s">
        <v>404</v>
      </c>
      <c r="E99" s="108">
        <v>-285</v>
      </c>
    </row>
    <row r="100" spans="1:5">
      <c r="A100" s="89">
        <v>45274</v>
      </c>
      <c r="B100" s="3" t="s">
        <v>270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405</v>
      </c>
      <c r="E101" s="108">
        <v>-1108.1500000000001</v>
      </c>
    </row>
    <row r="102" spans="1:5">
      <c r="A102" s="89">
        <v>45271</v>
      </c>
      <c r="B102" s="3" t="s">
        <v>270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406</v>
      </c>
      <c r="E103" s="108">
        <v>-1551.29</v>
      </c>
    </row>
    <row r="104" spans="1:5">
      <c r="A104" s="89">
        <v>45270</v>
      </c>
      <c r="B104" s="3" t="s">
        <v>407</v>
      </c>
      <c r="E104" s="108">
        <v>-315.10000000000002</v>
      </c>
    </row>
    <row r="105" spans="1:5">
      <c r="A105" s="89">
        <v>45267</v>
      </c>
      <c r="B105" s="3" t="s">
        <v>355</v>
      </c>
      <c r="E105" s="108">
        <v>-300</v>
      </c>
    </row>
    <row r="106" spans="1:5">
      <c r="A106" s="89">
        <v>45266</v>
      </c>
      <c r="B106" s="3" t="s">
        <v>270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270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270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270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270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270</v>
      </c>
      <c r="C112" s="108">
        <f>E112</f>
        <v>-160</v>
      </c>
      <c r="E112" s="108">
        <v>-160</v>
      </c>
    </row>
    <row r="113" spans="1:5">
      <c r="D113" s="108" t="s">
        <v>224</v>
      </c>
    </row>
    <row r="114" spans="1:5">
      <c r="B114" s="61" t="s">
        <v>280</v>
      </c>
      <c r="C114" s="108">
        <f>SUM(C89:C113)</f>
        <v>-2400.41</v>
      </c>
    </row>
    <row r="118" spans="1:5">
      <c r="A118" s="68" t="s">
        <v>408</v>
      </c>
      <c r="B118" s="69" t="s">
        <v>82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409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236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87</v>
      </c>
      <c r="D124" s="2"/>
      <c r="E124" s="62">
        <v>0</v>
      </c>
    </row>
    <row r="125" spans="1:5">
      <c r="A125" s="73">
        <v>45327</v>
      </c>
      <c r="B125" t="s">
        <v>88</v>
      </c>
      <c r="C125" s="2" t="s">
        <v>410</v>
      </c>
      <c r="D125" s="2"/>
      <c r="E125" s="62">
        <v>132120.79</v>
      </c>
    </row>
    <row r="126" spans="1:5">
      <c r="A126" s="73">
        <f>A125</f>
        <v>45327</v>
      </c>
      <c r="B126" t="s">
        <v>411</v>
      </c>
      <c r="C126" s="2"/>
      <c r="D126" s="2"/>
      <c r="E126" s="62">
        <v>0</v>
      </c>
    </row>
    <row r="127" spans="1:5">
      <c r="A127" s="73">
        <v>45327</v>
      </c>
      <c r="B127" t="s">
        <v>412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413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96</v>
      </c>
      <c r="C129" s="2"/>
      <c r="D129" s="2"/>
      <c r="E129" s="62">
        <v>500</v>
      </c>
    </row>
    <row r="130" spans="1:5">
      <c r="A130" s="73">
        <v>45327</v>
      </c>
      <c r="B130" t="s">
        <v>414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415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242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416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101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102</v>
      </c>
      <c r="E136" s="113">
        <f>H2</f>
        <v>128534.37000000002</v>
      </c>
    </row>
    <row r="137" spans="1:5">
      <c r="D137" s="3"/>
    </row>
    <row r="138" spans="1:5">
      <c r="D138" s="61" t="s">
        <v>103</v>
      </c>
      <c r="E138" s="8">
        <f>SUM(E119:E135)</f>
        <v>813151.51</v>
      </c>
    </row>
    <row r="140" spans="1:5">
      <c r="B140" t="s">
        <v>417</v>
      </c>
    </row>
    <row r="141" spans="1:5">
      <c r="A141" s="96">
        <v>45317</v>
      </c>
      <c r="B141" t="s">
        <v>418</v>
      </c>
      <c r="C141" s="108">
        <v>12500</v>
      </c>
      <c r="D141" s="108" t="s">
        <v>419</v>
      </c>
      <c r="E141" s="108">
        <v>10000</v>
      </c>
    </row>
    <row r="142" spans="1:5">
      <c r="B142" t="s">
        <v>418</v>
      </c>
      <c r="C142" s="108">
        <v>13400</v>
      </c>
      <c r="D142" s="108" t="s">
        <v>96</v>
      </c>
      <c r="E142" s="108">
        <v>25000</v>
      </c>
    </row>
    <row r="143" spans="1:5">
      <c r="B143" t="s">
        <v>418</v>
      </c>
      <c r="C143" s="108">
        <v>13700</v>
      </c>
      <c r="D143" s="108" t="s">
        <v>420</v>
      </c>
      <c r="E143" s="108">
        <v>10400</v>
      </c>
    </row>
    <row r="144" spans="1:5">
      <c r="B144" t="s">
        <v>418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421</v>
      </c>
      <c r="C146" s="108">
        <v>14400</v>
      </c>
    </row>
    <row r="147" spans="2:4">
      <c r="B147" t="s">
        <v>422</v>
      </c>
      <c r="C147" s="108">
        <v>2800</v>
      </c>
      <c r="D147" s="108">
        <f>SUM(C146:C147)</f>
        <v>17200</v>
      </c>
    </row>
    <row r="148" spans="2:4">
      <c r="B148" t="s">
        <v>423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30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46" t="s">
        <v>424</v>
      </c>
      <c r="L2" s="147" t="s">
        <v>425</v>
      </c>
      <c r="M2" s="21" t="s">
        <v>35</v>
      </c>
      <c r="N2" s="78">
        <f>F26/1000</f>
        <v>356.02226999999999</v>
      </c>
    </row>
    <row r="3" spans="1:14">
      <c r="A3" s="22" t="s">
        <v>36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37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38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39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40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41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42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43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44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45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46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47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48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49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50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51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52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53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54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55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56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57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58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59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60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426</v>
      </c>
      <c r="M17" s="165">
        <f>L15+M15</f>
        <v>627.48372256000005</v>
      </c>
    </row>
    <row r="18" spans="2:13" ht="15">
      <c r="D18" s="55" t="s">
        <v>61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427</v>
      </c>
      <c r="M18" s="57">
        <f>M17/12</f>
        <v>52.290310213333335</v>
      </c>
    </row>
    <row r="19" spans="2:13" ht="15">
      <c r="C19" s="58"/>
      <c r="D19" s="59" t="s">
        <v>63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428</v>
      </c>
    </row>
    <row r="20" spans="2:13" ht="15">
      <c r="C20" s="58"/>
      <c r="D20" s="59" t="s">
        <v>429</v>
      </c>
      <c r="E20" s="60">
        <v>7000</v>
      </c>
      <c r="G20" s="65"/>
    </row>
    <row r="21" spans="2:13" ht="14.25">
      <c r="D21" s="61" t="s">
        <v>64</v>
      </c>
      <c r="E21" s="62">
        <f>SUM(E18:E20)</f>
        <v>91141.08</v>
      </c>
      <c r="F21" s="67">
        <f>SUM(F18:F19)</f>
        <v>6986.25</v>
      </c>
      <c r="G21" s="67" t="s">
        <v>430</v>
      </c>
    </row>
    <row r="26" spans="2:13">
      <c r="B26" s="70"/>
      <c r="C26" s="69" t="s">
        <v>431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83</v>
      </c>
      <c r="F27">
        <v>32000</v>
      </c>
    </row>
    <row r="28" spans="2:13">
      <c r="B28" s="89">
        <v>45291</v>
      </c>
      <c r="C28" t="s">
        <v>84</v>
      </c>
      <c r="F28">
        <v>40000</v>
      </c>
    </row>
    <row r="29" spans="2:13">
      <c r="B29" s="89">
        <v>45291</v>
      </c>
      <c r="C29" t="s">
        <v>85</v>
      </c>
      <c r="F29">
        <v>40162.18</v>
      </c>
    </row>
    <row r="30" spans="2:13">
      <c r="B30" s="89">
        <v>45291</v>
      </c>
      <c r="C30" t="s">
        <v>86</v>
      </c>
      <c r="F30">
        <v>44912.09</v>
      </c>
    </row>
    <row r="31" spans="2:13">
      <c r="B31" s="89">
        <v>45291</v>
      </c>
      <c r="C31" t="s">
        <v>156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159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433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434</v>
      </c>
      <c r="F5" s="62"/>
      <c r="G5" s="2">
        <f t="shared" si="0"/>
        <v>-1000</v>
      </c>
    </row>
    <row r="6" spans="2:7">
      <c r="B6" s="1">
        <v>44873</v>
      </c>
      <c r="C6" t="s">
        <v>435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433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436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433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437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438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439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439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440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441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442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443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444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445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446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447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448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449</v>
      </c>
      <c r="E25" s="2">
        <v>2258</v>
      </c>
      <c r="F25" s="62"/>
      <c r="G25" s="2">
        <f t="shared" si="0"/>
        <v>1535.9999999999993</v>
      </c>
    </row>
    <row r="26" spans="2:7">
      <c r="C26" t="s">
        <v>450</v>
      </c>
      <c r="E26" s="2">
        <v>613</v>
      </c>
      <c r="F26" s="4"/>
      <c r="G26" s="2">
        <f t="shared" si="0"/>
        <v>2148.9999999999991</v>
      </c>
    </row>
    <row r="27" spans="2:7">
      <c r="C27" t="s">
        <v>451</v>
      </c>
      <c r="E27" s="2">
        <v>720</v>
      </c>
      <c r="F27" s="4"/>
      <c r="G27" s="2">
        <f t="shared" si="0"/>
        <v>2868.9999999999991</v>
      </c>
    </row>
    <row r="28" spans="2:7">
      <c r="C28" t="s">
        <v>452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454</v>
      </c>
      <c r="E30" s="2">
        <v>2650</v>
      </c>
      <c r="F30" s="4"/>
      <c r="G30" s="2">
        <f t="shared" si="0"/>
        <v>3982.9999999999991</v>
      </c>
    </row>
    <row r="31" spans="2:7">
      <c r="C31" t="s">
        <v>455</v>
      </c>
      <c r="E31" s="2">
        <v>1356</v>
      </c>
      <c r="F31" s="4"/>
      <c r="G31" s="2">
        <f t="shared" si="0"/>
        <v>5338.9999999999991</v>
      </c>
    </row>
    <row r="32" spans="2:7">
      <c r="C32" t="s">
        <v>455</v>
      </c>
      <c r="E32" s="2">
        <v>869</v>
      </c>
      <c r="F32" s="4"/>
      <c r="G32" s="2">
        <f t="shared" si="0"/>
        <v>6207.9999999999991</v>
      </c>
    </row>
    <row r="33" spans="2:7">
      <c r="C33" t="s">
        <v>456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457</v>
      </c>
      <c r="F34" s="4">
        <v>3450</v>
      </c>
      <c r="G34" s="2">
        <f t="shared" si="0"/>
        <v>2757.9999999999991</v>
      </c>
    </row>
    <row r="35" spans="2:7">
      <c r="C35" t="s">
        <v>458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459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460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463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466</v>
      </c>
      <c r="E46" s="2">
        <v>573</v>
      </c>
      <c r="G46" s="2">
        <f t="shared" si="1"/>
        <v>4931</v>
      </c>
    </row>
    <row r="47" spans="2:7">
      <c r="C47" t="s">
        <v>467</v>
      </c>
      <c r="D47">
        <v>1500</v>
      </c>
      <c r="G47" s="2">
        <f t="shared" si="1"/>
        <v>4931</v>
      </c>
    </row>
    <row r="48" spans="2:7">
      <c r="C48" t="s">
        <v>468</v>
      </c>
      <c r="E48" s="2">
        <v>1207</v>
      </c>
      <c r="G48" s="2">
        <f t="shared" si="1"/>
        <v>6138</v>
      </c>
    </row>
    <row r="49" spans="2:7">
      <c r="C49" t="s">
        <v>469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470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477</v>
      </c>
      <c r="E61" s="176" t="s">
        <v>478</v>
      </c>
      <c r="F61" s="176" t="s">
        <v>479</v>
      </c>
      <c r="G61" s="177" t="s">
        <v>479</v>
      </c>
    </row>
    <row r="62" spans="2:7">
      <c r="D62" s="175" t="s">
        <v>480</v>
      </c>
      <c r="E62" s="176" t="s">
        <v>481</v>
      </c>
      <c r="F62" s="176" t="s">
        <v>482</v>
      </c>
      <c r="G62" s="178" t="s">
        <v>483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484</v>
      </c>
    </row>
    <row r="3" spans="2:9">
      <c r="D3" s="181" t="s">
        <v>485</v>
      </c>
      <c r="E3" s="108" t="s">
        <v>486</v>
      </c>
      <c r="F3" s="181" t="s">
        <v>487</v>
      </c>
      <c r="G3" s="182"/>
      <c r="I3" s="181" t="s">
        <v>488</v>
      </c>
    </row>
    <row r="4" spans="2:9">
      <c r="D4" s="181" t="s">
        <v>489</v>
      </c>
      <c r="E4" s="108" t="s">
        <v>490</v>
      </c>
      <c r="F4" s="181" t="s">
        <v>489</v>
      </c>
      <c r="G4" s="182"/>
      <c r="I4" s="181" t="s">
        <v>490</v>
      </c>
    </row>
    <row r="5" spans="2:9" ht="14.25">
      <c r="E5" s="183">
        <v>119305.95</v>
      </c>
      <c r="F5" s="183"/>
      <c r="G5" s="184"/>
      <c r="H5" s="185" t="s">
        <v>491</v>
      </c>
      <c r="I5" s="186">
        <f>NZN_23!I8*-1</f>
        <v>119305.95484700002</v>
      </c>
    </row>
    <row r="6" spans="2:9" ht="14.25">
      <c r="H6" s="187" t="s">
        <v>492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493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494</v>
      </c>
      <c r="I8" s="191">
        <f t="shared" ref="I8:I19" si="0">I7-F8</f>
        <v>149272.95484700002</v>
      </c>
    </row>
    <row r="9" spans="2:9">
      <c r="B9" s="73">
        <v>45324</v>
      </c>
      <c r="C9" t="s">
        <v>493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494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495</v>
      </c>
      <c r="E21" s="193">
        <v>0.2351</v>
      </c>
      <c r="F21" s="193">
        <f>1-E21</f>
        <v>0.76490000000000002</v>
      </c>
    </row>
    <row r="22" spans="2:11">
      <c r="B22" s="194" t="s">
        <v>496</v>
      </c>
      <c r="C22" s="194" t="s">
        <v>497</v>
      </c>
      <c r="D22" s="195" t="s">
        <v>498</v>
      </c>
      <c r="E22" s="196" t="s">
        <v>499</v>
      </c>
      <c r="F22" s="195" t="s">
        <v>500</v>
      </c>
      <c r="G22" s="197" t="s">
        <v>501</v>
      </c>
      <c r="H22" s="195" t="s">
        <v>502</v>
      </c>
      <c r="I22" s="195" t="s">
        <v>503</v>
      </c>
    </row>
    <row r="23" spans="2:11">
      <c r="B23" s="198"/>
      <c r="C23" s="199" t="s">
        <v>504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505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506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507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508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509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509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391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510</v>
      </c>
      <c r="E40" s="110" t="s">
        <v>511</v>
      </c>
      <c r="F40" s="110" t="s">
        <v>512</v>
      </c>
      <c r="H40" s="216"/>
      <c r="I40" s="216"/>
      <c r="J40" s="217"/>
    </row>
    <row r="41" spans="2:11" ht="15.75">
      <c r="C41" t="s">
        <v>513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514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515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516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517</v>
      </c>
      <c r="E47" s="181" t="s">
        <v>518</v>
      </c>
      <c r="F47" s="181" t="s">
        <v>519</v>
      </c>
      <c r="K47" s="54"/>
    </row>
    <row r="48" spans="2:11">
      <c r="E48" s="223"/>
      <c r="K48" s="54"/>
    </row>
    <row r="49" spans="3:6">
      <c r="C49" s="54" t="s">
        <v>426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484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495</v>
      </c>
      <c r="E5" s="224">
        <v>0.2351</v>
      </c>
      <c r="F5" s="224">
        <f>1-E5</f>
        <v>0.76490000000000002</v>
      </c>
      <c r="I5" s="54"/>
    </row>
    <row r="6" spans="2:11">
      <c r="B6" s="22" t="s">
        <v>496</v>
      </c>
      <c r="C6" s="22" t="s">
        <v>497</v>
      </c>
      <c r="D6" s="26" t="s">
        <v>498</v>
      </c>
      <c r="E6" s="128" t="s">
        <v>499</v>
      </c>
      <c r="F6" s="26" t="s">
        <v>500</v>
      </c>
      <c r="G6" s="225" t="s">
        <v>501</v>
      </c>
      <c r="H6" s="26" t="s">
        <v>502</v>
      </c>
      <c r="I6" s="226" t="s">
        <v>503</v>
      </c>
    </row>
    <row r="7" spans="2:11">
      <c r="K7" s="202"/>
    </row>
    <row r="8" spans="2:11" ht="15.75">
      <c r="B8" s="203">
        <v>45290</v>
      </c>
      <c r="C8" t="s">
        <v>505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520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521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522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523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524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524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524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507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525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526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527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507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507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528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529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530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531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504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532</v>
      </c>
      <c r="D28" s="54"/>
      <c r="E28" s="54">
        <f>E8</f>
        <v>-5843.55</v>
      </c>
      <c r="F28" s="54"/>
      <c r="H28" s="54"/>
      <c r="I28" s="54"/>
    </row>
    <row r="29" spans="2:10">
      <c r="C29" t="s">
        <v>533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510</v>
      </c>
      <c r="E31" s="54" t="s">
        <v>511</v>
      </c>
      <c r="F31" s="54" t="s">
        <v>512</v>
      </c>
      <c r="H31" s="240"/>
      <c r="I31" s="240"/>
      <c r="J31" s="217"/>
    </row>
    <row r="32" spans="2:10" ht="15.75">
      <c r="C32" t="s">
        <v>513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514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515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516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517</v>
      </c>
      <c r="E38" s="61" t="s">
        <v>518</v>
      </c>
      <c r="F38" s="61" t="s">
        <v>519</v>
      </c>
      <c r="H38" s="54"/>
      <c r="I38" s="54"/>
      <c r="K38" s="54"/>
    </row>
    <row r="39" spans="3:11">
      <c r="C39" t="s">
        <v>534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426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535</v>
      </c>
      <c r="C2" s="79" t="s">
        <v>105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106</v>
      </c>
      <c r="C4" t="s">
        <v>536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109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537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538</v>
      </c>
      <c r="C8" s="80"/>
      <c r="D8" s="80"/>
      <c r="E8" s="76"/>
      <c r="H8" s="54">
        <f t="shared" si="0"/>
        <v>-1097</v>
      </c>
    </row>
    <row r="9" spans="1:8">
      <c r="B9" s="80" t="s">
        <v>539</v>
      </c>
      <c r="C9" s="80"/>
      <c r="D9" s="80"/>
      <c r="E9" s="76"/>
      <c r="H9" s="54">
        <f t="shared" si="0"/>
        <v>-1097</v>
      </c>
    </row>
    <row r="10" spans="1:8">
      <c r="B10" s="80" t="s">
        <v>119</v>
      </c>
      <c r="C10" s="80"/>
      <c r="D10" s="80"/>
      <c r="E10" s="76"/>
      <c r="H10" s="54">
        <f t="shared" si="0"/>
        <v>-1097</v>
      </c>
    </row>
    <row r="11" spans="1:8">
      <c r="B11" s="87" t="s">
        <v>127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129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540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540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541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542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109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134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543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382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384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544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140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545</v>
      </c>
      <c r="C47" t="s">
        <v>101</v>
      </c>
      <c r="D47">
        <v>947.93</v>
      </c>
      <c r="E47" s="54">
        <v>950</v>
      </c>
      <c r="F47" s="54"/>
      <c r="G47" s="54"/>
    </row>
    <row r="48" spans="1:8">
      <c r="B48" t="s">
        <v>142</v>
      </c>
      <c r="C48" t="s">
        <v>546</v>
      </c>
      <c r="D48">
        <v>1830.06</v>
      </c>
      <c r="E48" s="54">
        <v>1830</v>
      </c>
      <c r="F48" s="54"/>
      <c r="G48" s="54"/>
    </row>
    <row r="49" spans="1:8">
      <c r="B49" t="s">
        <v>143</v>
      </c>
      <c r="C49" t="s">
        <v>546</v>
      </c>
      <c r="D49">
        <v>209.55</v>
      </c>
      <c r="E49">
        <v>210</v>
      </c>
      <c r="F49" s="54"/>
      <c r="G49" s="54"/>
    </row>
    <row r="50" spans="1:8">
      <c r="B50" t="s">
        <v>144</v>
      </c>
      <c r="C50" t="s">
        <v>547</v>
      </c>
      <c r="D50">
        <v>1732.62</v>
      </c>
      <c r="E50">
        <v>1732</v>
      </c>
      <c r="F50" s="54"/>
      <c r="G50" s="54"/>
    </row>
    <row r="51" spans="1:8">
      <c r="B51" t="s">
        <v>145</v>
      </c>
      <c r="C51" t="s">
        <v>546</v>
      </c>
      <c r="D51">
        <v>499.34</v>
      </c>
      <c r="E51">
        <v>500</v>
      </c>
      <c r="F51" s="54"/>
      <c r="G51" s="54"/>
    </row>
    <row r="52" spans="1:8">
      <c r="B52" t="s">
        <v>146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147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396</v>
      </c>
      <c r="C60">
        <v>613.91</v>
      </c>
      <c r="D60" s="26" t="s">
        <v>548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349</v>
      </c>
      <c r="C62" s="84">
        <v>10764.57</v>
      </c>
      <c r="D62" s="26" t="s">
        <v>169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549</v>
      </c>
      <c r="D63" s="139" t="s">
        <v>175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202</v>
      </c>
      <c r="C64" s="84">
        <v>7648.33</v>
      </c>
      <c r="D64" s="139" t="s">
        <v>194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301</v>
      </c>
      <c r="C65" s="84">
        <v>11128</v>
      </c>
      <c r="D65" s="139" t="s">
        <v>203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224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154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308</v>
      </c>
      <c r="C82" s="84"/>
      <c r="D82" t="s">
        <v>550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281</v>
      </c>
      <c r="D83" t="s">
        <v>551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552</v>
      </c>
      <c r="E85" s="76">
        <v>-1046.0999999999999</v>
      </c>
    </row>
    <row r="86" spans="1:8">
      <c r="A86" s="88">
        <v>45226</v>
      </c>
      <c r="B86" t="s">
        <v>552</v>
      </c>
      <c r="E86" s="76">
        <v>-1046.0999999999999</v>
      </c>
    </row>
    <row r="87" spans="1:8">
      <c r="A87" s="88">
        <v>45224</v>
      </c>
      <c r="B87" t="s">
        <v>274</v>
      </c>
      <c r="D87">
        <v>160</v>
      </c>
      <c r="E87" s="76">
        <v>-160</v>
      </c>
    </row>
    <row r="88" spans="1:8">
      <c r="A88" s="88">
        <v>45225</v>
      </c>
      <c r="B88" t="s">
        <v>274</v>
      </c>
      <c r="D88">
        <v>200</v>
      </c>
      <c r="E88" s="76">
        <v>-200</v>
      </c>
    </row>
    <row r="89" spans="1:8">
      <c r="A89" s="88">
        <v>45225</v>
      </c>
      <c r="B89" t="s">
        <v>553</v>
      </c>
      <c r="E89" s="76">
        <v>-200</v>
      </c>
    </row>
    <row r="90" spans="1:8">
      <c r="A90" s="88">
        <v>45226</v>
      </c>
      <c r="B90" t="s">
        <v>274</v>
      </c>
      <c r="D90" s="26">
        <v>150</v>
      </c>
      <c r="E90" s="76">
        <v>-150</v>
      </c>
    </row>
    <row r="91" spans="1:8">
      <c r="A91" s="88">
        <v>45227</v>
      </c>
      <c r="B91" t="s">
        <v>274</v>
      </c>
      <c r="D91" s="26">
        <v>100</v>
      </c>
      <c r="E91" s="76">
        <v>-100</v>
      </c>
    </row>
    <row r="92" spans="1:8">
      <c r="A92" s="88">
        <v>45227</v>
      </c>
      <c r="B92" t="s">
        <v>270</v>
      </c>
      <c r="D92">
        <v>70</v>
      </c>
      <c r="E92" s="76">
        <v>-70</v>
      </c>
    </row>
    <row r="93" spans="1:8">
      <c r="A93" s="88">
        <v>45229</v>
      </c>
      <c r="B93" t="s">
        <v>274</v>
      </c>
      <c r="D93">
        <v>200</v>
      </c>
      <c r="E93" s="76">
        <v>-200</v>
      </c>
    </row>
    <row r="94" spans="1:8">
      <c r="A94" s="88">
        <v>45229</v>
      </c>
      <c r="B94" t="s">
        <v>554</v>
      </c>
      <c r="D94">
        <v>95.49</v>
      </c>
      <c r="E94" s="76">
        <v>-95.49</v>
      </c>
    </row>
    <row r="95" spans="1:8">
      <c r="A95" s="88">
        <v>45232</v>
      </c>
      <c r="B95" t="s">
        <v>274</v>
      </c>
      <c r="D95">
        <v>250</v>
      </c>
      <c r="E95" s="76">
        <v>-250</v>
      </c>
    </row>
    <row r="96" spans="1:8">
      <c r="A96" s="88">
        <v>45233</v>
      </c>
      <c r="B96" t="s">
        <v>274</v>
      </c>
      <c r="D96">
        <v>180</v>
      </c>
      <c r="E96" s="76">
        <v>-160</v>
      </c>
    </row>
    <row r="97" spans="1:5">
      <c r="A97" s="88">
        <v>45234</v>
      </c>
      <c r="B97" t="s">
        <v>274</v>
      </c>
      <c r="D97">
        <v>320</v>
      </c>
      <c r="E97" s="76">
        <v>-320</v>
      </c>
    </row>
    <row r="98" spans="1:5">
      <c r="A98" s="88">
        <v>45237</v>
      </c>
      <c r="B98" t="s">
        <v>274</v>
      </c>
      <c r="D98">
        <v>200</v>
      </c>
      <c r="E98" s="76">
        <v>-200</v>
      </c>
    </row>
    <row r="99" spans="1:5">
      <c r="A99" s="88">
        <v>45237</v>
      </c>
      <c r="B99" t="s">
        <v>271</v>
      </c>
      <c r="E99" s="76">
        <v>-500</v>
      </c>
    </row>
    <row r="100" spans="1:5">
      <c r="A100" s="88">
        <v>45237</v>
      </c>
      <c r="B100" t="s">
        <v>555</v>
      </c>
      <c r="E100" s="76">
        <v>-180</v>
      </c>
    </row>
    <row r="101" spans="1:5">
      <c r="A101" s="88">
        <v>45238</v>
      </c>
      <c r="B101" t="s">
        <v>274</v>
      </c>
      <c r="D101">
        <v>160</v>
      </c>
      <c r="E101" s="76">
        <v>-160</v>
      </c>
    </row>
    <row r="102" spans="1:5">
      <c r="A102" s="88">
        <v>45239</v>
      </c>
      <c r="B102" t="s">
        <v>274</v>
      </c>
      <c r="D102">
        <v>250</v>
      </c>
      <c r="E102" s="76">
        <v>-250</v>
      </c>
    </row>
    <row r="103" spans="1:5">
      <c r="A103" s="88">
        <v>45240</v>
      </c>
      <c r="B103" t="s">
        <v>274</v>
      </c>
      <c r="D103">
        <v>160</v>
      </c>
      <c r="E103" s="76">
        <v>-160</v>
      </c>
    </row>
    <row r="104" spans="1:5">
      <c r="A104" s="88">
        <v>45241</v>
      </c>
      <c r="B104" t="s">
        <v>274</v>
      </c>
      <c r="D104">
        <v>250</v>
      </c>
      <c r="E104" s="76">
        <v>-250</v>
      </c>
    </row>
    <row r="105" spans="1:5">
      <c r="A105" s="88">
        <v>45244</v>
      </c>
      <c r="B105" t="s">
        <v>556</v>
      </c>
      <c r="E105" s="76">
        <v>-1144.1099999999999</v>
      </c>
    </row>
    <row r="106" spans="1:5">
      <c r="A106" s="88">
        <v>45245</v>
      </c>
      <c r="B106" t="s">
        <v>557</v>
      </c>
      <c r="E106" s="76">
        <v>-373.92</v>
      </c>
    </row>
    <row r="107" spans="1:5">
      <c r="A107" s="88">
        <v>45253</v>
      </c>
      <c r="B107" t="s">
        <v>274</v>
      </c>
      <c r="D107">
        <v>200</v>
      </c>
      <c r="E107" s="76">
        <v>-200</v>
      </c>
    </row>
    <row r="108" spans="1:5">
      <c r="E108" s="76"/>
    </row>
    <row r="109" spans="1:5">
      <c r="B109" t="s">
        <v>558</v>
      </c>
      <c r="D109">
        <f>SUM(D87:D108)</f>
        <v>2945.49</v>
      </c>
      <c r="E109" s="76"/>
    </row>
    <row r="110" spans="1:5" ht="15">
      <c r="D110" s="105" t="s">
        <v>224</v>
      </c>
    </row>
    <row r="111" spans="1:5">
      <c r="A111" s="68" t="s">
        <v>81</v>
      </c>
      <c r="B111" s="69" t="s">
        <v>82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87</v>
      </c>
      <c r="D116" s="2"/>
      <c r="E116" s="62">
        <v>6267.13</v>
      </c>
    </row>
    <row r="117" spans="1:5">
      <c r="A117" s="73">
        <f t="shared" si="2"/>
        <v>45290</v>
      </c>
      <c r="B117" t="s">
        <v>88</v>
      </c>
      <c r="C117" s="2" t="s">
        <v>89</v>
      </c>
      <c r="D117" s="2"/>
      <c r="E117" s="62">
        <v>21088.49</v>
      </c>
    </row>
    <row r="118" spans="1:5">
      <c r="A118" s="73">
        <f t="shared" si="2"/>
        <v>45290</v>
      </c>
      <c r="B118" t="s">
        <v>90</v>
      </c>
      <c r="C118" s="2" t="s">
        <v>91</v>
      </c>
      <c r="D118" s="2"/>
      <c r="E118" s="62">
        <v>5587.73</v>
      </c>
    </row>
    <row r="119" spans="1:5">
      <c r="A119" s="73">
        <f t="shared" si="2"/>
        <v>45290</v>
      </c>
      <c r="B119" t="s">
        <v>92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99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102</v>
      </c>
      <c r="E129" s="76">
        <f>H33</f>
        <v>-25773.700000000004</v>
      </c>
    </row>
    <row r="130" spans="3:5">
      <c r="D130" s="3"/>
    </row>
    <row r="131" spans="3:5">
      <c r="D131" s="61" t="s">
        <v>103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559</v>
      </c>
      <c r="C2" s="79" t="s">
        <v>105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109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560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129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561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561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562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563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564</v>
      </c>
      <c r="C22" t="s">
        <v>565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566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567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568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569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570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571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312</v>
      </c>
      <c r="C30" t="s">
        <v>536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314</v>
      </c>
      <c r="C31" t="s">
        <v>536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315</v>
      </c>
      <c r="C32" t="s">
        <v>536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572</v>
      </c>
      <c r="C33" t="s">
        <v>536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138</v>
      </c>
      <c r="E37" s="54"/>
      <c r="G37" s="54"/>
      <c r="H37" s="54"/>
    </row>
    <row r="38" spans="1:8">
      <c r="A38" s="70" t="s">
        <v>139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140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545</v>
      </c>
      <c r="D44">
        <v>628.12</v>
      </c>
      <c r="E44" s="54">
        <v>630</v>
      </c>
      <c r="F44" s="54"/>
      <c r="G44" s="54"/>
    </row>
    <row r="45" spans="1:8">
      <c r="B45" t="s">
        <v>142</v>
      </c>
      <c r="D45">
        <v>1539.74</v>
      </c>
      <c r="E45" s="54">
        <v>1540</v>
      </c>
      <c r="F45" s="54"/>
      <c r="G45" s="54"/>
    </row>
    <row r="46" spans="1:8">
      <c r="B46" t="s">
        <v>143</v>
      </c>
      <c r="D46">
        <v>165.4</v>
      </c>
      <c r="E46">
        <v>165</v>
      </c>
      <c r="F46" s="54"/>
      <c r="G46" s="54"/>
    </row>
    <row r="47" spans="1:8">
      <c r="B47" t="s">
        <v>144</v>
      </c>
      <c r="D47">
        <v>1142.79</v>
      </c>
      <c r="E47">
        <v>1142</v>
      </c>
      <c r="F47" s="54"/>
      <c r="G47" s="54"/>
    </row>
    <row r="48" spans="1:8">
      <c r="B48" t="s">
        <v>145</v>
      </c>
      <c r="D48" s="3">
        <v>379.26</v>
      </c>
      <c r="E48">
        <v>379.26</v>
      </c>
      <c r="F48" s="54"/>
      <c r="G48" s="54"/>
    </row>
    <row r="49" spans="1:8">
      <c r="B49" t="s">
        <v>146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396</v>
      </c>
      <c r="C57">
        <v>613.91</v>
      </c>
      <c r="D57" s="26" t="s">
        <v>573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575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349</v>
      </c>
      <c r="C59" s="84">
        <v>10764.57</v>
      </c>
      <c r="D59" s="26" t="s">
        <v>300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575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549</v>
      </c>
      <c r="D61" s="139" t="s">
        <v>182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202</v>
      </c>
      <c r="C62" s="84">
        <v>7648.33</v>
      </c>
      <c r="D62" s="139" t="s">
        <v>205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301</v>
      </c>
      <c r="C63" s="84">
        <v>11128</v>
      </c>
      <c r="D63" s="139" t="s">
        <v>217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224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577</v>
      </c>
      <c r="C72">
        <v>1140.99</v>
      </c>
      <c r="D72" t="s">
        <v>282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578</v>
      </c>
      <c r="D73" s="26" t="s">
        <v>579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308</v>
      </c>
      <c r="C74" s="84"/>
      <c r="D74" t="s">
        <v>551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166</v>
      </c>
      <c r="C75" s="84"/>
      <c r="D75" s="84"/>
      <c r="E75" s="76">
        <v>-59483.25</v>
      </c>
    </row>
    <row r="76" spans="1:8">
      <c r="A76" s="88">
        <v>45214</v>
      </c>
      <c r="B76" t="s">
        <v>281</v>
      </c>
      <c r="D76" t="s">
        <v>580</v>
      </c>
      <c r="E76" s="76">
        <v>-600</v>
      </c>
      <c r="F76" s="54"/>
    </row>
    <row r="77" spans="1:8">
      <c r="A77" s="88">
        <v>45198</v>
      </c>
      <c r="B77" t="s">
        <v>274</v>
      </c>
      <c r="E77" s="76">
        <v>-160</v>
      </c>
    </row>
    <row r="78" spans="1:8">
      <c r="A78" s="88">
        <v>45201</v>
      </c>
      <c r="B78" t="s">
        <v>581</v>
      </c>
      <c r="E78" s="76">
        <v>-1180</v>
      </c>
    </row>
    <row r="79" spans="1:8">
      <c r="A79" s="88">
        <v>45204</v>
      </c>
      <c r="B79" t="s">
        <v>582</v>
      </c>
      <c r="E79" s="76">
        <v>-713.25</v>
      </c>
    </row>
    <row r="80" spans="1:8">
      <c r="A80" s="88">
        <v>45204</v>
      </c>
      <c r="B80" t="s">
        <v>582</v>
      </c>
      <c r="E80" s="76">
        <v>-713.25</v>
      </c>
    </row>
    <row r="81" spans="1:5">
      <c r="A81" s="88">
        <v>45194</v>
      </c>
      <c r="B81" t="s">
        <v>274</v>
      </c>
      <c r="D81" s="26"/>
      <c r="E81" s="76">
        <v>-200</v>
      </c>
    </row>
    <row r="82" spans="1:5">
      <c r="A82" s="88">
        <v>45225</v>
      </c>
      <c r="B82" t="s">
        <v>274</v>
      </c>
      <c r="D82" s="26"/>
      <c r="E82" s="76">
        <v>-160</v>
      </c>
    </row>
    <row r="83" spans="1:5">
      <c r="A83" s="88">
        <v>45226</v>
      </c>
      <c r="B83" t="s">
        <v>274</v>
      </c>
      <c r="E83" s="76">
        <v>-200</v>
      </c>
    </row>
    <row r="84" spans="1:5">
      <c r="A84" s="88">
        <v>45227</v>
      </c>
      <c r="B84" t="s">
        <v>274</v>
      </c>
      <c r="E84" s="76">
        <v>-200</v>
      </c>
    </row>
    <row r="85" spans="1:5">
      <c r="A85" s="88">
        <v>45227</v>
      </c>
      <c r="B85" t="s">
        <v>355</v>
      </c>
      <c r="E85" s="76">
        <v>-245</v>
      </c>
    </row>
    <row r="86" spans="1:5">
      <c r="A86" s="88">
        <v>45228</v>
      </c>
      <c r="B86" t="s">
        <v>274</v>
      </c>
      <c r="E86" s="76">
        <v>-160</v>
      </c>
    </row>
    <row r="87" spans="1:5">
      <c r="A87" s="88">
        <v>45228</v>
      </c>
      <c r="B87" t="s">
        <v>583</v>
      </c>
      <c r="E87" s="76">
        <v>-33.65</v>
      </c>
    </row>
    <row r="88" spans="1:5">
      <c r="A88" s="88">
        <v>45201</v>
      </c>
      <c r="B88" t="s">
        <v>274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274</v>
      </c>
      <c r="E90" s="76">
        <v>-250</v>
      </c>
    </row>
    <row r="91" spans="1:5">
      <c r="A91" s="88">
        <v>45204</v>
      </c>
      <c r="B91" t="s">
        <v>274</v>
      </c>
      <c r="E91" s="76">
        <v>-300</v>
      </c>
    </row>
    <row r="92" spans="1:5">
      <c r="A92" s="88">
        <v>45205</v>
      </c>
      <c r="B92" t="s">
        <v>274</v>
      </c>
      <c r="E92" s="76">
        <v>-250</v>
      </c>
    </row>
    <row r="93" spans="1:5">
      <c r="A93" s="88">
        <v>45206</v>
      </c>
      <c r="B93" t="s">
        <v>274</v>
      </c>
      <c r="E93" s="76">
        <v>-250</v>
      </c>
    </row>
    <row r="94" spans="1:5">
      <c r="A94" s="88">
        <v>45206</v>
      </c>
      <c r="B94" t="s">
        <v>584</v>
      </c>
      <c r="E94" s="76">
        <v>-107.32</v>
      </c>
    </row>
    <row r="95" spans="1:5">
      <c r="A95" s="88">
        <v>45210</v>
      </c>
      <c r="B95" t="s">
        <v>274</v>
      </c>
      <c r="E95" s="76">
        <v>-200</v>
      </c>
    </row>
    <row r="96" spans="1:5">
      <c r="A96" s="88">
        <v>45215</v>
      </c>
      <c r="B96" t="s">
        <v>274</v>
      </c>
      <c r="E96" s="76">
        <v>-160</v>
      </c>
    </row>
    <row r="97" spans="1:5">
      <c r="A97" s="88">
        <v>45216</v>
      </c>
      <c r="B97" t="s">
        <v>274</v>
      </c>
      <c r="E97" s="76">
        <v>-160</v>
      </c>
    </row>
    <row r="98" spans="1:5">
      <c r="A98" s="88">
        <v>45217</v>
      </c>
      <c r="B98" t="s">
        <v>274</v>
      </c>
      <c r="E98" s="76">
        <v>-160</v>
      </c>
    </row>
    <row r="99" spans="1:5">
      <c r="A99" s="88">
        <v>45218</v>
      </c>
      <c r="B99" t="s">
        <v>274</v>
      </c>
      <c r="E99" s="76">
        <v>-200</v>
      </c>
    </row>
    <row r="100" spans="1:5">
      <c r="A100" s="88">
        <v>45219</v>
      </c>
      <c r="B100" t="s">
        <v>274</v>
      </c>
      <c r="E100" s="76">
        <v>-165</v>
      </c>
    </row>
    <row r="101" spans="1:5">
      <c r="A101" s="88">
        <v>45219</v>
      </c>
      <c r="B101" t="s">
        <v>583</v>
      </c>
      <c r="E101" s="76">
        <v>-93.36</v>
      </c>
    </row>
    <row r="102" spans="1:5">
      <c r="A102" s="88">
        <v>45220</v>
      </c>
      <c r="B102" t="s">
        <v>274</v>
      </c>
      <c r="E102" s="76">
        <v>-165</v>
      </c>
    </row>
    <row r="103" spans="1:5">
      <c r="A103" s="88">
        <v>45220</v>
      </c>
      <c r="B103" t="s">
        <v>585</v>
      </c>
      <c r="E103" s="76">
        <v>-80</v>
      </c>
    </row>
    <row r="104" spans="1:5">
      <c r="A104" s="88">
        <v>45221</v>
      </c>
      <c r="B104" t="s">
        <v>586</v>
      </c>
      <c r="E104" s="76">
        <v>-500</v>
      </c>
    </row>
    <row r="105" spans="1:5" ht="15">
      <c r="D105" s="105" t="s">
        <v>224</v>
      </c>
    </row>
    <row r="107" spans="1:5">
      <c r="B107" t="s">
        <v>587</v>
      </c>
      <c r="E107" s="76">
        <v>3707.01</v>
      </c>
    </row>
    <row r="108" spans="1:5">
      <c r="B108" t="s">
        <v>588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589</v>
      </c>
      <c r="B111" s="69" t="s">
        <v>82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590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86</v>
      </c>
      <c r="C115" s="2"/>
      <c r="D115" s="2"/>
      <c r="E115" s="62">
        <v>64.31</v>
      </c>
    </row>
    <row r="116" spans="1:5">
      <c r="A116" s="73">
        <v>45260</v>
      </c>
      <c r="B116" t="s">
        <v>87</v>
      </c>
      <c r="C116" s="2"/>
      <c r="D116" s="2"/>
      <c r="E116" s="62">
        <v>3242.78</v>
      </c>
    </row>
    <row r="117" spans="1:5">
      <c r="A117" s="73">
        <v>45260</v>
      </c>
      <c r="B117" t="s">
        <v>96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591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592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102</v>
      </c>
      <c r="E123" s="76">
        <f>H33</f>
        <v>-64817.05</v>
      </c>
    </row>
    <row r="124" spans="1:5">
      <c r="D124" s="3"/>
    </row>
    <row r="125" spans="1:5">
      <c r="D125" s="61" t="s">
        <v>103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593</v>
      </c>
      <c r="C2" s="79" t="s">
        <v>105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109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594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595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596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129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597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598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599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123</v>
      </c>
      <c r="C15" s="80" t="s">
        <v>124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125</v>
      </c>
      <c r="C16" s="84" t="s">
        <v>124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126</v>
      </c>
      <c r="C17" s="84" t="s">
        <v>124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600</v>
      </c>
      <c r="E19" s="54"/>
      <c r="F19" s="54"/>
      <c r="G19" s="54"/>
      <c r="H19" s="54">
        <f t="shared" si="0"/>
        <v>-36958.17</v>
      </c>
    </row>
    <row r="20" spans="1:8">
      <c r="B20" t="s">
        <v>84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134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601</v>
      </c>
      <c r="C24" t="s">
        <v>565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602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603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570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604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605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138</v>
      </c>
      <c r="E33" s="54"/>
      <c r="G33" s="54"/>
      <c r="H33" s="54"/>
    </row>
    <row r="34" spans="1:8">
      <c r="A34" s="70" t="s">
        <v>139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140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545</v>
      </c>
      <c r="D40">
        <v>578.66</v>
      </c>
      <c r="E40" s="54">
        <v>578</v>
      </c>
      <c r="F40" s="54"/>
      <c r="G40" s="54"/>
    </row>
    <row r="41" spans="1:8">
      <c r="B41" t="s">
        <v>142</v>
      </c>
      <c r="D41">
        <v>1237.75</v>
      </c>
      <c r="E41" s="54">
        <v>1237</v>
      </c>
      <c r="F41" s="54"/>
      <c r="G41" s="54"/>
    </row>
    <row r="42" spans="1:8">
      <c r="B42" t="s">
        <v>143</v>
      </c>
      <c r="D42">
        <v>155.32</v>
      </c>
      <c r="E42">
        <v>155</v>
      </c>
      <c r="F42" s="54"/>
      <c r="G42" s="54"/>
    </row>
    <row r="43" spans="1:8">
      <c r="B43" t="s">
        <v>144</v>
      </c>
      <c r="D43">
        <v>1102.24</v>
      </c>
      <c r="E43">
        <v>1102</v>
      </c>
      <c r="F43" s="54"/>
      <c r="G43" s="54"/>
    </row>
    <row r="44" spans="1:8">
      <c r="B44" t="s">
        <v>145</v>
      </c>
      <c r="D44">
        <v>317.68</v>
      </c>
      <c r="E44">
        <v>317</v>
      </c>
      <c r="F44" s="54"/>
      <c r="G44" s="54"/>
    </row>
    <row r="45" spans="1:8">
      <c r="B45" t="s">
        <v>146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396</v>
      </c>
      <c r="C52">
        <v>613.91</v>
      </c>
      <c r="D52" s="26" t="s">
        <v>606</v>
      </c>
      <c r="E52" s="76">
        <v>-61.39</v>
      </c>
      <c r="G52" s="54"/>
      <c r="H52" s="54"/>
    </row>
    <row r="53" spans="1:8">
      <c r="A53" s="73">
        <v>45043</v>
      </c>
      <c r="B53" s="84" t="s">
        <v>574</v>
      </c>
      <c r="C53" s="84">
        <v>3299</v>
      </c>
      <c r="D53" s="26" t="s">
        <v>182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349</v>
      </c>
      <c r="C54" s="84">
        <v>10764.57</v>
      </c>
      <c r="D54" s="26" t="s">
        <v>178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576</v>
      </c>
      <c r="C55" s="84">
        <v>3123.29</v>
      </c>
      <c r="D55" s="139" t="s">
        <v>182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549</v>
      </c>
      <c r="D56" s="139" t="s">
        <v>191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365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607</v>
      </c>
      <c r="C58" s="84">
        <v>148.6</v>
      </c>
      <c r="D58" s="139" t="s">
        <v>608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609</v>
      </c>
      <c r="C59" s="84">
        <v>244.8</v>
      </c>
      <c r="D59" s="139" t="s">
        <v>608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610</v>
      </c>
      <c r="C60" s="84">
        <v>1204.5</v>
      </c>
      <c r="D60" s="139" t="s">
        <v>608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611</v>
      </c>
      <c r="C61" s="84">
        <v>532.6</v>
      </c>
      <c r="D61" s="139" t="s">
        <v>608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612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202</v>
      </c>
      <c r="C63" s="84">
        <v>7648.33</v>
      </c>
      <c r="D63" s="139" t="s">
        <v>613</v>
      </c>
      <c r="E63" s="76">
        <v>-849.81</v>
      </c>
      <c r="F63" s="54"/>
    </row>
    <row r="64" spans="1:8">
      <c r="A64" s="73">
        <v>45187</v>
      </c>
      <c r="B64" s="84" t="s">
        <v>614</v>
      </c>
      <c r="C64" s="84">
        <v>11128</v>
      </c>
      <c r="D64" s="139" t="s">
        <v>265</v>
      </c>
      <c r="E64" s="76">
        <v>-1854.67</v>
      </c>
      <c r="F64" s="54"/>
    </row>
    <row r="66" spans="1:9" ht="15">
      <c r="D66" s="105" t="s">
        <v>224</v>
      </c>
    </row>
    <row r="68" spans="1:9">
      <c r="A68" s="70"/>
      <c r="B68" s="69" t="s">
        <v>154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577</v>
      </c>
      <c r="C69">
        <v>1140.99</v>
      </c>
      <c r="D69" t="s">
        <v>310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578</v>
      </c>
      <c r="D70" s="26" t="s">
        <v>615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616</v>
      </c>
      <c r="C71" s="84"/>
      <c r="D71" t="s">
        <v>580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617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618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619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620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621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277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622</v>
      </c>
      <c r="E88" s="76">
        <v>-529.98</v>
      </c>
    </row>
    <row r="89" spans="1:8">
      <c r="A89" s="73">
        <v>45179</v>
      </c>
      <c r="B89" t="s">
        <v>622</v>
      </c>
      <c r="E89" s="76">
        <v>-2351.9499999999998</v>
      </c>
    </row>
    <row r="90" spans="1:8">
      <c r="A90" s="73">
        <v>45180</v>
      </c>
      <c r="B90" t="s">
        <v>623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623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624</v>
      </c>
      <c r="E94" s="76">
        <v>-578</v>
      </c>
    </row>
    <row r="95" spans="1:8">
      <c r="A95" s="73">
        <v>45184</v>
      </c>
      <c r="B95" t="s">
        <v>625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626</v>
      </c>
      <c r="E101" s="76">
        <v>-230</v>
      </c>
    </row>
    <row r="102" spans="1:5">
      <c r="A102" s="73">
        <v>45191</v>
      </c>
      <c r="B102" t="s">
        <v>627</v>
      </c>
      <c r="E102" s="76">
        <v>-382</v>
      </c>
    </row>
    <row r="103" spans="1:5">
      <c r="A103" s="73">
        <v>45191</v>
      </c>
      <c r="B103" t="s">
        <v>628</v>
      </c>
      <c r="E103" s="76">
        <v>-699.6</v>
      </c>
    </row>
    <row r="104" spans="1:5">
      <c r="A104" s="73">
        <v>45192</v>
      </c>
      <c r="B104" t="s">
        <v>270</v>
      </c>
      <c r="E104" s="76">
        <v>-160</v>
      </c>
    </row>
    <row r="106" spans="1:5" ht="15">
      <c r="D106" s="105" t="s">
        <v>224</v>
      </c>
    </row>
    <row r="111" spans="1:5">
      <c r="A111" s="68" t="s">
        <v>629</v>
      </c>
      <c r="B111" s="69" t="s">
        <v>82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83</v>
      </c>
      <c r="C112" s="2"/>
      <c r="D112" s="2"/>
      <c r="E112" s="62">
        <v>64000</v>
      </c>
    </row>
    <row r="113" spans="1:5">
      <c r="A113" s="73">
        <v>45230</v>
      </c>
      <c r="B113" t="s">
        <v>630</v>
      </c>
      <c r="C113" s="2"/>
      <c r="D113" s="2"/>
      <c r="E113" s="62">
        <v>73088</v>
      </c>
    </row>
    <row r="114" spans="1:5">
      <c r="A114" s="73">
        <v>45230</v>
      </c>
      <c r="B114" t="s">
        <v>85</v>
      </c>
      <c r="C114" s="2"/>
      <c r="D114" s="2"/>
      <c r="E114" s="62">
        <v>20950.34</v>
      </c>
    </row>
    <row r="115" spans="1:5">
      <c r="A115" s="73">
        <v>45230</v>
      </c>
      <c r="B115" t="s">
        <v>86</v>
      </c>
      <c r="C115" s="2"/>
      <c r="D115" s="2"/>
      <c r="E115" s="62">
        <v>73011.39</v>
      </c>
    </row>
    <row r="116" spans="1:5">
      <c r="A116" s="73">
        <v>45230</v>
      </c>
      <c r="B116" t="s">
        <v>631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632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633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634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100</v>
      </c>
      <c r="C120" s="2"/>
      <c r="D120" s="2"/>
      <c r="E120" s="62">
        <v>60000</v>
      </c>
    </row>
    <row r="121" spans="1:5">
      <c r="A121" s="73">
        <v>45230</v>
      </c>
      <c r="B121" t="s">
        <v>101</v>
      </c>
      <c r="C121" s="2"/>
      <c r="D121" s="2"/>
      <c r="E121" s="62">
        <v>3000</v>
      </c>
    </row>
    <row r="122" spans="1:5">
      <c r="C122" s="3" t="s">
        <v>629</v>
      </c>
      <c r="D122" s="61" t="s">
        <v>102</v>
      </c>
      <c r="E122" s="76">
        <f>H41</f>
        <v>0</v>
      </c>
    </row>
    <row r="123" spans="1:5">
      <c r="D123" s="3"/>
    </row>
    <row r="124" spans="1:5">
      <c r="D124" s="61" t="s">
        <v>103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635</v>
      </c>
      <c r="C2" s="79" t="s">
        <v>105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109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636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129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637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637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638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135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639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640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173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641</v>
      </c>
      <c r="D26" s="95"/>
      <c r="G26" s="54"/>
      <c r="H26" s="54">
        <f t="shared" si="0"/>
        <v>-18024.010000000002</v>
      </c>
    </row>
    <row r="27" spans="1:8">
      <c r="A27" s="89"/>
      <c r="B27" t="s">
        <v>642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643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644</v>
      </c>
      <c r="G29" s="54"/>
      <c r="H29" s="54">
        <f t="shared" si="0"/>
        <v>67975.989999999991</v>
      </c>
    </row>
    <row r="30" spans="1:8">
      <c r="A30" s="88">
        <v>45171</v>
      </c>
      <c r="B30" t="s">
        <v>645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646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647</v>
      </c>
      <c r="D32" s="95"/>
      <c r="G32" s="54"/>
      <c r="H32" s="54">
        <f t="shared" si="0"/>
        <v>138975.99</v>
      </c>
    </row>
    <row r="33" spans="1:8">
      <c r="A33" s="89"/>
      <c r="B33" t="s">
        <v>648</v>
      </c>
      <c r="D33" s="95"/>
      <c r="G33" s="54"/>
      <c r="H33" s="54">
        <f t="shared" si="0"/>
        <v>138975.99</v>
      </c>
    </row>
    <row r="34" spans="1:8">
      <c r="A34" s="89"/>
      <c r="B34" t="s">
        <v>649</v>
      </c>
      <c r="D34" s="95"/>
      <c r="G34" s="54"/>
      <c r="H34" s="54">
        <f t="shared" si="0"/>
        <v>138975.99</v>
      </c>
    </row>
    <row r="35" spans="1:8">
      <c r="A35" s="89"/>
      <c r="B35" t="s">
        <v>347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650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651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652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138</v>
      </c>
      <c r="E44" s="54"/>
      <c r="G44" s="54"/>
      <c r="H44" s="54"/>
    </row>
    <row r="45" spans="1:8">
      <c r="A45" s="70" t="s">
        <v>139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140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545</v>
      </c>
      <c r="D51">
        <v>673.8</v>
      </c>
      <c r="E51" s="54">
        <v>673.8</v>
      </c>
      <c r="F51" s="54"/>
      <c r="G51" s="54"/>
    </row>
    <row r="52" spans="1:8">
      <c r="B52" t="s">
        <v>142</v>
      </c>
      <c r="D52">
        <v>1165.77</v>
      </c>
      <c r="E52" s="54">
        <v>1165.77</v>
      </c>
      <c r="F52" s="54"/>
      <c r="G52" s="54"/>
    </row>
    <row r="53" spans="1:8">
      <c r="B53" t="s">
        <v>143</v>
      </c>
      <c r="D53">
        <v>106.22</v>
      </c>
      <c r="E53">
        <v>106.22</v>
      </c>
      <c r="F53" s="54"/>
      <c r="G53" s="54"/>
    </row>
    <row r="54" spans="1:8">
      <c r="B54" t="s">
        <v>144</v>
      </c>
      <c r="D54">
        <v>1157.58</v>
      </c>
      <c r="E54">
        <v>1157.58</v>
      </c>
      <c r="F54" s="54"/>
      <c r="G54" s="54"/>
    </row>
    <row r="55" spans="1:8">
      <c r="B55" t="s">
        <v>145</v>
      </c>
      <c r="D55">
        <v>353.65</v>
      </c>
      <c r="E55">
        <v>353.65</v>
      </c>
      <c r="F55" s="54"/>
      <c r="G55" s="54"/>
    </row>
    <row r="56" spans="1:8">
      <c r="B56" t="s">
        <v>146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396</v>
      </c>
      <c r="C64">
        <v>613.91</v>
      </c>
      <c r="D64" s="26" t="s">
        <v>653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654</v>
      </c>
      <c r="C65">
        <v>2258.94</v>
      </c>
      <c r="D65" s="26" t="s">
        <v>175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574</v>
      </c>
      <c r="C66" s="84">
        <v>3299</v>
      </c>
      <c r="D66" s="26" t="s">
        <v>191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349</v>
      </c>
      <c r="C67" s="84">
        <v>10764.57</v>
      </c>
      <c r="D67" s="26" t="s">
        <v>184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576</v>
      </c>
      <c r="C68" s="84">
        <v>3123.29</v>
      </c>
      <c r="D68" s="139" t="s">
        <v>191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549</v>
      </c>
      <c r="D69" s="139" t="s">
        <v>203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607</v>
      </c>
      <c r="C70" s="84">
        <v>148.6</v>
      </c>
      <c r="D70" s="139" t="s">
        <v>655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609</v>
      </c>
      <c r="C71" s="84">
        <v>244.8</v>
      </c>
      <c r="D71" s="139" t="s">
        <v>655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610</v>
      </c>
      <c r="C72" s="84">
        <v>1204.5</v>
      </c>
      <c r="D72" s="139" t="s">
        <v>655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611</v>
      </c>
      <c r="C73" s="84">
        <v>532.6</v>
      </c>
      <c r="D73" s="139" t="s">
        <v>655</v>
      </c>
      <c r="E73" s="76">
        <v>-133.15</v>
      </c>
      <c r="F73" s="54"/>
    </row>
    <row r="74" spans="1:8">
      <c r="A74" s="89">
        <v>45139</v>
      </c>
      <c r="B74" s="84" t="s">
        <v>656</v>
      </c>
      <c r="E74" s="76">
        <v>-260.02</v>
      </c>
    </row>
    <row r="75" spans="1:8">
      <c r="A75" s="88">
        <v>45139</v>
      </c>
      <c r="B75" s="84" t="s">
        <v>657</v>
      </c>
      <c r="E75" s="76">
        <v>-116.6</v>
      </c>
    </row>
    <row r="76" spans="1:8">
      <c r="A76" s="88">
        <v>45139</v>
      </c>
      <c r="B76" s="84" t="s">
        <v>657</v>
      </c>
      <c r="E76" s="76">
        <v>-23.75</v>
      </c>
    </row>
    <row r="77" spans="1:8">
      <c r="A77" s="88">
        <v>45140</v>
      </c>
      <c r="B77" s="84" t="s">
        <v>658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659</v>
      </c>
      <c r="E79" s="76">
        <v>-71</v>
      </c>
    </row>
    <row r="80" spans="1:8">
      <c r="A80" s="88">
        <v>45153</v>
      </c>
      <c r="B80" s="84" t="s">
        <v>660</v>
      </c>
      <c r="E80" s="76">
        <v>-1806</v>
      </c>
    </row>
    <row r="81" spans="1:8">
      <c r="A81" s="88">
        <v>45158</v>
      </c>
      <c r="B81" s="84" t="s">
        <v>661</v>
      </c>
      <c r="E81" s="76">
        <v>-160.9</v>
      </c>
    </row>
    <row r="82" spans="1:8">
      <c r="A82" s="88">
        <v>45160</v>
      </c>
      <c r="B82" s="84" t="s">
        <v>662</v>
      </c>
      <c r="D82" s="26"/>
      <c r="E82" s="76">
        <v>-231</v>
      </c>
    </row>
    <row r="83" spans="1:8" ht="15">
      <c r="A83" s="88"/>
      <c r="B83" s="84"/>
      <c r="D83" s="105" t="s">
        <v>224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577</v>
      </c>
      <c r="C88">
        <v>1140.99</v>
      </c>
      <c r="D88" t="s">
        <v>351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663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274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664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665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229</v>
      </c>
      <c r="E93" s="76">
        <v>-42.15</v>
      </c>
      <c r="F93" s="54"/>
    </row>
    <row r="94" spans="1:8">
      <c r="A94" s="89">
        <v>45136</v>
      </c>
      <c r="B94" t="s">
        <v>666</v>
      </c>
      <c r="E94">
        <v>-400</v>
      </c>
      <c r="F94" s="54"/>
    </row>
    <row r="95" spans="1:8">
      <c r="A95" s="89">
        <v>45136</v>
      </c>
      <c r="B95" t="s">
        <v>667</v>
      </c>
      <c r="E95">
        <v>-266</v>
      </c>
      <c r="F95" s="54"/>
    </row>
    <row r="96" spans="1:8">
      <c r="A96" s="89">
        <v>45199</v>
      </c>
      <c r="B96" t="s">
        <v>668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578</v>
      </c>
      <c r="D99" s="26" t="s">
        <v>669</v>
      </c>
      <c r="E99">
        <v>-181.83</v>
      </c>
    </row>
    <row r="100" spans="1:6">
      <c r="A100" s="88">
        <v>45141</v>
      </c>
      <c r="B100" t="s">
        <v>270</v>
      </c>
      <c r="D100" s="26"/>
      <c r="E100">
        <v>-150</v>
      </c>
    </row>
    <row r="101" spans="1:6">
      <c r="A101" s="88">
        <v>45143</v>
      </c>
      <c r="B101" t="s">
        <v>270</v>
      </c>
      <c r="E101">
        <v>-150</v>
      </c>
    </row>
    <row r="102" spans="1:6">
      <c r="A102" s="88">
        <v>45143</v>
      </c>
      <c r="B102" t="s">
        <v>229</v>
      </c>
      <c r="E102">
        <v>-337.19</v>
      </c>
    </row>
    <row r="103" spans="1:6">
      <c r="A103" s="88">
        <v>45161</v>
      </c>
      <c r="B103" t="s">
        <v>270</v>
      </c>
      <c r="E103">
        <v>-200</v>
      </c>
    </row>
    <row r="104" spans="1:6" ht="15">
      <c r="D104" s="105" t="s">
        <v>224</v>
      </c>
    </row>
    <row r="111" spans="1:6">
      <c r="A111" s="68" t="s">
        <v>670</v>
      </c>
      <c r="B111" s="69" t="s">
        <v>82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631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633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634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102</v>
      </c>
      <c r="E121" s="76">
        <f>H40</f>
        <v>222885.09</v>
      </c>
    </row>
    <row r="122" spans="1:6">
      <c r="D122" s="3"/>
    </row>
    <row r="123" spans="1:6">
      <c r="D123" s="61" t="s">
        <v>103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672</v>
      </c>
      <c r="C2" s="79" t="s">
        <v>105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109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129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253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433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134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135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676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677</v>
      </c>
      <c r="D25" s="95"/>
      <c r="F25" s="54"/>
      <c r="G25" s="54"/>
      <c r="H25" s="54">
        <f t="shared" si="0"/>
        <v>-15085.350000000002</v>
      </c>
    </row>
    <row r="26" spans="1:8">
      <c r="B26" t="s">
        <v>678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679</v>
      </c>
      <c r="D27" s="249">
        <v>70000</v>
      </c>
      <c r="G27" s="54"/>
      <c r="H27" s="54">
        <f t="shared" si="0"/>
        <v>-15085.350000000002</v>
      </c>
    </row>
    <row r="28" spans="1:8">
      <c r="B28" t="s">
        <v>680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545</v>
      </c>
      <c r="E38" s="54"/>
      <c r="F38" s="54"/>
      <c r="G38" s="54"/>
    </row>
    <row r="39" spans="1:8">
      <c r="B39" t="s">
        <v>142</v>
      </c>
      <c r="E39" s="54"/>
      <c r="F39" s="54"/>
      <c r="G39" s="54"/>
    </row>
    <row r="40" spans="1:8">
      <c r="B40" t="s">
        <v>143</v>
      </c>
      <c r="F40" s="54"/>
      <c r="G40" s="54"/>
    </row>
    <row r="41" spans="1:8">
      <c r="B41" t="s">
        <v>144</v>
      </c>
      <c r="F41" s="54"/>
      <c r="G41" s="54"/>
    </row>
    <row r="42" spans="1:8">
      <c r="B42" t="s">
        <v>145</v>
      </c>
      <c r="F42" s="54"/>
      <c r="G42" s="54"/>
    </row>
    <row r="43" spans="1:8">
      <c r="B43" t="s">
        <v>146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681</v>
      </c>
      <c r="C50" s="84"/>
      <c r="D50" s="84" t="s">
        <v>153</v>
      </c>
      <c r="E50" s="76">
        <v>-1111.1199999999999</v>
      </c>
      <c r="G50" s="54"/>
      <c r="H50" s="54"/>
    </row>
    <row r="51" spans="1:8">
      <c r="A51" s="89">
        <v>44995</v>
      </c>
      <c r="B51" t="s">
        <v>396</v>
      </c>
      <c r="C51">
        <v>613.91</v>
      </c>
      <c r="D51" s="26" t="s">
        <v>682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654</v>
      </c>
      <c r="C52">
        <v>2258.94</v>
      </c>
      <c r="D52" s="26" t="s">
        <v>182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574</v>
      </c>
      <c r="C53" s="84">
        <v>3299</v>
      </c>
      <c r="D53" s="26" t="s">
        <v>203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349</v>
      </c>
      <c r="C54" s="84">
        <v>10764.57</v>
      </c>
      <c r="D54" s="26" t="s">
        <v>194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576</v>
      </c>
      <c r="C55" s="84">
        <v>3123.29</v>
      </c>
      <c r="D55" s="139" t="s">
        <v>203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549</v>
      </c>
      <c r="D56" s="139" t="s">
        <v>217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607</v>
      </c>
      <c r="C57" s="84">
        <v>148.6</v>
      </c>
      <c r="D57" s="139" t="s">
        <v>683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609</v>
      </c>
      <c r="C58" s="84">
        <v>244.8</v>
      </c>
      <c r="D58" s="139" t="s">
        <v>683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610</v>
      </c>
      <c r="C59" s="84">
        <v>1204.5</v>
      </c>
      <c r="D59" s="139" t="s">
        <v>683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611</v>
      </c>
      <c r="C60" s="84">
        <v>532.6</v>
      </c>
      <c r="D60" s="139" t="s">
        <v>683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684</v>
      </c>
      <c r="E62" s="76">
        <v>-132.9</v>
      </c>
    </row>
    <row r="63" spans="1:8">
      <c r="A63" s="89"/>
      <c r="D63" s="3" t="s">
        <v>224</v>
      </c>
      <c r="E63" s="76"/>
    </row>
    <row r="65" spans="1:8">
      <c r="D65" s="26"/>
    </row>
    <row r="67" spans="1:8">
      <c r="A67" s="70"/>
      <c r="B67" s="69" t="s">
        <v>154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577</v>
      </c>
      <c r="C68">
        <v>1140.99</v>
      </c>
      <c r="D68" t="s">
        <v>685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686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687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688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689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406</v>
      </c>
      <c r="E75">
        <v>-1356.36</v>
      </c>
    </row>
    <row r="76" spans="1:8">
      <c r="A76" s="89">
        <v>45115</v>
      </c>
      <c r="B76" t="s">
        <v>406</v>
      </c>
      <c r="E76">
        <v>-1120</v>
      </c>
    </row>
    <row r="77" spans="1:8">
      <c r="B77" t="s">
        <v>690</v>
      </c>
    </row>
    <row r="78" spans="1:8">
      <c r="A78" s="89">
        <v>45116</v>
      </c>
      <c r="B78" t="s">
        <v>691</v>
      </c>
      <c r="E78">
        <v>-437</v>
      </c>
    </row>
    <row r="79" spans="1:8">
      <c r="A79" s="89">
        <v>45116</v>
      </c>
      <c r="B79" t="s">
        <v>406</v>
      </c>
      <c r="D79" s="26"/>
      <c r="E79">
        <v>-863</v>
      </c>
    </row>
    <row r="80" spans="1:8">
      <c r="A80" s="89">
        <v>45119</v>
      </c>
      <c r="B80" t="s">
        <v>277</v>
      </c>
      <c r="D80" s="26"/>
      <c r="E80">
        <v>-146.88999999999999</v>
      </c>
    </row>
    <row r="81" spans="1:5">
      <c r="A81" s="89">
        <v>45119</v>
      </c>
      <c r="B81" t="s">
        <v>274</v>
      </c>
      <c r="E81">
        <v>-150</v>
      </c>
    </row>
    <row r="82" spans="1:5">
      <c r="A82" s="89">
        <v>45120</v>
      </c>
      <c r="B82" t="s">
        <v>274</v>
      </c>
      <c r="E82">
        <v>-150</v>
      </c>
    </row>
    <row r="83" spans="1:5">
      <c r="A83" s="89">
        <v>45121</v>
      </c>
      <c r="B83" t="s">
        <v>274</v>
      </c>
      <c r="E83">
        <v>-150</v>
      </c>
    </row>
    <row r="84" spans="1:5">
      <c r="A84" s="89">
        <v>45124</v>
      </c>
      <c r="B84" t="s">
        <v>274</v>
      </c>
      <c r="E84">
        <v>-150</v>
      </c>
    </row>
    <row r="85" spans="1:5">
      <c r="A85" s="89">
        <v>45125</v>
      </c>
      <c r="B85" t="s">
        <v>274</v>
      </c>
      <c r="E85">
        <v>-160</v>
      </c>
    </row>
    <row r="86" spans="1:5">
      <c r="A86" s="89">
        <v>45129</v>
      </c>
      <c r="B86" t="s">
        <v>277</v>
      </c>
      <c r="E86">
        <v>-20.059999999999999</v>
      </c>
    </row>
    <row r="87" spans="1:5">
      <c r="A87" s="89">
        <v>45130</v>
      </c>
      <c r="B87" t="s">
        <v>692</v>
      </c>
      <c r="E87">
        <v>-275.54000000000002</v>
      </c>
    </row>
    <row r="88" spans="1:5">
      <c r="A88" s="89">
        <v>45130</v>
      </c>
      <c r="B88" t="s">
        <v>584</v>
      </c>
      <c r="E88">
        <v>-212.45</v>
      </c>
    </row>
    <row r="89" spans="1:5">
      <c r="A89" s="89">
        <v>45131</v>
      </c>
      <c r="B89" t="s">
        <v>693</v>
      </c>
      <c r="E89">
        <v>-4.57</v>
      </c>
    </row>
    <row r="90" spans="1:5">
      <c r="A90" s="89">
        <v>45131</v>
      </c>
      <c r="B90" t="s">
        <v>694</v>
      </c>
      <c r="E90">
        <v>-4.57</v>
      </c>
    </row>
    <row r="91" spans="1:5">
      <c r="A91" s="89">
        <v>45131</v>
      </c>
      <c r="B91" t="s">
        <v>695</v>
      </c>
      <c r="E91">
        <v>-30.44</v>
      </c>
    </row>
    <row r="92" spans="1:5">
      <c r="D92" s="3" t="s">
        <v>224</v>
      </c>
    </row>
    <row r="111" spans="1:5">
      <c r="A111" s="68" t="s">
        <v>696</v>
      </c>
      <c r="B111" s="69" t="s">
        <v>82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83</v>
      </c>
      <c r="C112" s="2"/>
      <c r="D112" s="2"/>
      <c r="E112" s="62">
        <v>64000</v>
      </c>
    </row>
    <row r="113" spans="1:5">
      <c r="A113" s="89">
        <v>45169</v>
      </c>
      <c r="B113" t="s">
        <v>697</v>
      </c>
      <c r="C113" s="2"/>
      <c r="D113" s="2"/>
      <c r="E113" s="62">
        <v>53088</v>
      </c>
    </row>
    <row r="114" spans="1:5">
      <c r="A114" s="89">
        <v>45169</v>
      </c>
      <c r="B114" t="s">
        <v>85</v>
      </c>
      <c r="C114" s="2"/>
      <c r="D114" s="2"/>
      <c r="E114" s="62">
        <v>28245.88</v>
      </c>
    </row>
    <row r="115" spans="1:5">
      <c r="A115" s="89">
        <v>45169</v>
      </c>
      <c r="B115" t="s">
        <v>86</v>
      </c>
      <c r="C115" s="2"/>
      <c r="D115" s="2"/>
      <c r="E115" s="62">
        <v>450.49</v>
      </c>
    </row>
    <row r="116" spans="1:5">
      <c r="A116" s="89">
        <v>45169</v>
      </c>
      <c r="B116" t="s">
        <v>631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698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699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100</v>
      </c>
      <c r="C119" s="2"/>
      <c r="D119" s="2"/>
      <c r="E119" s="62">
        <v>50850</v>
      </c>
    </row>
    <row r="120" spans="1:5">
      <c r="A120" s="89"/>
      <c r="B120" t="s">
        <v>101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102</v>
      </c>
      <c r="E121" s="54">
        <f>H13</f>
        <v>-21230.350000000002</v>
      </c>
    </row>
    <row r="122" spans="1:5">
      <c r="D122" s="3"/>
    </row>
    <row r="123" spans="1:5">
      <c r="D123" s="61" t="s">
        <v>103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700</v>
      </c>
      <c r="C2" s="79" t="s">
        <v>105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109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701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702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703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129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704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705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706</v>
      </c>
      <c r="C14" s="80" t="s">
        <v>707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706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708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123</v>
      </c>
      <c r="C17" s="80" t="s">
        <v>124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709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433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710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134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711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712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138</v>
      </c>
      <c r="E35" s="54"/>
      <c r="G35" s="54"/>
      <c r="H35" s="54"/>
    </row>
    <row r="36" spans="1:8">
      <c r="A36" s="70" t="s">
        <v>139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140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545</v>
      </c>
      <c r="D42">
        <v>547.27</v>
      </c>
      <c r="E42" s="54"/>
      <c r="F42" s="54"/>
      <c r="G42" s="54"/>
    </row>
    <row r="43" spans="1:8">
      <c r="B43" t="s">
        <v>142</v>
      </c>
      <c r="D43">
        <v>990.96</v>
      </c>
      <c r="E43" s="54">
        <v>990</v>
      </c>
      <c r="F43" s="54"/>
      <c r="G43" s="54"/>
    </row>
    <row r="44" spans="1:8">
      <c r="B44" t="s">
        <v>143</v>
      </c>
      <c r="D44">
        <v>112.16</v>
      </c>
      <c r="F44" s="54"/>
      <c r="G44" s="54"/>
    </row>
    <row r="45" spans="1:8">
      <c r="B45" t="s">
        <v>144</v>
      </c>
      <c r="D45">
        <v>1115.05</v>
      </c>
      <c r="F45" s="54"/>
      <c r="G45" s="54"/>
    </row>
    <row r="46" spans="1:8">
      <c r="B46" t="s">
        <v>145</v>
      </c>
      <c r="D46">
        <v>322.29000000000002</v>
      </c>
      <c r="E46">
        <v>322</v>
      </c>
      <c r="F46" s="54"/>
      <c r="G46" s="54"/>
    </row>
    <row r="47" spans="1:8">
      <c r="B47" t="s">
        <v>146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681</v>
      </c>
      <c r="C54" s="84"/>
      <c r="D54" s="84" t="s">
        <v>152</v>
      </c>
      <c r="E54" s="76">
        <v>-1111.1099999999999</v>
      </c>
      <c r="G54" s="54"/>
      <c r="H54" s="54"/>
    </row>
    <row r="55" spans="1:8">
      <c r="A55" s="89">
        <v>44995</v>
      </c>
      <c r="B55" t="s">
        <v>396</v>
      </c>
      <c r="C55">
        <v>613.91</v>
      </c>
      <c r="D55" s="26" t="s">
        <v>713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654</v>
      </c>
      <c r="C56">
        <v>2258.94</v>
      </c>
      <c r="D56" s="26" t="s">
        <v>191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574</v>
      </c>
      <c r="C57" s="84">
        <v>3299</v>
      </c>
      <c r="D57" s="26" t="s">
        <v>217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349</v>
      </c>
      <c r="C58" s="84">
        <v>10764.57</v>
      </c>
      <c r="D58" s="26" t="s">
        <v>205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576</v>
      </c>
      <c r="C59" s="84">
        <v>3123.29</v>
      </c>
      <c r="D59" s="139" t="s">
        <v>217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607</v>
      </c>
      <c r="C60" s="84">
        <v>148.6</v>
      </c>
      <c r="D60" s="139" t="s">
        <v>714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609</v>
      </c>
      <c r="C61" s="84">
        <v>244.8</v>
      </c>
      <c r="D61" s="139" t="s">
        <v>714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610</v>
      </c>
      <c r="C62" s="84">
        <v>1204.5</v>
      </c>
      <c r="D62" s="139" t="s">
        <v>714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611</v>
      </c>
      <c r="C63" s="84">
        <v>532.6</v>
      </c>
      <c r="D63" s="139" t="s">
        <v>714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549</v>
      </c>
      <c r="D64" s="139" t="s">
        <v>265</v>
      </c>
      <c r="E64" s="76">
        <v>-666.67</v>
      </c>
      <c r="F64" s="54"/>
    </row>
    <row r="65" spans="1:8">
      <c r="A65" s="89">
        <v>45091</v>
      </c>
      <c r="B65" s="84" t="s">
        <v>715</v>
      </c>
      <c r="E65" s="76">
        <v>-1129</v>
      </c>
      <c r="F65" s="54"/>
    </row>
    <row r="66" spans="1:8">
      <c r="A66" s="89"/>
      <c r="B66" s="84"/>
      <c r="D66" s="3" t="s">
        <v>224</v>
      </c>
      <c r="E66" s="76"/>
      <c r="F66" s="54"/>
    </row>
    <row r="67" spans="1:8">
      <c r="D67" s="26"/>
    </row>
    <row r="69" spans="1:8">
      <c r="A69" s="70"/>
      <c r="B69" s="69" t="s">
        <v>154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577</v>
      </c>
      <c r="C70">
        <v>1140.99</v>
      </c>
      <c r="D70" t="s">
        <v>551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716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717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718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718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718</v>
      </c>
      <c r="E75" s="76">
        <v>-225</v>
      </c>
    </row>
    <row r="76" spans="1:8">
      <c r="B76" s="84" t="s">
        <v>482</v>
      </c>
      <c r="C76">
        <v>-1207</v>
      </c>
    </row>
    <row r="77" spans="1:8">
      <c r="A77" s="88">
        <v>45080</v>
      </c>
      <c r="B77" s="84" t="s">
        <v>718</v>
      </c>
      <c r="E77" s="76">
        <v>-180</v>
      </c>
    </row>
    <row r="78" spans="1:8">
      <c r="A78" s="88">
        <v>45080</v>
      </c>
      <c r="B78" s="84" t="s">
        <v>719</v>
      </c>
      <c r="E78" s="76">
        <v>-850</v>
      </c>
    </row>
    <row r="79" spans="1:8">
      <c r="A79" s="88">
        <v>45082</v>
      </c>
      <c r="B79" s="84" t="s">
        <v>720</v>
      </c>
      <c r="E79" s="76">
        <v>-112.11</v>
      </c>
    </row>
    <row r="80" spans="1:8">
      <c r="A80" s="88">
        <v>45082</v>
      </c>
      <c r="B80" s="84" t="s">
        <v>718</v>
      </c>
      <c r="E80" s="76">
        <v>-150</v>
      </c>
    </row>
    <row r="81" spans="1:5">
      <c r="A81" s="88">
        <v>45084</v>
      </c>
      <c r="B81" s="84" t="s">
        <v>718</v>
      </c>
      <c r="D81" s="26"/>
      <c r="E81" s="76">
        <v>-250</v>
      </c>
    </row>
    <row r="82" spans="1:5">
      <c r="A82" s="88">
        <v>45085</v>
      </c>
      <c r="B82" s="84" t="s">
        <v>718</v>
      </c>
      <c r="D82" s="26"/>
      <c r="E82" s="76">
        <v>-250</v>
      </c>
    </row>
    <row r="83" spans="1:5">
      <c r="A83" s="88">
        <v>45086</v>
      </c>
      <c r="B83" t="s">
        <v>721</v>
      </c>
      <c r="E83" s="76">
        <v>-1420</v>
      </c>
    </row>
    <row r="84" spans="1:5">
      <c r="A84" s="88">
        <v>45087</v>
      </c>
      <c r="B84" t="s">
        <v>722</v>
      </c>
      <c r="E84" s="76">
        <v>-242.56</v>
      </c>
    </row>
    <row r="85" spans="1:5">
      <c r="A85" s="88">
        <v>45089</v>
      </c>
      <c r="B85" t="s">
        <v>723</v>
      </c>
      <c r="E85" s="76">
        <v>-167.19</v>
      </c>
    </row>
    <row r="86" spans="1:5">
      <c r="A86" s="88">
        <v>45091</v>
      </c>
      <c r="B86" t="s">
        <v>718</v>
      </c>
      <c r="E86" s="76">
        <v>-200</v>
      </c>
    </row>
    <row r="87" spans="1:5">
      <c r="A87" s="88">
        <v>45091</v>
      </c>
      <c r="B87" t="s">
        <v>720</v>
      </c>
      <c r="E87" s="76">
        <v>-61.41</v>
      </c>
    </row>
    <row r="88" spans="1:5">
      <c r="A88" s="88">
        <v>45092</v>
      </c>
      <c r="B88" t="s">
        <v>718</v>
      </c>
      <c r="E88" s="76">
        <v>-200</v>
      </c>
    </row>
    <row r="89" spans="1:5">
      <c r="A89" s="89">
        <v>45095</v>
      </c>
      <c r="B89" t="s">
        <v>724</v>
      </c>
      <c r="E89" s="76">
        <v>-257</v>
      </c>
    </row>
    <row r="90" spans="1:5">
      <c r="A90" s="89">
        <v>45096</v>
      </c>
      <c r="B90" t="s">
        <v>274</v>
      </c>
      <c r="E90" s="76">
        <v>-250</v>
      </c>
    </row>
    <row r="91" spans="1:5">
      <c r="A91" s="89">
        <v>45097</v>
      </c>
      <c r="B91" t="s">
        <v>725</v>
      </c>
      <c r="E91" s="76">
        <v>-110</v>
      </c>
    </row>
    <row r="92" spans="1:5">
      <c r="A92" s="89">
        <v>45098</v>
      </c>
      <c r="B92" t="s">
        <v>726</v>
      </c>
      <c r="E92" s="76">
        <v>-405</v>
      </c>
    </row>
    <row r="93" spans="1:5">
      <c r="A93" s="89">
        <v>45099</v>
      </c>
      <c r="B93" t="s">
        <v>727</v>
      </c>
      <c r="E93" s="76">
        <v>-820</v>
      </c>
    </row>
    <row r="94" spans="1:5">
      <c r="A94" s="89">
        <v>45099</v>
      </c>
      <c r="B94" t="s">
        <v>728</v>
      </c>
      <c r="E94" s="76">
        <v>-599</v>
      </c>
    </row>
    <row r="95" spans="1:5">
      <c r="A95" s="89">
        <v>45099</v>
      </c>
      <c r="B95" t="s">
        <v>729</v>
      </c>
      <c r="E95" s="76">
        <v>-8</v>
      </c>
    </row>
    <row r="96" spans="1:5">
      <c r="A96" s="89">
        <v>45099</v>
      </c>
      <c r="B96" t="s">
        <v>729</v>
      </c>
      <c r="E96" s="76">
        <v>-1197.3800000000001</v>
      </c>
    </row>
    <row r="97" spans="1:5">
      <c r="A97" s="89">
        <v>45100</v>
      </c>
      <c r="B97" t="s">
        <v>730</v>
      </c>
      <c r="E97" s="76">
        <v>-418.5</v>
      </c>
    </row>
    <row r="98" spans="1:5">
      <c r="D98" s="3" t="s">
        <v>224</v>
      </c>
    </row>
    <row r="110" spans="1:5">
      <c r="D110" s="26"/>
    </row>
    <row r="111" spans="1:5">
      <c r="A111" s="68" t="s">
        <v>731</v>
      </c>
      <c r="B111" s="69" t="s">
        <v>82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12372.88</v>
      </c>
    </row>
    <row r="115" spans="1:5">
      <c r="A115" s="89">
        <v>45077</v>
      </c>
      <c r="B115" t="s">
        <v>86</v>
      </c>
      <c r="C115" s="2"/>
      <c r="D115" s="2"/>
      <c r="E115" s="62">
        <v>26868.21</v>
      </c>
    </row>
    <row r="116" spans="1:5">
      <c r="A116" s="89">
        <v>45077</v>
      </c>
      <c r="B116" t="s">
        <v>631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732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733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100</v>
      </c>
      <c r="C119" s="2"/>
      <c r="D119" s="2"/>
      <c r="E119" s="62">
        <v>67500</v>
      </c>
    </row>
    <row r="120" spans="1:5">
      <c r="A120" s="89"/>
      <c r="B120" t="s">
        <v>101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102</v>
      </c>
      <c r="E121" s="54">
        <f>H13</f>
        <v>-23354.9</v>
      </c>
    </row>
    <row r="122" spans="1:5">
      <c r="D122" s="3"/>
    </row>
    <row r="123" spans="1:5">
      <c r="D123" s="61" t="s">
        <v>103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734</v>
      </c>
      <c r="C2" s="79" t="s">
        <v>105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109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735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129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736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737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200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123</v>
      </c>
      <c r="C14" s="80" t="s">
        <v>124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433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738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135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739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740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741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742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743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744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545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681</v>
      </c>
      <c r="C50" s="84"/>
      <c r="D50" s="84" t="s">
        <v>169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745</v>
      </c>
      <c r="C51">
        <v>659.93</v>
      </c>
      <c r="D51" s="26" t="s">
        <v>608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396</v>
      </c>
      <c r="C52">
        <v>613.91</v>
      </c>
      <c r="D52" s="26" t="s">
        <v>746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747</v>
      </c>
      <c r="C53">
        <v>720.19</v>
      </c>
      <c r="D53" s="259" t="s">
        <v>748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654</v>
      </c>
      <c r="C54">
        <v>2258.94</v>
      </c>
      <c r="D54" s="26" t="s">
        <v>749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349</v>
      </c>
      <c r="C57" s="84">
        <v>10764.57</v>
      </c>
      <c r="D57" s="26" t="s">
        <v>613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265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265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750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751</v>
      </c>
      <c r="E63" s="76">
        <v>-496</v>
      </c>
    </row>
    <row r="64" spans="1:8">
      <c r="A64" s="89">
        <v>45043</v>
      </c>
      <c r="B64" s="84" t="s">
        <v>752</v>
      </c>
      <c r="C64" s="84"/>
      <c r="D64" s="84"/>
      <c r="E64" s="76">
        <v>-120</v>
      </c>
    </row>
    <row r="65" spans="1:6">
      <c r="A65" s="89">
        <v>45044</v>
      </c>
      <c r="B65" t="s">
        <v>753</v>
      </c>
      <c r="E65" s="76">
        <v>-321</v>
      </c>
      <c r="F65" s="54"/>
    </row>
    <row r="66" spans="1:6">
      <c r="A66" s="89">
        <v>45044</v>
      </c>
      <c r="B66" t="s">
        <v>754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755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755</v>
      </c>
      <c r="C69">
        <v>225</v>
      </c>
      <c r="E69" s="76"/>
    </row>
    <row r="70" spans="1:6">
      <c r="A70" s="89">
        <v>45062</v>
      </c>
      <c r="B70" t="s">
        <v>755</v>
      </c>
      <c r="C70">
        <v>500</v>
      </c>
      <c r="E70" s="76"/>
    </row>
    <row r="71" spans="1:6">
      <c r="A71" s="89">
        <v>45066</v>
      </c>
      <c r="B71" t="s">
        <v>756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224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757</v>
      </c>
      <c r="C85" s="84"/>
      <c r="D85" s="84"/>
      <c r="E85" s="76">
        <v>-140</v>
      </c>
      <c r="F85" s="54" t="s">
        <v>758</v>
      </c>
      <c r="G85" s="54"/>
      <c r="H85" s="54"/>
    </row>
    <row r="86" spans="1:8">
      <c r="A86" s="89">
        <v>45044</v>
      </c>
      <c r="B86" s="84" t="s">
        <v>759</v>
      </c>
      <c r="C86" s="84"/>
      <c r="D86" s="84"/>
      <c r="E86" s="76">
        <v>-35.78</v>
      </c>
      <c r="F86" s="54" t="s">
        <v>758</v>
      </c>
      <c r="G86" s="54"/>
      <c r="H86" s="54"/>
    </row>
    <row r="87" spans="1:8">
      <c r="A87" s="89">
        <v>45045</v>
      </c>
      <c r="B87" s="84" t="s">
        <v>482</v>
      </c>
      <c r="C87" s="84">
        <v>-221.54</v>
      </c>
      <c r="D87" s="84"/>
      <c r="E87" s="76"/>
      <c r="F87" s="54" t="s">
        <v>758</v>
      </c>
      <c r="G87" s="54"/>
      <c r="H87" s="54"/>
    </row>
    <row r="88" spans="1:8">
      <c r="A88" s="89">
        <v>45023</v>
      </c>
      <c r="B88" s="84" t="s">
        <v>229</v>
      </c>
      <c r="C88" s="84"/>
      <c r="D88" s="84"/>
      <c r="E88" s="76">
        <v>-39.950000000000003</v>
      </c>
      <c r="F88" s="54" t="s">
        <v>758</v>
      </c>
      <c r="G88" s="54"/>
      <c r="H88" s="54"/>
    </row>
    <row r="89" spans="1:8">
      <c r="A89" s="89">
        <v>45023</v>
      </c>
      <c r="B89" s="84" t="s">
        <v>229</v>
      </c>
      <c r="C89" s="84"/>
      <c r="D89" s="84"/>
      <c r="E89" s="76">
        <v>-154.44999999999999</v>
      </c>
      <c r="F89" s="54" t="s">
        <v>758</v>
      </c>
      <c r="G89" s="54"/>
      <c r="H89" s="54"/>
    </row>
    <row r="90" spans="1:8">
      <c r="A90" s="89">
        <v>45023</v>
      </c>
      <c r="B90" s="97" t="s">
        <v>229</v>
      </c>
      <c r="E90" s="76">
        <v>-260</v>
      </c>
      <c r="F90" s="54" t="s">
        <v>758</v>
      </c>
    </row>
    <row r="91" spans="1:8">
      <c r="A91" s="89">
        <v>45026</v>
      </c>
      <c r="B91" t="s">
        <v>760</v>
      </c>
      <c r="E91" s="76">
        <v>-140</v>
      </c>
      <c r="F91" s="54" t="s">
        <v>758</v>
      </c>
    </row>
    <row r="92" spans="1:8">
      <c r="A92" s="89">
        <v>45026</v>
      </c>
      <c r="B92" t="s">
        <v>759</v>
      </c>
      <c r="E92" s="76">
        <v>-57.07</v>
      </c>
      <c r="F92" s="54" t="s">
        <v>758</v>
      </c>
    </row>
    <row r="93" spans="1:8">
      <c r="A93" s="89">
        <v>45026</v>
      </c>
      <c r="B93" t="s">
        <v>577</v>
      </c>
      <c r="C93">
        <v>1140.99</v>
      </c>
      <c r="D93" t="s">
        <v>580</v>
      </c>
      <c r="E93" s="76">
        <v>-190.17</v>
      </c>
      <c r="F93" t="s">
        <v>758</v>
      </c>
    </row>
    <row r="94" spans="1:8">
      <c r="A94" s="89">
        <v>45061</v>
      </c>
      <c r="B94" t="s">
        <v>761</v>
      </c>
      <c r="E94" s="76">
        <v>-190</v>
      </c>
      <c r="F94" s="54" t="s">
        <v>758</v>
      </c>
    </row>
    <row r="95" spans="1:8">
      <c r="E95" t="s">
        <v>224</v>
      </c>
    </row>
    <row r="96" spans="1:8">
      <c r="D96" s="26"/>
    </row>
    <row r="97" spans="1:5">
      <c r="D97" s="26"/>
    </row>
    <row r="111" spans="1:5">
      <c r="A111" s="68" t="s">
        <v>762</v>
      </c>
      <c r="B111" s="69" t="s">
        <v>763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732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733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H8</f>
        <v>-5855.47</v>
      </c>
    </row>
    <row r="122" spans="1:5">
      <c r="D122" s="3"/>
    </row>
    <row r="123" spans="1:5">
      <c r="D123" s="61" t="s">
        <v>103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765</v>
      </c>
      <c r="C2" s="79" t="s">
        <v>105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109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129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766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214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213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767</v>
      </c>
      <c r="C12" s="80" t="s">
        <v>124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125</v>
      </c>
      <c r="C13" s="84" t="s">
        <v>124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126</v>
      </c>
      <c r="C14" s="84" t="s">
        <v>124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433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768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769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744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770</v>
      </c>
      <c r="C28" s="80"/>
      <c r="D28" s="80"/>
      <c r="E28" s="76"/>
      <c r="H28" s="54"/>
    </row>
    <row r="29" spans="1:8">
      <c r="A29" s="89"/>
      <c r="B29" s="80" t="s">
        <v>771</v>
      </c>
      <c r="C29" s="80"/>
      <c r="D29" s="80"/>
      <c r="E29" s="76"/>
      <c r="H29" s="54"/>
    </row>
    <row r="30" spans="1:8">
      <c r="A30" s="89"/>
      <c r="B30" s="80" t="s">
        <v>772</v>
      </c>
      <c r="C30" s="80"/>
      <c r="D30" s="80"/>
      <c r="E30" s="76"/>
      <c r="H30" s="54"/>
    </row>
    <row r="31" spans="1:8">
      <c r="A31" s="89"/>
      <c r="B31" s="80" t="s">
        <v>119</v>
      </c>
      <c r="C31" s="80"/>
      <c r="D31" s="80"/>
      <c r="E31" s="76"/>
      <c r="H31" s="54"/>
    </row>
    <row r="32" spans="1:8">
      <c r="A32" s="89"/>
      <c r="B32" s="80" t="s">
        <v>773</v>
      </c>
      <c r="C32" s="80" t="s">
        <v>774</v>
      </c>
      <c r="D32" s="80"/>
      <c r="E32" s="76"/>
      <c r="H32" s="54"/>
    </row>
    <row r="33" spans="1:8">
      <c r="A33" s="89"/>
      <c r="B33" t="s">
        <v>775</v>
      </c>
      <c r="C33" s="80"/>
      <c r="D33" s="80"/>
      <c r="E33" s="76"/>
      <c r="H33" s="54"/>
    </row>
    <row r="34" spans="1:8">
      <c r="A34" s="89"/>
      <c r="B34" t="s">
        <v>776</v>
      </c>
      <c r="C34" s="80"/>
      <c r="D34" s="80"/>
      <c r="E34" s="76"/>
      <c r="H34" s="54"/>
    </row>
    <row r="35" spans="1:8">
      <c r="A35" s="89"/>
      <c r="B35" s="80" t="s">
        <v>777</v>
      </c>
      <c r="C35" s="80"/>
      <c r="D35" s="80"/>
      <c r="E35" s="76"/>
      <c r="H35" s="54"/>
    </row>
    <row r="36" spans="1:8">
      <c r="A36" s="89"/>
      <c r="B36" s="80" t="s">
        <v>778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138</v>
      </c>
      <c r="E41" s="54"/>
      <c r="G41" s="54"/>
      <c r="H41" s="54"/>
    </row>
    <row r="42" spans="1:8">
      <c r="A42" s="70" t="s">
        <v>139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140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545</v>
      </c>
      <c r="D48">
        <v>509.04</v>
      </c>
      <c r="E48" s="54">
        <v>510</v>
      </c>
      <c r="F48" s="54"/>
      <c r="G48" s="54"/>
    </row>
    <row r="49" spans="1:8">
      <c r="B49" t="s">
        <v>142</v>
      </c>
      <c r="D49">
        <v>938.46</v>
      </c>
      <c r="E49" s="54">
        <v>938.5</v>
      </c>
      <c r="F49" s="54"/>
      <c r="G49" s="54"/>
    </row>
    <row r="50" spans="1:8">
      <c r="B50" t="s">
        <v>143</v>
      </c>
      <c r="D50">
        <v>126.34</v>
      </c>
      <c r="E50">
        <v>126</v>
      </c>
      <c r="F50" s="54"/>
      <c r="G50" s="54"/>
    </row>
    <row r="51" spans="1:8">
      <c r="B51" t="s">
        <v>144</v>
      </c>
      <c r="D51">
        <v>934.05</v>
      </c>
      <c r="E51">
        <v>935</v>
      </c>
      <c r="F51" s="54"/>
      <c r="G51" s="54"/>
    </row>
    <row r="52" spans="1:8">
      <c r="B52" t="s">
        <v>145</v>
      </c>
      <c r="D52">
        <v>220.12</v>
      </c>
      <c r="E52">
        <v>220</v>
      </c>
      <c r="F52" s="54"/>
      <c r="G52" s="54"/>
    </row>
    <row r="53" spans="1:8">
      <c r="B53" t="s">
        <v>146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681</v>
      </c>
      <c r="C60" s="84"/>
      <c r="D60" s="84" t="s">
        <v>300</v>
      </c>
      <c r="E60" s="76">
        <v>-1111.1099999999999</v>
      </c>
      <c r="G60" s="54"/>
      <c r="H60" s="54"/>
    </row>
    <row r="61" spans="1:8">
      <c r="A61" s="89">
        <v>45016</v>
      </c>
      <c r="B61" t="s">
        <v>440</v>
      </c>
      <c r="C61">
        <v>437.97</v>
      </c>
      <c r="D61" s="26" t="s">
        <v>748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441</v>
      </c>
      <c r="C62">
        <v>404.23</v>
      </c>
      <c r="D62" s="26" t="s">
        <v>748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442</v>
      </c>
      <c r="C63">
        <v>1135</v>
      </c>
      <c r="D63" s="26" t="s">
        <v>748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745</v>
      </c>
      <c r="C64">
        <v>659.93</v>
      </c>
      <c r="D64" s="26" t="s">
        <v>655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747</v>
      </c>
      <c r="C65">
        <v>720.19</v>
      </c>
      <c r="D65" s="259" t="s">
        <v>779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396</v>
      </c>
      <c r="C66">
        <v>613.91</v>
      </c>
      <c r="D66" s="26" t="s">
        <v>780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654</v>
      </c>
      <c r="C67">
        <v>2258.94</v>
      </c>
      <c r="D67" s="26" t="s">
        <v>217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781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782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783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784</v>
      </c>
      <c r="E72" s="76">
        <v>-158.63999999999999</v>
      </c>
    </row>
    <row r="73" spans="1:8">
      <c r="A73" s="89">
        <v>45037</v>
      </c>
      <c r="B73" t="s">
        <v>684</v>
      </c>
      <c r="D73" s="26"/>
      <c r="E73" s="76">
        <v>-100</v>
      </c>
    </row>
    <row r="74" spans="1:8">
      <c r="A74" s="89">
        <v>45037</v>
      </c>
      <c r="B74" t="s">
        <v>684</v>
      </c>
      <c r="E74" s="76">
        <v>-15</v>
      </c>
    </row>
    <row r="75" spans="1:8">
      <c r="A75" s="89">
        <v>45039</v>
      </c>
      <c r="B75" t="s">
        <v>785</v>
      </c>
      <c r="E75" s="76">
        <v>-430</v>
      </c>
    </row>
    <row r="76" spans="1:8">
      <c r="A76" s="89">
        <v>45040</v>
      </c>
      <c r="B76" t="s">
        <v>786</v>
      </c>
      <c r="E76" s="76">
        <v>-69.739999999999995</v>
      </c>
    </row>
    <row r="77" spans="1:8">
      <c r="A77" s="89">
        <v>45040</v>
      </c>
      <c r="B77" t="s">
        <v>787</v>
      </c>
      <c r="E77" s="76">
        <v>-125</v>
      </c>
    </row>
    <row r="78" spans="1:8">
      <c r="A78" s="89"/>
      <c r="E78" s="76" t="s">
        <v>788</v>
      </c>
    </row>
    <row r="80" spans="1:8">
      <c r="A80" s="70"/>
      <c r="B80" s="69" t="s">
        <v>154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789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788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790</v>
      </c>
      <c r="B111" s="69" t="s">
        <v>763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732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733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H3</f>
        <v>0</v>
      </c>
    </row>
    <row r="122" spans="1:5">
      <c r="D122" s="3"/>
    </row>
    <row r="123" spans="1:5">
      <c r="D123" s="61" t="s">
        <v>103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791</v>
      </c>
      <c r="C2" s="79" t="s">
        <v>105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109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792</v>
      </c>
      <c r="B8" s="80" t="s">
        <v>123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129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703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702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433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134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793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135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794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795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796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797</v>
      </c>
      <c r="D26" s="95"/>
      <c r="H26" s="54">
        <f t="shared" si="0"/>
        <v>-18317.020000000004</v>
      </c>
    </row>
    <row r="27" spans="1:8">
      <c r="A27" s="89">
        <v>45042</v>
      </c>
      <c r="B27" t="s">
        <v>798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799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800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801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138</v>
      </c>
      <c r="E36" s="54"/>
      <c r="G36" s="54"/>
      <c r="H36" s="54"/>
    </row>
    <row r="37" spans="1:8">
      <c r="A37" s="70" t="s">
        <v>139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140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545</v>
      </c>
      <c r="D43">
        <v>835.27</v>
      </c>
      <c r="E43" s="54">
        <v>835</v>
      </c>
      <c r="F43" s="54"/>
      <c r="G43" s="54"/>
    </row>
    <row r="44" spans="1:8">
      <c r="B44" t="s">
        <v>142</v>
      </c>
      <c r="D44">
        <v>1240.45</v>
      </c>
      <c r="E44" s="54">
        <v>1240</v>
      </c>
      <c r="F44" s="54"/>
      <c r="G44" s="54"/>
    </row>
    <row r="45" spans="1:8">
      <c r="B45" t="s">
        <v>143</v>
      </c>
      <c r="D45">
        <v>195.7</v>
      </c>
      <c r="E45">
        <v>195</v>
      </c>
      <c r="F45" s="54"/>
      <c r="G45" s="54"/>
    </row>
    <row r="46" spans="1:8">
      <c r="B46" t="s">
        <v>144</v>
      </c>
      <c r="D46">
        <v>1448.09</v>
      </c>
      <c r="E46">
        <v>1450</v>
      </c>
      <c r="F46" s="54"/>
      <c r="G46" s="54"/>
    </row>
    <row r="47" spans="1:8">
      <c r="B47" t="s">
        <v>145</v>
      </c>
      <c r="D47">
        <v>335.29</v>
      </c>
      <c r="E47">
        <v>335</v>
      </c>
      <c r="F47" s="54"/>
      <c r="G47" s="54"/>
    </row>
    <row r="48" spans="1:8">
      <c r="B48" t="s">
        <v>146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802</v>
      </c>
      <c r="C55" s="84"/>
      <c r="D55" s="84" t="s">
        <v>178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803</v>
      </c>
      <c r="C56" s="84"/>
      <c r="D56" s="84" t="s">
        <v>608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804</v>
      </c>
      <c r="C57" s="84"/>
      <c r="D57" s="84" t="s">
        <v>608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805</v>
      </c>
      <c r="C58" s="84"/>
      <c r="D58" s="84" t="s">
        <v>608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806</v>
      </c>
      <c r="C59" s="84"/>
      <c r="D59" s="84" t="s">
        <v>608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440</v>
      </c>
      <c r="C60">
        <v>437.97</v>
      </c>
      <c r="D60" s="26" t="s">
        <v>779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441</v>
      </c>
      <c r="C61">
        <v>404.23</v>
      </c>
      <c r="D61" s="26" t="s">
        <v>779</v>
      </c>
      <c r="E61" s="76">
        <v>-134.74</v>
      </c>
      <c r="F61" s="54"/>
    </row>
    <row r="62" spans="1:8">
      <c r="A62" s="89">
        <v>44985</v>
      </c>
      <c r="B62" t="s">
        <v>442</v>
      </c>
      <c r="C62">
        <v>1135</v>
      </c>
      <c r="D62" s="26" t="s">
        <v>779</v>
      </c>
      <c r="E62" s="76">
        <v>-378.33</v>
      </c>
      <c r="F62" s="54"/>
    </row>
    <row r="63" spans="1:8">
      <c r="A63" s="89">
        <v>44982</v>
      </c>
      <c r="B63" t="s">
        <v>807</v>
      </c>
      <c r="C63">
        <v>659.93</v>
      </c>
      <c r="D63" s="26" t="s">
        <v>683</v>
      </c>
      <c r="E63" s="76">
        <v>-164.98</v>
      </c>
      <c r="F63" s="54"/>
    </row>
    <row r="64" spans="1:8">
      <c r="A64" s="89">
        <v>44995</v>
      </c>
      <c r="B64" t="s">
        <v>747</v>
      </c>
      <c r="C64">
        <v>720.19</v>
      </c>
      <c r="D64" s="259" t="s">
        <v>808</v>
      </c>
      <c r="E64" s="76">
        <v>-240.06</v>
      </c>
      <c r="F64" s="54"/>
    </row>
    <row r="65" spans="1:8">
      <c r="A65" s="89">
        <v>44995</v>
      </c>
      <c r="B65" t="s">
        <v>396</v>
      </c>
      <c r="C65">
        <v>613.91</v>
      </c>
      <c r="D65" s="26" t="s">
        <v>809</v>
      </c>
      <c r="E65" s="76">
        <v>-61.39</v>
      </c>
      <c r="F65" s="54"/>
    </row>
    <row r="66" spans="1:8">
      <c r="A66" s="89">
        <v>44995</v>
      </c>
      <c r="B66" t="s">
        <v>654</v>
      </c>
      <c r="C66">
        <v>2258.94</v>
      </c>
      <c r="D66" s="26" t="s">
        <v>265</v>
      </c>
      <c r="E66" s="76">
        <v>-376.49</v>
      </c>
      <c r="F66" s="54"/>
    </row>
    <row r="67" spans="1:8">
      <c r="A67" s="89">
        <v>44985</v>
      </c>
      <c r="B67" t="s">
        <v>810</v>
      </c>
      <c r="D67" s="26"/>
      <c r="E67" s="76">
        <v>-161.31</v>
      </c>
      <c r="F67" s="54"/>
    </row>
    <row r="68" spans="1:8">
      <c r="A68" s="89">
        <v>44986</v>
      </c>
      <c r="B68" t="s">
        <v>810</v>
      </c>
      <c r="D68" s="26"/>
      <c r="E68" s="76">
        <v>-137.93</v>
      </c>
      <c r="F68" s="54"/>
    </row>
    <row r="69" spans="1:8">
      <c r="A69" s="89">
        <v>44987</v>
      </c>
      <c r="B69" t="s">
        <v>810</v>
      </c>
      <c r="D69" s="26"/>
      <c r="E69" s="76">
        <v>-121.99</v>
      </c>
      <c r="F69" s="54"/>
    </row>
    <row r="70" spans="1:8">
      <c r="A70" s="89">
        <v>45004</v>
      </c>
      <c r="B70" t="s">
        <v>811</v>
      </c>
      <c r="D70" s="26"/>
      <c r="E70" s="76">
        <v>-94.85</v>
      </c>
      <c r="F70" s="54"/>
    </row>
    <row r="71" spans="1:8">
      <c r="A71" s="89">
        <v>45005</v>
      </c>
      <c r="B71" t="s">
        <v>812</v>
      </c>
      <c r="D71" s="26"/>
      <c r="E71" s="76">
        <v>-456.1</v>
      </c>
      <c r="F71" s="54"/>
    </row>
    <row r="72" spans="1:8">
      <c r="A72" s="89">
        <v>45005</v>
      </c>
      <c r="B72" t="s">
        <v>813</v>
      </c>
      <c r="E72" s="76">
        <v>-110</v>
      </c>
    </row>
    <row r="73" spans="1:8">
      <c r="A73" s="89">
        <v>45007</v>
      </c>
      <c r="B73" t="s">
        <v>814</v>
      </c>
      <c r="D73" s="26"/>
      <c r="E73" s="76">
        <v>-554.11</v>
      </c>
    </row>
    <row r="74" spans="1:8">
      <c r="A74" s="89">
        <v>45010</v>
      </c>
      <c r="B74" t="s">
        <v>815</v>
      </c>
      <c r="D74" s="26"/>
      <c r="E74" s="76">
        <v>-530.54999999999995</v>
      </c>
    </row>
    <row r="75" spans="1:8">
      <c r="A75" s="89">
        <v>45010</v>
      </c>
      <c r="B75" t="s">
        <v>816</v>
      </c>
      <c r="D75" s="26"/>
      <c r="E75" s="76">
        <v>-26.53</v>
      </c>
    </row>
    <row r="76" spans="1:8">
      <c r="A76" s="89"/>
      <c r="D76" s="26"/>
      <c r="E76" s="76" t="s">
        <v>788</v>
      </c>
    </row>
    <row r="78" spans="1:8">
      <c r="A78" s="70"/>
      <c r="B78" s="69" t="s">
        <v>154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166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274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273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274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817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788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818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697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44063.82</v>
      </c>
    </row>
    <row r="115" spans="1:5">
      <c r="A115" s="89">
        <v>45016</v>
      </c>
      <c r="B115" t="s">
        <v>86</v>
      </c>
      <c r="C115" s="2"/>
      <c r="D115" s="2"/>
      <c r="E115" s="62">
        <v>6000.59</v>
      </c>
    </row>
    <row r="116" spans="1:5">
      <c r="A116" s="89">
        <v>45016</v>
      </c>
      <c r="B116" t="s">
        <v>631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732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733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100</v>
      </c>
      <c r="C119" s="2"/>
      <c r="D119" s="2"/>
      <c r="E119" s="62">
        <v>40000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819</v>
      </c>
      <c r="E121" s="54">
        <f>H2</f>
        <v>14297.21</v>
      </c>
    </row>
    <row r="122" spans="1:5">
      <c r="D122" s="3"/>
    </row>
    <row r="123" spans="1:5">
      <c r="D123" s="61" t="s">
        <v>103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bestFit="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820</v>
      </c>
      <c r="C2" s="79" t="s">
        <v>105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821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109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129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822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823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824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134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135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825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826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827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828</v>
      </c>
      <c r="D25" s="95"/>
      <c r="F25" s="54"/>
      <c r="G25" s="54"/>
      <c r="H25" s="54">
        <f t="shared" si="0"/>
        <v>-270.29999999999927</v>
      </c>
    </row>
    <row r="26" spans="1:8">
      <c r="B26" t="s">
        <v>829</v>
      </c>
      <c r="D26" s="95"/>
      <c r="F26" s="54"/>
      <c r="G26" s="54"/>
      <c r="H26" s="54">
        <f t="shared" si="0"/>
        <v>-270.29999999999927</v>
      </c>
    </row>
    <row r="27" spans="1:8">
      <c r="B27" t="s">
        <v>830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274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831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832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391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833</v>
      </c>
      <c r="D35" t="s">
        <v>707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834</v>
      </c>
      <c r="D36" t="s">
        <v>707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835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836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837</v>
      </c>
      <c r="G39" s="54"/>
      <c r="H39" s="54"/>
    </row>
    <row r="40" spans="1:8">
      <c r="B40" t="s">
        <v>138</v>
      </c>
      <c r="E40" s="54"/>
      <c r="G40" s="54"/>
      <c r="H40" s="54"/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140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838</v>
      </c>
      <c r="D47">
        <v>933.16</v>
      </c>
      <c r="E47" s="54">
        <v>933.16</v>
      </c>
      <c r="F47" s="54"/>
      <c r="G47" s="54"/>
    </row>
    <row r="48" spans="1:8">
      <c r="B48" t="s">
        <v>142</v>
      </c>
      <c r="D48">
        <v>996.81</v>
      </c>
      <c r="E48" s="54">
        <v>996.81</v>
      </c>
      <c r="F48" s="54"/>
      <c r="G48" s="54"/>
    </row>
    <row r="49" spans="1:8">
      <c r="B49" t="s">
        <v>143</v>
      </c>
      <c r="D49">
        <v>233.14</v>
      </c>
      <c r="E49">
        <v>233.14</v>
      </c>
      <c r="F49" s="54"/>
      <c r="G49" s="54"/>
    </row>
    <row r="50" spans="1:8">
      <c r="B50" t="s">
        <v>839</v>
      </c>
      <c r="D50">
        <v>200</v>
      </c>
      <c r="F50" s="54"/>
      <c r="G50" s="54"/>
    </row>
    <row r="51" spans="1:8">
      <c r="B51" t="s">
        <v>840</v>
      </c>
      <c r="D51">
        <v>1128.6300000000001</v>
      </c>
      <c r="E51">
        <v>1128.6300000000001</v>
      </c>
      <c r="F51" s="54"/>
      <c r="G51" s="54"/>
    </row>
    <row r="52" spans="1:8">
      <c r="B52" t="s">
        <v>145</v>
      </c>
      <c r="C52" s="84"/>
      <c r="D52" s="84">
        <v>342.4</v>
      </c>
      <c r="E52">
        <v>342.4</v>
      </c>
      <c r="F52" s="54"/>
      <c r="G52" s="54"/>
    </row>
    <row r="53" spans="1:8">
      <c r="B53" t="s">
        <v>146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147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841</v>
      </c>
      <c r="C60" s="84"/>
      <c r="D60" s="84" t="s">
        <v>175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842</v>
      </c>
      <c r="C61" s="84"/>
      <c r="D61" s="84" t="s">
        <v>175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843</v>
      </c>
      <c r="C62" s="84"/>
      <c r="D62" s="84" t="s">
        <v>184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803</v>
      </c>
      <c r="C63" s="84"/>
      <c r="D63" s="84" t="s">
        <v>655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804</v>
      </c>
      <c r="C64" s="84"/>
      <c r="D64" s="84" t="s">
        <v>655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805</v>
      </c>
      <c r="C65" s="84"/>
      <c r="D65" s="84" t="s">
        <v>655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806</v>
      </c>
      <c r="C66" s="84"/>
      <c r="D66" s="84" t="s">
        <v>655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844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845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846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847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848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439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439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440</v>
      </c>
      <c r="C74">
        <v>437.97</v>
      </c>
      <c r="D74" s="26" t="s">
        <v>808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441</v>
      </c>
      <c r="C75">
        <v>404.23</v>
      </c>
      <c r="D75" s="26" t="s">
        <v>808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442</v>
      </c>
      <c r="C76">
        <v>1135</v>
      </c>
      <c r="D76" s="26" t="s">
        <v>808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849</v>
      </c>
      <c r="E77" s="76">
        <v>-880.22</v>
      </c>
      <c r="G77" s="54"/>
    </row>
    <row r="78" spans="1:8">
      <c r="A78" s="89">
        <v>44958</v>
      </c>
      <c r="B78" t="s">
        <v>850</v>
      </c>
      <c r="E78" s="76">
        <v>-218.24</v>
      </c>
      <c r="G78" s="54"/>
    </row>
    <row r="79" spans="1:8">
      <c r="A79" s="89">
        <v>44960</v>
      </c>
      <c r="B79" t="s">
        <v>851</v>
      </c>
      <c r="E79" s="76">
        <v>-120.45</v>
      </c>
      <c r="G79" s="54"/>
    </row>
    <row r="80" spans="1:8">
      <c r="A80" s="89">
        <v>44963</v>
      </c>
      <c r="B80" t="s">
        <v>852</v>
      </c>
      <c r="D80" s="26"/>
      <c r="E80" s="76">
        <v>-130.56</v>
      </c>
      <c r="G80" s="54"/>
    </row>
    <row r="81" spans="1:8">
      <c r="A81" s="89">
        <v>44969</v>
      </c>
      <c r="B81" t="s">
        <v>853</v>
      </c>
      <c r="D81" s="26"/>
      <c r="E81" s="76">
        <v>-51.99</v>
      </c>
      <c r="G81" s="54"/>
    </row>
    <row r="82" spans="1:8">
      <c r="A82" s="89">
        <v>44970</v>
      </c>
      <c r="B82" t="s">
        <v>275</v>
      </c>
      <c r="D82" s="26"/>
      <c r="E82" s="76">
        <v>-379</v>
      </c>
      <c r="G82" s="54"/>
    </row>
    <row r="83" spans="1:8">
      <c r="A83" s="89">
        <v>44970</v>
      </c>
      <c r="B83" t="s">
        <v>275</v>
      </c>
      <c r="D83" s="26"/>
      <c r="E83" s="76">
        <v>-510</v>
      </c>
      <c r="G83" s="54"/>
    </row>
    <row r="84" spans="1:8">
      <c r="A84" s="89">
        <v>44971</v>
      </c>
      <c r="B84" t="s">
        <v>853</v>
      </c>
      <c r="D84" s="26"/>
      <c r="E84" s="76">
        <v>-51.99</v>
      </c>
      <c r="G84" s="54"/>
    </row>
    <row r="85" spans="1:8">
      <c r="A85" s="89">
        <v>44972</v>
      </c>
      <c r="B85" t="s">
        <v>854</v>
      </c>
      <c r="D85" s="26"/>
      <c r="E85" s="76">
        <v>-54.77</v>
      </c>
      <c r="G85" s="54"/>
    </row>
    <row r="86" spans="1:8">
      <c r="A86" s="89">
        <v>44972</v>
      </c>
      <c r="B86" t="s">
        <v>855</v>
      </c>
      <c r="D86" s="26"/>
      <c r="E86" s="76">
        <v>-459</v>
      </c>
      <c r="G86" s="54"/>
    </row>
    <row r="87" spans="1:8">
      <c r="A87" s="89">
        <v>44972</v>
      </c>
      <c r="B87" t="s">
        <v>856</v>
      </c>
      <c r="D87" s="26"/>
      <c r="E87" s="76">
        <v>-211</v>
      </c>
      <c r="G87" s="54"/>
    </row>
    <row r="88" spans="1:8">
      <c r="A88" s="89">
        <v>44977</v>
      </c>
      <c r="B88" t="s">
        <v>857</v>
      </c>
      <c r="D88" s="26"/>
      <c r="E88" s="76">
        <v>-100</v>
      </c>
      <c r="G88" s="54"/>
    </row>
    <row r="89" spans="1:8">
      <c r="A89" s="89">
        <v>44977</v>
      </c>
      <c r="B89" t="s">
        <v>857</v>
      </c>
      <c r="D89" s="26"/>
      <c r="E89" s="76">
        <v>-10</v>
      </c>
      <c r="G89" s="54"/>
    </row>
    <row r="90" spans="1:8">
      <c r="A90" s="89">
        <v>44981</v>
      </c>
      <c r="B90" t="s">
        <v>270</v>
      </c>
      <c r="D90" s="26"/>
      <c r="E90" s="76">
        <v>-132.77000000000001</v>
      </c>
      <c r="G90" s="54"/>
    </row>
    <row r="91" spans="1:8">
      <c r="A91" s="89">
        <v>44982</v>
      </c>
      <c r="B91" t="s">
        <v>270</v>
      </c>
      <c r="D91" s="26"/>
      <c r="E91" s="76">
        <v>-186.34</v>
      </c>
      <c r="G91" s="54"/>
    </row>
    <row r="92" spans="1:8">
      <c r="A92" s="89">
        <v>44982</v>
      </c>
      <c r="B92" t="s">
        <v>745</v>
      </c>
      <c r="C92">
        <v>659.93</v>
      </c>
      <c r="D92" s="26" t="s">
        <v>714</v>
      </c>
      <c r="E92" s="76">
        <v>-164.98</v>
      </c>
      <c r="G92" s="54"/>
    </row>
    <row r="93" spans="1:8">
      <c r="A93" s="261">
        <v>44982</v>
      </c>
      <c r="D93" s="26"/>
      <c r="E93" s="262" t="s">
        <v>788</v>
      </c>
      <c r="G93" s="54"/>
    </row>
    <row r="94" spans="1:8">
      <c r="G94" s="54"/>
    </row>
    <row r="95" spans="1:8">
      <c r="A95" s="70"/>
      <c r="B95" s="69" t="s">
        <v>154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858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859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786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786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786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788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860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861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17383.580000000002</v>
      </c>
    </row>
    <row r="115" spans="1:5">
      <c r="A115" s="89">
        <v>45016</v>
      </c>
      <c r="B115" t="s">
        <v>86</v>
      </c>
      <c r="C115" s="2"/>
      <c r="D115" s="2"/>
      <c r="E115" s="62">
        <v>0.59</v>
      </c>
    </row>
    <row r="116" spans="1:5">
      <c r="A116" s="89">
        <v>45016</v>
      </c>
      <c r="B116" t="s">
        <v>631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732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733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100</v>
      </c>
      <c r="C119" s="2"/>
      <c r="D119" s="2"/>
      <c r="E119" s="62">
        <v>26300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862</v>
      </c>
      <c r="E121" s="54">
        <f>H2</f>
        <v>-10144.200000000001</v>
      </c>
    </row>
    <row r="122" spans="1:5">
      <c r="D122" s="3"/>
    </row>
    <row r="123" spans="1:5">
      <c r="D123" s="61" t="s">
        <v>103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88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A2" s="3" t="s">
        <v>700</v>
      </c>
      <c r="C2" s="79" t="s">
        <v>105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109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129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863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864</v>
      </c>
      <c r="C8" s="263" t="s">
        <v>707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865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866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867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868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869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870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871</v>
      </c>
      <c r="F27" s="54"/>
      <c r="G27" s="54">
        <v>-5040</v>
      </c>
      <c r="H27" s="54">
        <f t="shared" si="0"/>
        <v>-18663.48</v>
      </c>
    </row>
    <row r="28" spans="1:8">
      <c r="B28" t="s">
        <v>823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872</v>
      </c>
      <c r="F29" s="54">
        <v>2000</v>
      </c>
      <c r="G29" s="54"/>
      <c r="H29" s="54">
        <f t="shared" si="0"/>
        <v>-16663.48</v>
      </c>
    </row>
    <row r="30" spans="1:8">
      <c r="B30" t="s">
        <v>873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874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875</v>
      </c>
      <c r="D32" s="267">
        <v>1000</v>
      </c>
      <c r="H32" s="54">
        <f t="shared" si="0"/>
        <v>-10163.48</v>
      </c>
    </row>
    <row r="33" spans="1:8">
      <c r="B33" s="15" t="s">
        <v>876</v>
      </c>
      <c r="D33" s="95"/>
      <c r="G33" s="54"/>
      <c r="H33" s="54">
        <f t="shared" si="0"/>
        <v>-10163.48</v>
      </c>
    </row>
    <row r="34" spans="1:8">
      <c r="A34" s="89"/>
      <c r="B34" s="250" t="s">
        <v>877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878</v>
      </c>
      <c r="C38" t="s">
        <v>707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879</v>
      </c>
      <c r="C39" t="s">
        <v>707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880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138</v>
      </c>
      <c r="G44" s="54"/>
      <c r="H44" s="54"/>
    </row>
    <row r="45" spans="1:8">
      <c r="A45" s="70" t="s">
        <v>139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881</v>
      </c>
      <c r="C46" s="250"/>
      <c r="D46" s="250" t="s">
        <v>882</v>
      </c>
      <c r="H46" s="54"/>
    </row>
    <row r="47" spans="1:8">
      <c r="A47" s="255">
        <v>44844</v>
      </c>
      <c r="B47" s="250" t="s">
        <v>883</v>
      </c>
      <c r="C47" s="252"/>
      <c r="D47" s="250" t="s">
        <v>884</v>
      </c>
      <c r="H47" s="54"/>
    </row>
    <row r="48" spans="1:8">
      <c r="A48" s="255"/>
      <c r="B48" s="250" t="s">
        <v>885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140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838</v>
      </c>
      <c r="D51">
        <v>1245.19</v>
      </c>
      <c r="E51" s="76">
        <v>1245</v>
      </c>
      <c r="F51" s="54"/>
      <c r="G51" s="54"/>
    </row>
    <row r="52" spans="1:8">
      <c r="B52" t="s">
        <v>142</v>
      </c>
      <c r="D52">
        <v>914.78</v>
      </c>
      <c r="E52" s="76">
        <v>915</v>
      </c>
      <c r="F52" s="54"/>
      <c r="G52" s="54"/>
    </row>
    <row r="53" spans="1:8">
      <c r="B53" t="s">
        <v>143</v>
      </c>
      <c r="D53">
        <v>295.54000000000002</v>
      </c>
      <c r="E53" s="76">
        <v>295</v>
      </c>
      <c r="F53" s="54"/>
      <c r="G53" s="54"/>
    </row>
    <row r="54" spans="1:8">
      <c r="B54" t="s">
        <v>886</v>
      </c>
      <c r="D54">
        <v>200</v>
      </c>
      <c r="F54" s="54"/>
      <c r="G54" s="54"/>
    </row>
    <row r="55" spans="1:8">
      <c r="B55" t="s">
        <v>887</v>
      </c>
      <c r="D55">
        <v>1367.33</v>
      </c>
      <c r="E55" s="76">
        <v>1368</v>
      </c>
      <c r="F55" s="54"/>
      <c r="G55" s="54"/>
    </row>
    <row r="56" spans="1:8">
      <c r="B56" t="s">
        <v>145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888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841</v>
      </c>
      <c r="C64" s="84"/>
      <c r="D64" s="84" t="s">
        <v>182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842</v>
      </c>
      <c r="C65" s="84"/>
      <c r="D65" s="84" t="s">
        <v>182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889</v>
      </c>
      <c r="C66" s="84"/>
      <c r="D66" s="84" t="s">
        <v>194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890</v>
      </c>
      <c r="C67" s="84"/>
      <c r="D67" s="80" t="s">
        <v>748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803</v>
      </c>
      <c r="C68" s="84"/>
      <c r="D68" s="84" t="s">
        <v>683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804</v>
      </c>
      <c r="C69" s="84"/>
      <c r="D69" s="84" t="s">
        <v>683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805</v>
      </c>
      <c r="C70" s="84"/>
      <c r="D70" s="84" t="s">
        <v>683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806</v>
      </c>
      <c r="C71" s="84"/>
      <c r="D71" s="84" t="s">
        <v>683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370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891</v>
      </c>
      <c r="D73" t="s">
        <v>892</v>
      </c>
    </row>
    <row r="74" spans="1:8">
      <c r="A74" s="89">
        <v>44925</v>
      </c>
      <c r="B74" t="s">
        <v>893</v>
      </c>
      <c r="E74" s="76">
        <v>-47.8</v>
      </c>
    </row>
    <row r="75" spans="1:8">
      <c r="A75" s="89">
        <v>44934</v>
      </c>
      <c r="B75" t="s">
        <v>894</v>
      </c>
      <c r="E75" s="76">
        <v>-556.07000000000005</v>
      </c>
    </row>
    <row r="76" spans="1:8">
      <c r="A76" s="89">
        <v>44936</v>
      </c>
      <c r="B76" t="s">
        <v>895</v>
      </c>
      <c r="E76" s="76">
        <v>-79.34</v>
      </c>
    </row>
    <row r="77" spans="1:8">
      <c r="A77" s="89">
        <v>44937</v>
      </c>
      <c r="B77" t="s">
        <v>845</v>
      </c>
      <c r="E77" s="76">
        <v>-123.45</v>
      </c>
    </row>
    <row r="78" spans="1:8">
      <c r="A78" s="89">
        <v>44938</v>
      </c>
      <c r="B78" t="s">
        <v>846</v>
      </c>
      <c r="E78" s="76">
        <v>-113.57</v>
      </c>
    </row>
    <row r="79" spans="1:8">
      <c r="A79" s="89">
        <v>44939</v>
      </c>
      <c r="B79" t="s">
        <v>847</v>
      </c>
      <c r="E79" s="76">
        <v>-118.62</v>
      </c>
    </row>
    <row r="80" spans="1:8">
      <c r="A80" s="89">
        <v>44940</v>
      </c>
      <c r="B80" t="s">
        <v>848</v>
      </c>
      <c r="E80" s="76">
        <v>-123.85</v>
      </c>
    </row>
    <row r="81" spans="1:8">
      <c r="A81" s="89">
        <v>44942</v>
      </c>
      <c r="B81" t="s">
        <v>851</v>
      </c>
      <c r="E81" s="76">
        <v>-177.33</v>
      </c>
    </row>
    <row r="82" spans="1:8">
      <c r="A82" s="89">
        <v>44947</v>
      </c>
      <c r="B82" t="s">
        <v>684</v>
      </c>
      <c r="E82" s="76">
        <v>-100</v>
      </c>
    </row>
    <row r="83" spans="1:8">
      <c r="A83" s="89">
        <v>44949</v>
      </c>
      <c r="B83" t="s">
        <v>852</v>
      </c>
      <c r="E83" s="76">
        <v>-111.1</v>
      </c>
    </row>
    <row r="84" spans="1:8">
      <c r="A84" s="89">
        <v>44950</v>
      </c>
      <c r="B84" t="s">
        <v>896</v>
      </c>
      <c r="E84" s="76">
        <v>-99.87</v>
      </c>
    </row>
    <row r="85" spans="1:8">
      <c r="A85" s="89">
        <v>44951</v>
      </c>
      <c r="B85" t="s">
        <v>897</v>
      </c>
      <c r="E85" s="76">
        <v>-125.66</v>
      </c>
    </row>
    <row r="87" spans="1:8">
      <c r="A87" s="70"/>
      <c r="B87" s="69" t="s">
        <v>154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898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899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900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901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902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355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903</v>
      </c>
      <c r="E94" s="76">
        <v>-164.8</v>
      </c>
    </row>
    <row r="95" spans="1:8">
      <c r="A95" s="89">
        <v>44930</v>
      </c>
      <c r="B95" s="97" t="s">
        <v>904</v>
      </c>
      <c r="E95" s="76">
        <v>-139.33000000000001</v>
      </c>
    </row>
    <row r="96" spans="1:8">
      <c r="A96" s="89">
        <v>44931</v>
      </c>
      <c r="B96" s="97" t="s">
        <v>905</v>
      </c>
      <c r="E96" s="76">
        <v>-143.19999999999999</v>
      </c>
    </row>
    <row r="97" spans="1:7">
      <c r="A97" s="89">
        <v>44934</v>
      </c>
      <c r="B97" t="s">
        <v>906</v>
      </c>
      <c r="E97" s="76">
        <v>-297.38</v>
      </c>
    </row>
    <row r="98" spans="1:7">
      <c r="A98" s="89">
        <v>44944</v>
      </c>
      <c r="B98" t="s">
        <v>907</v>
      </c>
      <c r="E98" s="76">
        <v>-286.02999999999997</v>
      </c>
    </row>
    <row r="99" spans="1:7">
      <c r="A99" s="89">
        <v>44944</v>
      </c>
      <c r="B99" t="s">
        <v>907</v>
      </c>
      <c r="E99" s="76">
        <v>-423.18</v>
      </c>
    </row>
    <row r="100" spans="1:7">
      <c r="A100" s="89">
        <v>44950</v>
      </c>
      <c r="B100" t="s">
        <v>908</v>
      </c>
      <c r="D100" s="26"/>
      <c r="E100" s="76">
        <v>-31.35</v>
      </c>
    </row>
    <row r="101" spans="1:7">
      <c r="B101" t="s">
        <v>909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910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83</v>
      </c>
      <c r="E112" s="76">
        <v>64000</v>
      </c>
    </row>
    <row r="113" spans="1:5">
      <c r="A113" s="89">
        <v>45291</v>
      </c>
      <c r="B113" t="s">
        <v>84</v>
      </c>
      <c r="E113" s="76">
        <v>48288</v>
      </c>
    </row>
    <row r="114" spans="1:5">
      <c r="A114" s="89">
        <v>45291</v>
      </c>
      <c r="B114" t="s">
        <v>85</v>
      </c>
      <c r="E114" s="76">
        <v>44567</v>
      </c>
    </row>
    <row r="115" spans="1:5">
      <c r="A115" s="89">
        <v>45291</v>
      </c>
      <c r="B115" t="s">
        <v>86</v>
      </c>
      <c r="E115" s="76">
        <v>5590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159</v>
      </c>
      <c r="E119" s="76">
        <v>34000</v>
      </c>
    </row>
    <row r="120" spans="1:5">
      <c r="A120" s="89"/>
    </row>
    <row r="121" spans="1:5">
      <c r="D121" t="s">
        <v>911</v>
      </c>
      <c r="E121" s="54">
        <f>H2</f>
        <v>-50451.479999999989</v>
      </c>
    </row>
    <row r="123" spans="1:5">
      <c r="D123" s="61" t="s">
        <v>103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912</v>
      </c>
      <c r="C2" s="79" t="s">
        <v>105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109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379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380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913</v>
      </c>
      <c r="E14" s="2"/>
      <c r="H14" s="54">
        <f t="shared" si="0"/>
        <v>-14944.619999999999</v>
      </c>
    </row>
    <row r="15" spans="1:8">
      <c r="B15" t="s">
        <v>83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914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438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134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873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915</v>
      </c>
      <c r="B22" t="s">
        <v>864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915</v>
      </c>
      <c r="B23" t="s">
        <v>916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917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138</v>
      </c>
      <c r="E29" s="54"/>
      <c r="G29" s="54"/>
      <c r="H29" s="54"/>
    </row>
    <row r="30" spans="1:8">
      <c r="A30" s="70" t="s">
        <v>139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881</v>
      </c>
      <c r="C31" s="250"/>
      <c r="D31" s="250" t="s">
        <v>918</v>
      </c>
      <c r="E31" s="251"/>
      <c r="H31" s="54"/>
    </row>
    <row r="32" spans="1:8">
      <c r="A32" s="255">
        <v>44844</v>
      </c>
      <c r="B32" s="250" t="s">
        <v>883</v>
      </c>
      <c r="C32" s="252"/>
      <c r="D32" s="250" t="s">
        <v>884</v>
      </c>
      <c r="E32" s="250"/>
      <c r="H32" s="54"/>
    </row>
    <row r="33" spans="1:8">
      <c r="A33" s="255"/>
      <c r="B33" s="250" t="s">
        <v>919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140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141</v>
      </c>
      <c r="C36" s="22"/>
      <c r="D36" s="2">
        <v>1221.74</v>
      </c>
      <c r="E36" s="54">
        <v>1222</v>
      </c>
      <c r="H36" s="54"/>
    </row>
    <row r="37" spans="1:8">
      <c r="B37" t="s">
        <v>142</v>
      </c>
      <c r="D37" s="2">
        <v>1264.8699999999999</v>
      </c>
      <c r="E37" s="54">
        <v>1265</v>
      </c>
      <c r="F37" s="54"/>
      <c r="G37" s="54"/>
    </row>
    <row r="38" spans="1:8">
      <c r="B38" t="s">
        <v>143</v>
      </c>
      <c r="D38" s="2">
        <v>366.02</v>
      </c>
      <c r="E38" s="54">
        <v>366</v>
      </c>
      <c r="F38" s="54"/>
      <c r="G38" s="54"/>
    </row>
    <row r="39" spans="1:8">
      <c r="B39" t="s">
        <v>920</v>
      </c>
      <c r="D39" s="62">
        <v>200</v>
      </c>
      <c r="F39" s="54"/>
      <c r="G39" s="54"/>
    </row>
    <row r="40" spans="1:8">
      <c r="B40" t="s">
        <v>921</v>
      </c>
      <c r="D40" s="2">
        <v>1479.95</v>
      </c>
      <c r="E40">
        <v>1480</v>
      </c>
      <c r="F40" s="54"/>
      <c r="G40" s="54"/>
    </row>
    <row r="41" spans="1:8">
      <c r="B41" t="s">
        <v>922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923</v>
      </c>
      <c r="C42" s="84"/>
      <c r="D42" s="271">
        <v>200</v>
      </c>
      <c r="E42">
        <v>200</v>
      </c>
      <c r="F42" s="54"/>
      <c r="G42" s="54"/>
    </row>
    <row r="43" spans="1:8">
      <c r="B43" t="s">
        <v>146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924</v>
      </c>
      <c r="C50" s="84"/>
      <c r="D50" s="84" t="s">
        <v>191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925</v>
      </c>
      <c r="C51" s="84"/>
      <c r="D51" s="84" t="s">
        <v>191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926</v>
      </c>
      <c r="C52" s="84"/>
      <c r="D52" s="84" t="s">
        <v>205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927</v>
      </c>
      <c r="C53" s="84"/>
      <c r="D53" s="80" t="s">
        <v>779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803</v>
      </c>
      <c r="C54" s="84"/>
      <c r="D54" s="84" t="s">
        <v>714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804</v>
      </c>
      <c r="C55" s="84"/>
      <c r="D55" s="84" t="s">
        <v>714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714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714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928</v>
      </c>
      <c r="E58" s="54">
        <v>-182.4</v>
      </c>
      <c r="F58" s="54"/>
      <c r="G58" s="54"/>
      <c r="H58" s="54"/>
    </row>
    <row r="59" spans="1:8">
      <c r="A59" s="89"/>
      <c r="B59" t="s">
        <v>929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930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931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277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932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933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934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935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936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937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938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939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940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941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942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406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943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944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945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946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947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948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949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950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83</v>
      </c>
      <c r="E112">
        <v>32000</v>
      </c>
    </row>
    <row r="113" spans="1:5">
      <c r="A113" s="89">
        <v>45291</v>
      </c>
      <c r="B113" t="s">
        <v>84</v>
      </c>
      <c r="E113">
        <v>40000</v>
      </c>
    </row>
    <row r="114" spans="1:5">
      <c r="A114" s="89">
        <v>45291</v>
      </c>
      <c r="B114" t="s">
        <v>85</v>
      </c>
      <c r="E114">
        <v>40162.18</v>
      </c>
    </row>
    <row r="115" spans="1:5">
      <c r="A115" s="89">
        <v>45291</v>
      </c>
      <c r="B115" t="s">
        <v>86</v>
      </c>
      <c r="E115">
        <v>44912.09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159</v>
      </c>
      <c r="E119">
        <v>60000</v>
      </c>
    </row>
    <row r="120" spans="1:5">
      <c r="B120" t="s">
        <v>160</v>
      </c>
      <c r="E120" s="54">
        <f>H2</f>
        <v>-14998.419999999998</v>
      </c>
    </row>
    <row r="122" spans="1:5">
      <c r="D122" s="61" t="s">
        <v>103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29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273" t="s">
        <v>424</v>
      </c>
      <c r="L2" s="273" t="s">
        <v>425</v>
      </c>
      <c r="M2" s="273" t="s">
        <v>35</v>
      </c>
      <c r="N2" s="16" t="s">
        <v>951</v>
      </c>
    </row>
    <row r="3" spans="1:14">
      <c r="A3" s="22" t="s">
        <v>36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37</v>
      </c>
      <c r="J3" s="22">
        <v>36</v>
      </c>
      <c r="M3" s="2">
        <v>36</v>
      </c>
    </row>
    <row r="4" spans="1:14">
      <c r="A4" s="22" t="s">
        <v>38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41</v>
      </c>
      <c r="J4" s="22">
        <v>19.8</v>
      </c>
      <c r="M4" s="2">
        <v>19.8</v>
      </c>
    </row>
    <row r="5" spans="1:14">
      <c r="A5" s="22" t="s">
        <v>40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134</v>
      </c>
      <c r="N5" s="2">
        <v>46.1</v>
      </c>
    </row>
    <row r="6" spans="1:14">
      <c r="A6" s="22" t="s">
        <v>42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51</v>
      </c>
      <c r="J6" s="22">
        <v>60</v>
      </c>
      <c r="M6" s="2">
        <v>6.5</v>
      </c>
    </row>
    <row r="7" spans="1:14">
      <c r="A7" s="22" t="s">
        <v>44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952</v>
      </c>
      <c r="J7" s="22">
        <v>95</v>
      </c>
      <c r="M7" s="2">
        <v>23.75</v>
      </c>
    </row>
    <row r="8" spans="1:14">
      <c r="A8" s="22" t="s">
        <v>953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954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955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59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52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54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49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56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39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58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105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10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31</v>
      </c>
      <c r="G1" s="281" t="s">
        <v>32</v>
      </c>
      <c r="H1" s="121" t="s">
        <v>4</v>
      </c>
    </row>
    <row r="2" spans="1:8">
      <c r="A2" s="3" t="s">
        <v>956</v>
      </c>
      <c r="C2" s="79" t="s">
        <v>105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957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958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959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960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961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962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963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964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965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966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967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968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969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970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971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972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973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974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975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975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976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977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978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979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980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981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982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983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984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985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986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987</v>
      </c>
      <c r="C46" s="84" t="s">
        <v>988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989</v>
      </c>
      <c r="C47" s="84" t="s">
        <v>988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990</v>
      </c>
      <c r="C48" s="84" t="s">
        <v>991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992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134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135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993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994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995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996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997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998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999</v>
      </c>
      <c r="C69" s="212"/>
      <c r="D69" s="264">
        <v>200</v>
      </c>
      <c r="E69" s="54" t="s">
        <v>1000</v>
      </c>
      <c r="H69" s="54"/>
    </row>
    <row r="70" spans="1:8">
      <c r="A70" s="283">
        <v>44839</v>
      </c>
      <c r="B70" s="212" t="s">
        <v>1001</v>
      </c>
      <c r="C70" s="212"/>
      <c r="D70" s="264">
        <v>200</v>
      </c>
      <c r="E70" s="54" t="s">
        <v>1000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881</v>
      </c>
      <c r="C72" s="212">
        <v>3</v>
      </c>
      <c r="D72" t="s">
        <v>1002</v>
      </c>
      <c r="E72" s="54"/>
    </row>
    <row r="73" spans="1:8">
      <c r="A73" s="283">
        <v>44844</v>
      </c>
      <c r="B73" s="212" t="s">
        <v>883</v>
      </c>
      <c r="C73" s="90"/>
      <c r="D73" t="s">
        <v>884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31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1003</v>
      </c>
      <c r="C2" s="79" t="s">
        <v>105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142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143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999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144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145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1004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146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964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1005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957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958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1006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1007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1008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1009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1010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1011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1012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1013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1014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1015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857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1016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1017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1018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1019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1020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1021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83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84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133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134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135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1022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1023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1024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1025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1026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1027</v>
      </c>
      <c r="H54" s="54">
        <f t="shared" si="1"/>
        <v>159986.79999999999</v>
      </c>
    </row>
    <row r="56" spans="1:8">
      <c r="A56" s="89">
        <v>44844</v>
      </c>
      <c r="B56" s="287" t="s">
        <v>883</v>
      </c>
      <c r="C56" s="287"/>
      <c r="D56" s="288">
        <v>2000</v>
      </c>
    </row>
    <row r="57" spans="1:8">
      <c r="A57" s="89">
        <v>44839</v>
      </c>
      <c r="B57" s="287" t="s">
        <v>1001</v>
      </c>
      <c r="C57" s="287"/>
      <c r="D57" s="288">
        <v>200</v>
      </c>
    </row>
    <row r="59" spans="1:8">
      <c r="A59" s="283">
        <v>44803</v>
      </c>
      <c r="B59" s="212" t="s">
        <v>881</v>
      </c>
      <c r="C59" s="212"/>
      <c r="D59" s="284"/>
    </row>
    <row r="60" spans="1:8">
      <c r="A60" s="283">
        <v>44772</v>
      </c>
      <c r="B60" s="212" t="s">
        <v>1028</v>
      </c>
      <c r="C60" s="212"/>
      <c r="D60" s="284"/>
    </row>
    <row r="61" spans="1:8">
      <c r="A61" s="283">
        <v>44742</v>
      </c>
      <c r="B61" s="212" t="s">
        <v>1029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7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1030</v>
      </c>
      <c r="C2" s="79" t="s">
        <v>105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1031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1001</v>
      </c>
      <c r="D8" s="62">
        <v>200</v>
      </c>
      <c r="E8" s="54"/>
      <c r="F8" s="54"/>
      <c r="G8" s="54"/>
      <c r="H8" s="54"/>
    </row>
    <row r="9" spans="1:8">
      <c r="B9" t="s">
        <v>144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964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957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958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1032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1033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1034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1035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1036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1037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1038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1039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1040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221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221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1041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221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1042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275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1043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1044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221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221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1045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1046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1047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1048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1049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221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1041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1050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1051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1040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1052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1053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1054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1055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1056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1057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1058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166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1059</v>
      </c>
      <c r="G56" s="54"/>
      <c r="H56" s="54">
        <f t="shared" si="1"/>
        <v>-42104.91</v>
      </c>
    </row>
    <row r="57" spans="1:8">
      <c r="A57" s="89"/>
      <c r="B57" t="s">
        <v>1060</v>
      </c>
      <c r="G57" s="54"/>
      <c r="H57" s="54">
        <f t="shared" si="1"/>
        <v>-42104.91</v>
      </c>
    </row>
    <row r="58" spans="1:8">
      <c r="A58" s="89">
        <v>44844</v>
      </c>
      <c r="B58" t="s">
        <v>1061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1061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1062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883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1063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1064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1065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134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135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1066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1067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1068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1027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1069</v>
      </c>
      <c r="H82" s="54">
        <f t="shared" si="2"/>
        <v>-11205.910000000003</v>
      </c>
    </row>
    <row r="83" spans="1:8">
      <c r="B83" s="289" t="s">
        <v>1070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1071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881</v>
      </c>
      <c r="C87" s="212"/>
      <c r="D87" s="291">
        <v>4000</v>
      </c>
      <c r="H87" s="54"/>
    </row>
    <row r="88" spans="1:8">
      <c r="A88" s="283">
        <v>44772</v>
      </c>
      <c r="B88" s="212" t="s">
        <v>1028</v>
      </c>
      <c r="C88" s="212"/>
      <c r="D88" s="291">
        <v>4000</v>
      </c>
      <c r="H88" s="54"/>
    </row>
    <row r="89" spans="1:8">
      <c r="A89" s="283">
        <v>44742</v>
      </c>
      <c r="B89" s="212" t="s">
        <v>1029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14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1072</v>
      </c>
      <c r="B2" s="292"/>
      <c r="C2" s="79" t="s">
        <v>105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1073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964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957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958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1074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1075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1076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1064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1077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1078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1079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1080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1081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1082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1083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1084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1085</v>
      </c>
      <c r="C27" s="84" t="s">
        <v>1086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166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1087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1088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1089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1090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1091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1070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881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1028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1029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40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1092</v>
      </c>
      <c r="C2" s="79" t="s">
        <v>105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1093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1073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964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957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958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1094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1095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1096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1064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1077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1097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1098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1084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1099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1100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1101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1102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271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1103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1104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1105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1106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1107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1108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1109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1110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1111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1111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1112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1113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1114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1115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1070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881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1116</v>
      </c>
      <c r="H54" s="54">
        <f t="shared" si="1"/>
        <v>61721.7</v>
      </c>
    </row>
    <row r="55" spans="1:8">
      <c r="B55" s="263" t="s">
        <v>1117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1118</v>
      </c>
      <c r="C56" s="298" t="s">
        <v>1119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1120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1029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1028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1121</v>
      </c>
      <c r="C2" s="79" t="s">
        <v>105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1093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964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957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958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1122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1123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1124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1125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1126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1064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1077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1127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1128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853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1129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1130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1131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1132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1133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1134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857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1084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1135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703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702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1136</v>
      </c>
      <c r="C41" t="s">
        <v>1119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1137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1138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1139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1117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1140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1028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1141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1029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7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1142</v>
      </c>
      <c r="C2" s="79" t="s">
        <v>105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1143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1093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964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957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958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1144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1145</v>
      </c>
      <c r="C15" t="s">
        <v>1119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1146</v>
      </c>
      <c r="C16" t="s">
        <v>1147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1148</v>
      </c>
      <c r="E18" s="54"/>
      <c r="F18" s="54"/>
      <c r="G18" s="54"/>
      <c r="H18" s="54">
        <f t="shared" si="0"/>
        <v>-5596.51</v>
      </c>
    </row>
    <row r="19" spans="1:8">
      <c r="B19" t="s">
        <v>1149</v>
      </c>
      <c r="E19" s="54"/>
      <c r="F19" s="54"/>
      <c r="G19" s="54"/>
      <c r="H19" s="54">
        <f t="shared" si="0"/>
        <v>-5596.51</v>
      </c>
    </row>
    <row r="20" spans="1:8">
      <c r="B20" t="s">
        <v>1150</v>
      </c>
      <c r="E20" s="54"/>
      <c r="F20" s="54"/>
      <c r="G20" s="54"/>
      <c r="H20" s="54">
        <f t="shared" si="0"/>
        <v>-5596.51</v>
      </c>
    </row>
    <row r="21" spans="1:8">
      <c r="B21" t="s">
        <v>1151</v>
      </c>
      <c r="C21" t="s">
        <v>1119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1152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1153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1132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1154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1155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1156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1157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684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1084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1158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1064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1077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1159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1160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1161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1162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1163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1029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1164</v>
      </c>
      <c r="B1" s="32">
        <v>2.98</v>
      </c>
      <c r="F1" s="121" t="s">
        <v>31</v>
      </c>
      <c r="G1" s="121" t="s">
        <v>32</v>
      </c>
      <c r="H1" s="121" t="s">
        <v>4</v>
      </c>
    </row>
    <row r="2" spans="1:8">
      <c r="A2" s="3" t="s">
        <v>1165</v>
      </c>
      <c r="C2" s="79" t="s">
        <v>105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1143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1166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1073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964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957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958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1064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1077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406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1167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1167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406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979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1168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1169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1084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1170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1163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9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1171</v>
      </c>
      <c r="C2" s="79" t="s">
        <v>105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1143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1093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964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957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958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1064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1077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1172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1173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1174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1175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1176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1177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1084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1178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1179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1180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1181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1182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1183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1184</v>
      </c>
      <c r="C2" s="79" t="s">
        <v>105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1143</v>
      </c>
      <c r="C5" t="s">
        <v>1185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142</v>
      </c>
      <c r="C6" t="s">
        <v>1185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1093</v>
      </c>
      <c r="C7" t="s">
        <v>1185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146</v>
      </c>
      <c r="C8" t="s">
        <v>1185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964</v>
      </c>
      <c r="C9" s="84" t="s">
        <v>1186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957</v>
      </c>
      <c r="C10" s="80" t="s">
        <v>1186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958</v>
      </c>
      <c r="C11" s="80" t="s">
        <v>1186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1064</v>
      </c>
      <c r="C13" s="84" t="s">
        <v>1186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1077</v>
      </c>
      <c r="C14" s="84" t="s">
        <v>1186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1187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1188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1189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1084</v>
      </c>
      <c r="C19" s="321" t="s">
        <v>1186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83</v>
      </c>
      <c r="C21" t="s">
        <v>1186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84</v>
      </c>
      <c r="C22" t="s">
        <v>1186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1190</v>
      </c>
      <c r="C23" t="s">
        <v>1186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134</v>
      </c>
      <c r="C26" t="s">
        <v>1186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1191</v>
      </c>
      <c r="C28" s="54" t="s">
        <v>1185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1192</v>
      </c>
      <c r="C30" s="54" t="s">
        <v>1185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1193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1194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topLeftCell="A10" zoomScale="175" zoomScaleNormal="175" workbookViewId="0">
      <selection activeCell="D12" sqref="D1:D1048576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bestFit="1" customWidth="1"/>
    <col min="5" max="5" width="12.85546875" bestFit="1" customWidth="1"/>
    <col min="6" max="6" width="12.28515625" bestFit="1" customWidth="1"/>
    <col min="7" max="7" width="12.85546875" bestFit="1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1195</v>
      </c>
      <c r="C2" s="79" t="s">
        <v>105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1143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1093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964</v>
      </c>
      <c r="C9" s="84" t="s">
        <v>1186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957</v>
      </c>
      <c r="C10" s="80" t="s">
        <v>1186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958</v>
      </c>
      <c r="C11" s="80" t="s">
        <v>1186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1064</v>
      </c>
      <c r="C13" s="84" t="s">
        <v>1186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1077</v>
      </c>
      <c r="C14" s="84" t="s">
        <v>1186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1084</v>
      </c>
      <c r="C16" s="321" t="s">
        <v>1186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1187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1196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1197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83</v>
      </c>
      <c r="C21" t="s">
        <v>1119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1198</v>
      </c>
      <c r="C22" t="s">
        <v>1199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84</v>
      </c>
      <c r="C23" t="s">
        <v>1119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1200</v>
      </c>
      <c r="C24" t="s">
        <v>1119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1201</v>
      </c>
      <c r="C28" s="22" t="s">
        <v>1186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1201</v>
      </c>
      <c r="C29" s="22" t="s">
        <v>1186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1202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31</v>
      </c>
      <c r="G1" s="121" t="s">
        <v>32</v>
      </c>
      <c r="H1" s="121" t="s">
        <v>4</v>
      </c>
    </row>
    <row r="2" spans="1:8">
      <c r="A2" s="180" t="s">
        <v>1203</v>
      </c>
      <c r="C2" s="79" t="s">
        <v>105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1204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1143</v>
      </c>
      <c r="C5" t="s">
        <v>1185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142</v>
      </c>
      <c r="C6" t="s">
        <v>1185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1093</v>
      </c>
      <c r="C7" t="s">
        <v>1185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146</v>
      </c>
      <c r="C8" t="s">
        <v>1185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964</v>
      </c>
      <c r="C9" s="84" t="s">
        <v>1186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957</v>
      </c>
      <c r="C10" s="80" t="s">
        <v>1186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958</v>
      </c>
      <c r="C11" s="80" t="s">
        <v>1186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1064</v>
      </c>
      <c r="C13" s="84" t="s">
        <v>1186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1077</v>
      </c>
      <c r="C14" s="84" t="s">
        <v>1186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1187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1084</v>
      </c>
      <c r="C17" s="321" t="s">
        <v>1186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83</v>
      </c>
      <c r="C19" t="s">
        <v>1119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84</v>
      </c>
      <c r="C20" t="s">
        <v>1119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134</v>
      </c>
      <c r="C23" t="s">
        <v>1186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1205</v>
      </c>
      <c r="C25" t="s">
        <v>1185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1206</v>
      </c>
    </row>
    <row r="3" spans="1:14">
      <c r="A3" t="s">
        <v>1207</v>
      </c>
      <c r="C3" t="s">
        <v>1208</v>
      </c>
      <c r="D3" t="s">
        <v>1209</v>
      </c>
    </row>
    <row r="4" spans="1:14">
      <c r="A4" t="s">
        <v>1210</v>
      </c>
      <c r="C4" t="s">
        <v>1211</v>
      </c>
      <c r="D4" t="s">
        <v>1212</v>
      </c>
    </row>
    <row r="5" spans="1:14">
      <c r="A5" t="s">
        <v>1213</v>
      </c>
      <c r="C5" t="s">
        <v>1211</v>
      </c>
      <c r="D5" t="s">
        <v>1214</v>
      </c>
    </row>
    <row r="10" spans="1:14" ht="15.75">
      <c r="A10" s="9"/>
      <c r="B10" s="10"/>
      <c r="C10" s="11" t="s">
        <v>26</v>
      </c>
      <c r="D10" s="12"/>
      <c r="E10" s="13"/>
      <c r="F10" s="11" t="s">
        <v>27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29</v>
      </c>
    </row>
    <row r="11" spans="1:14" ht="15.75">
      <c r="A11" s="9">
        <v>-2022</v>
      </c>
      <c r="B11" s="13" t="s">
        <v>31</v>
      </c>
      <c r="C11" s="18" t="s">
        <v>32</v>
      </c>
      <c r="D11" s="12" t="s">
        <v>33</v>
      </c>
      <c r="E11" s="13" t="s">
        <v>31</v>
      </c>
      <c r="F11" s="18" t="s">
        <v>32</v>
      </c>
      <c r="G11" s="12" t="s">
        <v>4</v>
      </c>
      <c r="H11" s="14"/>
      <c r="I11" s="15"/>
      <c r="J11" s="16" t="s">
        <v>34</v>
      </c>
      <c r="K11" s="273" t="s">
        <v>424</v>
      </c>
      <c r="L11" s="273" t="s">
        <v>425</v>
      </c>
      <c r="M11" s="273" t="s">
        <v>35</v>
      </c>
      <c r="N11" s="16" t="s">
        <v>951</v>
      </c>
    </row>
    <row r="12" spans="1:14">
      <c r="A12" s="22" t="s">
        <v>36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37</v>
      </c>
      <c r="J12" s="22">
        <v>36</v>
      </c>
      <c r="K12" s="2"/>
      <c r="M12" s="2">
        <v>36</v>
      </c>
    </row>
    <row r="13" spans="1:14">
      <c r="A13" s="22" t="s">
        <v>38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41</v>
      </c>
      <c r="J13" s="22">
        <v>19.8</v>
      </c>
      <c r="K13" s="2"/>
      <c r="M13" s="2">
        <v>19.8</v>
      </c>
    </row>
    <row r="14" spans="1:14">
      <c r="A14" s="22" t="s">
        <v>40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134</v>
      </c>
      <c r="N14" s="2">
        <v>46.1</v>
      </c>
    </row>
    <row r="15" spans="1:14">
      <c r="A15" s="22" t="s">
        <v>42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51</v>
      </c>
      <c r="J15" s="22">
        <v>60</v>
      </c>
      <c r="K15" s="2"/>
      <c r="M15" s="2">
        <v>6.5</v>
      </c>
    </row>
    <row r="16" spans="1:14">
      <c r="A16" s="22" t="s">
        <v>44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952</v>
      </c>
      <c r="J16" s="22">
        <v>95</v>
      </c>
      <c r="K16" s="2"/>
      <c r="M16" s="2">
        <v>23.75</v>
      </c>
    </row>
    <row r="17" spans="1:14">
      <c r="A17" s="22" t="s">
        <v>953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954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955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59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52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54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49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56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39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58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105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2024-07-18T13:36:08Z</dcterms:modified>
  <dc:language>tr-TR</dc:language>
</cp:coreProperties>
</file>