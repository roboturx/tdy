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95BF961-0D32-48DB-9A8B-5B6588103A79}" xr6:coauthVersionLast="47" xr6:coauthVersionMax="47" xr10:uidLastSave="{00000000-0000-0000-0000-000000000000}"/>
  <bookViews>
    <workbookView xWindow="-120" yWindow="-120" windowWidth="29040" windowHeight="15720" tabRatio="851" firstSheet="3" activeTab="4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3" i="5" l="1"/>
  <c r="E70" i="5"/>
  <c r="E7" i="5" s="1"/>
  <c r="C117" i="8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B5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K12" i="16"/>
  <c r="L12" i="16" s="1"/>
  <c r="E12" i="16"/>
  <c r="B12" i="16"/>
  <c r="K11" i="16"/>
  <c r="L11" i="16" s="1"/>
  <c r="B11" i="16"/>
  <c r="K9" i="16"/>
  <c r="L9" i="16" s="1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7" i="5"/>
  <c r="E116" i="5"/>
  <c r="E115" i="5"/>
  <c r="E55" i="5"/>
  <c r="E9" i="5" s="1"/>
  <c r="E44" i="5"/>
  <c r="D44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26" l="1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10" i="5"/>
  <c r="H2" i="5"/>
  <c r="E119" i="5" s="1"/>
  <c r="E121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12" i="20" l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H15" i="5"/>
  <c r="H16" i="5" s="1"/>
  <c r="H17" i="5" s="1"/>
  <c r="H18" i="5" s="1"/>
  <c r="H19" i="5" s="1"/>
  <c r="H20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21" i="5" l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H37" i="5" s="1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<sst xmlns="http://schemas.openxmlformats.org/spreadsheetml/2006/main" count="3828" uniqueCount="1513">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</sst>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0" fontId="0" fillId="0" borderId="0" xfId="0" applyFont="1"/>
    <xf numFmtId="177" fontId="0" fillId="0" borderId="0" xfId="0" applyNumberFormat="1" applyFont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164" fontId="15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50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50">
        <v>45536</v>
      </c>
      <c r="B57" s="10" t="s">
        <v>36</v>
      </c>
      <c r="C57" s="10" t="s">
        <v>102</v>
      </c>
      <c r="D57" s="9"/>
      <c r="E57" s="9">
        <v>5600</v>
      </c>
      <c r="F57" s="9">
        <f t="shared" si="0"/>
        <v>401500</v>
      </c>
    </row>
    <row r="58" spans="1:6">
      <c r="A58" s="350">
        <v>45550</v>
      </c>
      <c r="B58" s="10" t="s">
        <v>37</v>
      </c>
      <c r="C58" s="10" t="s">
        <v>102</v>
      </c>
      <c r="D58" s="9"/>
      <c r="E58" s="9">
        <v>30000</v>
      </c>
      <c r="F58" s="9">
        <f t="shared" si="0"/>
        <v>371500</v>
      </c>
    </row>
    <row r="59" spans="1:6">
      <c r="A59" s="350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10" t="s">
        <v>38</v>
      </c>
      <c r="C60" s="10" t="s">
        <v>102</v>
      </c>
      <c r="D60" s="9"/>
      <c r="E60" s="9">
        <v>30000</v>
      </c>
      <c r="F60" s="9">
        <f t="shared" si="0"/>
        <v>335500</v>
      </c>
    </row>
    <row r="61" spans="1:6">
      <c r="A61" s="350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1">
        <v>45611</v>
      </c>
      <c r="B62" t="s">
        <v>39</v>
      </c>
      <c r="C62" t="s">
        <v>1402</v>
      </c>
      <c r="E62" s="2">
        <v>36500</v>
      </c>
      <c r="F62" s="2">
        <f t="shared" si="0"/>
        <v>293000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256500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220000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183500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147000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110500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74000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37500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1000</v>
      </c>
    </row>
    <row r="71" spans="1:6">
      <c r="E71" s="346"/>
      <c r="F71" s="347">
        <f t="shared" si="0"/>
        <v>1000</v>
      </c>
    </row>
    <row r="72" spans="1:6" ht="13.5" thickBot="1">
      <c r="E72" s="348"/>
      <c r="F72" s="349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51" t="s">
        <v>118</v>
      </c>
      <c r="M1" s="351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28006.379999999997</v>
      </c>
      <c r="F12" s="34">
        <f>'10_24'!G2</f>
        <v>-123041.29000000001</v>
      </c>
      <c r="G12" s="35">
        <f t="shared" si="1"/>
        <v>-118359.86369299999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-182427.39</v>
      </c>
      <c r="D13" s="35">
        <f t="shared" si="0"/>
        <v>70367.60630699998</v>
      </c>
      <c r="E13" s="34">
        <f>'11_24'!F2</f>
        <v>0</v>
      </c>
      <c r="F13" s="34">
        <f>'11_24'!G2</f>
        <v>-132310.02000000002</v>
      </c>
      <c r="G13" s="35">
        <f t="shared" si="1"/>
        <v>-250669.88369300001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'11_24'!E123/1000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43791.736306999977</v>
      </c>
      <c r="E14" s="34">
        <f>'12_24'!F2</f>
        <v>0</v>
      </c>
      <c r="F14" s="34">
        <f>'12_24'!G2</f>
        <v>0</v>
      </c>
      <c r="G14" s="35">
        <f t="shared" si="1"/>
        <v>-250669.88369300001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-1044193.6136930001</v>
      </c>
      <c r="D15" s="35">
        <f>B15+C15</f>
        <v>43791.736307000043</v>
      </c>
      <c r="E15" s="35">
        <f>SUM(E3:E14)</f>
        <v>752408.8600000001</v>
      </c>
      <c r="F15" s="35">
        <f>SUM(F3:F14)</f>
        <v>-1003078.7436930001</v>
      </c>
      <c r="G15" s="35">
        <f>E15+F15</f>
        <v>-250669.88369299995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-87016.134474416671</v>
      </c>
      <c r="D16" s="57"/>
      <c r="E16" s="57">
        <f>E15/A16</f>
        <v>62700.738333333342</v>
      </c>
      <c r="F16" s="57">
        <f>F15/A16</f>
        <v>-83589.895307750005</v>
      </c>
      <c r="G16" s="57">
        <f>G15/A16</f>
        <v>-20889.156974416663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52">
        <f>L15+M15</f>
        <v>1181.49614</v>
      </c>
      <c r="M17" s="352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'07_24'!F30+'08_24'!F24+'09_24'!F19+'10_24'!F25+'11_24'!F27+'12_24'!F29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1488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1450</v>
      </c>
      <c r="C39" t="s">
        <v>1453</v>
      </c>
      <c r="E39" s="85">
        <v>-1380</v>
      </c>
    </row>
    <row r="40" spans="1:8">
      <c r="A40" s="337">
        <v>45686</v>
      </c>
      <c r="B40" t="s">
        <v>1450</v>
      </c>
      <c r="C40" t="s">
        <v>1452</v>
      </c>
      <c r="E40" s="85">
        <v>-1380</v>
      </c>
    </row>
    <row r="41" spans="1:8">
      <c r="A41" s="337">
        <v>45716</v>
      </c>
      <c r="B41" t="s">
        <v>1450</v>
      </c>
      <c r="C41" t="s">
        <v>1454</v>
      </c>
      <c r="E41" s="85">
        <v>-1380</v>
      </c>
    </row>
    <row r="42" spans="1:8">
      <c r="A42" s="337">
        <v>45745</v>
      </c>
      <c r="B42" t="s">
        <v>1450</v>
      </c>
      <c r="C42" t="s">
        <v>1455</v>
      </c>
      <c r="E42" s="85">
        <v>-1380</v>
      </c>
    </row>
    <row r="43" spans="1:8">
      <c r="A43" s="337">
        <v>45776</v>
      </c>
      <c r="B43" t="s">
        <v>1450</v>
      </c>
      <c r="C43" t="s">
        <v>1456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21"/>
  <sheetViews>
    <sheetView tabSelected="1" topLeftCell="A19" zoomScale="145" zoomScaleNormal="145" workbookViewId="0">
      <selection activeCell="B34" sqref="B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SUM(D4:D39)</f>
        <v>277984.15000000002</v>
      </c>
      <c r="E2" s="85">
        <f>SUM(E4:E39)</f>
        <v>-182427.39</v>
      </c>
      <c r="F2" s="85">
        <f>SUM(F4:F39)</f>
        <v>0</v>
      </c>
      <c r="G2" s="85">
        <f>SUM(G4:G39)</f>
        <v>-132310.02000000002</v>
      </c>
      <c r="H2" s="85">
        <f>F2+G2</f>
        <v>-132310.02000000002</v>
      </c>
    </row>
    <row r="3" spans="1:8">
      <c r="B3" s="70"/>
    </row>
    <row r="4" spans="1:8">
      <c r="B4" s="344"/>
      <c r="C4" s="344"/>
      <c r="D4" s="345"/>
      <c r="E4" s="345">
        <v>0</v>
      </c>
      <c r="H4" s="85">
        <f>H3+F4+G4</f>
        <v>0</v>
      </c>
    </row>
    <row r="5" spans="1:8">
      <c r="B5" s="344"/>
      <c r="C5" s="344"/>
      <c r="D5" s="345"/>
      <c r="E5" s="345">
        <v>0</v>
      </c>
      <c r="H5" s="85">
        <f t="shared" ref="H5:H19" si="0">H4+F5+G5</f>
        <v>0</v>
      </c>
    </row>
    <row r="6" spans="1:8">
      <c r="B6" s="88" t="s">
        <v>242</v>
      </c>
      <c r="C6" s="88" t="s">
        <v>197</v>
      </c>
      <c r="D6" s="345"/>
      <c r="E6" s="345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C7" s="344"/>
      <c r="D7" s="345"/>
      <c r="E7" s="345">
        <f>E70</f>
        <v>-129000.63</v>
      </c>
      <c r="F7" s="345"/>
      <c r="G7" s="345">
        <v>-129000.63</v>
      </c>
      <c r="H7" s="345">
        <f t="shared" si="0"/>
        <v>-129000.63</v>
      </c>
    </row>
    <row r="8" spans="1:8">
      <c r="A8" s="96"/>
      <c r="B8" s="88" t="s">
        <v>216</v>
      </c>
      <c r="G8" s="345">
        <v>-1512.13</v>
      </c>
      <c r="H8" s="345">
        <f t="shared" si="0"/>
        <v>-130512.76000000001</v>
      </c>
    </row>
    <row r="9" spans="1:8">
      <c r="A9" s="335">
        <v>45569</v>
      </c>
      <c r="B9" s="95" t="s">
        <v>213</v>
      </c>
      <c r="E9" s="85">
        <f>E55</f>
        <v>-1797.26</v>
      </c>
      <c r="G9" s="85">
        <v>-1797.26</v>
      </c>
      <c r="H9" s="345">
        <f t="shared" si="0"/>
        <v>-132310.02000000002</v>
      </c>
    </row>
    <row r="10" spans="1:8">
      <c r="B10" s="104" t="s">
        <v>212</v>
      </c>
      <c r="C10" s="344"/>
      <c r="D10" s="345"/>
      <c r="E10" s="345">
        <f>E50*-1</f>
        <v>0</v>
      </c>
      <c r="H10" s="85">
        <f t="shared" si="0"/>
        <v>-132310.02000000002</v>
      </c>
    </row>
    <row r="11" spans="1:8">
      <c r="A11" s="335">
        <v>45603</v>
      </c>
      <c r="B11" s="88" t="s">
        <v>243</v>
      </c>
      <c r="C11" s="88"/>
      <c r="E11" s="345">
        <v>-17500</v>
      </c>
      <c r="H11" s="85">
        <f t="shared" si="0"/>
        <v>-132310.02000000002</v>
      </c>
    </row>
    <row r="12" spans="1:8">
      <c r="C12" s="88"/>
      <c r="H12" s="85">
        <f t="shared" si="0"/>
        <v>-132310.02000000002</v>
      </c>
    </row>
    <row r="13" spans="1:8">
      <c r="C13" s="88"/>
      <c r="H13" s="85">
        <f t="shared" si="0"/>
        <v>-132310.02000000002</v>
      </c>
    </row>
    <row r="14" spans="1:8">
      <c r="B14" s="88" t="s">
        <v>194</v>
      </c>
      <c r="C14" s="88"/>
      <c r="E14" s="85">
        <v>-400</v>
      </c>
      <c r="H14" s="85">
        <f t="shared" si="0"/>
        <v>-132310.02000000002</v>
      </c>
    </row>
    <row r="15" spans="1:8">
      <c r="B15" s="88" t="s">
        <v>195</v>
      </c>
      <c r="C15" s="88"/>
      <c r="E15" s="85">
        <v>-500</v>
      </c>
      <c r="H15" s="85">
        <f t="shared" si="0"/>
        <v>-132310.02000000002</v>
      </c>
    </row>
    <row r="16" spans="1:8">
      <c r="H16" s="85">
        <f t="shared" si="0"/>
        <v>-132310.02000000002</v>
      </c>
    </row>
    <row r="17" spans="1:8">
      <c r="B17" s="88"/>
      <c r="C17" s="88"/>
      <c r="H17" s="85">
        <f t="shared" si="0"/>
        <v>-132310.02000000002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-132310.02000000002</v>
      </c>
    </row>
    <row r="19" spans="1:8">
      <c r="B19" s="94" t="s">
        <v>210</v>
      </c>
      <c r="C19" s="94" t="s">
        <v>209</v>
      </c>
      <c r="E19" s="85">
        <v>-300</v>
      </c>
      <c r="H19" s="85">
        <f t="shared" si="0"/>
        <v>-132310.02000000002</v>
      </c>
    </row>
    <row r="20" spans="1:8">
      <c r="B20" s="94" t="s">
        <v>211</v>
      </c>
      <c r="C20" s="94" t="s">
        <v>209</v>
      </c>
      <c r="E20" s="85">
        <v>-100</v>
      </c>
      <c r="H20" s="85">
        <f t="shared" ref="H20:H37" si="1">H19+F20+G20</f>
        <v>-132310.02000000002</v>
      </c>
    </row>
    <row r="21" spans="1:8">
      <c r="B21" s="88"/>
      <c r="C21" s="88"/>
      <c r="H21" s="85">
        <f t="shared" si="1"/>
        <v>-132310.02000000002</v>
      </c>
    </row>
    <row r="22" spans="1:8">
      <c r="H22" s="85">
        <f t="shared" si="1"/>
        <v>-132310.02000000002</v>
      </c>
    </row>
    <row r="23" spans="1:8">
      <c r="E23" s="85">
        <v>7</v>
      </c>
      <c r="H23" s="85">
        <f t="shared" si="1"/>
        <v>-132310.02000000002</v>
      </c>
    </row>
    <row r="24" spans="1:8">
      <c r="A24" s="335">
        <v>45625</v>
      </c>
      <c r="B24" t="s">
        <v>1450</v>
      </c>
      <c r="C24" t="s">
        <v>1457</v>
      </c>
      <c r="E24" s="85">
        <v>-1380</v>
      </c>
      <c r="H24" s="85">
        <f t="shared" si="1"/>
        <v>-132310.02000000002</v>
      </c>
    </row>
    <row r="25" spans="1:8">
      <c r="A25" s="335">
        <v>45626</v>
      </c>
      <c r="B25" s="88" t="s">
        <v>1459</v>
      </c>
      <c r="E25" s="85">
        <v>-1415</v>
      </c>
      <c r="H25" s="85">
        <f t="shared" si="1"/>
        <v>-132310.02000000002</v>
      </c>
    </row>
    <row r="26" spans="1:8">
      <c r="A26" s="335">
        <v>45626</v>
      </c>
      <c r="B26" s="88" t="s">
        <v>1460</v>
      </c>
      <c r="E26" s="85">
        <v>-141.5</v>
      </c>
      <c r="H26" s="85">
        <f t="shared" si="1"/>
        <v>-132310.02000000002</v>
      </c>
    </row>
    <row r="27" spans="1:8">
      <c r="H27" s="85">
        <f t="shared" si="1"/>
        <v>-132310.02000000002</v>
      </c>
    </row>
    <row r="28" spans="1:8">
      <c r="B28" t="s">
        <v>84</v>
      </c>
      <c r="H28" s="85">
        <f t="shared" si="1"/>
        <v>-132310.02000000002</v>
      </c>
    </row>
    <row r="29" spans="1:8">
      <c r="B29" t="s">
        <v>84</v>
      </c>
      <c r="E29" s="85">
        <v>-6500</v>
      </c>
      <c r="H29" s="85">
        <f t="shared" si="1"/>
        <v>-132310.02000000002</v>
      </c>
    </row>
    <row r="30" spans="1:8">
      <c r="B30" t="s">
        <v>172</v>
      </c>
      <c r="E30" s="85">
        <v>-6500</v>
      </c>
      <c r="H30" s="85">
        <f t="shared" si="1"/>
        <v>-132310.02000000002</v>
      </c>
    </row>
    <row r="31" spans="1:8">
      <c r="B31" t="s">
        <v>217</v>
      </c>
      <c r="E31" s="85">
        <v>-6500</v>
      </c>
      <c r="H31" s="85">
        <f t="shared" si="1"/>
        <v>-132310.02000000002</v>
      </c>
    </row>
    <row r="32" spans="1:8">
      <c r="H32" s="85">
        <f t="shared" si="1"/>
        <v>-132310.02000000002</v>
      </c>
    </row>
    <row r="33" spans="1:8">
      <c r="B33" t="s">
        <v>218</v>
      </c>
      <c r="D33" s="86">
        <v>12984.15</v>
      </c>
      <c r="H33" s="85">
        <f t="shared" si="1"/>
        <v>-132310.02000000002</v>
      </c>
    </row>
    <row r="34" spans="1:8">
      <c r="A34" s="97"/>
      <c r="H34" s="85">
        <f t="shared" si="1"/>
        <v>-132310.02000000002</v>
      </c>
    </row>
    <row r="35" spans="1:8">
      <c r="A35" s="97"/>
      <c r="B35" t="s">
        <v>244</v>
      </c>
      <c r="D35" s="85">
        <v>15000</v>
      </c>
      <c r="H35" s="85">
        <f t="shared" si="1"/>
        <v>-132310.02000000002</v>
      </c>
    </row>
    <row r="36" spans="1:8">
      <c r="A36" s="97"/>
      <c r="B36" s="43" t="s">
        <v>1496</v>
      </c>
      <c r="H36" s="85">
        <f t="shared" si="1"/>
        <v>-132310.02000000002</v>
      </c>
    </row>
    <row r="37" spans="1:8">
      <c r="B37" t="s">
        <v>245</v>
      </c>
      <c r="C37" s="98">
        <v>0.234011</v>
      </c>
      <c r="D37" s="85">
        <v>250000</v>
      </c>
      <c r="H37" s="85">
        <f t="shared" si="1"/>
        <v>-132310.02000000002</v>
      </c>
    </row>
    <row r="38" spans="1:8">
      <c r="B38" t="s">
        <v>193</v>
      </c>
      <c r="E38" s="85">
        <v>-10000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SUM(E45:E50)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</row>
    <row r="49" spans="1:5">
      <c r="B49" t="s">
        <v>229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SUM(E56:E67)</f>
        <v>-1797.26</v>
      </c>
    </row>
    <row r="57" spans="1:5">
      <c r="A57" s="20">
        <v>45373</v>
      </c>
      <c r="B57" t="s">
        <v>232</v>
      </c>
      <c r="C57">
        <v>10176.39</v>
      </c>
      <c r="D57" s="85" t="s">
        <v>246</v>
      </c>
      <c r="E57" s="85">
        <v>-1130.71</v>
      </c>
    </row>
    <row r="58" spans="1:5">
      <c r="A58" s="20">
        <v>45375</v>
      </c>
      <c r="B58" t="s">
        <v>234</v>
      </c>
      <c r="C58">
        <v>5999</v>
      </c>
      <c r="D58" s="85" t="s">
        <v>247</v>
      </c>
      <c r="E58" s="85">
        <v>-666.55</v>
      </c>
    </row>
    <row r="59" spans="1:5">
      <c r="A59" s="20"/>
    </row>
    <row r="60" spans="1:5" ht="15">
      <c r="D60" s="108" t="s">
        <v>285</v>
      </c>
    </row>
    <row r="62" spans="1:5">
      <c r="A62" s="97"/>
      <c r="B62" s="94"/>
      <c r="C62" s="94"/>
    </row>
    <row r="63" spans="1:5">
      <c r="A63" s="97"/>
      <c r="B63" s="94"/>
      <c r="C63" s="94"/>
    </row>
    <row r="64" spans="1:5">
      <c r="A64" s="97"/>
      <c r="B64" s="103"/>
      <c r="C64" s="94"/>
    </row>
    <row r="65" spans="1:5">
      <c r="A65" s="97"/>
      <c r="B65" s="103"/>
      <c r="C65" s="94"/>
    </row>
    <row r="66" spans="1:5">
      <c r="A66" s="97"/>
      <c r="B66" s="103"/>
    </row>
    <row r="67" spans="1:5">
      <c r="A67" s="97"/>
      <c r="B67" s="103"/>
      <c r="C67" s="94"/>
    </row>
    <row r="68" spans="1:5">
      <c r="A68" s="97"/>
      <c r="B68" s="3"/>
    </row>
    <row r="69" spans="1:5">
      <c r="A69" s="97"/>
      <c r="B69" s="94"/>
      <c r="C69" s="94"/>
    </row>
    <row r="70" spans="1:5">
      <c r="A70" s="78"/>
      <c r="B70" s="77" t="s">
        <v>235</v>
      </c>
      <c r="C70" s="78"/>
      <c r="E70" s="85">
        <f>SUM(E71:E102)</f>
        <v>-129000.63</v>
      </c>
    </row>
    <row r="71" spans="1:5">
      <c r="A71" s="97"/>
      <c r="B71" s="94"/>
      <c r="C71" s="94"/>
    </row>
    <row r="72" spans="1:5">
      <c r="A72" s="97">
        <v>45560</v>
      </c>
      <c r="B72" s="94" t="s">
        <v>250</v>
      </c>
      <c r="C72" s="94"/>
      <c r="E72" s="85">
        <v>-118966.5</v>
      </c>
    </row>
    <row r="73" spans="1:5">
      <c r="A73" s="97"/>
      <c r="B73" s="94" t="s">
        <v>250</v>
      </c>
      <c r="C73" s="94"/>
      <c r="E73" s="85">
        <v>-277.72000000000003</v>
      </c>
    </row>
    <row r="74" spans="1:5">
      <c r="A74" s="97"/>
      <c r="B74" s="3" t="s">
        <v>1497</v>
      </c>
      <c r="C74" s="94"/>
      <c r="E74" s="85">
        <v>-1398.6</v>
      </c>
    </row>
    <row r="75" spans="1:5">
      <c r="A75" s="97"/>
      <c r="B75" s="3" t="s">
        <v>1498</v>
      </c>
      <c r="C75" s="94"/>
      <c r="E75" s="85">
        <v>-1855</v>
      </c>
    </row>
    <row r="76" spans="1:5">
      <c r="A76" s="97"/>
      <c r="B76" s="3"/>
      <c r="C76" s="94"/>
    </row>
    <row r="77" spans="1:5">
      <c r="A77" s="97"/>
      <c r="B77" s="3" t="s">
        <v>1499</v>
      </c>
      <c r="C77" s="94"/>
      <c r="E77" s="85">
        <v>-480</v>
      </c>
    </row>
    <row r="78" spans="1:5">
      <c r="A78" s="97"/>
      <c r="B78" s="3" t="s">
        <v>1500</v>
      </c>
      <c r="C78" s="94"/>
      <c r="E78" s="85">
        <v>-147.80000000000001</v>
      </c>
    </row>
    <row r="79" spans="1:5">
      <c r="A79" s="97"/>
      <c r="B79" s="3" t="s">
        <v>1500</v>
      </c>
      <c r="C79" s="94">
        <v>17.59</v>
      </c>
      <c r="E79" s="85">
        <v>-17.59</v>
      </c>
    </row>
    <row r="80" spans="1:5">
      <c r="A80" s="97"/>
      <c r="B80" s="3" t="s">
        <v>1501</v>
      </c>
      <c r="C80" s="94">
        <v>330</v>
      </c>
      <c r="E80" s="85">
        <v>-330</v>
      </c>
    </row>
    <row r="81" spans="1:5">
      <c r="A81" s="97"/>
      <c r="B81" s="3" t="s">
        <v>1502</v>
      </c>
      <c r="C81" s="94">
        <v>-130</v>
      </c>
      <c r="E81" s="85">
        <v>-130</v>
      </c>
    </row>
    <row r="82" spans="1:5">
      <c r="A82" s="97"/>
      <c r="B82" s="3" t="s">
        <v>97</v>
      </c>
      <c r="C82" s="94"/>
      <c r="D82" s="85">
        <v>71389.3</v>
      </c>
    </row>
    <row r="83" spans="1:5">
      <c r="A83" s="97"/>
      <c r="B83" s="3" t="s">
        <v>1503</v>
      </c>
      <c r="C83" s="94"/>
      <c r="E83" s="85">
        <v>-140</v>
      </c>
    </row>
    <row r="84" spans="1:5">
      <c r="A84" s="97"/>
      <c r="B84" s="3" t="s">
        <v>1501</v>
      </c>
      <c r="C84" s="94">
        <v>750</v>
      </c>
      <c r="E84" s="85">
        <v>-750</v>
      </c>
    </row>
    <row r="85" spans="1:5">
      <c r="A85" s="97"/>
      <c r="B85" s="3" t="s">
        <v>1500</v>
      </c>
      <c r="C85" s="94"/>
      <c r="E85" s="85">
        <v>-253.55</v>
      </c>
    </row>
    <row r="86" spans="1:5">
      <c r="A86" s="97"/>
      <c r="B86" s="3" t="s">
        <v>1504</v>
      </c>
      <c r="C86" s="94"/>
      <c r="E86" s="85">
        <v>-250</v>
      </c>
    </row>
    <row r="87" spans="1:5">
      <c r="A87" s="97"/>
      <c r="B87" s="3" t="s">
        <v>1505</v>
      </c>
      <c r="C87" s="94"/>
      <c r="E87" s="85">
        <v>-400</v>
      </c>
    </row>
    <row r="88" spans="1:5">
      <c r="A88" s="97"/>
      <c r="B88" s="3" t="s">
        <v>1505</v>
      </c>
      <c r="C88" s="94"/>
      <c r="E88" s="85">
        <v>-100</v>
      </c>
    </row>
    <row r="89" spans="1:5">
      <c r="A89" s="97"/>
      <c r="B89" s="3" t="s">
        <v>1500</v>
      </c>
      <c r="C89" s="94"/>
      <c r="E89" s="85">
        <v>-68.5</v>
      </c>
    </row>
    <row r="90" spans="1:5">
      <c r="A90" s="97"/>
      <c r="B90" s="3" t="s">
        <v>1500</v>
      </c>
      <c r="C90" s="94">
        <v>43.13</v>
      </c>
      <c r="E90" s="85">
        <v>-43.13</v>
      </c>
    </row>
    <row r="91" spans="1:5">
      <c r="A91" s="97"/>
      <c r="B91" s="3" t="s">
        <v>1501</v>
      </c>
      <c r="C91" s="94">
        <v>235</v>
      </c>
      <c r="E91" s="85">
        <v>-235</v>
      </c>
    </row>
    <row r="92" spans="1:5">
      <c r="A92" s="97"/>
      <c r="B92" s="3" t="s">
        <v>1502</v>
      </c>
      <c r="C92" s="94">
        <v>375</v>
      </c>
      <c r="E92" s="85">
        <v>-375</v>
      </c>
    </row>
    <row r="93" spans="1:5">
      <c r="A93" s="97"/>
      <c r="B93" s="3" t="s">
        <v>1500</v>
      </c>
      <c r="C93" s="94">
        <v>79.84</v>
      </c>
      <c r="E93" s="85">
        <v>-79.84</v>
      </c>
    </row>
    <row r="94" spans="1:5">
      <c r="A94" s="97"/>
      <c r="B94" s="3" t="s">
        <v>1501</v>
      </c>
      <c r="C94" s="94">
        <v>235</v>
      </c>
      <c r="E94" s="85">
        <v>-235</v>
      </c>
    </row>
    <row r="95" spans="1:5">
      <c r="A95" s="97"/>
      <c r="B95" s="3" t="s">
        <v>1502</v>
      </c>
      <c r="C95" s="94">
        <v>210</v>
      </c>
      <c r="E95" s="85">
        <v>-210</v>
      </c>
    </row>
    <row r="96" spans="1:5">
      <c r="A96" s="97"/>
      <c r="B96" s="3" t="s">
        <v>1500</v>
      </c>
      <c r="C96" s="94"/>
      <c r="E96" s="85">
        <v>-112.3</v>
      </c>
    </row>
    <row r="97" spans="1:5">
      <c r="A97" s="97"/>
      <c r="B97" s="3" t="s">
        <v>1505</v>
      </c>
      <c r="C97" s="94"/>
      <c r="E97" s="85">
        <v>-230</v>
      </c>
    </row>
    <row r="98" spans="1:5">
      <c r="A98" s="97"/>
      <c r="B98" s="3" t="s">
        <v>1500</v>
      </c>
      <c r="C98" s="94"/>
      <c r="E98" s="85">
        <v>-187.2</v>
      </c>
    </row>
    <row r="99" spans="1:5">
      <c r="A99" s="97"/>
      <c r="B99" s="3" t="s">
        <v>1506</v>
      </c>
      <c r="C99" s="94">
        <v>1062.9000000000001</v>
      </c>
      <c r="E99" s="85">
        <v>-1062.9000000000001</v>
      </c>
    </row>
    <row r="100" spans="1:5">
      <c r="A100" s="97"/>
      <c r="B100" s="3" t="s">
        <v>1507</v>
      </c>
      <c r="C100" s="94"/>
      <c r="E100" s="85">
        <v>-240</v>
      </c>
    </row>
    <row r="101" spans="1:5">
      <c r="A101" s="97"/>
      <c r="B101" s="3" t="s">
        <v>1508</v>
      </c>
      <c r="C101" s="94"/>
      <c r="E101" s="85">
        <v>-280</v>
      </c>
    </row>
    <row r="102" spans="1:5">
      <c r="B102" s="3" t="s">
        <v>1502</v>
      </c>
      <c r="C102">
        <v>145</v>
      </c>
      <c r="E102" s="85">
        <v>-145</v>
      </c>
    </row>
    <row r="103" spans="1:5" ht="15">
      <c r="C103">
        <f>SUM(C78:C102)</f>
        <v>3353.4599999999996</v>
      </c>
      <c r="D103" s="108" t="s">
        <v>285</v>
      </c>
    </row>
    <row r="110" spans="1:5">
      <c r="A110" s="78"/>
      <c r="B110" s="77" t="s">
        <v>236</v>
      </c>
      <c r="C110" s="78"/>
      <c r="E110" s="85">
        <f>SUM(E111:E118)</f>
        <v>0</v>
      </c>
    </row>
    <row r="111" spans="1:5">
      <c r="A111" s="97"/>
      <c r="B111" t="s">
        <v>84</v>
      </c>
    </row>
    <row r="112" spans="1:5">
      <c r="A112" s="97"/>
      <c r="B112" t="s">
        <v>172</v>
      </c>
    </row>
    <row r="113" spans="1:5">
      <c r="A113" s="97"/>
      <c r="B113" t="s">
        <v>173</v>
      </c>
    </row>
    <row r="114" spans="1:5">
      <c r="A114" s="97"/>
      <c r="B114" t="s">
        <v>174</v>
      </c>
    </row>
    <row r="115" spans="1:5">
      <c r="A115" s="97"/>
      <c r="B115" t="s">
        <v>237</v>
      </c>
      <c r="D115" s="85">
        <v>111</v>
      </c>
      <c r="E115" s="85">
        <f>D115*C115</f>
        <v>0</v>
      </c>
    </row>
    <row r="116" spans="1:5">
      <c r="A116" s="97"/>
      <c r="B116" t="s">
        <v>238</v>
      </c>
      <c r="D116" s="85">
        <v>850</v>
      </c>
      <c r="E116" s="85">
        <f>D116*C116</f>
        <v>0</v>
      </c>
    </row>
    <row r="117" spans="1:5">
      <c r="A117" s="97"/>
      <c r="B117" t="s">
        <v>239</v>
      </c>
      <c r="D117" s="85">
        <v>100</v>
      </c>
      <c r="E117" s="85">
        <f>D117*C117</f>
        <v>0</v>
      </c>
    </row>
    <row r="118" spans="1:5">
      <c r="A118" s="97"/>
      <c r="B118" t="s">
        <v>240</v>
      </c>
    </row>
    <row r="119" spans="1:5">
      <c r="B119" t="s">
        <v>241</v>
      </c>
      <c r="E119" s="85">
        <f>H2</f>
        <v>-132310.02000000002</v>
      </c>
    </row>
    <row r="121" spans="1:5">
      <c r="D121" s="85" t="s">
        <v>189</v>
      </c>
      <c r="E121" s="85">
        <f>SUM(E111:E120)</f>
        <v>-132310.02000000002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10" zoomScale="145" zoomScaleNormal="145" workbookViewId="0">
      <selection activeCell="E23" sqref="E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28006.379999999997</v>
      </c>
      <c r="G2" s="85">
        <f>SUM(G4:G35)</f>
        <v>-123041.29000000001</v>
      </c>
      <c r="H2" s="85">
        <f>F2+G2</f>
        <v>-95034.91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-85984.290000000008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-86769.290000000008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-86834.290000000008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-86834.290000000008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-86912.290000000008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-86955.290000000008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-86955.290000000008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-86955.290000000008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-88335.290000000008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</v>
      </c>
      <c r="H24" s="85">
        <f t="shared" si="0"/>
        <v>-88541.290000000008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-95041.290000000008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-101541.29000000001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-108041.29000000001</v>
      </c>
    </row>
    <row r="28" spans="1:8">
      <c r="D28" s="86"/>
      <c r="E28" s="86"/>
      <c r="F28" s="86"/>
      <c r="G28" s="86"/>
      <c r="H28" s="85">
        <f t="shared" si="1"/>
        <v>-108041.29000000001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-95034.91</v>
      </c>
    </row>
    <row r="30" spans="1:8">
      <c r="A30" s="97"/>
      <c r="H30" s="85">
        <f t="shared" si="1"/>
        <v>-95034.91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-95034.91</v>
      </c>
    </row>
    <row r="32" spans="1:8">
      <c r="A32" s="97"/>
      <c r="H32" s="85">
        <f t="shared" si="1"/>
        <v>-95034.91</v>
      </c>
    </row>
    <row r="33" spans="1:8">
      <c r="B33" t="s">
        <v>1510</v>
      </c>
      <c r="C33" s="98">
        <v>0.234011</v>
      </c>
      <c r="H33" s="85">
        <f t="shared" si="1"/>
        <v>-95034.91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-95034.91</v>
      </c>
    </row>
    <row r="122" spans="1:5">
      <c r="D122" s="85" t="s">
        <v>189</v>
      </c>
      <c r="E122" s="85">
        <f>SUM(E112:E121)</f>
        <v>-95034.91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topLeftCell="A50"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1466</v>
      </c>
      <c r="G23" s="86">
        <v>-197.4</v>
      </c>
      <c r="H23" s="85">
        <f t="shared" si="0"/>
        <v>-7857.16</v>
      </c>
    </row>
    <row r="24" spans="1:8">
      <c r="B24" s="105" t="s">
        <v>270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255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1462</v>
      </c>
      <c r="G28" s="86">
        <v>-10000</v>
      </c>
      <c r="H28" s="85">
        <f t="shared" si="0"/>
        <v>-17857.16</v>
      </c>
    </row>
    <row r="29" spans="1:8">
      <c r="B29" t="s">
        <v>256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257</v>
      </c>
      <c r="C47">
        <v>1406</v>
      </c>
      <c r="D47" s="85" t="s">
        <v>258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259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259</v>
      </c>
      <c r="E49" s="85">
        <v>-666.56</v>
      </c>
    </row>
    <row r="50" spans="1:5">
      <c r="A50" s="20">
        <v>45358</v>
      </c>
      <c r="B50" t="s">
        <v>260</v>
      </c>
      <c r="C50">
        <v>2273</v>
      </c>
      <c r="D50" s="85" t="s">
        <v>258</v>
      </c>
      <c r="E50" s="85">
        <v>-378.87</v>
      </c>
    </row>
    <row r="51" spans="1:5">
      <c r="A51" s="20">
        <v>45371</v>
      </c>
      <c r="B51" t="s">
        <v>261</v>
      </c>
      <c r="D51" s="85" t="s">
        <v>258</v>
      </c>
      <c r="E51" s="85">
        <v>101.79</v>
      </c>
    </row>
    <row r="52" spans="1:5">
      <c r="A52" s="97">
        <v>45456</v>
      </c>
      <c r="B52" s="103" t="s">
        <v>262</v>
      </c>
      <c r="C52" s="94"/>
      <c r="D52" s="85" t="s">
        <v>263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284</v>
      </c>
      <c r="C54" s="94">
        <v>8154.2</v>
      </c>
    </row>
    <row r="55" spans="1:5">
      <c r="A55" s="97"/>
      <c r="B55" s="103" t="s">
        <v>847</v>
      </c>
      <c r="C55" s="94"/>
      <c r="E55" s="85">
        <v>-1805.86</v>
      </c>
    </row>
    <row r="56" spans="1:5" ht="15">
      <c r="A56" s="97"/>
      <c r="B56" s="103"/>
      <c r="C56" s="108" t="s">
        <v>285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285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1438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309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1439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1445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1446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1447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1448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1449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315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1440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1443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1444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1442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1441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34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269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270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4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2024-11-02T04:58:51Z</dcterms:modified>
  <dc:language>tr-TR</dc:language>
</cp:coreProperties>
</file>