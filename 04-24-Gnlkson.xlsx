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92E8A2F-E63A-4E1C-A4C1-181AFC04E3D0}" xr6:coauthVersionLast="47" xr6:coauthVersionMax="47" xr10:uidLastSave="{00000000-0000-0000-0000-000000000000}"/>
  <bookViews>
    <workbookView xWindow="-120" yWindow="-120" windowWidth="29040" windowHeight="15720" tabRatio="633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2" l="1"/>
  <c r="N9" i="2"/>
  <c r="N8" i="2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E153" i="8"/>
  <c r="E136" i="8"/>
  <c r="E137" i="8"/>
  <c r="E138" i="8"/>
  <c r="E139" i="8"/>
  <c r="E140" i="8"/>
  <c r="E141" i="8"/>
  <c r="E142" i="8"/>
  <c r="E143" i="8"/>
  <c r="E144" i="8"/>
  <c r="E145" i="8"/>
  <c r="E146" i="8"/>
  <c r="E135" i="8"/>
  <c r="A138" i="8"/>
  <c r="A139" i="8" s="1"/>
  <c r="A140" i="8" s="1"/>
  <c r="A141" i="8" s="1"/>
  <c r="A142" i="8" s="1"/>
  <c r="A143" i="8" s="1"/>
  <c r="A144" i="8" s="1"/>
  <c r="C153" i="8"/>
  <c r="E147" i="8"/>
  <c r="C146" i="8"/>
  <c r="E128" i="8"/>
  <c r="A130" i="8"/>
  <c r="A131" i="8" s="1"/>
  <c r="A132" i="8" s="1"/>
  <c r="A133" i="8" s="1"/>
  <c r="A134" i="8" s="1"/>
  <c r="A135" i="8" s="1"/>
  <c r="A136" i="8" s="1"/>
  <c r="A137" i="8" s="1"/>
  <c r="C139" i="9"/>
  <c r="E133" i="9"/>
  <c r="C132" i="9"/>
  <c r="E132" i="9" s="1"/>
  <c r="E131" i="9"/>
  <c r="E130" i="9"/>
  <c r="E129" i="9"/>
  <c r="E127" i="9"/>
  <c r="E126" i="9"/>
  <c r="E138" i="9" s="1"/>
  <c r="A120" i="9"/>
  <c r="A121" i="9" s="1"/>
  <c r="A122" i="9" s="1"/>
  <c r="A123" i="9" s="1"/>
  <c r="A124" i="9" s="1"/>
  <c r="A125" i="9" s="1"/>
  <c r="A126" i="9" s="1"/>
  <c r="G27" i="1"/>
  <c r="G28" i="1"/>
  <c r="G29" i="1" s="1"/>
  <c r="G30" i="1" s="1"/>
  <c r="G31" i="1" s="1"/>
  <c r="G32" i="1" s="1"/>
  <c r="G33" i="1" s="1"/>
  <c r="C126" i="8"/>
  <c r="E67" i="8"/>
  <c r="E20" i="9"/>
  <c r="G16" i="9"/>
  <c r="G15" i="9"/>
  <c r="G14" i="9"/>
  <c r="G5" i="9"/>
  <c r="E11" i="9"/>
  <c r="G11" i="9" s="1"/>
  <c r="A145" i="8" l="1"/>
  <c r="A146" i="8" s="1"/>
  <c r="A147" i="8" s="1"/>
  <c r="A148" i="8" s="1"/>
  <c r="E152" i="8"/>
  <c r="A128" i="9"/>
  <c r="A127" i="9"/>
  <c r="E118" i="9"/>
  <c r="D112" i="9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50" i="9"/>
  <c r="E10" i="9" s="1"/>
  <c r="E41" i="9"/>
  <c r="D41" i="9"/>
  <c r="H4" i="9"/>
  <c r="G2" i="9"/>
  <c r="F8" i="2" s="1"/>
  <c r="F2" i="9"/>
  <c r="E8" i="2" s="1"/>
  <c r="D2" i="9"/>
  <c r="B8" i="2" s="1"/>
  <c r="E50" i="8"/>
  <c r="E39" i="8"/>
  <c r="D39" i="8"/>
  <c r="E16" i="8"/>
  <c r="E14" i="8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20" i="2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L9" i="2"/>
  <c r="K9" i="2"/>
  <c r="F9" i="2"/>
  <c r="B9" i="2"/>
  <c r="M8" i="2"/>
  <c r="E6" i="2"/>
  <c r="B6" i="2"/>
  <c r="M5" i="2"/>
  <c r="E5" i="2"/>
  <c r="B5" i="2"/>
  <c r="K4" i="2"/>
  <c r="L4" i="2" s="1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K15" i="2" l="1"/>
  <c r="K16" i="2" s="1"/>
  <c r="A149" i="8"/>
  <c r="A130" i="9"/>
  <c r="A131" i="9" s="1"/>
  <c r="A132" i="9" s="1"/>
  <c r="A133" i="9" s="1"/>
  <c r="A134" i="9" s="1"/>
  <c r="A135" i="9" s="1"/>
  <c r="A129" i="9"/>
  <c r="E15" i="8"/>
  <c r="G20" i="1"/>
  <c r="G21" i="1" s="1"/>
  <c r="G22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3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G34" i="1" l="1"/>
  <c r="G23" i="1"/>
  <c r="G24" i="1" s="1"/>
  <c r="G25" i="1" s="1"/>
  <c r="G26" i="1" s="1"/>
  <c r="H30" i="9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<sst xmlns="http://schemas.openxmlformats.org/spreadsheetml/2006/main" count="3462" uniqueCount="1294">
  <si>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</si>
  <si>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</si>
  <si>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</si>
  <si>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</si>
  <si>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</si>
  <si>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</si>
  <si>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</si>
  <si>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</si>
  <si>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</si>
  <si>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</si>
  <si>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</si>
  <si>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</si>
  <si>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</si>
  <si>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</si>
  <si>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</si>
  <si>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</si>
  <si>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</si>
  <si>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</si>
  <si>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</si>
  <si>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</si>
  <si>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</si>
  <si>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</si>
  <si>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</si>
  <si>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</si>
  <si>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</si>
  <si>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</si>
  <si>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</si>
  <si>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</si>
  <si>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</si>
  <si>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</si>
  <si>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</si>
  <si>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</si>
  <si>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</si>
  <si>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</si>
  <si>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</si>
  <si>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</si>
  <si>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</si>
  <si>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</si>
  <si>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</si>
  <si>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</si>
  <si>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</si>
  <si>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</si>
  <si>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</si>
  <si>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</si>
  <si>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</si>
  <si>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</si>
  <si>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</si>
  <si>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</si>
  <si>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</si>
  <si>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</si>
  <si>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</si>
  <si>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</si>
  <si>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</si>
  <si>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</si>
  <si>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</si>
  <si>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</si>
  <si>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</si>
  <si>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</si>
  <si>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</si>
  <si>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</si>
  <si>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</si>
  <si>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</si>
  <si>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</si>
  <si>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</si>
  <si>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</si>
  <si>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</si>
  <si>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</si>
  <si>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</si>
  <si>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</si>
  <si>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</si>
  <si>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</si>
  <si>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</si>
  <si>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</si>
  <si>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</si>
  <si>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</si>
  <si>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</si>
  <si>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</si>
  <si>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</si>
  <si>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</si>
  <si>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</si>
  <si>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</si>
  <si>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</si>
  <si>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</si>
  <si>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</si>
  <si>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</si>
  <si>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</si>
  <si>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</si>
  <si>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</si>
  <si>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</si>
  <si>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</si>
  <si>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</si>
  <si>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</si>
  <si>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</si>
  <si>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</si>
  <si>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</si>
  <si>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</si>
  <si>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</si>
  <si>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</si>
  <si>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</si>
  <si>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</si>
  <si>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</si>
  <si>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</si>
  <si>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</si>
  <si>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</si>
  <si>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</si>
  <si>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</si>
  <si>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</si>
  <si>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</si>
  <si>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</si>
  <si>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</si>
  <si>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</si>
  <si>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</si>
  <si>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</si>
  <si>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</si>
  <si>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</si>
  <si>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</si>
  <si>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</si>
  <si>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</si>
  <si>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</si>
  <si>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</si>
  <si>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</si>
  <si>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</si>
  <si>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</si>
  <si>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</si>
  <si>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</si>
  <si>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</si>
  <si>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</si>
  <si>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</si>
  <si>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</si>
  <si>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</si>
  <si>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</si>
  <si>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</si>
  <si>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</si>
  <si>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</si>
  <si>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</si>
  <si>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</si>
  <si>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</si>
  <si>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</si>
  <si>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</si>
  <si>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</si>
  <si>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</si>
  <si>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</si>
  <si>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</si>
  <si>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</si>
  <si>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</si>
  <si>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</si>
  <si>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</si>
  <si>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</si>
  <si>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</si>
  <si>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</si>
  <si>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</si>
  <si>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</si>
  <si>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</si>
  <si>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</si>
  <si>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</si>
  <si>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</si>
  <si>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</si>
  <si>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</si>
  <si>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</si>
  <si>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</si>
  <si>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</si>
  <si>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</si>
  <si>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</si>
  <si>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</si>
  <si>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</si>
  <si>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</si>
  <si>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</si>
  <si>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</si>
  <si>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</si>
  <si>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</si>
  <si>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</si>
  <si>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</si>
  <si>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</si>
  <si>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</si>
  <si>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</si>
  <si>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</si>
  <si>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</si>
  <si>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</si>
  <si>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</si>
  <si>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</si>
  <si>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</si>
  <si>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</si>
  <si>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</si>
  <si>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</si>
  <si>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</si>
  <si>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</si>
  <si>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</si>
  <si>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</si>
  <si>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</si>
  <si>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</si>
  <si>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</si>
  <si>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</si>
  <si>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</si>
  <si>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</si>
  <si>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</si>
  <si>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</si>
  <si>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</si>
  <si>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</si>
  <si>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</si>
  <si>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</si>
  <si>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</si>
  <si>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</si>
  <si>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</si>
  <si>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</si>
  <si>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</si>
  <si>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</si>
  <si>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</si>
  <si>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</si>
  <si>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</si>
  <si>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</si>
  <si>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</si>
  <si>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</si>
  <si>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</si>
  <si>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</si>
  <si>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</si>
  <si>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</si>
  <si>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</si>
  <si>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</si>
  <si>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</si>
  <si>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</si>
  <si>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</si>
  <si>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</si>
  <si>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</si>
  <si>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</si>
  <si>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</si>
  <si>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</si>
  <si>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</si>
  <si>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</si>
  <si>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</si>
  <si>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</si>
  <si>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</si>
  <si>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</si>
  <si>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</si>
  <si>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</si>
  <si>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</si>
  <si>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</si>
  <si>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</si>
  <si>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</si>
  <si>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</si>
  <si>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</si>
  <si>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</si>
  <si>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</si>
  <si>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</si>
  <si>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</si>
  <si>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</si>
  <si>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</si>
  <si>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</si>
  <si>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</si>
  <si>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</si>
  <si>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</si>
  <si>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</si>
  <si>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</si>
  <si>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</si>
  <si>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</si>
  <si>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</si>
  <si>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</si>
  <si>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</si>
  <si>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</si>
  <si>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</si>
  <si>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</si>
  <si>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</si>
  <si>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</si>
  <si>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</si>
  <si>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</si>
  <si>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</si>
  <si>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</si>
  <si>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</si>
  <si>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</si>
  <si>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</si>
  <si>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</si>
  <si>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</si>
  <si>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</si>
  <si>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</si>
  <si>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</si>
  <si>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</si>
  <si>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</si>
  <si>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</si>
  <si>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</si>
  <si>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</si>
  <si>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</si>
  <si>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</si>
  <si>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</si>
  <si>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</si>
  <si>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</si>
  <si>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</si>
  <si>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</si>
  <si>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</si>
  <si>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</si>
  <si>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</si>
  <si>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</si>
  <si>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</si>
  <si>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</si>
  <si>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</si>
  <si>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</si>
  <si>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</si>
  <si>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</si>
  <si>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</si>
  <si>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</si>
  <si>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</si>
  <si>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</si>
  <si>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</si>
  <si>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</si>
  <si>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</si>
  <si>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</si>
  <si>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</si>
  <si>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</si>
  <si>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</si>
  <si>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</si>
  <si>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</si>
  <si>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</si>
  <si>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</si>
  <si>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</si>
  <si>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</si>
  <si>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</si>
  <si>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</si>
  <si>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</si>
  <si>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</si>
  <si>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</si>
  <si>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</si>
  <si>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</si>
  <si>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</si>
  <si>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</si>
  <si>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</si>
  <si>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</si>
  <si>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</si>
  <si>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</si>
  <si>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</si>
  <si>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</si>
  <si>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</si>
  <si>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</si>
  <si>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</si>
  <si>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</si>
  <si>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</si>
  <si>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</si>
  <si>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</si>
  <si>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</si>
  <si>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</si>
  <si>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</si>
  <si>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</si>
  <si>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</si>
  <si>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</si>
  <si>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</si>
  <si>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</si>
  <si>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</si>
  <si>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</si>
  <si>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</si>
  <si>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</si>
  <si>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</si>
  <si>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</si>
  <si>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</si>
  <si>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</si>
  <si>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</si>
  <si>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</si>
  <si>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</si>
  <si>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</si>
  <si>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</si>
  <si>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</si>
  <si>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</si>
  <si>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</si>
  <si>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</si>
  <si>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</si>
  <si>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</si>
  <si>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</si>
  <si>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</si>
  <si>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</si>
  <si>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</si>
  <si>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</si>
  <si>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</si>
  <si>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</si>
  <si>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</si>
  <si>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</si>
  <si>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</si>
  <si>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</si>
  <si>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</si>
  <si>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</si>
  <si>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</si>
  <si>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</si>
  <si>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</si>
  <si>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</si>
  <si>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</si>
  <si>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</si>
  <si>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</si>
  <si>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</si>
  <si>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</si>
  <si>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</si>
  <si>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</si>
  <si>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</si>
  <si>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</si>
  <si>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</si>
  <si>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</si>
  <si>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</si>
  <si>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</si>
  <si>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</si>
  <si>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</si>
  <si>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</si>
  <si>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</si>
  <si>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</si>
  <si>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</si>
  <si>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</si>
  <si>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</si>
  <si>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</si>
  <si>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</si>
  <si>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</si>
  <si>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</si>
  <si>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</si>
  <si>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</si>
  <si>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</si>
  <si>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</si>
  <si>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</si>
  <si>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</si>
  <si>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</si>
  <si>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</si>
  <si>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</si>
  <si>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</si>
  <si>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</si>
  <si>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</si>
  <si>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</si>
  <si>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</si>
  <si>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</si>
  <si>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</si>
  <si>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</si>
  <si>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</si>
  <si>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</si>
  <si>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</si>
  <si>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</si>
  <si>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</si>
  <si>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</si>
  <si>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</si>
  <si>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</si>
  <si>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</si>
  <si>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</si>
  <si>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</si>
  <si>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</si>
  <si>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</si>
  <si>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</si>
  <si>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</si>
  <si>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</si>
  <si>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</si>
  <si>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</si>
  <si>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</si>
  <si>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</si>
  <si>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</si>
  <si>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</si>
  <si>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</si>
  <si>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</si>
  <si>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</si>
  <si>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</si>
  <si>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</si>
  <si>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</si>
  <si>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</si>
  <si>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</si>
  <si>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</si>
  <si>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</si>
  <si>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</si>
  <si>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</si>
  <si>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</si>
  <si>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</si>
  <si>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</si>
  <si>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</si>
  <si>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</si>
  <si>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</si>
  <si>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</si>
  <si>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</si>
  <si>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</si>
  <si>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</si>
  <si>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</si>
  <si>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</si>
  <si>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</si>
  <si>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</si>
  <si>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</si>
  <si>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</si>
  <si>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</si>
  <si>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</si>
  <si>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</si>
  <si>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</si>
  <si>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</si>
  <si>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</si>
  <si>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</si>
  <si>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</si>
  <si>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</si>
  <si>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</si>
  <si>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</si>
  <si>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</si>
  <si>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</si>
  <si>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</si>
  <si>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</si>
  <si>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</si>
  <si>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</si>
  <si>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</si>
  <si>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</si>
  <si>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</si>
  <si>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</si>
  <si>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</si>
  <si>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</si>
  <si>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</si>
  <si>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</si>
  <si>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</si>
  <si>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</si>
  <si>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</si>
  <si>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</si>
  <si>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</si>
  <si>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</si>
  <si>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</si>
  <si>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</si>
  <si>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</si>
  <si>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</si>
  <si>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</si>
  <si>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</si>
  <si>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</si>
  <si>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</si>
  <si>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</si>
  <si>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</si>
  <si>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</si>
  <si>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</si>
  <si>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</si>
  <si>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</si>
  <si>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</si>
  <si>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</si>
  <si>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</si>
  <si>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</si>
  <si>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</si>
  <si>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</si>
  <si>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</si>
  <si>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</si>
  <si>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</si>
  <si>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</si>
  <si>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</si>
  <si>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</si>
  <si>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</si>
  <si>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</si>
  <si>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</si>
  <si>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</si>
  <si>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</si>
  <si>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</si>
  <si>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</si>
  <si>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</si>
  <si>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</si>
  <si>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</si>
  <si>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</si>
  <si>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</si>
  <si>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</si>
  <si>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</si>
  <si>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</si>
  <si>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</si>
  <si>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</si>
  <si>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</si>
  <si>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</si>
  <si>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</si>
  <si>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</si>
  <si>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</si>
  <si>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</si>
  <si>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</si>
  <si>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</si>
  <si>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</si>
  <si>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</si>
  <si>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</si>
  <si>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</si>
  <si>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</si>
  <si>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</si>
  <si>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</si>
  <si>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</si>
  <si>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</si>
  <si>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</si>
  <si>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</si>
  <si>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</si>
  <si>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</si>
  <si>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</si>
  <si>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</si>
  <si>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</si>
  <si>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</si>
  <si>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</si>
  <si>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</si>
  <si>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</si>
  <si>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</si>
  <si>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</si>
  <si>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</si>
  <si>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</si>
  <si>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</si>
  <si>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</si>
  <si>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</si>
  <si>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</si>
  <si>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</si>
  <si>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</si>
  <si>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</si>
  <si>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</si>
  <si>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</si>
  <si>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</si>
  <si>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</si>
  <si>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</si>
  <si>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</si>
  <si>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</si>
  <si>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</si>
  <si>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</si>
  <si>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</si>
  <si>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</si>
  <si>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</si>
  <si>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</si>
  <si>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</si>
  <si>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</si>
  <si>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</si>
  <si>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</si>
  <si>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</si>
  <si>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</si>
  <si>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</si>
  <si>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</si>
  <si>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</si>
  <si>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</si>
  <si>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</si>
  <si>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</si>
  <si>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</si>
  <si>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</si>
  <si>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</si>
  <si>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</si>
  <si>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</si>
  <si>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</si>
  <si>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</si>
  <si>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</si>
  <si>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</si>
  <si>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</si>
  <si>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</si>
  <si>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</si>
  <si>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</si>
  <si>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</si>
  <si>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</si>
  <si>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</si>
  <si>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</si>
  <si>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</si>
  <si>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</si>
  <si>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</si>
  <si>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</si>
  <si>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</si>
  <si>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</si>
  <si>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</si>
  <si>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</si>
  <si>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</si>
  <si>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</si>
  <si>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</si>
  <si>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</si>
  <si>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</si>
  <si>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</si>
  <si>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</si>
  <si>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</si>
  <si>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</si>
  <si>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</si>
  <si>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</si>
  <si>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</si>
  <si>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</si>
  <si>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</si>
  <si>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</si>
  <si>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</si>
  <si>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</si>
  <si>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</si>
  <si>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</si>
  <si>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</si>
  <si>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</si>
  <si>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</si>
  <si>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</si>
  <si>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</si>
  <si>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</si>
  <si>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</si>
  <si>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</si>
  <si>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</si>
  <si>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</si>
  <si>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</si>
  <si>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</si>
  <si>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</si>
  <si>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</si>
  <si>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</si>
  <si>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</si>
  <si>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</si>
  <si>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</si>
  <si>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</si>
  <si>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</si>
  <si>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</si>
  <si>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</si>
  <si>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</si>
  <si>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</si>
  <si>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</si>
  <si>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</si>
  <si>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</si>
  <si>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</si>
  <si>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</si>
  <si>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</si>
  <si>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</si>
  <si>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</si>
  <si>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</si>
  <si>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</si>
  <si>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</si>
  <si>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</si>
  <si>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</si>
  <si>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</si>
  <si>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</si>
  <si>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</si>
  <si>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</si>
  <si>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</si>
  <si>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</si>
  <si>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</si>
  <si>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</si>
  <si>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</si>
  <si>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</si>
  <si>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</si>
  <si>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</si>
  <si>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</si>
  <si>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</si>
  <si>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</si>
  <si>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</si>
  <si>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</si>
  <si>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</si>
  <si>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</si>
  <si>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</si>
  <si>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</si>
  <si>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</si>
  <si>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</si>
  <si>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</si>
  <si>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</si>
  <si>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</si>
  <si>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</si>
  <si>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</si>
  <si>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</si>
  <si>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</si>
  <si>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</si>
  <si>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</si>
  <si>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</si>
  <si>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</si>
  <si>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</si>
  <si>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</si>
  <si>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</si>
  <si>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</si>
  <si>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</si>
  <si>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</si>
  <si>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</si>
  <si>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</si>
  <si>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</si>
  <si>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</si>
  <si>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</si>
  <si>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</si>
  <si>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</si>
  <si>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</si>
  <si>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</si>
  <si>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</si>
  <si>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</si>
  <si>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</si>
  <si>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</si>
  <si>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</si>
  <si>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</si>
  <si>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</si>
  <si>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</si>
  <si>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</si>
  <si>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</si>
  <si>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</si>
  <si>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</si>
  <si>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</si>
  <si>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</si>
  <si>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</si>
  <si>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</si>
  <si>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</si>
  <si>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</si>
  <si>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</si>
  <si>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</si>
  <si>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</si>
  <si>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</si>
  <si>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</si>
  <si>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</si>
  <si>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</si>
  <si>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</si>
  <si>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</si>
  <si>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</si>
  <si>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</si>
  <si>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</si>
  <si>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</si>
  <si>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</si>
  <si>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</si>
  <si>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</si>
  <si>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</si>
  <si>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</si>
  <si>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</si>
  <si>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</si>
  <si>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</si>
  <si>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</si>
  <si>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</si>
  <si>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</si>
  <si>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</si>
  <si>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</si>
  <si>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</si>
  <si>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</si>
  <si>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</si>
  <si>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</si>
  <si>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</si>
  <si>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</si>
  <si>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</si>
  <si>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</si>
  <si>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</si>
  <si>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</si>
  <si>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</si>
  <si>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</si>
  <si>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</si>
  <si>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</si>
  <si>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</si>
  <si>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</si>
  <si>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</si>
  <si>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</si>
  <si>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</si>
  <si>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</si>
  <si>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</si>
  <si>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</si>
  <si>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</si>
  <si>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</si>
  <si>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</si>
  <si>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</si>
  <si>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</si>
  <si>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</si>
  <si>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</si>
  <si>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</si>
  <si>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</si>
  <si>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</si>
  <si>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</si>
  <si>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</si>
  <si>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</si>
  <si>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</si>
  <si>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</si>
  <si>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</si>
  <si>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</si>
  <si>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</si>
  <si>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</si>
  <si>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</si>
  <si>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</si>
  <si>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</si>
  <si>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</si>
  <si>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</si>
  <si>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</si>
  <si>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</si>
  <si>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</si>
  <si>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</si>
  <si>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</si>
  <si>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</si>
  <si>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</si>
  <si>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</si>
  <si>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</si>
  <si>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</si>
  <si>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</si>
  <si>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</si>
  <si>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</si>
  <si>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</si>
  <si>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</si>
  <si>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</si>
  <si>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</si>
  <si>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</si>
  <si>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</si>
  <si>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</si>
  <si>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</si>
  <si>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</si>
  <si>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</si>
  <si>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</si>
  <si>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</si>
  <si>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</si>
  <si>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</si>
  <si>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</si>
  <si>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</si>
  <si>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</si>
  <si>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</si>
  <si>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</si>
  <si>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</si>
  <si>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</si>
  <si>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</si>
  <si>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</si>
  <si>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</si>
  <si>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</si>
  <si>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</si>
  <si>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</si>
  <si>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</si>
  <si>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</si>
  <si>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</si>
  <si>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</si>
  <si>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</si>
  <si>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</si>
  <si>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</si>
  <si>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</si>
  <si>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</si>
  <si>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</si>
  <si>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</si>
  <si>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</si>
  <si>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</si>
  <si>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</si>
  <si>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</si>
  <si>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</si>
  <si>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</si>
  <si>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</si>
  <si>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</si>
  <si>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</si>
  <si>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</si>
  <si>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</si>
  <si>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</si>
  <si>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</si>
  <si>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</si>
  <si>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</si>
  <si>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</si>
  <si>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</si>
  <si>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</si>
  <si>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</si>
  <si>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</si>
  <si>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</si>
  <si>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</si>
  <si>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</si>
  <si>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</si>
  <si>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</si>
  <si>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</si>
  <si>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</si>
  <si>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</si>
  <si>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</si>
  <si>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</si>
  <si>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</si>
  <si>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</si>
  <si>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</si>
  <si>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</si>
  <si>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</si>
  <si>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</si>
  <si>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</si>
  <si>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</si>
  <si>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</si>
  <si>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</si>
  <si>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</si>
  <si>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</si>
  <si>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</si>
  <si>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</si>
  <si>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</si>
  <si>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</si>
  <si>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</si>
  <si>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</si>
  <si>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</si>
  <si>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</si>
  <si>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</si>
  <si>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</si>
  <si>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</si>
  <si>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</si>
  <si>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</si>
  <si>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</si>
  <si>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</si>
  <si>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</si>
  <si>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</si>
  <si>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</si>
  <si>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</si>
  <si>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</si>
  <si>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</si>
  <si>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</si>
  <si>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</si>
  <si>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</si>
  <si>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</si>
  <si>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</si>
  <si>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</si>
  <si>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</si>
  <si>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</si>
  <si>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</si>
  <si>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</si>
  <si>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</si>
  <si>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</si>
  <si>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</si>
  <si>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</si>
  <si>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</si>
  <si>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</si>
  <si>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</si>
  <si>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</si>
  <si>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</si>
  <si>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</si>
  <si>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</si>
  <si>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</si>
  <si>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</si>
  <si>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</si>
  <si>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</si>
  <si>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</si>
  <si>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</si>
  <si>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</si>
  <si>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</si>
  <si>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</si>
  <si>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</si>
  <si>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</si>
  <si>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</si>
  <si>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</si>
  <si>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</si>
  <si>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</si>
  <si>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</si>
  <si>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</si>
  <si>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</si>
  <si>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</si>
  <si>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</si>
  <si>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</si>
  <si>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</si>
  <si>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</si>
  <si>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</si>
  <si>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</si>
  <si>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</si>
  <si>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</si>
  <si>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</si>
  <si>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</si>
  <si>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</si>
  <si>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</si>
  <si>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</si>
  <si>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</si>
  <si>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</si>
  <si>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</si>
  <si>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</si>
  <si>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</si>
  <si>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</si>
  <si>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</si>
  <si>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</si>
  <si>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</si>
  <si>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</si>
  <si>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</si>
  <si>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</si>
  <si>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</si>
  <si>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</si>
  <si>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</si>
  <si>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</si>
  <si>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</si>
  <si>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</si>
  <si>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</si>
  <si>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</si>
  <si>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</si>
  <si>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</si>
  <si>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</si>
  <si>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</si>
  <si>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</si>
  <si>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</si>
  <si>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</si>
  <si>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</si>
  <si>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</si>
  <si>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</si>
  <si>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</si>
  <si>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</si>
  <si>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</si>
  <si>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</si>
  <si>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</si>
  <si>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</si>
  <si>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</si>
  <si>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</si>
  <si>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</si>
  <si>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</si>
  <si>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</si>
  <si>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</si>
  <si>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</si>
  <si>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</si>
  <si>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</si>
  <si>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</si>
  <si>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</si>
  <si>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</si>
  <si>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</si>
  <si>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</si>
  <si>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</si>
  <si>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</si>
  <si>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</si>
  <si>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</si>
  <si>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</si>
  <si>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</si>
  <si>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</si>
  <si>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</si>
  <si>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</si>
  <si>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</si>
  <si>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</si>
  <si>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</si>
  <si>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</si>
  <si>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</si>
  <si>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</si>
  <si>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</si>
  <si>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</si>
  <si>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</si>
  <si>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</si>
  <si>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</si>
  <si>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</si>
  <si>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</si>
  <si>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</si>
  <si>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</si>
  <si>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</si>
  <si>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</si>
  <si>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</si>
  <si>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</si>
  <si>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</si>
  <si>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</si>
  <si>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</si>
  <si>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</si>
  <si>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</si>
  <si>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</si>
  <si>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</si>
  <si>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</si>
  <si>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</si>
  <si>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</si>
  <si>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</si>
  <si>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</si>
  <si>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</si>
  <si>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</si>
  <si>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</si>
  <si>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</si>
  <si>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</si>
  <si>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</si>
  <si>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</si>
  <si>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</si>
  <si>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</si>
  <si>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</si>
  <si>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</si>
  <si>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</si>
  <si>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</si>
  <si>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</si>
  <si>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</si>
  <si>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</si>
  <si>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</si>
  <si>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</si>
  <si>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</si>
  <si>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</si>
  <si>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</si>
  <si>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</si>
  <si>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</si>
  <si>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</si>
  <si>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</si>
  <si>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</si>
  <si>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</si>
  <si>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</si>
  <si>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</si>
  <si>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</si>
  <si>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</si>
  <si>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</si>
  <si>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</si>
  <si>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</si>
  <si>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</si>
  <si>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</si>
  <si>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</si>
  <si>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</si>
  <si>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</si>
  <si>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</si>
  <si>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</si>
  <si>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</si>
  <si>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</si>
  <si>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</si>
  <si>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</si>
  <si>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</si>
  <si>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</si>
  <si>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</si>
  <si>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</si>
  <si>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</si>
  <si>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</si>
  <si>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</si>
  <si>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</si>
  <si>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</si>
  <si>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</si>
  <si>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</si>
  <si>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</si>
  <si>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</si>
  <si>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</si>
  <si>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</si>
  <si>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</si>
  <si>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</si>
  <si>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</si>
  <si>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</si>
  <si>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</si>
  <si>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</si>
  <si>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</si>
  <si>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</si>
  <si>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</si>
  <si>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</si>
  <si>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</si>
  <si>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</si>
  <si>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</si>
  <si>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</si>
  <si>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</si>
  <si>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</si>
  <si>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</si>
  <si>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</si>
  <si>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</si>
  <si>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</si>
  <si>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</si>
  <si>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</si>
  <si>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</si>
  <si>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</si>
  <si>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</si>
  <si>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</si>
  <si>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</si>
  <si>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</si>
  <si>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</si>
  <si>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</si>
  <si>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</si>
  <si>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</si>
  <si>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</si>
  <si>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</si>
  <si>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</si>
  <si>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</si>
  <si>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</si>
  <si>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</si>
  <si>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</si>
  <si>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</si>
  <si>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</si>
  <si>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</si>
  <si>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</si>
  <si>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</si>
  <si>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</si>
  <si>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</si>
  <si>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</si>
  <si>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</si>
  <si>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</si>
  <si>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</si>
  <si>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</si>
  <si>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</si>
  <si>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</si>
  <si>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</si>
  <si>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</si>
  <si>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</si>
  <si>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</si>
  <si>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</si>
  <si>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</si>
  <si>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</si>
  <si>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</si>
  <si>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</si>
  <si>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</si>
  <si>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</si>
  <si>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</si>
  <si>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</si>
  <si>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</si>
  <si>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</si>
  <si>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</si>
  <si>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</si>
  <si>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</si>
  <si>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</si>
  <si>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</si>
  <si>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</si>
  <si>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</si>
  <si>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</si>
  <si>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</si>
  <si>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</si>
  <si>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</si>
  <si>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</si>
  <si>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</si>
  <si>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</si>
  <si>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</si>
  <si>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</si>
  <si>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</si>
  <si>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</si>
  <si>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</si>
  <si>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</si>
  <si>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</si>
  <si>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</si>
  <si>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</si>
  <si>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</si>
  <si>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</si>
  <si>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</si>
  <si>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</si>
  <si>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</si>
  <si>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</si>
  <si>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</si>
  <si>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</si>
  <si>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</si>
  <si>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</si>
  <si>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</si>
  <si>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</si>
  <si>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</si>
  <si>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</si>
  <si>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</si>
  <si>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</si>
  <si>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</si>
  <si>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</si>
  <si>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</si>
  <si>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</si>
  <si>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</si>
  <si>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</si>
  <si>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</si>
  <si>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</si>
  <si>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</si>
  <si>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</si>
  <si>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</si>
  <si>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</si>
  <si>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</si>
  <si>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</si>
  <si>
    <t>vergi</t>
  </si>
  <si>
    <t>ulusu mak eksoz için</t>
  </si>
  <si>
    <t>sivas döner</t>
  </si>
  <si>
    <t>tavukçu</t>
  </si>
  <si>
    <t>tat lok</t>
  </si>
  <si>
    <t>inş</t>
  </si>
  <si>
    <t>çorba</t>
  </si>
  <si>
    <t>çalışkan fide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</si>
  <si>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</si>
  <si>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</si>
  <si>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</si>
  <si>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</si>
  <si>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</si>
  <si>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</si>
  <si>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adıgüzel market</t>
  </si>
  <si>
    <t>gecikme faizi bsmv</t>
  </si>
  <si>
    <t>,</t>
  </si>
  <si>
    <t>bosch matkap 500maxipuan</t>
  </si>
  <si>
    <t>avans maximil</t>
  </si>
  <si>
    <t>kurban kızılay</t>
  </si>
  <si>
    <t>çeyrek 5 ad. 4030 * 5</t>
  </si>
  <si>
    <t>HAZİRANa</t>
  </si>
  <si>
    <t>TEMMUZa</t>
  </si>
  <si>
    <t>iş KOTON</t>
  </si>
  <si>
    <t>iş LILAK</t>
  </si>
  <si>
    <t>usd iş satış-alış                 32,9542</t>
  </si>
  <si>
    <t>eur iş alış                           35,47,85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</si>
</sst>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  <numFmt numFmtId="187" formatCode="#,##0.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3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" fontId="23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  <xf numFmtId="187" fontId="0" fillId="0" borderId="0" xfId="0" applyNumberForma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4"/>
  <sheetViews>
    <sheetView topLeftCell="A5" zoomScale="130" zoomScaleNormal="130" workbookViewId="0">
      <selection activeCell="H30" sqref="H3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4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1263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1264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1265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B27" s="1">
        <v>45470</v>
      </c>
      <c r="C27" t="s">
        <v>1287</v>
      </c>
      <c r="E27" s="2">
        <v>20150</v>
      </c>
      <c r="G27" s="2">
        <f t="shared" si="0"/>
        <v>-87937.35</v>
      </c>
    </row>
    <row r="28" spans="2:7">
      <c r="B28" s="1">
        <v>45473</v>
      </c>
      <c r="C28" t="s">
        <v>19</v>
      </c>
      <c r="F28" s="2">
        <v>500</v>
      </c>
      <c r="G28" s="2">
        <f t="shared" si="0"/>
        <v>-88437.35</v>
      </c>
    </row>
    <row r="29" spans="2:7">
      <c r="B29" s="1">
        <v>45503</v>
      </c>
      <c r="C29" t="s">
        <v>20</v>
      </c>
      <c r="F29" s="2">
        <v>500</v>
      </c>
      <c r="G29" s="2">
        <f t="shared" si="0"/>
        <v>-88937.35</v>
      </c>
    </row>
    <row r="30" spans="2:7">
      <c r="B30" s="1">
        <v>45534</v>
      </c>
      <c r="C30" t="s">
        <v>21</v>
      </c>
      <c r="F30" s="2">
        <v>500</v>
      </c>
      <c r="G30" s="2">
        <f t="shared" si="0"/>
        <v>-89437.35</v>
      </c>
    </row>
    <row r="31" spans="2:7">
      <c r="B31" s="1">
        <v>45565</v>
      </c>
      <c r="C31" t="s">
        <v>22</v>
      </c>
      <c r="F31" s="2">
        <v>500</v>
      </c>
      <c r="G31" s="2">
        <f t="shared" si="0"/>
        <v>-89937.35</v>
      </c>
    </row>
    <row r="32" spans="2:7">
      <c r="B32" s="1">
        <v>45595</v>
      </c>
      <c r="C32" t="s">
        <v>23</v>
      </c>
      <c r="F32" s="2">
        <v>500</v>
      </c>
      <c r="G32" s="2">
        <f t="shared" si="0"/>
        <v>-90437.35</v>
      </c>
    </row>
    <row r="33" spans="2:7">
      <c r="B33" s="1">
        <v>45626</v>
      </c>
      <c r="C33" t="s">
        <v>24</v>
      </c>
      <c r="F33" s="2">
        <v>500</v>
      </c>
      <c r="G33" s="2">
        <f t="shared" si="0"/>
        <v>-90937.35</v>
      </c>
    </row>
    <row r="34" spans="2:7">
      <c r="B34" s="1">
        <v>45656</v>
      </c>
      <c r="C34" t="s">
        <v>25</v>
      </c>
      <c r="F34" s="2">
        <v>500</v>
      </c>
      <c r="G34" s="2">
        <f t="shared" si="0"/>
        <v>-91437.35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60" zoomScaleNormal="160" workbookViewId="0">
      <selection activeCell="J12" sqref="J12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7" t="s">
        <v>29</v>
      </c>
      <c r="M1" s="327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85</v>
      </c>
      <c r="K4" s="30">
        <f>J4*$K$2</f>
        <v>20.007640000000002</v>
      </c>
      <c r="L4" s="31">
        <f>J4-K4</f>
        <v>64.992359999999991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/>
      <c r="K5" s="30"/>
      <c r="L5" s="28"/>
      <c r="M5" s="29">
        <f>J5</f>
        <v>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>
        <f>E18/1000</f>
        <v>78.933189999999996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13427.62</v>
      </c>
      <c r="F8" s="23">
        <f>'06_24'!G2</f>
        <v>-87766.153693</v>
      </c>
      <c r="G8" s="24">
        <f t="shared" si="1"/>
        <v>114907.16630700001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'06_24'!E118/1000</f>
        <v>794.30215999999996</v>
      </c>
    </row>
    <row r="9" spans="1:14">
      <c r="A9" s="22" t="s">
        <v>48</v>
      </c>
      <c r="B9" s="23">
        <f>'07_24'!D2</f>
        <v>30000</v>
      </c>
      <c r="C9" s="23">
        <f>'07_24'!E2</f>
        <v>-81416.06</v>
      </c>
      <c r="D9" s="24">
        <f t="shared" si="0"/>
        <v>-6352.7636930000153</v>
      </c>
      <c r="E9" s="23">
        <f>'07_24'!F2</f>
        <v>0</v>
      </c>
      <c r="F9" s="23">
        <f>'07_24'!G2</f>
        <v>-2767.8599999999997</v>
      </c>
      <c r="G9" s="24">
        <f t="shared" si="1"/>
        <v>112139.30630700001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'07_24'!E128/1000</f>
        <v>981.30372722800007</v>
      </c>
    </row>
    <row r="10" spans="1:14">
      <c r="A10" s="22" t="s">
        <v>50</v>
      </c>
      <c r="B10" s="23">
        <f>'08_24'!D2</f>
        <v>174000</v>
      </c>
      <c r="C10" s="23">
        <f>'08_24'!E2</f>
        <v>-38657.96</v>
      </c>
      <c r="D10" s="24">
        <f t="shared" si="0"/>
        <v>128989.27630699999</v>
      </c>
      <c r="E10" s="23">
        <f>'08_24'!F2</f>
        <v>0</v>
      </c>
      <c r="F10" s="23">
        <f>'08_24'!G2</f>
        <v>0</v>
      </c>
      <c r="G10" s="24">
        <f t="shared" si="1"/>
        <v>112139.30630700001</v>
      </c>
      <c r="H10" s="25"/>
      <c r="I10" s="26" t="s">
        <v>51</v>
      </c>
      <c r="J10" s="22">
        <v>100</v>
      </c>
      <c r="K10" s="30"/>
      <c r="L10" s="31"/>
      <c r="M10" s="29">
        <f>J10*0.13</f>
        <v>13</v>
      </c>
      <c r="N10">
        <f>'08_24'!E111/1000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-47304.020000000004</v>
      </c>
      <c r="D11" s="24">
        <f t="shared" si="0"/>
        <v>255685.256307</v>
      </c>
      <c r="E11" s="23">
        <f>'09_24'!F2</f>
        <v>0</v>
      </c>
      <c r="F11" s="23">
        <f>'09_24'!G2</f>
        <v>0</v>
      </c>
      <c r="G11" s="24">
        <f t="shared" si="1"/>
        <v>112139.30630700001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262815.99630699999</v>
      </c>
      <c r="E12" s="23">
        <f>'10_24'!F2</f>
        <v>0</v>
      </c>
      <c r="F12" s="23">
        <f>'10_24'!G2</f>
        <v>0</v>
      </c>
      <c r="G12" s="24">
        <f t="shared" si="1"/>
        <v>112139.30630700001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499946.73630699998</v>
      </c>
      <c r="E13" s="23">
        <f>'11_24'!F2</f>
        <v>0</v>
      </c>
      <c r="F13" s="23">
        <f>'11_24'!G2</f>
        <v>0</v>
      </c>
      <c r="G13" s="24">
        <f t="shared" si="1"/>
        <v>112139.30630700001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486046.71630699997</v>
      </c>
      <c r="E14" s="23">
        <f>'12_24'!F2</f>
        <v>0</v>
      </c>
      <c r="F14" s="23">
        <f>'12_24'!G2</f>
        <v>0</v>
      </c>
      <c r="G14" s="24">
        <f t="shared" si="1"/>
        <v>112139.30630700001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1309064.6000000001</v>
      </c>
      <c r="C15" s="24">
        <f>SUM(C3:C14)</f>
        <v>-823017.88369300007</v>
      </c>
      <c r="D15" s="24">
        <f>B15+C15</f>
        <v>486046.71630700002</v>
      </c>
      <c r="E15" s="24">
        <f>SUM(E3:E14)</f>
        <v>606405.57000000007</v>
      </c>
      <c r="F15" s="24">
        <f>SUM(F3:F14)</f>
        <v>-494266.26369299996</v>
      </c>
      <c r="G15" s="24">
        <f>E15+F15</f>
        <v>112139.30630700011</v>
      </c>
      <c r="H15" s="38"/>
      <c r="I15" s="39"/>
      <c r="J15" s="40">
        <f>SUM(J3:J14)</f>
        <v>1570</v>
      </c>
      <c r="K15" s="41">
        <f>SUM(K4:K14)</f>
        <v>250.68396000000004</v>
      </c>
      <c r="L15" s="42">
        <f>SUM(L4:L14)</f>
        <v>814.31603999999993</v>
      </c>
      <c r="M15" s="43">
        <f>M10+M8+M6+M5+M3+M7</f>
        <v>328.18318999999997</v>
      </c>
    </row>
    <row r="16" spans="1:14">
      <c r="A16" s="44">
        <v>12</v>
      </c>
      <c r="B16" s="45">
        <f>B15/A16</f>
        <v>109088.71666666667</v>
      </c>
      <c r="C16" s="46">
        <f>C15/A16</f>
        <v>-68584.823641083334</v>
      </c>
      <c r="D16" s="46"/>
      <c r="E16" s="46">
        <f>E15/A16</f>
        <v>50533.797500000008</v>
      </c>
      <c r="F16" s="46">
        <f>F15/A16</f>
        <v>-41188.855307749996</v>
      </c>
      <c r="G16" s="46">
        <f>G15/A16</f>
        <v>9344.9421922500096</v>
      </c>
      <c r="H16" s="47"/>
      <c r="I16" s="48"/>
      <c r="J16" s="49">
        <f>J15/12</f>
        <v>130.83333333333334</v>
      </c>
      <c r="K16" s="50">
        <f>K15/12</f>
        <v>20.890330000000002</v>
      </c>
      <c r="L16" s="51">
        <f>L15/12</f>
        <v>67.859669999999994</v>
      </c>
      <c r="M16" s="52">
        <f>M15/12</f>
        <v>27.348599166666663</v>
      </c>
      <c r="N16" s="53">
        <f>AVERAGE(N2:N15)</f>
        <v>510.41040047246156</v>
      </c>
    </row>
    <row r="17" spans="2:13">
      <c r="C17" s="2"/>
      <c r="D17" s="2"/>
      <c r="G17" s="54"/>
      <c r="H17" s="54"/>
      <c r="I17" s="26"/>
      <c r="K17" s="2" t="s">
        <v>60</v>
      </c>
      <c r="L17" s="328">
        <f>L15+M15</f>
        <v>1142.4992299999999</v>
      </c>
      <c r="M17" s="328"/>
    </row>
    <row r="18" spans="2:13">
      <c r="D18" s="55" t="s">
        <v>61</v>
      </c>
      <c r="E18" s="2">
        <f>'01_24'!F27+'02_24'!F14+'02_24'!F25+'03_24'!F19+'04_24'!F41+'05_24'!F22+'06_24'!F19+'05_24'!F22+'06_24'!F31+'04_24'!F15</f>
        <v>78933.19</v>
      </c>
      <c r="J18" s="26"/>
      <c r="K18" s="2" t="s">
        <v>62</v>
      </c>
      <c r="L18" s="56"/>
      <c r="M18" s="57">
        <f>L17/12</f>
        <v>95.208269166666653</v>
      </c>
    </row>
    <row r="19" spans="2:13">
      <c r="C19" s="58"/>
      <c r="D19" s="59" t="s">
        <v>63</v>
      </c>
      <c r="E19" s="60">
        <f>'07_24'!F27+'08_24'!F23+'09_24'!F22+'10_24'!F24+'11_24'!F22+'12_24'!F29</f>
        <v>0</v>
      </c>
    </row>
    <row r="20" spans="2:13">
      <c r="D20" s="61" t="s">
        <v>64</v>
      </c>
      <c r="E20" s="62">
        <f>SUM(E18:E19)</f>
        <v>78933.19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-47304.020000000004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-6232.02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-6232.02</v>
      </c>
    </row>
    <row r="52" spans="1:5">
      <c r="A52" s="96">
        <v>45348</v>
      </c>
      <c r="B52" t="s">
        <v>174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170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170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177</v>
      </c>
      <c r="D56" s="77" t="s">
        <v>175</v>
      </c>
      <c r="E56" s="77">
        <v>101.77</v>
      </c>
    </row>
    <row r="57" spans="1:5">
      <c r="A57" s="89">
        <v>45456</v>
      </c>
      <c r="B57" s="97" t="s">
        <v>1286</v>
      </c>
      <c r="C57" s="84"/>
      <c r="D57" s="77" t="s">
        <v>1262</v>
      </c>
      <c r="E57" s="77">
        <v>-3923.33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8" sqref="A58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-38657.96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-7286.16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-7286.16</v>
      </c>
    </row>
    <row r="52" spans="1:5">
      <c r="A52" s="96">
        <v>45348</v>
      </c>
      <c r="B52" t="s">
        <v>174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177</v>
      </c>
      <c r="D56" s="77" t="s">
        <v>182</v>
      </c>
      <c r="E56" s="77">
        <v>101.77</v>
      </c>
    </row>
    <row r="57" spans="1:5">
      <c r="A57" s="89">
        <v>45442</v>
      </c>
      <c r="B57" s="326" t="s">
        <v>1284</v>
      </c>
      <c r="C57" s="84"/>
      <c r="D57" s="77" t="s">
        <v>1260</v>
      </c>
      <c r="E57" s="77">
        <v>-1054.1400000000001</v>
      </c>
    </row>
    <row r="58" spans="1:5">
      <c r="A58" s="89">
        <v>45456</v>
      </c>
      <c r="B58" s="97" t="s">
        <v>1286</v>
      </c>
      <c r="C58" s="84"/>
      <c r="D58" s="77" t="s">
        <v>1261</v>
      </c>
      <c r="E58" s="77">
        <v>-3923.33</v>
      </c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185</v>
      </c>
      <c r="C67" s="84"/>
      <c r="D67" s="77" t="s">
        <v>186</v>
      </c>
      <c r="E67" s="77">
        <v>-649.78</v>
      </c>
    </row>
    <row r="68" spans="1:5">
      <c r="A68" s="89"/>
      <c r="B68" s="3" t="s">
        <v>187</v>
      </c>
      <c r="C68" s="84"/>
      <c r="D68" s="77" t="s">
        <v>186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1258</v>
      </c>
      <c r="C70" s="84"/>
      <c r="D70" s="77" t="s">
        <v>1260</v>
      </c>
      <c r="E70" s="77">
        <v>6000</v>
      </c>
    </row>
    <row r="71" spans="1:5">
      <c r="A71" s="89">
        <v>45456</v>
      </c>
      <c r="B71" t="s">
        <v>1259</v>
      </c>
      <c r="C71" s="84"/>
      <c r="D71" s="77" t="s">
        <v>1260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53"/>
  <sheetViews>
    <sheetView topLeftCell="A122" zoomScale="145" zoomScaleNormal="145" workbookViewId="0">
      <selection activeCell="H37" sqref="H37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30000</v>
      </c>
      <c r="E2" s="77">
        <f>SUM(E4:E34)</f>
        <v>-81416.06</v>
      </c>
      <c r="F2" s="77">
        <f>SUM(F4:F34)</f>
        <v>0</v>
      </c>
      <c r="G2" s="77">
        <f>SUM(G4:G34)</f>
        <v>-2767.8599999999997</v>
      </c>
      <c r="H2" s="77">
        <f>F2+G2</f>
        <v>-2767.8599999999997</v>
      </c>
    </row>
    <row r="3" spans="1:8">
      <c r="B3" s="61"/>
    </row>
    <row r="4" spans="1:8">
      <c r="A4" s="322">
        <v>45468</v>
      </c>
      <c r="B4" s="32" t="s">
        <v>106</v>
      </c>
      <c r="E4" s="92">
        <v>-152</v>
      </c>
      <c r="F4" s="92"/>
      <c r="G4" s="92">
        <v>-167</v>
      </c>
      <c r="H4" s="77">
        <f>H3+F4+G4</f>
        <v>-167</v>
      </c>
    </row>
    <row r="5" spans="1:8">
      <c r="B5" t="s">
        <v>107</v>
      </c>
      <c r="E5" s="77">
        <v>-10000</v>
      </c>
      <c r="H5" s="77">
        <f t="shared" ref="H5:H32" si="0">H4+F5+G5</f>
        <v>-167</v>
      </c>
    </row>
    <row r="6" spans="1:8">
      <c r="A6" s="325">
        <v>45474</v>
      </c>
      <c r="B6" s="80" t="s">
        <v>108</v>
      </c>
      <c r="C6" s="80"/>
      <c r="D6" s="92"/>
      <c r="E6" s="92">
        <v>-400</v>
      </c>
      <c r="F6" s="92"/>
      <c r="G6" s="92">
        <v>-275</v>
      </c>
      <c r="H6" s="77">
        <f t="shared" si="0"/>
        <v>-442</v>
      </c>
    </row>
    <row r="7" spans="1:8">
      <c r="A7" s="325">
        <v>45474</v>
      </c>
      <c r="B7" s="80" t="s">
        <v>109</v>
      </c>
      <c r="C7" s="80"/>
      <c r="D7" s="92"/>
      <c r="E7" s="92">
        <v>-500</v>
      </c>
      <c r="F7" s="92"/>
      <c r="G7" s="92">
        <v>-520</v>
      </c>
      <c r="H7" s="77">
        <f t="shared" si="0"/>
        <v>-962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-962</v>
      </c>
    </row>
    <row r="9" spans="1:8">
      <c r="B9" s="80"/>
      <c r="C9" s="80"/>
      <c r="H9" s="77">
        <f t="shared" si="0"/>
        <v>-962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-962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-962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-962</v>
      </c>
    </row>
    <row r="13" spans="1:8">
      <c r="B13" s="80"/>
      <c r="C13" s="80"/>
      <c r="H13" s="77">
        <f t="shared" si="0"/>
        <v>-962</v>
      </c>
    </row>
    <row r="14" spans="1:8">
      <c r="B14" s="87" t="s">
        <v>127</v>
      </c>
      <c r="E14" s="77">
        <f>E45*-1</f>
        <v>0</v>
      </c>
      <c r="H14" s="77">
        <f t="shared" si="0"/>
        <v>-962</v>
      </c>
    </row>
    <row r="15" spans="1:8">
      <c r="B15" s="87" t="s">
        <v>128</v>
      </c>
      <c r="E15" s="77">
        <f>E50</f>
        <v>-8944.5400000000009</v>
      </c>
      <c r="H15" s="77">
        <f t="shared" si="0"/>
        <v>-962</v>
      </c>
    </row>
    <row r="16" spans="1:8">
      <c r="A16" s="88">
        <v>45173</v>
      </c>
      <c r="B16" s="87" t="s">
        <v>129</v>
      </c>
      <c r="E16" s="77">
        <f>E67</f>
        <v>-26619.52</v>
      </c>
      <c r="H16" s="77">
        <f t="shared" si="0"/>
        <v>-962</v>
      </c>
    </row>
    <row r="17" spans="1:8">
      <c r="A17" s="89"/>
      <c r="B17" s="80" t="s">
        <v>130</v>
      </c>
      <c r="C17" s="80"/>
      <c r="E17" s="77">
        <v>-7500</v>
      </c>
      <c r="H17" s="77">
        <f t="shared" si="0"/>
        <v>-962</v>
      </c>
    </row>
    <row r="18" spans="1:8">
      <c r="A18" s="89"/>
      <c r="B18" s="80" t="s">
        <v>131</v>
      </c>
      <c r="C18" s="80"/>
      <c r="E18" s="77">
        <v>-10000</v>
      </c>
      <c r="H18" s="77">
        <f t="shared" si="0"/>
        <v>-962</v>
      </c>
    </row>
    <row r="19" spans="1:8">
      <c r="B19" s="80" t="s">
        <v>132</v>
      </c>
      <c r="C19" s="80"/>
      <c r="E19" s="77">
        <v>-1500</v>
      </c>
      <c r="H19" s="77">
        <f t="shared" si="0"/>
        <v>-962</v>
      </c>
    </row>
    <row r="20" spans="1:8">
      <c r="H20" s="77">
        <f t="shared" si="0"/>
        <v>-962</v>
      </c>
    </row>
    <row r="21" spans="1:8">
      <c r="H21" s="77">
        <f t="shared" si="0"/>
        <v>-962</v>
      </c>
    </row>
    <row r="22" spans="1:8">
      <c r="H22" s="77">
        <f t="shared" si="0"/>
        <v>-962</v>
      </c>
    </row>
    <row r="23" spans="1:8">
      <c r="B23" t="s">
        <v>83</v>
      </c>
      <c r="H23" s="77">
        <f t="shared" si="0"/>
        <v>-962</v>
      </c>
    </row>
    <row r="24" spans="1:8">
      <c r="B24" t="s">
        <v>83</v>
      </c>
      <c r="E24" s="77">
        <v>-5000</v>
      </c>
      <c r="H24" s="77">
        <f t="shared" si="0"/>
        <v>-962</v>
      </c>
    </row>
    <row r="25" spans="1:8">
      <c r="B25" t="s">
        <v>84</v>
      </c>
      <c r="E25" s="77">
        <v>-5000</v>
      </c>
      <c r="H25" s="77">
        <f t="shared" si="0"/>
        <v>-962</v>
      </c>
    </row>
    <row r="26" spans="1:8">
      <c r="B26" t="s">
        <v>133</v>
      </c>
      <c r="E26" s="77">
        <v>-5000</v>
      </c>
      <c r="H26" s="77">
        <f t="shared" si="0"/>
        <v>-962</v>
      </c>
    </row>
    <row r="27" spans="1:8">
      <c r="H27" s="77">
        <f t="shared" si="0"/>
        <v>-962</v>
      </c>
    </row>
    <row r="28" spans="1:8">
      <c r="B28" t="s">
        <v>134</v>
      </c>
      <c r="D28" s="77">
        <v>15000</v>
      </c>
      <c r="H28" s="77">
        <f t="shared" si="0"/>
        <v>-962</v>
      </c>
    </row>
    <row r="29" spans="1:8">
      <c r="A29" s="89"/>
      <c r="B29" t="s">
        <v>135</v>
      </c>
      <c r="H29" s="77">
        <f t="shared" si="0"/>
        <v>-962</v>
      </c>
    </row>
    <row r="30" spans="1:8">
      <c r="A30" s="89"/>
      <c r="B30" t="s">
        <v>189</v>
      </c>
      <c r="D30" s="77">
        <v>15000</v>
      </c>
      <c r="H30" s="77">
        <f t="shared" si="0"/>
        <v>-962</v>
      </c>
    </row>
    <row r="31" spans="1:8">
      <c r="A31" s="89">
        <v>45504</v>
      </c>
      <c r="B31" s="3" t="s">
        <v>190</v>
      </c>
      <c r="G31" s="77">
        <v>-1805.86</v>
      </c>
      <c r="H31" s="77">
        <f t="shared" si="0"/>
        <v>-2767.8599999999997</v>
      </c>
    </row>
    <row r="32" spans="1:8">
      <c r="H32" s="77">
        <f t="shared" si="0"/>
        <v>-2767.8599999999997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SUM(E51:E63)</f>
        <v>-8944.5400000000009</v>
      </c>
    </row>
    <row r="52" spans="1:5">
      <c r="A52" s="96">
        <v>45348</v>
      </c>
      <c r="B52" t="s">
        <v>174</v>
      </c>
      <c r="C52">
        <v>1406</v>
      </c>
      <c r="D52" s="77" t="s">
        <v>191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192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192</v>
      </c>
      <c r="E54" s="77">
        <v>-666.56</v>
      </c>
    </row>
    <row r="55" spans="1:5">
      <c r="A55" s="96">
        <v>45358</v>
      </c>
      <c r="B55" t="s">
        <v>176</v>
      </c>
      <c r="C55">
        <v>2273</v>
      </c>
      <c r="D55" s="77" t="s">
        <v>191</v>
      </c>
      <c r="E55" s="77">
        <v>-378.87</v>
      </c>
    </row>
    <row r="56" spans="1:5">
      <c r="A56" s="96">
        <v>45371</v>
      </c>
      <c r="B56" t="s">
        <v>177</v>
      </c>
      <c r="D56" s="77" t="s">
        <v>193</v>
      </c>
      <c r="E56" s="77">
        <v>101.77</v>
      </c>
    </row>
    <row r="57" spans="1:5">
      <c r="A57" s="96"/>
    </row>
    <row r="58" spans="1:5">
      <c r="A58" s="89">
        <v>45442</v>
      </c>
      <c r="B58" s="326" t="s">
        <v>1284</v>
      </c>
      <c r="C58" s="84"/>
      <c r="D58" s="77" t="s">
        <v>1256</v>
      </c>
      <c r="E58" s="77">
        <v>-1054.1400000000001</v>
      </c>
    </row>
    <row r="59" spans="1:5">
      <c r="A59" s="89">
        <v>45456</v>
      </c>
      <c r="B59" s="97" t="s">
        <v>1286</v>
      </c>
      <c r="C59" s="84"/>
      <c r="D59" s="77" t="s">
        <v>1257</v>
      </c>
      <c r="E59" s="77">
        <v>-3923.33</v>
      </c>
    </row>
    <row r="60" spans="1:5">
      <c r="A60" s="89">
        <v>45442</v>
      </c>
      <c r="B60" s="84" t="s">
        <v>1267</v>
      </c>
      <c r="C60" s="84"/>
      <c r="E60" s="77">
        <v>-278.97000000000003</v>
      </c>
    </row>
    <row r="62" spans="1:5">
      <c r="A62" s="89">
        <v>45444</v>
      </c>
      <c r="B62" s="97" t="s">
        <v>1285</v>
      </c>
      <c r="C62" s="84"/>
      <c r="E62" s="77">
        <v>-1379.4</v>
      </c>
    </row>
    <row r="63" spans="1:5" ht="15">
      <c r="A63" s="89">
        <v>45447</v>
      </c>
      <c r="B63" s="97" t="s">
        <v>3</v>
      </c>
      <c r="D63" s="77">
        <v>4300</v>
      </c>
      <c r="E63" s="105" t="s">
        <v>224</v>
      </c>
    </row>
    <row r="65" spans="1:5">
      <c r="A65" s="89"/>
      <c r="B65" s="3"/>
    </row>
    <row r="66" spans="1:5">
      <c r="A66" s="89"/>
      <c r="B66" s="84"/>
      <c r="C66" s="84"/>
    </row>
    <row r="67" spans="1:5">
      <c r="A67" s="70"/>
      <c r="B67" s="69" t="s">
        <v>154</v>
      </c>
      <c r="C67" s="70"/>
      <c r="E67" s="77">
        <f>SUM(E68:E125)</f>
        <v>-26619.52</v>
      </c>
    </row>
    <row r="68" spans="1:5">
      <c r="A68" s="89"/>
      <c r="B68" s="84"/>
      <c r="C68" s="84"/>
    </row>
    <row r="69" spans="1:5">
      <c r="A69" s="88">
        <v>45285</v>
      </c>
      <c r="B69" s="84" t="s">
        <v>195</v>
      </c>
      <c r="C69" s="84"/>
      <c r="D69" s="77" t="s">
        <v>196</v>
      </c>
      <c r="E69" s="77">
        <v>-3551.68</v>
      </c>
    </row>
    <row r="70" spans="1:5">
      <c r="A70" s="89"/>
      <c r="B70" s="3" t="s">
        <v>185</v>
      </c>
      <c r="C70" s="84"/>
      <c r="D70" s="77" t="s">
        <v>197</v>
      </c>
      <c r="E70" s="77">
        <v>-649.78</v>
      </c>
    </row>
    <row r="71" spans="1:5">
      <c r="A71" s="89"/>
      <c r="B71" s="3" t="s">
        <v>187</v>
      </c>
      <c r="C71" s="84"/>
      <c r="D71" s="77" t="s">
        <v>197</v>
      </c>
    </row>
    <row r="72" spans="1:5">
      <c r="A72" s="89"/>
      <c r="B72" s="3"/>
      <c r="C72" s="84"/>
    </row>
    <row r="73" spans="1:5">
      <c r="A73" s="89">
        <v>45456</v>
      </c>
      <c r="B73" t="s">
        <v>1258</v>
      </c>
      <c r="C73" s="84"/>
      <c r="D73" s="77" t="s">
        <v>1256</v>
      </c>
      <c r="E73" s="77">
        <v>-5875</v>
      </c>
    </row>
    <row r="74" spans="1:5">
      <c r="A74" s="89">
        <v>45456</v>
      </c>
      <c r="B74" t="s">
        <v>1259</v>
      </c>
      <c r="C74" s="84"/>
      <c r="D74" s="77" t="s">
        <v>1256</v>
      </c>
      <c r="E74" s="77">
        <v>-4300</v>
      </c>
    </row>
    <row r="75" spans="1:5">
      <c r="A75" s="89">
        <v>45465</v>
      </c>
      <c r="B75" s="3" t="s">
        <v>1267</v>
      </c>
      <c r="C75" s="84"/>
      <c r="E75" s="77">
        <v>-483.01</v>
      </c>
    </row>
    <row r="76" spans="1:5">
      <c r="A76" s="89">
        <v>45436</v>
      </c>
      <c r="B76" s="3" t="s">
        <v>275</v>
      </c>
      <c r="C76" s="84"/>
      <c r="E76" s="77">
        <v>-80</v>
      </c>
    </row>
    <row r="77" spans="1:5">
      <c r="A77" s="89">
        <v>45436</v>
      </c>
      <c r="B77" s="3" t="s">
        <v>1268</v>
      </c>
      <c r="C77" s="84"/>
      <c r="E77" s="77">
        <v>-1000</v>
      </c>
    </row>
    <row r="78" spans="1:5">
      <c r="A78" s="89">
        <v>45437</v>
      </c>
      <c r="B78" s="3" t="s">
        <v>1270</v>
      </c>
      <c r="C78" s="84"/>
      <c r="E78" s="77">
        <v>-70</v>
      </c>
    </row>
    <row r="79" spans="1:5">
      <c r="A79" s="89">
        <v>45438</v>
      </c>
      <c r="B79" s="3" t="s">
        <v>277</v>
      </c>
      <c r="C79" s="84"/>
      <c r="E79" s="77">
        <v>-232.27</v>
      </c>
    </row>
    <row r="80" spans="1:5">
      <c r="A80" s="89">
        <v>45438</v>
      </c>
      <c r="B80" s="3" t="s">
        <v>1269</v>
      </c>
      <c r="C80" s="84"/>
      <c r="E80" s="77">
        <v>-130</v>
      </c>
    </row>
    <row r="81" spans="1:5">
      <c r="A81" s="89">
        <v>45469</v>
      </c>
      <c r="B81" s="3" t="s">
        <v>356</v>
      </c>
      <c r="C81" s="84"/>
      <c r="E81" s="77">
        <v>-246.8</v>
      </c>
    </row>
    <row r="82" spans="1:5">
      <c r="A82" s="89">
        <v>45439</v>
      </c>
      <c r="B82" s="3" t="s">
        <v>1270</v>
      </c>
      <c r="C82" s="84"/>
      <c r="E82" s="77">
        <v>-70</v>
      </c>
    </row>
    <row r="83" spans="1:5">
      <c r="A83" s="89">
        <v>45440</v>
      </c>
      <c r="B83" s="3" t="s">
        <v>365</v>
      </c>
      <c r="C83" s="84">
        <v>300</v>
      </c>
      <c r="E83" s="77">
        <v>-300</v>
      </c>
    </row>
    <row r="84" spans="1:5">
      <c r="A84" s="89">
        <v>45440</v>
      </c>
      <c r="B84" s="3" t="s">
        <v>1271</v>
      </c>
      <c r="C84" s="84"/>
      <c r="E84" s="77">
        <v>-460</v>
      </c>
    </row>
    <row r="85" spans="1:5">
      <c r="A85" s="89">
        <v>45441</v>
      </c>
      <c r="B85" s="3" t="s">
        <v>277</v>
      </c>
      <c r="C85" s="84"/>
      <c r="E85" s="77">
        <v>-27.66</v>
      </c>
    </row>
    <row r="86" spans="1:5">
      <c r="A86" s="89">
        <v>45441</v>
      </c>
      <c r="B86" s="3" t="s">
        <v>365</v>
      </c>
      <c r="C86" s="84">
        <v>400</v>
      </c>
      <c r="E86" s="77">
        <v>-400</v>
      </c>
    </row>
    <row r="87" spans="1:5">
      <c r="A87" s="89">
        <v>45442</v>
      </c>
      <c r="B87" s="3" t="s">
        <v>365</v>
      </c>
      <c r="C87" s="84">
        <v>200</v>
      </c>
      <c r="E87" s="77">
        <v>-200</v>
      </c>
    </row>
    <row r="88" spans="1:5">
      <c r="A88" s="89">
        <v>45442</v>
      </c>
      <c r="B88" s="3" t="s">
        <v>1272</v>
      </c>
      <c r="C88" s="84"/>
      <c r="E88" s="77">
        <v>-80</v>
      </c>
    </row>
    <row r="89" spans="1:5">
      <c r="A89" s="89">
        <v>45444</v>
      </c>
      <c r="B89" s="3" t="s">
        <v>1273</v>
      </c>
      <c r="C89" s="84"/>
      <c r="E89" s="77">
        <v>-80</v>
      </c>
    </row>
    <row r="90" spans="1:5">
      <c r="A90" s="89">
        <v>45444</v>
      </c>
      <c r="B90" s="3" t="s">
        <v>277</v>
      </c>
      <c r="C90" s="84"/>
      <c r="E90" s="77">
        <v>-12.26</v>
      </c>
    </row>
    <row r="91" spans="1:5">
      <c r="A91" s="89">
        <v>45444</v>
      </c>
      <c r="B91" s="3" t="s">
        <v>365</v>
      </c>
      <c r="C91" s="84">
        <v>350</v>
      </c>
      <c r="E91" s="77">
        <v>-350</v>
      </c>
    </row>
    <row r="92" spans="1:5">
      <c r="A92" s="89">
        <v>45444</v>
      </c>
      <c r="B92" s="3" t="s">
        <v>1274</v>
      </c>
      <c r="C92" s="84"/>
      <c r="E92" s="77">
        <v>-300</v>
      </c>
    </row>
    <row r="93" spans="1:5">
      <c r="A93" s="89">
        <v>45446</v>
      </c>
      <c r="B93" s="3" t="s">
        <v>271</v>
      </c>
      <c r="C93" s="84"/>
      <c r="E93" s="77">
        <v>-500</v>
      </c>
    </row>
    <row r="94" spans="1:5">
      <c r="A94" s="89">
        <v>45446</v>
      </c>
      <c r="B94" s="3" t="s">
        <v>1270</v>
      </c>
      <c r="C94" s="84"/>
      <c r="E94" s="77">
        <v>-70</v>
      </c>
    </row>
    <row r="95" spans="1:5">
      <c r="A95" s="89">
        <v>45446</v>
      </c>
      <c r="B95" s="3" t="s">
        <v>3</v>
      </c>
      <c r="C95" s="84"/>
      <c r="D95" s="77">
        <v>7949.1</v>
      </c>
    </row>
    <row r="96" spans="1:5">
      <c r="A96" s="89">
        <v>45447</v>
      </c>
      <c r="B96" s="3" t="s">
        <v>365</v>
      </c>
      <c r="C96" s="84">
        <v>240</v>
      </c>
      <c r="E96" s="77">
        <v>-240</v>
      </c>
    </row>
    <row r="97" spans="1:5">
      <c r="A97" s="89">
        <v>45447</v>
      </c>
      <c r="B97" s="3" t="s">
        <v>1270</v>
      </c>
      <c r="C97" s="84"/>
      <c r="E97" s="77">
        <v>-70</v>
      </c>
    </row>
    <row r="98" spans="1:5">
      <c r="A98" s="89">
        <v>45447</v>
      </c>
      <c r="B98" s="3" t="s">
        <v>3</v>
      </c>
      <c r="C98" s="84"/>
      <c r="D98" s="77">
        <v>11998.63</v>
      </c>
    </row>
    <row r="99" spans="1:5">
      <c r="A99" s="322">
        <v>45448</v>
      </c>
      <c r="B99" s="3" t="s">
        <v>365</v>
      </c>
      <c r="C99">
        <v>280</v>
      </c>
      <c r="E99" s="77">
        <v>-280</v>
      </c>
    </row>
    <row r="100" spans="1:5">
      <c r="A100" s="322">
        <v>45448</v>
      </c>
      <c r="B100" s="3" t="s">
        <v>400</v>
      </c>
    </row>
    <row r="101" spans="1:5">
      <c r="A101" s="322">
        <v>45449</v>
      </c>
      <c r="B101" s="3" t="s">
        <v>365</v>
      </c>
      <c r="C101">
        <v>300</v>
      </c>
      <c r="E101" s="77">
        <v>-300</v>
      </c>
    </row>
    <row r="102" spans="1:5">
      <c r="A102" s="322">
        <v>45449</v>
      </c>
      <c r="B102" s="3" t="s">
        <v>277</v>
      </c>
      <c r="E102" s="77">
        <v>-84.7</v>
      </c>
    </row>
    <row r="103" spans="1:5">
      <c r="A103" s="322">
        <v>45450</v>
      </c>
      <c r="B103" s="3" t="s">
        <v>365</v>
      </c>
      <c r="C103">
        <v>300</v>
      </c>
      <c r="E103" s="77">
        <v>-300</v>
      </c>
    </row>
    <row r="104" spans="1:5">
      <c r="A104" s="322">
        <v>45450</v>
      </c>
      <c r="B104" s="3" t="s">
        <v>1273</v>
      </c>
      <c r="E104" s="77">
        <v>-80</v>
      </c>
    </row>
    <row r="105" spans="1:5">
      <c r="A105" s="322">
        <v>45451</v>
      </c>
      <c r="B105" s="3" t="s">
        <v>365</v>
      </c>
      <c r="C105">
        <v>250</v>
      </c>
      <c r="E105" s="77">
        <v>-250</v>
      </c>
    </row>
    <row r="106" spans="1:5">
      <c r="A106" s="322">
        <v>45451</v>
      </c>
      <c r="B106" s="3" t="s">
        <v>1270</v>
      </c>
      <c r="E106" s="77">
        <v>-145</v>
      </c>
    </row>
    <row r="107" spans="1:5">
      <c r="A107" s="322">
        <v>45454</v>
      </c>
      <c r="B107" s="3" t="s">
        <v>365</v>
      </c>
      <c r="C107">
        <v>400</v>
      </c>
      <c r="E107" s="77">
        <v>-400</v>
      </c>
    </row>
    <row r="108" spans="1:5">
      <c r="A108" s="322">
        <v>45455</v>
      </c>
      <c r="B108" s="3" t="s">
        <v>1275</v>
      </c>
      <c r="E108" s="77">
        <v>-300</v>
      </c>
    </row>
    <row r="109" spans="1:5">
      <c r="A109" s="322">
        <v>45456</v>
      </c>
      <c r="B109" s="3" t="s">
        <v>365</v>
      </c>
      <c r="C109">
        <v>300</v>
      </c>
      <c r="E109" s="77">
        <v>-300</v>
      </c>
    </row>
    <row r="110" spans="1:5">
      <c r="A110" s="322">
        <v>45456</v>
      </c>
      <c r="B110" s="3" t="s">
        <v>1270</v>
      </c>
      <c r="E110" s="77">
        <v>-70</v>
      </c>
    </row>
    <row r="111" spans="1:5">
      <c r="A111" s="322">
        <v>45459</v>
      </c>
      <c r="B111" s="3" t="s">
        <v>1273</v>
      </c>
      <c r="E111" s="77">
        <v>-80</v>
      </c>
    </row>
    <row r="112" spans="1:5">
      <c r="A112" s="322">
        <v>45460</v>
      </c>
      <c r="B112" s="3" t="s">
        <v>277</v>
      </c>
      <c r="E112" s="77">
        <v>-71.95</v>
      </c>
    </row>
    <row r="113" spans="1:5">
      <c r="A113" s="322">
        <v>45460</v>
      </c>
      <c r="B113" s="3" t="s">
        <v>271</v>
      </c>
      <c r="E113" s="77">
        <v>-500</v>
      </c>
    </row>
    <row r="114" spans="1:5">
      <c r="A114" s="322">
        <v>45463</v>
      </c>
      <c r="B114" s="3" t="s">
        <v>1273</v>
      </c>
      <c r="E114" s="77">
        <v>-80</v>
      </c>
    </row>
    <row r="115" spans="1:5">
      <c r="A115" s="322">
        <v>45464</v>
      </c>
      <c r="B115" s="3" t="s">
        <v>1276</v>
      </c>
      <c r="E115" s="77">
        <v>-105</v>
      </c>
    </row>
    <row r="116" spans="1:5">
      <c r="A116" s="322">
        <v>45464</v>
      </c>
      <c r="B116" s="3" t="s">
        <v>1277</v>
      </c>
      <c r="E116" s="77">
        <v>-800</v>
      </c>
    </row>
    <row r="117" spans="1:5">
      <c r="A117" s="322">
        <v>45464</v>
      </c>
      <c r="B117" s="3" t="s">
        <v>1278</v>
      </c>
      <c r="E117" s="77">
        <v>-277.5</v>
      </c>
    </row>
    <row r="118" spans="1:5">
      <c r="A118" s="322">
        <v>45465</v>
      </c>
      <c r="B118" s="3" t="s">
        <v>1279</v>
      </c>
      <c r="E118" s="77">
        <v>-200</v>
      </c>
    </row>
    <row r="119" spans="1:5">
      <c r="A119" s="322">
        <v>45466</v>
      </c>
      <c r="B119" s="3" t="s">
        <v>1280</v>
      </c>
      <c r="E119" s="77">
        <v>-689.5</v>
      </c>
    </row>
    <row r="120" spans="1:5">
      <c r="A120" s="322">
        <v>45466</v>
      </c>
      <c r="B120" s="3" t="s">
        <v>271</v>
      </c>
      <c r="E120" s="77">
        <v>-500</v>
      </c>
    </row>
    <row r="121" spans="1:5">
      <c r="A121" s="322">
        <v>45466</v>
      </c>
      <c r="B121" s="3" t="s">
        <v>355</v>
      </c>
      <c r="E121" s="77">
        <v>-650</v>
      </c>
    </row>
    <row r="122" spans="1:5">
      <c r="A122" s="322">
        <v>45466</v>
      </c>
      <c r="B122" s="3" t="s">
        <v>1281</v>
      </c>
      <c r="E122" s="77">
        <v>-134.33000000000001</v>
      </c>
    </row>
    <row r="123" spans="1:5">
      <c r="A123" s="322">
        <v>45467</v>
      </c>
      <c r="B123" s="3" t="s">
        <v>693</v>
      </c>
      <c r="E123" s="77">
        <v>-28.05</v>
      </c>
    </row>
    <row r="124" spans="1:5">
      <c r="A124" s="322">
        <v>45467</v>
      </c>
      <c r="B124" s="3" t="s">
        <v>1282</v>
      </c>
      <c r="E124" s="77">
        <v>-28.05</v>
      </c>
    </row>
    <row r="125" spans="1:5">
      <c r="A125" s="322">
        <v>45467</v>
      </c>
      <c r="B125" s="3" t="s">
        <v>695</v>
      </c>
      <c r="E125" s="77">
        <v>-186.98</v>
      </c>
    </row>
    <row r="126" spans="1:5" ht="15">
      <c r="B126" s="61" t="s">
        <v>280</v>
      </c>
      <c r="C126" s="3">
        <f>SUM(C81:C125)</f>
        <v>3320</v>
      </c>
      <c r="E126" s="105" t="s">
        <v>224</v>
      </c>
    </row>
    <row r="127" spans="1:5">
      <c r="B127" s="3" t="s">
        <v>1283</v>
      </c>
    </row>
    <row r="128" spans="1:5">
      <c r="A128" s="68" t="s">
        <v>1289</v>
      </c>
      <c r="B128" s="69" t="s">
        <v>82</v>
      </c>
      <c r="C128" s="70">
        <v>2024</v>
      </c>
      <c r="D128" s="71"/>
      <c r="E128" s="72">
        <f>SUM(E129:E149)</f>
        <v>981303.72722800006</v>
      </c>
    </row>
    <row r="129" spans="1:5">
      <c r="A129" s="106">
        <v>45474</v>
      </c>
      <c r="B129" s="22" t="s">
        <v>83</v>
      </c>
      <c r="C129" s="107"/>
      <c r="D129" s="107"/>
      <c r="E129" s="107">
        <v>64000</v>
      </c>
    </row>
    <row r="130" spans="1:5">
      <c r="A130" s="106">
        <f t="shared" ref="A130:A148" si="1">A129</f>
        <v>45474</v>
      </c>
      <c r="B130" s="22" t="s">
        <v>235</v>
      </c>
      <c r="C130" s="107"/>
      <c r="D130" s="107"/>
      <c r="E130" s="107">
        <v>150845</v>
      </c>
    </row>
    <row r="131" spans="1:5">
      <c r="A131" s="73">
        <f t="shared" si="1"/>
        <v>45474</v>
      </c>
      <c r="B131" t="s">
        <v>85</v>
      </c>
      <c r="C131" s="2"/>
      <c r="D131" s="2"/>
      <c r="E131" s="62">
        <v>12712.47</v>
      </c>
    </row>
    <row r="132" spans="1:5">
      <c r="A132" s="73">
        <f t="shared" si="1"/>
        <v>45474</v>
      </c>
      <c r="B132" t="s">
        <v>86</v>
      </c>
      <c r="C132" s="2"/>
      <c r="D132" s="2"/>
      <c r="E132" s="62">
        <v>0</v>
      </c>
    </row>
    <row r="133" spans="1:5">
      <c r="A133" s="73">
        <f t="shared" si="1"/>
        <v>45474</v>
      </c>
      <c r="B133" t="s">
        <v>236</v>
      </c>
      <c r="C133" s="2"/>
      <c r="D133" s="2"/>
      <c r="E133" s="62">
        <v>0</v>
      </c>
    </row>
    <row r="134" spans="1:5">
      <c r="A134" s="73">
        <f t="shared" si="1"/>
        <v>45474</v>
      </c>
      <c r="B134" t="s">
        <v>87</v>
      </c>
      <c r="C134" s="108"/>
      <c r="D134" s="2"/>
      <c r="E134" s="62">
        <v>0</v>
      </c>
    </row>
    <row r="135" spans="1:5">
      <c r="A135" s="73">
        <f t="shared" si="1"/>
        <v>45474</v>
      </c>
      <c r="B135" t="s">
        <v>88</v>
      </c>
      <c r="C135" s="2">
        <v>74</v>
      </c>
      <c r="D135" s="329">
        <v>677.53942199999995</v>
      </c>
      <c r="E135" s="62">
        <f>D135*C135</f>
        <v>50137.917227999998</v>
      </c>
    </row>
    <row r="136" spans="1:5">
      <c r="A136" s="73">
        <f t="shared" si="1"/>
        <v>45474</v>
      </c>
      <c r="B136" t="s">
        <v>237</v>
      </c>
      <c r="C136" s="109">
        <v>125000</v>
      </c>
      <c r="D136" s="329">
        <v>0.83506999999999998</v>
      </c>
      <c r="E136" s="62">
        <f t="shared" ref="E136:E146" si="2">D136*C136</f>
        <v>104383.75</v>
      </c>
    </row>
    <row r="137" spans="1:5">
      <c r="A137" s="73">
        <f t="shared" si="1"/>
        <v>45474</v>
      </c>
      <c r="B137" t="s">
        <v>238</v>
      </c>
      <c r="C137" s="2">
        <v>10</v>
      </c>
      <c r="D137" s="2">
        <v>123.7</v>
      </c>
      <c r="E137" s="62">
        <f t="shared" si="2"/>
        <v>1237</v>
      </c>
    </row>
    <row r="138" spans="1:5">
      <c r="A138" s="73">
        <f t="shared" si="1"/>
        <v>45474</v>
      </c>
      <c r="B138" t="s">
        <v>1290</v>
      </c>
      <c r="C138" s="2">
        <v>38</v>
      </c>
      <c r="D138" s="2">
        <v>22.78</v>
      </c>
      <c r="E138" s="62">
        <f t="shared" si="2"/>
        <v>865.6400000000001</v>
      </c>
    </row>
    <row r="139" spans="1:5">
      <c r="A139" s="73">
        <f t="shared" si="1"/>
        <v>45474</v>
      </c>
      <c r="B139" t="s">
        <v>1291</v>
      </c>
      <c r="C139" s="2">
        <v>26</v>
      </c>
      <c r="D139" s="2">
        <v>27.26</v>
      </c>
      <c r="E139" s="62">
        <f t="shared" si="2"/>
        <v>708.76</v>
      </c>
    </row>
    <row r="140" spans="1:5">
      <c r="A140" s="73">
        <f t="shared" si="1"/>
        <v>45474</v>
      </c>
      <c r="B140" t="s">
        <v>96</v>
      </c>
      <c r="C140" s="2"/>
      <c r="D140" s="2"/>
      <c r="E140" s="62">
        <f t="shared" si="2"/>
        <v>0</v>
      </c>
    </row>
    <row r="141" spans="1:5">
      <c r="A141" s="73">
        <f t="shared" si="1"/>
        <v>45474</v>
      </c>
      <c r="B141" t="s">
        <v>239</v>
      </c>
      <c r="C141" s="2">
        <v>7500</v>
      </c>
      <c r="D141" s="2">
        <v>24.5</v>
      </c>
      <c r="E141" s="62">
        <f t="shared" si="2"/>
        <v>183750</v>
      </c>
    </row>
    <row r="142" spans="1:5">
      <c r="A142" s="73">
        <f t="shared" si="1"/>
        <v>45474</v>
      </c>
      <c r="C142" s="2"/>
      <c r="D142" s="2"/>
      <c r="E142" s="62">
        <f t="shared" si="2"/>
        <v>0</v>
      </c>
    </row>
    <row r="143" spans="1:5">
      <c r="A143" s="73">
        <f t="shared" si="1"/>
        <v>45474</v>
      </c>
      <c r="C143" s="2"/>
      <c r="D143" s="2"/>
      <c r="E143" s="62">
        <f t="shared" si="2"/>
        <v>0</v>
      </c>
    </row>
    <row r="144" spans="1:5">
      <c r="A144" s="73">
        <f t="shared" si="1"/>
        <v>45474</v>
      </c>
      <c r="B144" t="s">
        <v>240</v>
      </c>
      <c r="C144" s="2">
        <v>2375.02</v>
      </c>
      <c r="D144" s="2">
        <v>156</v>
      </c>
      <c r="E144" s="62">
        <f t="shared" si="2"/>
        <v>370503.12</v>
      </c>
    </row>
    <row r="145" spans="1:5">
      <c r="A145" s="73">
        <f t="shared" si="1"/>
        <v>45474</v>
      </c>
      <c r="B145" t="s">
        <v>1292</v>
      </c>
      <c r="C145" s="75">
        <v>31.963699999999999</v>
      </c>
      <c r="D145" s="2">
        <v>850</v>
      </c>
      <c r="E145" s="62">
        <f t="shared" si="2"/>
        <v>27169.145</v>
      </c>
    </row>
    <row r="146" spans="1:5">
      <c r="A146" s="73">
        <f t="shared" si="1"/>
        <v>45474</v>
      </c>
      <c r="B146" t="s">
        <v>242</v>
      </c>
      <c r="C146" s="75">
        <f>C145</f>
        <v>31.963699999999999</v>
      </c>
      <c r="D146" s="2">
        <v>250</v>
      </c>
      <c r="E146" s="62">
        <f t="shared" si="2"/>
        <v>7990.9250000000002</v>
      </c>
    </row>
    <row r="147" spans="1:5">
      <c r="A147" s="73">
        <f t="shared" si="1"/>
        <v>45474</v>
      </c>
      <c r="B147" t="s">
        <v>1293</v>
      </c>
      <c r="C147" s="75">
        <v>34.412100000000002</v>
      </c>
      <c r="D147" s="2">
        <v>0</v>
      </c>
      <c r="E147" s="62">
        <f>D147*C147</f>
        <v>0</v>
      </c>
    </row>
    <row r="148" spans="1:5">
      <c r="A148" s="73">
        <f t="shared" si="1"/>
        <v>45474</v>
      </c>
      <c r="B148" t="s">
        <v>100</v>
      </c>
      <c r="C148" s="2"/>
      <c r="D148" s="2"/>
      <c r="E148" s="62">
        <v>3000</v>
      </c>
    </row>
    <row r="149" spans="1:5">
      <c r="A149" s="73">
        <f>A148</f>
        <v>45474</v>
      </c>
      <c r="B149" t="s">
        <v>101</v>
      </c>
      <c r="C149" s="2"/>
      <c r="D149" s="2"/>
      <c r="E149" s="62">
        <v>4000</v>
      </c>
    </row>
    <row r="150" spans="1:5">
      <c r="E150" s="110"/>
    </row>
    <row r="151" spans="1:5">
      <c r="C151" s="108"/>
      <c r="D151" s="3"/>
      <c r="E151" s="108"/>
    </row>
    <row r="152" spans="1:5">
      <c r="C152" s="108"/>
      <c r="D152" s="61" t="s">
        <v>103</v>
      </c>
      <c r="E152" s="8">
        <f>SUM(E129:E149)</f>
        <v>981303.72722800006</v>
      </c>
    </row>
    <row r="153" spans="1:5">
      <c r="C153" s="111" t="str">
        <f>A128</f>
        <v>TEMMUZa</v>
      </c>
      <c r="D153" s="112" t="s">
        <v>102</v>
      </c>
      <c r="E153" s="113">
        <f>H2</f>
        <v>-2767.8599999999997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39"/>
  <sheetViews>
    <sheetView tabSelected="1" topLeftCell="A10" zoomScale="175" zoomScaleNormal="175" workbookViewId="0">
      <selection activeCell="E138" sqref="E13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-87766.153693</v>
      </c>
      <c r="H2" s="77">
        <f>F2+G2</f>
        <v>-74338.533693000005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B27" t="s">
        <v>83</v>
      </c>
      <c r="E27" s="77">
        <v>-5000</v>
      </c>
      <c r="H27" s="92">
        <f t="shared" si="0"/>
        <v>-79766.153693</v>
      </c>
    </row>
    <row r="28" spans="1:8">
      <c r="B28" t="s">
        <v>84</v>
      </c>
      <c r="E28" s="77">
        <v>-5000</v>
      </c>
      <c r="H28" s="92">
        <f t="shared" si="0"/>
        <v>-79766.153693</v>
      </c>
    </row>
    <row r="29" spans="1:8"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-84766.153693</v>
      </c>
    </row>
    <row r="30" spans="1:8">
      <c r="H30" s="77">
        <f t="shared" ref="H30:H34" si="1">H29+F30+G30</f>
        <v>-84766.153693</v>
      </c>
    </row>
    <row r="31" spans="1:8">
      <c r="B31" t="s">
        <v>134</v>
      </c>
      <c r="D31" s="77">
        <v>10000</v>
      </c>
      <c r="F31" s="77">
        <v>10427.620000000001</v>
      </c>
      <c r="H31" s="77">
        <f t="shared" si="1"/>
        <v>-74338.533693000005</v>
      </c>
    </row>
    <row r="32" spans="1:8">
      <c r="A32" s="89"/>
      <c r="B32" t="s">
        <v>201</v>
      </c>
      <c r="D32" s="77">
        <v>15000</v>
      </c>
      <c r="H32" s="77">
        <f t="shared" si="1"/>
        <v>-74338.533693000005</v>
      </c>
    </row>
    <row r="33" spans="1:8">
      <c r="A33" s="96">
        <v>45351</v>
      </c>
      <c r="B33" s="103" t="s">
        <v>216</v>
      </c>
      <c r="C33" s="103"/>
      <c r="D33" s="104">
        <v>8500</v>
      </c>
      <c r="H33" s="77">
        <f t="shared" si="1"/>
        <v>-74338.533693000005</v>
      </c>
    </row>
    <row r="34" spans="1:8">
      <c r="H34" s="77">
        <f t="shared" si="1"/>
        <v>-74338.533693000005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68" t="s">
        <v>1288</v>
      </c>
      <c r="B118" s="69" t="s">
        <v>82</v>
      </c>
      <c r="C118" s="70">
        <v>2024</v>
      </c>
      <c r="D118" s="71"/>
      <c r="E118" s="72">
        <f>SUM(E119:E135)</f>
        <v>794302.15999999992</v>
      </c>
    </row>
    <row r="119" spans="1:6">
      <c r="A119" s="106">
        <v>45413</v>
      </c>
      <c r="B119" s="22" t="s">
        <v>83</v>
      </c>
      <c r="C119" s="107"/>
      <c r="D119" s="107"/>
      <c r="E119" s="107">
        <v>64000</v>
      </c>
    </row>
    <row r="120" spans="1:6">
      <c r="A120" s="106">
        <f t="shared" ref="A120:A127" si="2">A119</f>
        <v>45413</v>
      </c>
      <c r="B120" s="22" t="s">
        <v>235</v>
      </c>
      <c r="C120" s="107"/>
      <c r="D120" s="107"/>
      <c r="E120" s="107">
        <v>150845</v>
      </c>
    </row>
    <row r="121" spans="1:6">
      <c r="A121" s="73">
        <f t="shared" si="2"/>
        <v>45413</v>
      </c>
      <c r="B121" t="s">
        <v>85</v>
      </c>
      <c r="C121" s="2"/>
      <c r="D121" s="2"/>
      <c r="E121" s="62">
        <v>4148.6099999999997</v>
      </c>
    </row>
    <row r="122" spans="1:6">
      <c r="A122" s="73">
        <f t="shared" si="2"/>
        <v>45413</v>
      </c>
      <c r="B122" t="s">
        <v>86</v>
      </c>
      <c r="C122" s="2"/>
      <c r="D122" s="2"/>
      <c r="E122" s="62">
        <v>0</v>
      </c>
    </row>
    <row r="123" spans="1:6">
      <c r="A123" s="73">
        <f t="shared" si="2"/>
        <v>45413</v>
      </c>
      <c r="B123" t="s">
        <v>236</v>
      </c>
      <c r="C123" s="2"/>
      <c r="D123" s="2"/>
      <c r="E123" s="62">
        <v>0</v>
      </c>
    </row>
    <row r="124" spans="1:6">
      <c r="A124" s="73">
        <f t="shared" si="2"/>
        <v>45413</v>
      </c>
      <c r="B124" t="s">
        <v>87</v>
      </c>
      <c r="C124" s="108"/>
      <c r="D124" s="2"/>
      <c r="E124" s="62">
        <v>0</v>
      </c>
    </row>
    <row r="125" spans="1:6">
      <c r="A125" s="73">
        <f t="shared" si="2"/>
        <v>45413</v>
      </c>
      <c r="B125" t="s">
        <v>88</v>
      </c>
      <c r="C125" s="2"/>
      <c r="D125" s="2"/>
      <c r="E125" s="62">
        <v>0</v>
      </c>
    </row>
    <row r="126" spans="1:6">
      <c r="A126" s="73">
        <f t="shared" si="2"/>
        <v>45413</v>
      </c>
      <c r="B126" t="s">
        <v>237</v>
      </c>
      <c r="C126" s="109">
        <v>125000</v>
      </c>
      <c r="D126" s="2">
        <v>0.88097599999999998</v>
      </c>
      <c r="E126" s="62">
        <f>D126*C126</f>
        <v>110122</v>
      </c>
    </row>
    <row r="127" spans="1:6">
      <c r="A127" s="73">
        <f t="shared" si="2"/>
        <v>45413</v>
      </c>
      <c r="B127" t="s">
        <v>238</v>
      </c>
      <c r="C127" s="2">
        <v>10</v>
      </c>
      <c r="D127" s="2">
        <v>122</v>
      </c>
      <c r="E127" s="62">
        <f>D127*C127</f>
        <v>1220</v>
      </c>
    </row>
    <row r="128" spans="1:6">
      <c r="A128" s="73">
        <f>A126</f>
        <v>45413</v>
      </c>
      <c r="B128" t="s">
        <v>96</v>
      </c>
      <c r="C128" s="2"/>
      <c r="D128" s="2"/>
      <c r="E128" s="62">
        <v>450</v>
      </c>
    </row>
    <row r="129" spans="1:5">
      <c r="A129" s="73">
        <f>A128</f>
        <v>45413</v>
      </c>
      <c r="B129" t="s">
        <v>239</v>
      </c>
      <c r="C129" s="2">
        <v>2500</v>
      </c>
      <c r="D129" s="2">
        <v>24.5</v>
      </c>
      <c r="E129" s="62">
        <f>D129*C129</f>
        <v>61250</v>
      </c>
    </row>
    <row r="130" spans="1:5">
      <c r="A130" s="73">
        <f>A128</f>
        <v>45413</v>
      </c>
      <c r="B130" t="s">
        <v>240</v>
      </c>
      <c r="C130" s="2">
        <v>2308.9699999999998</v>
      </c>
      <c r="D130" s="2">
        <v>156</v>
      </c>
      <c r="E130" s="62">
        <f>D130*C130</f>
        <v>360199.31999999995</v>
      </c>
    </row>
    <row r="131" spans="1:5">
      <c r="A131" s="73">
        <f>A130</f>
        <v>45413</v>
      </c>
      <c r="B131" t="s">
        <v>241</v>
      </c>
      <c r="C131" s="75">
        <v>31.879300000000001</v>
      </c>
      <c r="D131" s="2">
        <v>850</v>
      </c>
      <c r="E131" s="62">
        <f>D131*C131</f>
        <v>27097.404999999999</v>
      </c>
    </row>
    <row r="132" spans="1:5">
      <c r="A132" s="73">
        <f>A131</f>
        <v>45413</v>
      </c>
      <c r="B132" t="s">
        <v>242</v>
      </c>
      <c r="C132" s="75">
        <f>C131</f>
        <v>31.879300000000001</v>
      </c>
      <c r="D132" s="2">
        <v>250</v>
      </c>
      <c r="E132" s="62">
        <f>D132*C132</f>
        <v>7969.8249999999998</v>
      </c>
    </row>
    <row r="133" spans="1:5">
      <c r="A133" s="73">
        <f>A132</f>
        <v>45413</v>
      </c>
      <c r="B133" t="s">
        <v>243</v>
      </c>
      <c r="C133" s="75">
        <v>34.394500000000001</v>
      </c>
      <c r="D133" s="2">
        <v>0</v>
      </c>
      <c r="E133" s="62">
        <f>D133*C133</f>
        <v>0</v>
      </c>
    </row>
    <row r="134" spans="1:5">
      <c r="A134" s="73">
        <f>A133</f>
        <v>45413</v>
      </c>
      <c r="B134" t="s">
        <v>100</v>
      </c>
      <c r="C134" s="2"/>
      <c r="D134" s="2"/>
      <c r="E134" s="62">
        <v>3000</v>
      </c>
    </row>
    <row r="135" spans="1:5">
      <c r="A135" s="73">
        <f>A134</f>
        <v>45413</v>
      </c>
      <c r="B135" t="s">
        <v>101</v>
      </c>
      <c r="C135" s="2"/>
      <c r="D135" s="2"/>
      <c r="E135" s="62">
        <v>4000</v>
      </c>
    </row>
    <row r="136" spans="1:5">
      <c r="E136" s="110"/>
    </row>
    <row r="137" spans="1:5">
      <c r="C137" s="108"/>
      <c r="D137" s="3"/>
      <c r="E137" s="108"/>
    </row>
    <row r="138" spans="1:5">
      <c r="C138" s="108"/>
      <c r="D138" s="61" t="s">
        <v>103</v>
      </c>
      <c r="E138" s="8">
        <f>SUM(E119:E135)</f>
        <v>794302.15999999992</v>
      </c>
    </row>
    <row r="139" spans="1:5">
      <c r="C139" s="111" t="str">
        <f>A118</f>
        <v>HAZİRANa</v>
      </c>
      <c r="D139" s="112" t="s">
        <v>102</v>
      </c>
      <c r="E139" s="113">
        <f>H2</f>
        <v>-74338.533693000005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zoomScale="145" zoomScaleNormal="145" workbookViewId="0">
      <selection activeCell="B22" sqref="B22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7" zoomScale="175" zoomScaleNormal="175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14" zoomScale="190" zoomScaleNormal="19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2024-07-01T07:08:00Z</dcterms:modified>
  <dc:language>tr-TR</dc:language>
</cp:coreProperties>
</file>