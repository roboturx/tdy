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EFCEB72B-6253-4936-A009-5C8F31110778}" xr6:coauthVersionLast="47" xr6:coauthVersionMax="47" xr10:uidLastSave="{00000000-0000-0000-0000-000000000000}"/>
  <bookViews>
    <workbookView xWindow="-120" yWindow="-120" windowWidth="29040" windowHeight="15720" tabRatio="851" activeTab="2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47" i="4" l="1"/>
  <c r="F137" i="4"/>
  <c r="F63" i="1"/>
  <c r="F64" i="1" s="1"/>
  <c r="F65" i="1" s="1"/>
  <c r="N11" i="3"/>
  <c r="N10" i="3"/>
  <c r="E139" i="4"/>
  <c r="E140" i="4"/>
  <c r="E141" i="4"/>
  <c r="E142" i="4"/>
  <c r="E137" i="4"/>
  <c r="E145" i="4"/>
  <c r="E146" i="4"/>
  <c r="E147" i="4"/>
  <c r="E117" i="5"/>
  <c r="E118" i="5"/>
  <c r="E119" i="5"/>
  <c r="E120" i="5"/>
  <c r="E121" i="5"/>
  <c r="E122" i="5"/>
  <c r="E123" i="5"/>
  <c r="E124" i="5"/>
  <c r="E107" i="7"/>
  <c r="E108" i="7"/>
  <c r="E109" i="7"/>
  <c r="E110" i="7"/>
  <c r="E111" i="7"/>
  <c r="E112" i="7"/>
  <c r="E113" i="7"/>
  <c r="E114" i="7"/>
  <c r="E115" i="7"/>
  <c r="E116" i="7"/>
  <c r="E117" i="6"/>
  <c r="E118" i="6"/>
  <c r="E119" i="6"/>
  <c r="E120" i="6"/>
  <c r="E121" i="6"/>
  <c r="E122" i="6"/>
  <c r="E124" i="6"/>
  <c r="E125" i="6"/>
  <c r="E136" i="4"/>
  <c r="E116" i="5"/>
  <c r="E116" i="6"/>
  <c r="E106" i="7"/>
  <c r="C156" i="4"/>
  <c r="C137" i="5"/>
  <c r="E131" i="5"/>
  <c r="E128" i="5"/>
  <c r="E127" i="5"/>
  <c r="E126" i="5"/>
  <c r="E125" i="5"/>
  <c r="A113" i="5"/>
  <c r="A116" i="5" s="1"/>
  <c r="A119" i="5" s="1"/>
  <c r="A120" i="5" s="1"/>
  <c r="A121" i="5" s="1"/>
  <c r="A122" i="5" s="1"/>
  <c r="A117" i="5" s="1"/>
  <c r="A124" i="5" s="1"/>
  <c r="A125" i="5" s="1"/>
  <c r="A126" i="5" s="1"/>
  <c r="C137" i="6"/>
  <c r="E131" i="6"/>
  <c r="E128" i="6"/>
  <c r="E127" i="6"/>
  <c r="E126" i="6"/>
  <c r="A113" i="6"/>
  <c r="A116" i="6" s="1"/>
  <c r="A119" i="6" s="1"/>
  <c r="A120" i="6" s="1"/>
  <c r="A121" i="6" s="1"/>
  <c r="A122" i="6" s="1"/>
  <c r="A117" i="6" s="1"/>
  <c r="A124" i="6" s="1"/>
  <c r="A125" i="6" s="1"/>
  <c r="A126" i="6" s="1"/>
  <c r="H10" i="8"/>
  <c r="H11" i="8" s="1"/>
  <c r="H12" i="8" s="1"/>
  <c r="H13" i="8" s="1"/>
  <c r="H14" i="8" s="1"/>
  <c r="H15" i="8" s="1"/>
  <c r="H16" i="8" s="1"/>
  <c r="H17" i="8" s="1"/>
  <c r="F2" i="4"/>
  <c r="E95" i="4"/>
  <c r="D2" i="4"/>
  <c r="F142" i="4" l="1"/>
  <c r="E129" i="4"/>
  <c r="N14" i="3" s="1"/>
  <c r="E136" i="5"/>
  <c r="E155" i="4"/>
  <c r="A127" i="5"/>
  <c r="A128" i="5" s="1"/>
  <c r="A129" i="5" s="1"/>
  <c r="A130" i="5"/>
  <c r="A131" i="5" s="1"/>
  <c r="A132" i="5" s="1"/>
  <c r="A133" i="5" s="1"/>
  <c r="E111" i="5"/>
  <c r="N13" i="3" s="1"/>
  <c r="A115" i="5"/>
  <c r="A118" i="5" s="1"/>
  <c r="E136" i="6"/>
  <c r="N12" i="3" s="1"/>
  <c r="E111" i="6"/>
  <c r="A130" i="6"/>
  <c r="A131" i="6" s="1"/>
  <c r="A132" i="6" s="1"/>
  <c r="A133" i="6" s="1"/>
  <c r="A127" i="6"/>
  <c r="A128" i="6" s="1"/>
  <c r="A129" i="6" s="1"/>
  <c r="A115" i="6"/>
  <c r="A118" i="6" s="1"/>
  <c r="C102" i="5"/>
  <c r="E69" i="5"/>
  <c r="E7" i="5" s="1"/>
  <c r="C118" i="8"/>
  <c r="C81" i="11"/>
  <c r="E66" i="6"/>
  <c r="E7" i="6" s="1"/>
  <c r="C105" i="6"/>
  <c r="E19" i="3"/>
  <c r="M7" i="3" s="1"/>
  <c r="E118" i="7"/>
  <c r="E117" i="7"/>
  <c r="C127" i="7"/>
  <c r="A103" i="7"/>
  <c r="A105" i="7" s="1"/>
  <c r="A108" i="7" s="1"/>
  <c r="G33" i="8"/>
  <c r="G32" i="8"/>
  <c r="G31" i="8"/>
  <c r="G30" i="8"/>
  <c r="G29" i="8"/>
  <c r="G28" i="8"/>
  <c r="F122" i="1"/>
  <c r="F123" i="1" s="1"/>
  <c r="F124" i="1" s="1"/>
  <c r="F125" i="1" s="1"/>
  <c r="F126" i="1" s="1"/>
  <c r="F127" i="1" s="1"/>
  <c r="E89" i="1"/>
  <c r="E95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3" i="32" s="1"/>
  <c r="F2" i="44"/>
  <c r="E3" i="32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4" i="32" s="1"/>
  <c r="F2" i="43"/>
  <c r="E2" i="43"/>
  <c r="C4" i="32" s="1"/>
  <c r="D2" i="43"/>
  <c r="B4" i="32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5" i="32" s="1"/>
  <c r="E2" i="42"/>
  <c r="C5" i="32" s="1"/>
  <c r="D2" i="42"/>
  <c r="B5" i="32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B6" i="32" s="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7" i="32" s="1"/>
  <c r="F2" i="40"/>
  <c r="E2" i="40"/>
  <c r="C7" i="32" s="1"/>
  <c r="D2" i="40"/>
  <c r="B7" i="32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8" i="32" s="1"/>
  <c r="F2" i="39"/>
  <c r="E2" i="39"/>
  <c r="C8" i="32" s="1"/>
  <c r="D2" i="39"/>
  <c r="B8" i="32" s="1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C9" i="32" s="1"/>
  <c r="D2" i="38"/>
  <c r="B9" i="32" s="1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10" i="32" s="1"/>
  <c r="F2" i="37"/>
  <c r="E10" i="32" s="1"/>
  <c r="E2" i="37"/>
  <c r="C10" i="32" s="1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12" i="32" s="1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E2" i="33" s="1"/>
  <c r="C14" i="32" s="1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14" i="32" s="1"/>
  <c r="F2" i="33"/>
  <c r="D2" i="33"/>
  <c r="B14" i="32" s="1"/>
  <c r="N15" i="32"/>
  <c r="N16" i="32" s="1"/>
  <c r="M15" i="32"/>
  <c r="M16" i="32" s="1"/>
  <c r="J15" i="32"/>
  <c r="J16" i="32" s="1"/>
  <c r="K14" i="32"/>
  <c r="L14" i="32" s="1"/>
  <c r="K13" i="32"/>
  <c r="L13" i="32" s="1"/>
  <c r="K12" i="32"/>
  <c r="L12" i="32" s="1"/>
  <c r="K11" i="32"/>
  <c r="L11" i="32" s="1"/>
  <c r="E11" i="32"/>
  <c r="K10" i="32"/>
  <c r="L10" i="32" s="1"/>
  <c r="K9" i="32"/>
  <c r="E4" i="32"/>
  <c r="C3" i="32"/>
  <c r="B3" i="32"/>
  <c r="L1" i="32"/>
  <c r="E118" i="31"/>
  <c r="E117" i="31"/>
  <c r="E116" i="3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3" i="16" s="1"/>
  <c r="F2" i="31"/>
  <c r="E3" i="16" s="1"/>
  <c r="D2" i="31"/>
  <c r="E118" i="30"/>
  <c r="E117" i="30"/>
  <c r="E116" i="30"/>
  <c r="E87" i="30"/>
  <c r="E6" i="30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F2" i="30"/>
  <c r="D2" i="30"/>
  <c r="E118" i="29"/>
  <c r="E117" i="29"/>
  <c r="E116" i="29"/>
  <c r="E95" i="29"/>
  <c r="E14" i="29" s="1"/>
  <c r="E58" i="29"/>
  <c r="E13" i="29" s="1"/>
  <c r="E46" i="29"/>
  <c r="D46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E6" i="16" s="1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7" i="16" s="1"/>
  <c r="F2" i="27"/>
  <c r="D2" i="27"/>
  <c r="E118" i="26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E8" i="16" s="1"/>
  <c r="D2" i="26"/>
  <c r="B8" i="16" s="1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E9" i="16" s="1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4" i="24"/>
  <c r="H5" i="24" s="1"/>
  <c r="H6" i="24" s="1"/>
  <c r="G2" i="24"/>
  <c r="F10" i="16" s="1"/>
  <c r="C121" i="23"/>
  <c r="E118" i="23"/>
  <c r="E117" i="23"/>
  <c r="E116" i="23"/>
  <c r="E87" i="23"/>
  <c r="E9" i="23" s="1"/>
  <c r="E62" i="23"/>
  <c r="E8" i="23" s="1"/>
  <c r="E50" i="23"/>
  <c r="D50" i="23"/>
  <c r="G7" i="23"/>
  <c r="G2" i="23" s="1"/>
  <c r="F11" i="16" s="1"/>
  <c r="E7" i="23"/>
  <c r="H4" i="23"/>
  <c r="H5" i="23" s="1"/>
  <c r="H6" i="23" s="1"/>
  <c r="F2" i="23"/>
  <c r="E11" i="16" s="1"/>
  <c r="D2" i="23"/>
  <c r="B11" i="16" s="1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E12" i="16" s="1"/>
  <c r="D2" i="22"/>
  <c r="B12" i="16" s="1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E13" i="16" s="1"/>
  <c r="D2" i="21"/>
  <c r="B13" i="16" s="1"/>
  <c r="C129" i="20"/>
  <c r="E126" i="20"/>
  <c r="E125" i="20"/>
  <c r="E124" i="20"/>
  <c r="A113" i="20"/>
  <c r="A114" i="20" s="1"/>
  <c r="A115" i="20" s="1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F2" i="20"/>
  <c r="D2" i="20"/>
  <c r="E32" i="19"/>
  <c r="D27" i="19"/>
  <c r="F33" i="19" s="1"/>
  <c r="H25" i="19"/>
  <c r="I25" i="19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E60" i="17"/>
  <c r="D60" i="17"/>
  <c r="F39" i="17"/>
  <c r="E39" i="17"/>
  <c r="G3" i="17"/>
  <c r="G4" i="17" s="1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F33" i="16"/>
  <c r="F32" i="16"/>
  <c r="F31" i="16"/>
  <c r="F19" i="16"/>
  <c r="F21" i="16" s="1"/>
  <c r="E19" i="16"/>
  <c r="M7" i="16" s="1"/>
  <c r="E18" i="16"/>
  <c r="M6" i="16" s="1"/>
  <c r="J15" i="16"/>
  <c r="J16" i="16" s="1"/>
  <c r="N14" i="16"/>
  <c r="K14" i="16"/>
  <c r="L14" i="16" s="1"/>
  <c r="E14" i="16"/>
  <c r="B14" i="16"/>
  <c r="K13" i="16"/>
  <c r="L13" i="16" s="1"/>
  <c r="K12" i="16"/>
  <c r="L12" i="16" s="1"/>
  <c r="K11" i="16"/>
  <c r="L11" i="16" s="1"/>
  <c r="K9" i="16"/>
  <c r="L9" i="16" s="1"/>
  <c r="M8" i="16"/>
  <c r="F8" i="16"/>
  <c r="E7" i="16"/>
  <c r="B7" i="16"/>
  <c r="F6" i="16"/>
  <c r="B6" i="16"/>
  <c r="F5" i="16"/>
  <c r="E5" i="16"/>
  <c r="B5" i="16"/>
  <c r="K4" i="16"/>
  <c r="F4" i="16"/>
  <c r="B4" i="16"/>
  <c r="M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B3" i="3" s="1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4" i="14"/>
  <c r="H5" i="14" s="1"/>
  <c r="H6" i="14" s="1"/>
  <c r="H7" i="14" s="1"/>
  <c r="H8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9" i="13" s="1"/>
  <c r="E35" i="13"/>
  <c r="D35" i="13"/>
  <c r="G16" i="13"/>
  <c r="E16" i="13"/>
  <c r="G13" i="13"/>
  <c r="G12" i="13"/>
  <c r="G7" i="13"/>
  <c r="H4" i="13"/>
  <c r="H5" i="13" s="1"/>
  <c r="H6" i="13" s="1"/>
  <c r="F2" i="13"/>
  <c r="E5" i="3" s="1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E12" i="12" s="1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E9" i="3" s="1"/>
  <c r="D2" i="9"/>
  <c r="B9" i="3" s="1"/>
  <c r="C150" i="8"/>
  <c r="E144" i="8"/>
  <c r="C143" i="8"/>
  <c r="E143" i="8" s="1"/>
  <c r="E142" i="8"/>
  <c r="E141" i="8"/>
  <c r="E140" i="8"/>
  <c r="E139" i="8"/>
  <c r="E138" i="8"/>
  <c r="E137" i="8"/>
  <c r="E136" i="8"/>
  <c r="E135" i="8"/>
  <c r="E134" i="8"/>
  <c r="E133" i="8"/>
  <c r="E132" i="8"/>
  <c r="A127" i="8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E78" i="8"/>
  <c r="E8" i="8" s="1"/>
  <c r="E63" i="8"/>
  <c r="E7" i="8" s="1"/>
  <c r="E52" i="8"/>
  <c r="D52" i="8"/>
  <c r="E13" i="8"/>
  <c r="H4" i="8"/>
  <c r="H5" i="8" s="1"/>
  <c r="H6" i="8" s="1"/>
  <c r="H7" i="8" s="1"/>
  <c r="H8" i="8" s="1"/>
  <c r="H9" i="8" s="1"/>
  <c r="F2" i="8"/>
  <c r="D2" i="8"/>
  <c r="B10" i="3" s="1"/>
  <c r="E61" i="7"/>
  <c r="E6" i="7" s="1"/>
  <c r="G6" i="7" s="1"/>
  <c r="E46" i="7"/>
  <c r="E7" i="7" s="1"/>
  <c r="G7" i="7" s="1"/>
  <c r="E35" i="7"/>
  <c r="D35" i="7"/>
  <c r="E10" i="7"/>
  <c r="H4" i="7"/>
  <c r="H5" i="7" s="1"/>
  <c r="F2" i="7"/>
  <c r="E11" i="3" s="1"/>
  <c r="D2" i="7"/>
  <c r="B11" i="3" s="1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G2" i="6"/>
  <c r="F12" i="3" s="1"/>
  <c r="F2" i="6"/>
  <c r="D2" i="6"/>
  <c r="B12" i="3" s="1"/>
  <c r="E54" i="5"/>
  <c r="E9" i="5" s="1"/>
  <c r="E43" i="5"/>
  <c r="D43" i="5"/>
  <c r="E10" i="5"/>
  <c r="H4" i="5"/>
  <c r="H5" i="5" s="1"/>
  <c r="H6" i="5" s="1"/>
  <c r="H7" i="5" s="1"/>
  <c r="H8" i="5" s="1"/>
  <c r="H9" i="5" s="1"/>
  <c r="H10" i="5" s="1"/>
  <c r="H11" i="5" s="1"/>
  <c r="H12" i="5" s="1"/>
  <c r="G2" i="5"/>
  <c r="F13" i="3" s="1"/>
  <c r="F2" i="5"/>
  <c r="E13" i="3" s="1"/>
  <c r="D2" i="5"/>
  <c r="B13" i="3" s="1"/>
  <c r="E6" i="4"/>
  <c r="G6" i="4" s="1"/>
  <c r="E80" i="4"/>
  <c r="E5" i="4" s="1"/>
  <c r="G5" i="4" s="1"/>
  <c r="G2" i="4" s="1"/>
  <c r="F14" i="3" s="1"/>
  <c r="E69" i="4"/>
  <c r="D69" i="4"/>
  <c r="E9" i="4"/>
  <c r="E58" i="4"/>
  <c r="E57" i="4"/>
  <c r="E56" i="4"/>
  <c r="E55" i="4"/>
  <c r="E54" i="4"/>
  <c r="H4" i="4"/>
  <c r="B14" i="3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C25" i="3" s="1"/>
  <c r="B23" i="3"/>
  <c r="E18" i="3"/>
  <c r="J15" i="3"/>
  <c r="J16" i="3" s="1"/>
  <c r="K14" i="3"/>
  <c r="L14" i="3" s="1"/>
  <c r="K13" i="3"/>
  <c r="L13" i="3" s="1"/>
  <c r="K12" i="3"/>
  <c r="L12" i="3" s="1"/>
  <c r="K11" i="3"/>
  <c r="L11" i="3" s="1"/>
  <c r="M10" i="3"/>
  <c r="K9" i="3"/>
  <c r="L9" i="3" s="1"/>
  <c r="M8" i="3"/>
  <c r="E8" i="3"/>
  <c r="B7" i="3"/>
  <c r="M5" i="3"/>
  <c r="K4" i="3"/>
  <c r="L4" i="3" s="1"/>
  <c r="M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46" i="2"/>
  <c r="J50" i="2" s="1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9" i="1"/>
  <c r="F80" i="1" s="1"/>
  <c r="F81" i="1" s="1"/>
  <c r="F82" i="1" s="1"/>
  <c r="F83" i="1" s="1"/>
  <c r="F84" i="1" s="1"/>
  <c r="F87" i="1" s="1"/>
  <c r="F88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H13" i="5" l="1"/>
  <c r="H14" i="5" s="1"/>
  <c r="E137" i="5"/>
  <c r="H13" i="6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E137" i="6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H5" i="4"/>
  <c r="H6" i="4" s="1"/>
  <c r="H7" i="4" s="1"/>
  <c r="H8" i="4" s="1"/>
  <c r="E2" i="4"/>
  <c r="C14" i="3" s="1"/>
  <c r="I24" i="19"/>
  <c r="I23" i="19" s="1"/>
  <c r="H2" i="26"/>
  <c r="H27" i="19"/>
  <c r="F34" i="19" s="1"/>
  <c r="I22" i="19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E111" i="28"/>
  <c r="N6" i="16" s="1"/>
  <c r="H2" i="44"/>
  <c r="H2" i="30"/>
  <c r="E121" i="30" s="1"/>
  <c r="E123" i="30" s="1"/>
  <c r="E4" i="16"/>
  <c r="G60" i="17"/>
  <c r="H15" i="30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E2" i="30"/>
  <c r="C4" i="16" s="1"/>
  <c r="H6" i="7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7" i="13"/>
  <c r="H8" i="13" s="1"/>
  <c r="E111" i="26"/>
  <c r="N8" i="16" s="1"/>
  <c r="H7" i="20"/>
  <c r="H8" i="20" s="1"/>
  <c r="H9" i="20" s="1"/>
  <c r="H10" i="20" s="1"/>
  <c r="E2" i="23"/>
  <c r="C11" i="16" s="1"/>
  <c r="H2" i="39"/>
  <c r="E111" i="31"/>
  <c r="N3" i="16" s="1"/>
  <c r="H2" i="40"/>
  <c r="E2" i="6"/>
  <c r="C12" i="3" s="1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E121" i="25" s="1"/>
  <c r="E123" i="25" s="1"/>
  <c r="H2" i="27"/>
  <c r="H2" i="5"/>
  <c r="F36" i="1"/>
  <c r="F37" i="1" s="1"/>
  <c r="F38" i="1" s="1"/>
  <c r="F39" i="1" s="1"/>
  <c r="A106" i="7"/>
  <c r="A109" i="7" s="1"/>
  <c r="A110" i="7" s="1"/>
  <c r="A111" i="7" s="1"/>
  <c r="A112" i="7" s="1"/>
  <c r="A107" i="7" s="1"/>
  <c r="A114" i="7" s="1"/>
  <c r="A115" i="7" s="1"/>
  <c r="A116" i="7" s="1"/>
  <c r="E126" i="7"/>
  <c r="E101" i="7"/>
  <c r="H18" i="8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G2" i="8"/>
  <c r="F10" i="3" s="1"/>
  <c r="D128" i="1"/>
  <c r="F128" i="1" s="1"/>
  <c r="F129" i="1" s="1"/>
  <c r="F89" i="1"/>
  <c r="F90" i="1" s="1"/>
  <c r="F91" i="1" s="1"/>
  <c r="F92" i="1" s="1"/>
  <c r="F93" i="1" s="1"/>
  <c r="F94" i="1" s="1"/>
  <c r="F97" i="1" s="1"/>
  <c r="F98" i="1" s="1"/>
  <c r="F99" i="1" s="1"/>
  <c r="E40" i="1"/>
  <c r="E100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E59" i="4"/>
  <c r="F53" i="4" s="1"/>
  <c r="F54" i="4" s="1"/>
  <c r="F55" i="4" s="1"/>
  <c r="F56" i="4" s="1"/>
  <c r="F57" i="4" s="1"/>
  <c r="F58" i="4" s="1"/>
  <c r="G2" i="10"/>
  <c r="F8" i="3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F26" i="16"/>
  <c r="N2" i="16" s="1"/>
  <c r="F27" i="19"/>
  <c r="H2" i="31"/>
  <c r="E120" i="31" s="1"/>
  <c r="E122" i="31" s="1"/>
  <c r="E6" i="32"/>
  <c r="E2" i="7"/>
  <c r="C11" i="3" s="1"/>
  <c r="E129" i="12"/>
  <c r="G31" i="2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5" i="8"/>
  <c r="E149" i="8"/>
  <c r="A110" i="11"/>
  <c r="B15" i="16"/>
  <c r="E2" i="11"/>
  <c r="C7" i="3" s="1"/>
  <c r="E21" i="16"/>
  <c r="F35" i="19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H2" i="38"/>
  <c r="H2" i="42"/>
  <c r="E33" i="19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9" i="4" l="1"/>
  <c r="H10" i="4" s="1"/>
  <c r="H11" i="4" s="1"/>
  <c r="H12" i="4" s="1"/>
  <c r="H13" i="4" s="1"/>
  <c r="H14" i="4" s="1"/>
  <c r="H15" i="4" s="1"/>
  <c r="H20" i="7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12" i="20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10"/>
  <c r="C8" i="3" s="1"/>
  <c r="C15" i="3" s="1"/>
  <c r="C16" i="3" s="1"/>
  <c r="H15" i="5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H35" i="5" s="1"/>
  <c r="H36" i="5" s="1"/>
  <c r="E15" i="32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E35" i="19"/>
  <c r="H2" i="7"/>
  <c r="E127" i="7" s="1"/>
  <c r="D6" i="16"/>
  <c r="N16" i="16"/>
  <c r="J64" i="2"/>
  <c r="G10" i="16"/>
  <c r="G11" i="16" s="1"/>
  <c r="G12" i="16" s="1"/>
  <c r="G13" i="16" s="1"/>
  <c r="D7" i="16"/>
  <c r="D8" i="16" s="1"/>
  <c r="D9" i="16" s="1"/>
  <c r="D10" i="16" s="1"/>
  <c r="D11" i="16" s="1"/>
  <c r="D12" i="16" s="1"/>
  <c r="D13" i="16" s="1"/>
  <c r="H33" i="8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H47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20" i="7"/>
  <c r="A121" i="7" s="1"/>
  <c r="A122" i="7" s="1"/>
  <c r="A123" i="7" s="1"/>
  <c r="A117" i="7"/>
  <c r="A118" i="7" s="1"/>
  <c r="A119" i="7" s="1"/>
  <c r="H2" i="8"/>
  <c r="E150" i="8" s="1"/>
  <c r="E103" i="1"/>
  <c r="F100" i="1"/>
  <c r="F101" i="1" s="1"/>
  <c r="F102" i="1" s="1"/>
  <c r="F40" i="1"/>
  <c r="F41" i="1" s="1"/>
  <c r="F42" i="1" s="1"/>
  <c r="F43" i="1" s="1"/>
  <c r="F44" i="1" s="1"/>
  <c r="H2" i="21"/>
  <c r="N16" i="3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16" i="4" l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D15" i="16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H31" i="4" l="1"/>
  <c r="H32" i="4" s="1"/>
  <c r="H33" i="4" s="1"/>
  <c r="H34" i="4" s="1"/>
  <c r="H35" i="4" s="1"/>
  <c r="H36" i="4" s="1"/>
  <c r="H37" i="4" s="1"/>
  <c r="H38" i="4" s="1"/>
  <c r="E156" i="4"/>
  <c r="F55" i="1"/>
  <c r="F56" i="1" s="1"/>
  <c r="F57" i="1" s="1"/>
  <c r="G14" i="16"/>
  <c r="F15" i="16"/>
  <c r="F16" i="3"/>
  <c r="G15" i="3"/>
  <c r="G16" i="3" s="1"/>
  <c r="D43" i="18"/>
  <c r="D44" i="18" s="1"/>
  <c r="D49" i="18"/>
  <c r="F49" i="18" s="1"/>
  <c r="E44" i="18"/>
  <c r="F58" i="1" l="1"/>
  <c r="F59" i="1" s="1"/>
  <c r="F60" i="1" s="1"/>
  <c r="F61" i="1" s="1"/>
  <c r="F62" i="1" s="1"/>
  <c r="F66" i="1" s="1"/>
  <c r="F67" i="1" s="1"/>
  <c r="F68" i="1" s="1"/>
  <c r="F69" i="1" s="1"/>
  <c r="F70" i="1" s="1"/>
  <c r="F71" i="1" s="1"/>
  <c r="F72" i="1" s="1"/>
  <c r="F16" i="16"/>
  <c r="G15" i="16"/>
  <c r="G16" i="16" s="1"/>
</calcChain>
</file>

<file path=xl/sharedStrings.xml><?xml version="1.0" encoding="utf-8"?>
<sst xmlns="http://schemas.openxmlformats.org/spreadsheetml/2006/main" count="3901" uniqueCount="1550">
  <si>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</si>
  <si>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</si>
  <si>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</si>
  <si>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</si>
  <si>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</si>
  <si>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</si>
  <si>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</si>
  <si>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</si>
  <si>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</si>
  <si>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</si>
  <si>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</si>
  <si>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</si>
  <si>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</si>
  <si>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</si>
  <si>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</si>
  <si>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</si>
  <si>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</si>
  <si>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</si>
  <si>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</si>
  <si>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</si>
  <si>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</si>
  <si>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</si>
  <si>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</si>
  <si>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</si>
  <si>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</si>
  <si>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</si>
  <si>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</si>
  <si>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</si>
  <si>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</si>
  <si>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</si>
  <si>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</si>
  <si>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</si>
  <si>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</si>
  <si>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</si>
  <si>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</si>
  <si>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</si>
  <si>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</si>
  <si>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</si>
  <si>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</si>
  <si>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</si>
  <si>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</si>
  <si>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</si>
  <si>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</si>
  <si>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</si>
  <si>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</si>
  <si>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</si>
  <si>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</si>
  <si>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</si>
  <si>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</si>
  <si>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</si>
  <si>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</si>
  <si>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</si>
  <si>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</si>
  <si>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</si>
  <si>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</si>
  <si>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</si>
  <si>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</si>
  <si>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</si>
  <si>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</si>
  <si>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</si>
  <si>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</si>
  <si>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</si>
  <si>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</si>
  <si>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</si>
  <si>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</si>
  <si>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</si>
  <si>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</si>
  <si>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</si>
  <si>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</si>
  <si>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</si>
  <si>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</si>
  <si>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</si>
  <si>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</si>
  <si>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</si>
  <si>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</si>
  <si>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</si>
  <si>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</si>
  <si>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</si>
  <si>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</si>
  <si>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</si>
  <si>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</si>
  <si>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</si>
  <si>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</si>
  <si>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</si>
  <si>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</si>
  <si>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</si>
  <si>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</si>
  <si>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</si>
  <si>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</si>
  <si>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</si>
  <si>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</si>
  <si>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</si>
  <si>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</si>
  <si>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</si>
  <si>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</si>
  <si>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</si>
  <si>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</si>
  <si>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</si>
  <si>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</si>
  <si>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</si>
  <si>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</si>
  <si>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</si>
  <si>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</si>
  <si>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</si>
  <si>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</si>
  <si>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</si>
  <si>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</si>
  <si>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</si>
  <si>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</si>
  <si>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</si>
  <si>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</si>
  <si>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</si>
  <si>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</si>
  <si>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</si>
  <si>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</si>
  <si>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</si>
  <si>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</si>
  <si>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</si>
  <si>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</si>
  <si>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</si>
  <si>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</si>
  <si>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</si>
  <si>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</si>
  <si>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</si>
  <si>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</si>
  <si>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</si>
  <si>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</si>
  <si>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</si>
  <si>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</si>
  <si>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</si>
  <si>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</si>
  <si>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</si>
  <si>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</si>
  <si>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</si>
  <si>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</si>
  <si>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</si>
  <si>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</si>
  <si>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</si>
  <si>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</si>
  <si>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</si>
  <si>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</si>
  <si>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</si>
  <si>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</si>
  <si>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</si>
  <si>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</si>
  <si>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</si>
  <si>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</si>
  <si>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</si>
  <si>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</si>
  <si>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</si>
  <si>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</si>
  <si>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</si>
  <si>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</si>
  <si>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</si>
  <si>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</si>
  <si>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</si>
  <si>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</si>
  <si>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</si>
  <si>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</si>
  <si>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</si>
  <si>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</si>
  <si>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</si>
  <si>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</si>
  <si>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</si>
  <si>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</si>
  <si>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</si>
  <si>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</si>
  <si>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</si>
  <si>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</si>
  <si>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</si>
  <si>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</si>
  <si>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</si>
  <si>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</si>
  <si>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</si>
  <si>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</si>
  <si>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</si>
  <si>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</si>
  <si>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</si>
  <si>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</si>
  <si>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</si>
  <si>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</si>
  <si>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</si>
  <si>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</si>
  <si>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</si>
  <si>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</si>
  <si>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</si>
  <si>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</si>
  <si>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</si>
  <si>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</si>
  <si>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</si>
  <si>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</si>
  <si>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</si>
  <si>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</si>
  <si>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</si>
  <si>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</si>
  <si>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</si>
  <si>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</si>
  <si>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</si>
  <si>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</si>
  <si>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</si>
  <si>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</si>
  <si>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</si>
  <si>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</si>
  <si>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</si>
  <si>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</si>
  <si>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</si>
  <si>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</si>
  <si>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</si>
  <si>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</si>
  <si>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</si>
  <si>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</si>
  <si>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</si>
  <si>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</si>
  <si>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</si>
  <si>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</si>
  <si>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</si>
  <si>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</si>
  <si>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</si>
  <si>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</si>
  <si>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</si>
  <si>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</si>
  <si>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</si>
  <si>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</si>
  <si>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</si>
  <si>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</si>
  <si>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</si>
  <si>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</si>
  <si>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</si>
  <si>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</si>
  <si>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</si>
  <si>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</si>
  <si>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</si>
  <si>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</si>
  <si>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</si>
  <si>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</si>
  <si>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</si>
  <si>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</si>
  <si>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</si>
  <si>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</si>
  <si>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</si>
  <si>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</si>
  <si>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</si>
  <si>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</si>
  <si>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</si>
  <si>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</si>
  <si>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</si>
  <si>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</si>
  <si>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</si>
  <si>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</si>
  <si>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</si>
  <si>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</si>
  <si>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</si>
  <si>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</si>
  <si>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</si>
  <si>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</si>
  <si>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</si>
  <si>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</si>
  <si>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</si>
  <si>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</si>
  <si>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</si>
  <si>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</si>
  <si>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</si>
  <si>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</si>
  <si>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</si>
  <si>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</si>
  <si>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</si>
  <si>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</si>
  <si>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</si>
  <si>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</si>
  <si>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</si>
  <si>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</si>
  <si>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</si>
  <si>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</si>
  <si>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</si>
  <si>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</si>
  <si>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</si>
  <si>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</si>
  <si>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</si>
  <si>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</si>
  <si>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</si>
  <si>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</si>
  <si>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</si>
  <si>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</si>
  <si>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</si>
  <si>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</si>
  <si>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</si>
  <si>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</si>
  <si>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</si>
  <si>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</si>
  <si>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</si>
  <si>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</si>
  <si>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</si>
  <si>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</si>
  <si>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</si>
  <si>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</si>
  <si>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</si>
  <si>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</si>
  <si>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</si>
  <si>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</si>
  <si>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</si>
  <si>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</si>
  <si>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</si>
  <si>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</si>
  <si>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</si>
  <si>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</si>
  <si>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</si>
  <si>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</si>
  <si>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</si>
  <si>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</si>
  <si>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</si>
  <si>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</si>
  <si>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</si>
  <si>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</si>
  <si>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</si>
  <si>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</si>
  <si>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</si>
  <si>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</si>
  <si>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</si>
  <si>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</si>
  <si>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</si>
  <si>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</si>
  <si>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</si>
  <si>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</si>
  <si>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</si>
  <si>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</si>
  <si>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</si>
  <si>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</si>
  <si>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</si>
  <si>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</si>
  <si>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</si>
  <si>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</si>
  <si>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</si>
  <si>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</si>
  <si>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</si>
  <si>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</si>
  <si>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</si>
  <si>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</si>
  <si>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</si>
  <si>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</si>
  <si>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</si>
  <si>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</si>
  <si>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</si>
  <si>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</si>
  <si>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</si>
  <si>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</si>
  <si>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</si>
  <si>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</si>
  <si>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</si>
  <si>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</si>
  <si>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</si>
  <si>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</si>
  <si>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</si>
  <si>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</si>
  <si>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</si>
  <si>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</si>
  <si>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</si>
  <si>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</si>
  <si>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</si>
  <si>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</si>
  <si>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</si>
  <si>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</si>
  <si>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</si>
  <si>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</si>
  <si>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</si>
  <si>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</si>
  <si>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</si>
  <si>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</si>
  <si>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</si>
  <si>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</si>
  <si>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</si>
  <si>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</si>
  <si>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</si>
  <si>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</si>
  <si>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</si>
  <si>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</si>
  <si>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</si>
  <si>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</si>
  <si>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</si>
  <si>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</si>
  <si>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</si>
  <si>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</si>
  <si>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</si>
  <si>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</si>
  <si>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</si>
  <si>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</si>
  <si>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</si>
  <si>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</si>
  <si>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</si>
  <si>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</si>
  <si>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</si>
  <si>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</si>
  <si>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</si>
  <si>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</si>
  <si>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</si>
  <si>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</si>
  <si>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</si>
  <si>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</si>
  <si>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</si>
  <si>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</si>
  <si>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</si>
  <si>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</si>
  <si>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</si>
  <si>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</si>
  <si>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</si>
  <si>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</si>
  <si>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</si>
  <si>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</si>
  <si>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</si>
  <si>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</si>
  <si>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</si>
  <si>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</si>
  <si>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</si>
  <si>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</si>
  <si>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</si>
  <si>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</si>
  <si>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</si>
  <si>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</si>
  <si>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</si>
  <si>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</si>
  <si>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</si>
  <si>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</si>
  <si>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</si>
  <si>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</si>
  <si>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</si>
  <si>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</si>
  <si>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</si>
  <si>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</si>
  <si>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</si>
  <si>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</si>
  <si>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</si>
  <si>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</si>
  <si>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</si>
  <si>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</si>
  <si>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</si>
  <si>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</si>
  <si>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</si>
  <si>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</si>
  <si>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</si>
  <si>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</si>
  <si>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</si>
  <si>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</si>
  <si>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</si>
  <si>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</si>
  <si>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</si>
  <si>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</si>
  <si>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</si>
  <si>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</si>
  <si>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</si>
  <si>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</si>
  <si>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</si>
  <si>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</si>
  <si>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</si>
  <si>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</si>
  <si>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</si>
  <si>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</si>
  <si>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</si>
  <si>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</si>
  <si>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</si>
  <si>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</si>
  <si>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</si>
  <si>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</si>
  <si>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</si>
  <si>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</si>
  <si>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</si>
  <si>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</si>
  <si>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</si>
  <si>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</si>
  <si>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</si>
  <si>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</si>
  <si>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</si>
  <si>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</si>
  <si>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</si>
  <si>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</si>
  <si>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</si>
  <si>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</si>
  <si>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</si>
  <si>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</si>
  <si>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</si>
  <si>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</si>
  <si>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</si>
  <si>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</si>
  <si>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</si>
  <si>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</si>
  <si>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</si>
  <si>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</si>
  <si>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</si>
  <si>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</si>
  <si>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</si>
  <si>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</si>
  <si>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</si>
  <si>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</si>
  <si>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</si>
  <si>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</si>
  <si>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</si>
  <si>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</si>
  <si>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</si>
  <si>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</si>
  <si>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</si>
  <si>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</si>
  <si>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</si>
  <si>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</si>
  <si>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</si>
  <si>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</si>
  <si>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</si>
  <si>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</si>
  <si>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</si>
  <si>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</si>
  <si>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</si>
  <si>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</si>
  <si>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</si>
  <si>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</si>
  <si>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</si>
  <si>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</si>
  <si>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</si>
  <si>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</si>
  <si>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</si>
  <si>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</si>
  <si>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</si>
  <si>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</si>
  <si>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</si>
  <si>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</si>
  <si>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</si>
  <si>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</si>
  <si>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</si>
  <si>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</si>
  <si>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</si>
  <si>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</si>
  <si>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</si>
  <si>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</si>
  <si>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</si>
  <si>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</si>
  <si>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</si>
  <si>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</si>
  <si>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</si>
  <si>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</si>
  <si>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</si>
  <si>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</si>
  <si>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</si>
  <si>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</si>
  <si>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</si>
  <si>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</si>
  <si>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</si>
  <si>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</si>
  <si>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</si>
  <si>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</si>
  <si>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</si>
  <si>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</si>
  <si>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</si>
  <si>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</si>
  <si>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</si>
  <si>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</si>
  <si>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</si>
  <si>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</si>
  <si>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</si>
  <si>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</si>
  <si>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</si>
  <si>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</si>
  <si>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</si>
  <si>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</si>
  <si>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</si>
  <si>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</si>
  <si>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</si>
  <si>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</si>
  <si>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</si>
  <si>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</si>
  <si>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</si>
  <si>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</si>
  <si>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</si>
  <si>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</si>
  <si>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</si>
  <si>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</si>
  <si>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</si>
  <si>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</si>
  <si>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</si>
  <si>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</si>
  <si>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</si>
  <si>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</si>
  <si>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</si>
  <si>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</si>
  <si>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</si>
  <si>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</si>
  <si>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</si>
  <si>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</si>
  <si>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</si>
  <si>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</si>
  <si>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</si>
  <si>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</si>
  <si>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</si>
  <si>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</si>
  <si>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</si>
  <si>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</si>
  <si>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</si>
  <si>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</si>
  <si>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</si>
  <si>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</si>
  <si>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</si>
  <si>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</si>
  <si>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</si>
  <si>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</si>
  <si>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</si>
  <si>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</si>
  <si>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</si>
  <si>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</si>
  <si>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</si>
  <si>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</si>
  <si>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</si>
  <si>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</si>
  <si>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</si>
  <si>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</si>
  <si>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</si>
  <si>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</si>
  <si>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</si>
  <si>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</si>
  <si>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</si>
  <si>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</si>
  <si>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</si>
  <si>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</si>
  <si>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</si>
  <si>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</si>
  <si>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</si>
  <si>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</si>
  <si>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</si>
  <si>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</si>
  <si>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</si>
  <si>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</si>
  <si>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</si>
  <si>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</si>
  <si>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</si>
  <si>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</si>
  <si>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</si>
  <si>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</si>
  <si>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</si>
  <si>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</si>
  <si>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</si>
  <si>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</si>
  <si>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</si>
  <si>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</si>
  <si>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</si>
  <si>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</si>
  <si>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</si>
  <si>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</si>
  <si>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</si>
  <si>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</si>
  <si>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</si>
  <si>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</si>
  <si>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</si>
  <si>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</si>
  <si>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</si>
  <si>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</si>
  <si>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</si>
  <si>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</si>
  <si>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</si>
  <si>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</si>
  <si>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</si>
  <si>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</si>
  <si>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</si>
  <si>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</si>
  <si>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</si>
  <si>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</si>
  <si>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</si>
  <si>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</si>
  <si>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</si>
  <si>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</si>
  <si>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</si>
  <si>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</si>
  <si>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</si>
  <si>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</si>
  <si>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</si>
  <si>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</si>
  <si>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</si>
  <si>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</si>
  <si>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</si>
  <si>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</si>
  <si>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</si>
  <si>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</si>
  <si>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</si>
  <si>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</si>
  <si>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</si>
  <si>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</si>
  <si>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</si>
  <si>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</si>
  <si>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</si>
  <si>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</si>
  <si>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</si>
  <si>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</si>
  <si>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</si>
  <si>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</si>
  <si>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</si>
  <si>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</si>
  <si>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</si>
  <si>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</si>
  <si>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</si>
  <si>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</si>
  <si>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</si>
  <si>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</si>
  <si>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</si>
  <si>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</si>
  <si>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</si>
  <si>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</si>
  <si>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</si>
  <si>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</si>
  <si>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</si>
  <si>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</si>
  <si>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</si>
  <si>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</si>
  <si>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</si>
  <si>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</si>
  <si>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</si>
  <si>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</si>
  <si>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</si>
  <si>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</si>
  <si>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</si>
  <si>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</si>
  <si>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</si>
  <si>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</si>
  <si>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</si>
  <si>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</si>
  <si>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</si>
  <si>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</si>
  <si>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</si>
  <si>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</si>
  <si>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</si>
  <si>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</si>
  <si>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</si>
  <si>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</si>
  <si>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</si>
  <si>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</si>
  <si>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</si>
  <si>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</si>
  <si>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</si>
  <si>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</si>
  <si>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</si>
  <si>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</si>
  <si>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</si>
  <si>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</si>
  <si>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</si>
  <si>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</si>
  <si>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</si>
  <si>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</si>
  <si>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</si>
  <si>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</si>
  <si>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</si>
  <si>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</si>
  <si>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</si>
  <si>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</si>
  <si>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</si>
  <si>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</si>
  <si>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</si>
  <si>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</si>
  <si>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</si>
  <si>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</si>
  <si>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</si>
  <si>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</si>
  <si>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</si>
  <si>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</si>
  <si>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</si>
  <si>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</si>
  <si>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</si>
  <si>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</si>
  <si>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</si>
  <si>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</si>
  <si>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</si>
  <si>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</si>
  <si>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</si>
  <si>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</si>
  <si>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</si>
  <si>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</si>
  <si>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</si>
  <si>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</si>
  <si>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</si>
  <si>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</si>
  <si>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</si>
  <si>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</si>
  <si>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</si>
  <si>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</si>
  <si>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</si>
  <si>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</si>
  <si>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</si>
  <si>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</si>
  <si>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</si>
  <si>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</si>
  <si>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</si>
  <si>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</si>
  <si>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</si>
  <si>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</si>
  <si>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</si>
  <si>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</si>
  <si>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</si>
  <si>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</si>
  <si>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</si>
  <si>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</si>
  <si>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</si>
  <si>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</si>
  <si>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</si>
  <si>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</si>
  <si>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</si>
  <si>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</si>
  <si>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</si>
  <si>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</si>
  <si>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</si>
  <si>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</si>
  <si>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</si>
  <si>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</si>
  <si>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</si>
  <si>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</si>
  <si>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</si>
  <si>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</si>
  <si>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</si>
  <si>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</si>
  <si>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</si>
  <si>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</si>
  <si>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</si>
  <si>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</si>
  <si>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</si>
  <si>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</si>
  <si>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</si>
  <si>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</si>
  <si>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</si>
  <si>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</si>
  <si>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</si>
  <si>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</si>
  <si>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</si>
  <si>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</si>
  <si>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</si>
  <si>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</si>
  <si>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</si>
  <si>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</si>
  <si>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</si>
  <si>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</si>
  <si>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</si>
  <si>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</si>
  <si>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</si>
  <si>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</si>
  <si>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</si>
  <si>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</si>
  <si>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</si>
  <si>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</si>
  <si>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</si>
  <si>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</si>
  <si>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</si>
  <si>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</si>
  <si>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</si>
  <si>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</si>
  <si>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</si>
  <si>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</si>
  <si>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</si>
  <si>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</si>
  <si>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</si>
  <si>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</si>
  <si>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</si>
  <si>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</si>
  <si>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</si>
  <si>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</si>
  <si>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</si>
  <si>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</si>
  <si>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</si>
  <si>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</si>
  <si>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</si>
  <si>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</si>
  <si>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</si>
  <si>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</si>
  <si>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</si>
  <si>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</si>
  <si>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</si>
  <si>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</si>
  <si>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</si>
  <si>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</si>
  <si>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</si>
  <si>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</si>
  <si>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</si>
  <si>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</si>
  <si>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</si>
  <si>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</si>
  <si>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</si>
  <si>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</si>
  <si>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</si>
  <si>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</si>
  <si>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</si>
  <si>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</si>
  <si>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</si>
  <si>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</si>
  <si>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</si>
  <si>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</si>
  <si>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</si>
  <si>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</si>
  <si>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</si>
  <si>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</si>
  <si>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</si>
  <si>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</si>
  <si>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</si>
  <si>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</si>
  <si>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</si>
  <si>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</si>
  <si>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</si>
  <si>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</si>
  <si>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</si>
  <si>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</si>
  <si>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</si>
  <si>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</si>
  <si>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</si>
  <si>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</si>
  <si>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</si>
  <si>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</si>
  <si>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</si>
  <si>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</si>
  <si>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</si>
  <si>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</si>
  <si>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</si>
  <si>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</si>
  <si>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</si>
  <si>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</si>
  <si>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</si>
  <si>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</si>
  <si>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</si>
  <si>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</si>
  <si>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</si>
  <si>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</si>
  <si>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</si>
  <si>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</si>
  <si>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</si>
  <si>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</si>
  <si>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</si>
  <si>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</si>
  <si>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</si>
  <si>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</si>
  <si>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</si>
  <si>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</si>
  <si>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</si>
  <si>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</si>
  <si>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</si>
  <si>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</si>
  <si>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</si>
  <si>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</si>
  <si>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</si>
  <si>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</si>
  <si>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</si>
  <si>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</si>
  <si>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</si>
  <si>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</si>
  <si>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</si>
  <si>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</si>
  <si>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</si>
  <si>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</si>
  <si>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</si>
  <si>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</si>
  <si>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</si>
  <si>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</si>
  <si>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</si>
  <si>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</si>
  <si>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</si>
  <si>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</si>
  <si>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</si>
  <si>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</si>
  <si>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</si>
  <si>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</si>
  <si>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</si>
  <si>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</si>
  <si>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</si>
  <si>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</si>
  <si>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</si>
  <si>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</si>
  <si>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</si>
  <si>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</si>
  <si>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</si>
  <si>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</si>
  <si>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</si>
  <si>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</si>
  <si>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</si>
  <si>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</si>
  <si>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</si>
  <si>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</si>
  <si>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</si>
  <si>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</si>
  <si>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</si>
  <si>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</si>
  <si>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</si>
  <si>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</si>
  <si>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</si>
  <si>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</si>
  <si>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</si>
  <si>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</si>
  <si>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</si>
  <si>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</si>
  <si>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</si>
  <si>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</si>
  <si>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</si>
  <si>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</si>
  <si>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</si>
  <si>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</si>
  <si>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</si>
  <si>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</si>
  <si>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</si>
  <si>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</si>
  <si>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</si>
  <si>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</si>
  <si>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</si>
  <si>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</si>
  <si>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</si>
  <si>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</si>
  <si>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</si>
  <si>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</si>
  <si>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</si>
  <si>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</si>
  <si>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</si>
  <si>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</si>
  <si>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</si>
  <si>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</si>
  <si>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</si>
  <si>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</si>
  <si>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</si>
  <si>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</si>
  <si>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</si>
  <si>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</si>
  <si>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</si>
  <si>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</si>
  <si>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</si>
  <si>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</si>
  <si>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</si>
  <si>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</si>
  <si>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</si>
  <si>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</si>
  <si>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</si>
  <si>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</si>
  <si>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</si>
  <si>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</si>
  <si>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</si>
  <si>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</si>
  <si>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</si>
  <si>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</si>
  <si>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</si>
  <si>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</si>
  <si>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</si>
  <si>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</si>
  <si>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</si>
  <si>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</si>
  <si>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</si>
  <si>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</si>
  <si>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</si>
  <si>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</si>
  <si>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</si>
  <si>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</si>
  <si>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</si>
  <si>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</si>
  <si>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</si>
  <si>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</si>
  <si>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</si>
  <si>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</si>
  <si>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</si>
  <si>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</si>
  <si>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</si>
  <si>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</si>
  <si>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</si>
  <si>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</si>
  <si>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</si>
  <si>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</si>
  <si>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</si>
  <si>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</si>
  <si>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</si>
  <si>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</si>
  <si>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</si>
  <si>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</si>
  <si>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</si>
  <si>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</si>
  <si>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</si>
  <si>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</si>
  <si>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</si>
  <si>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</si>
  <si>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</si>
  <si>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</si>
  <si>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</si>
  <si>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</si>
  <si>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</si>
  <si>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</si>
  <si>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</si>
  <si>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</si>
  <si>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</si>
  <si>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</si>
  <si>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</si>
  <si>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</si>
  <si>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</si>
  <si>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</si>
  <si>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</si>
  <si>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</si>
  <si>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</si>
  <si>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</si>
  <si>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</si>
  <si>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</si>
  <si>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</si>
  <si>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</si>
  <si>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</si>
  <si>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</si>
  <si>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</si>
  <si>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</si>
  <si>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</si>
  <si>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</si>
  <si>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</si>
  <si>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</si>
  <si>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</si>
  <si>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</si>
  <si>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</si>
  <si>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</si>
  <si>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</si>
  <si>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</si>
  <si>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</si>
  <si>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</si>
  <si>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</si>
  <si>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</si>
  <si>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</si>
  <si>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</si>
  <si>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</si>
  <si>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</si>
  <si>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</si>
  <si>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</si>
  <si>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</si>
  <si>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</si>
  <si>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</si>
  <si>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</si>
  <si>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</si>
  <si>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</si>
  <si>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</si>
  <si>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</si>
  <si>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</si>
  <si>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</si>
  <si>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</si>
  <si>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</si>
  <si>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</si>
  <si>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</si>
  <si>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</si>
  <si>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</si>
  <si>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</si>
  <si>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</si>
  <si>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</si>
  <si>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</si>
  <si>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</si>
  <si>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</si>
  <si>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</si>
  <si>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</si>
  <si>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</si>
  <si>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</si>
  <si>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</si>
  <si>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</si>
  <si>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</si>
  <si>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</si>
  <si>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</si>
  <si>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</si>
  <si>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</si>
  <si>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</si>
  <si>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</si>
  <si>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</si>
  <si>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</si>
  <si>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</si>
  <si>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</si>
  <si>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</si>
  <si>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</si>
  <si>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</si>
  <si>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</si>
  <si>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</si>
  <si>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</si>
  <si>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</si>
  <si>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</si>
  <si>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</si>
  <si>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</si>
  <si>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</si>
  <si>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</si>
  <si>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</si>
  <si>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</si>
  <si>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</si>
  <si>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</si>
  <si>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</si>
  <si>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</si>
  <si>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</si>
  <si>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</si>
  <si>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</si>
  <si>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</si>
  <si>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</si>
  <si>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</si>
  <si>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</si>
  <si>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</si>
  <si>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</si>
  <si>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</si>
  <si>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</si>
  <si>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</si>
  <si>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</si>
  <si>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</si>
  <si>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</si>
  <si>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</si>
  <si>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</si>
  <si>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</si>
  <si>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</si>
  <si>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</si>
  <si>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</si>
  <si>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</si>
  <si>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</si>
  <si>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</si>
  <si>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</si>
  <si>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</si>
  <si>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</si>
  <si>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</si>
  <si>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</si>
  <si>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</si>
  <si>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</si>
  <si>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</si>
  <si>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</si>
  <si>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</si>
  <si>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</si>
  <si>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</si>
  <si>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</si>
  <si>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</si>
  <si>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</si>
  <si>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</si>
  <si>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</si>
  <si>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</si>
  <si>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</si>
  <si>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</si>
  <si>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</si>
  <si>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</si>
  <si>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</si>
  <si>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</si>
  <si>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</si>
  <si>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</si>
  <si>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</si>
  <si>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</si>
  <si>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</si>
  <si>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</si>
  <si>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</si>
  <si>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</si>
  <si>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</si>
  <si>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</si>
  <si>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</si>
  <si>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</si>
  <si>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</si>
  <si>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</si>
  <si>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</si>
  <si>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</si>
  <si>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</si>
  <si>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</si>
  <si>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</si>
  <si>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</si>
  <si>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</si>
  <si>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</si>
  <si>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</si>
  <si>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</si>
  <si>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</si>
  <si>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</si>
  <si>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</si>
  <si>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</si>
  <si>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</si>
  <si>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</si>
  <si>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</si>
  <si>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</si>
  <si>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</si>
  <si>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</si>
  <si>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</si>
  <si>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</si>
  <si>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</si>
  <si>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</si>
  <si>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</si>
  <si>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</si>
  <si>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</si>
  <si>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</si>
  <si>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</si>
  <si>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</si>
  <si>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</si>
  <si>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</si>
  <si>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</si>
  <si>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</si>
  <si>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</si>
  <si>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</si>
  <si>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</si>
  <si>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</si>
  <si>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</si>
  <si>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</si>
  <si>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</si>
  <si>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</si>
  <si>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</si>
  <si>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</si>
  <si>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</si>
  <si>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</si>
  <si>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</si>
  <si>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</si>
  <si>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</si>
  <si>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</si>
  <si>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</si>
  <si>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</si>
  <si>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</si>
  <si>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</si>
  <si>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</si>
  <si>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</si>
  <si>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</si>
  <si>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</si>
  <si>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</si>
  <si>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</si>
  <si>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</si>
  <si>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</si>
  <si>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</si>
  <si>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</si>
  <si>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</si>
  <si>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</si>
  <si>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</si>
  <si>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</si>
  <si>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</si>
  <si>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</si>
  <si>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</si>
  <si>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</si>
  <si>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</si>
  <si>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</si>
  <si>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</si>
  <si>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</si>
  <si>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</si>
  <si>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</si>
  <si>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</si>
  <si>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</si>
  <si>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</si>
  <si>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</si>
  <si>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</si>
  <si>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</si>
  <si>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</si>
  <si>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</si>
  <si>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</si>
  <si>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</si>
  <si>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</si>
  <si>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</si>
  <si>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</si>
  <si>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</si>
  <si>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</si>
  <si>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</si>
  <si>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</si>
  <si>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</si>
  <si>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</si>
  <si>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</si>
  <si>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</si>
  <si>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</si>
  <si>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</si>
  <si>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</si>
  <si>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</si>
  <si>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</si>
  <si>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</si>
  <si>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</si>
  <si>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</si>
  <si>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</si>
  <si>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</si>
  <si>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</si>
  <si>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</si>
  <si>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</si>
  <si>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</si>
  <si>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</si>
  <si>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</si>
  <si>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</si>
  <si>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</si>
  <si>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</si>
  <si>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</si>
  <si>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</si>
  <si>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</si>
  <si>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</si>
  <si>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</si>
  <si>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</si>
  <si>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</si>
  <si>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</si>
  <si>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</si>
  <si>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</si>
  <si>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</si>
  <si>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</si>
  <si>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</si>
  <si>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</si>
  <si>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</si>
  <si>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</si>
  <si>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</si>
  <si>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</si>
  <si>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</si>
  <si>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</si>
  <si>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</si>
  <si>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</si>
  <si>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</si>
  <si>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</si>
  <si>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</si>
  <si>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</si>
  <si>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</si>
  <si>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</si>
  <si>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</si>
  <si>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</si>
  <si>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</si>
  <si>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</si>
  <si>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</si>
  <si>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</si>
  <si>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</si>
  <si>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</si>
  <si>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</si>
  <si>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</si>
  <si>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</si>
  <si>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</si>
  <si>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</si>
  <si>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</si>
  <si>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</si>
  <si>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</si>
  <si>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</si>
  <si>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</si>
  <si>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</si>
  <si>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</si>
  <si>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</si>
  <si>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</si>
  <si>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</si>
  <si>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</si>
  <si>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</si>
  <si>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</si>
  <si>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</si>
  <si>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</si>
  <si>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</si>
  <si>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</si>
  <si>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</si>
  <si>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</si>
  <si>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</si>
  <si>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</si>
  <si>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</si>
  <si>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</si>
  <si>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</si>
  <si>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</si>
  <si>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</si>
  <si>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</si>
  <si>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</si>
  <si>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</si>
  <si>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</si>
  <si>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</si>
  <si>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</si>
  <si>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</si>
  <si>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</si>
  <si>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</si>
  <si>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</si>
  <si>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</si>
  <si>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</si>
  <si>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</si>
  <si>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</si>
  <si>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</si>
  <si>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</si>
  <si>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</si>
  <si>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</si>
  <si>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</si>
  <si>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</si>
  <si>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</si>
  <si>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</si>
  <si>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</si>
  <si>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</si>
  <si>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</si>
  <si>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</si>
  <si>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</si>
  <si>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</si>
  <si>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</si>
  <si>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</si>
  <si>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</si>
  <si>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</si>
  <si>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</si>
  <si>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</si>
  <si>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</si>
  <si>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</si>
  <si>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</si>
  <si>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</si>
  <si>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</si>
  <si>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</si>
  <si>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</si>
  <si>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</si>
  <si>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</si>
  <si>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</si>
  <si>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</si>
  <si>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</si>
  <si>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</si>
  <si>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</si>
  <si>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</si>
  <si>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</si>
  <si>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</si>
  <si>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</si>
  <si>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</si>
  <si>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</si>
  <si>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</si>
  <si>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</si>
  <si>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</si>
  <si>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</si>
  <si>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</si>
  <si>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</si>
  <si>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</si>
  <si>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</si>
  <si>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</si>
  <si>
    <t>ali demirel keşif için avukata denizbank havale</t>
  </si>
  <si>
    <t xml:space="preserve"> - ARALIK 2024</t>
  </si>
  <si>
    <t xml:space="preserve"> - KASIM 2024</t>
  </si>
  <si>
    <t xml:space="preserve"> - EKİM 2024</t>
  </si>
  <si>
    <t xml:space="preserve"> - EYLÜL 2024</t>
  </si>
  <si>
    <t xml:space="preserve"> - AĞUSTOS 2024</t>
  </si>
  <si>
    <t xml:space="preserve"> - TEMMUZ 2024</t>
  </si>
  <si>
    <t>selanik yemek</t>
  </si>
  <si>
    <t>Elektrik 8758480300 BAHÇE</t>
  </si>
  <si>
    <t>2240 VODAFONE fatura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</si>
  <si>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</si>
  <si>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</si>
  <si>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</si>
  <si>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</si>
  <si>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</si>
  <si>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</si>
  <si>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</si>
  <si>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</si>
  <si>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</si>
  <si>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</si>
  <si>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</si>
  <si>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</si>
  <si>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yasemin okul kk denizbnk -120000</t>
  </si>
  <si>
    <t>snyA 120000</t>
  </si>
  <si>
    <t>kk</t>
  </si>
  <si>
    <t>KALAN BAKİYE</t>
  </si>
  <si>
    <t>Nazan Kira ödemesi 11 + 8 + 9+ 10</t>
  </si>
  <si>
    <t>tcross pervinden 3</t>
  </si>
  <si>
    <t>tcross pervinden 4</t>
  </si>
  <si>
    <t>tcross pervinden 5</t>
  </si>
  <si>
    <t>tcross pervinden 6</t>
  </si>
  <si>
    <t>tcross pervinden 7</t>
  </si>
  <si>
    <t>700 noksan ÖDENDİ</t>
  </si>
  <si>
    <t>umut winter</t>
  </si>
  <si>
    <t>yasemin winter</t>
  </si>
  <si>
    <t>snyF merdal kipel icra yoluyla avukattan</t>
  </si>
  <si>
    <t>pervinden   16 ad çeyrek *4100</t>
  </si>
  <si>
    <t>pervinden   1 ad tam *16200</t>
  </si>
  <si>
    <t xml:space="preserve">pervinden   1 ad gram *2500 </t>
  </si>
  <si>
    <t>koctas</t>
  </si>
  <si>
    <t>koton</t>
  </si>
  <si>
    <t>tcross benzn</t>
  </si>
  <si>
    <t>dürümle</t>
  </si>
  <si>
    <t>mrkt erenler</t>
  </si>
  <si>
    <t>tcdd tkt-ist-tkt bsnss</t>
  </si>
  <si>
    <t>dnxkk</t>
  </si>
  <si>
    <t>Nazan Kira ödemesi 12+</t>
  </si>
  <si>
    <t>umut kiradan</t>
  </si>
  <si>
    <t>snyB Ali Demirel bankadan</t>
  </si>
  <si>
    <t>1500 fazla</t>
  </si>
  <si>
    <t>Taksit 5/12 36,500</t>
  </si>
  <si>
    <t>Taksit 4/12 36,500</t>
  </si>
  <si>
    <t>Taksit 3/12   6000</t>
  </si>
  <si>
    <t>Taksit 3/12  30000</t>
  </si>
  <si>
    <t>Taksit 2/12 6000</t>
  </si>
  <si>
    <t>Taksit 2/12 30000</t>
  </si>
  <si>
    <t>tcross pervinden 1 - 30000</t>
  </si>
  <si>
    <t>tcross pervinden 2 -5600</t>
  </si>
  <si>
    <t>pervin 438-35600</t>
  </si>
  <si>
    <t>EKİMe</t>
  </si>
  <si>
    <t>pervin 401500-36000</t>
  </si>
  <si>
    <t>KASIMa</t>
  </si>
  <si>
    <t>pervin 365500-36000</t>
  </si>
  <si>
    <t>ARALIKa</t>
  </si>
  <si>
    <t>pervin 329500-35800</t>
  </si>
  <si>
    <t>kasa xau iş alış                           2867,2</t>
  </si>
  <si>
    <t>kasa xau çeyrek</t>
  </si>
  <si>
    <t>kasa xau tam</t>
  </si>
  <si>
    <t>iş ytrm ALTIN.S1</t>
  </si>
  <si>
    <t>ankara-tokat bilet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</si>
</sst>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63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4" fontId="2" fillId="0" borderId="11" xfId="0" applyNumberFormat="1" applyFont="1" applyBorder="1"/>
    <xf numFmtId="4" fontId="2" fillId="0" borderId="13" xfId="0" applyNumberFormat="1" applyFont="1" applyBorder="1"/>
    <xf numFmtId="4" fontId="2" fillId="0" borderId="20" xfId="0" applyNumberFormat="1" applyFont="1" applyBorder="1"/>
    <xf numFmtId="4" fontId="2" fillId="0" borderId="30" xfId="0" applyNumberFormat="1" applyFont="1" applyBorder="1" applyAlignment="1">
      <alignment horizontal="right"/>
    </xf>
    <xf numFmtId="0" fontId="0" fillId="41" borderId="0" xfId="0" applyFill="1"/>
    <xf numFmtId="178" fontId="24" fillId="41" borderId="0" xfId="0" applyNumberFormat="1" applyFont="1" applyFill="1"/>
    <xf numFmtId="164" fontId="15" fillId="41" borderId="0" xfId="0" applyNumberFormat="1" applyFont="1" applyFill="1"/>
    <xf numFmtId="164" fontId="0" fillId="41" borderId="0" xfId="0" applyNumberFormat="1" applyFill="1"/>
    <xf numFmtId="0" fontId="15" fillId="41" borderId="0" xfId="0" applyFont="1" applyFill="1"/>
    <xf numFmtId="4" fontId="15" fillId="41" borderId="0" xfId="0" applyNumberFormat="1" applyFont="1" applyFill="1"/>
    <xf numFmtId="177" fontId="24" fillId="0" borderId="0" xfId="0" applyNumberFormat="1" applyFont="1" applyBorder="1"/>
    <xf numFmtId="177" fontId="0" fillId="0" borderId="0" xfId="0" applyNumberFormat="1" applyBorder="1"/>
    <xf numFmtId="180" fontId="0" fillId="41" borderId="0" xfId="0" applyNumberFormat="1" applyFill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  <xf numFmtId="0" fontId="26" fillId="41" borderId="0" xfId="0" applyFont="1" applyFill="1"/>
    <xf numFmtId="0" fontId="24" fillId="41" borderId="0" xfId="0" applyFont="1" applyFill="1"/>
    <xf numFmtId="0" fontId="27" fillId="41" borderId="0" xfId="0" applyFont="1" applyFill="1"/>
    <xf numFmtId="4" fontId="0" fillId="41" borderId="0" xfId="0" applyNumberForma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9"/>
  <sheetViews>
    <sheetView topLeftCell="A75" zoomScale="175" zoomScaleNormal="175" workbookViewId="0">
      <selection activeCell="G67" sqref="G6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2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1402</v>
      </c>
      <c r="D32" s="9"/>
      <c r="E32" s="9">
        <v>3000</v>
      </c>
      <c r="F32" s="9">
        <f t="shared" si="0"/>
        <v>-91403.16</v>
      </c>
    </row>
    <row r="33" spans="1:6">
      <c r="B33" s="3" t="s">
        <v>1403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1397</v>
      </c>
      <c r="C35" s="320"/>
      <c r="D35" s="321">
        <v>1466500</v>
      </c>
      <c r="E35" s="322"/>
      <c r="F35" s="323">
        <f>D35-E35</f>
        <v>1466500</v>
      </c>
    </row>
    <row r="36" spans="1:6">
      <c r="B36" s="324" t="s">
        <v>1404</v>
      </c>
      <c r="D36" s="2">
        <v>11631</v>
      </c>
      <c r="E36" s="9"/>
      <c r="F36" s="325">
        <f t="shared" si="0"/>
        <v>1478131</v>
      </c>
    </row>
    <row r="37" spans="1:6">
      <c r="B37" s="324" t="s">
        <v>1405</v>
      </c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1414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1413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1400</v>
      </c>
      <c r="E42" s="2">
        <v>15500</v>
      </c>
      <c r="F42" s="2">
        <f t="shared" si="0"/>
        <v>1375096.84</v>
      </c>
    </row>
    <row r="43" spans="1:6">
      <c r="B43" t="s">
        <v>1398</v>
      </c>
      <c r="D43" s="9"/>
      <c r="E43" s="2">
        <v>100000</v>
      </c>
      <c r="F43" s="2">
        <f t="shared" si="0"/>
        <v>1275096.8400000001</v>
      </c>
    </row>
    <row r="44" spans="1:6">
      <c r="B44" t="s">
        <v>1399</v>
      </c>
      <c r="E44" s="2">
        <v>75000</v>
      </c>
      <c r="F44" s="2">
        <f t="shared" si="0"/>
        <v>1200096.8400000001</v>
      </c>
    </row>
    <row r="45" spans="1:6">
      <c r="B45" t="s">
        <v>1415</v>
      </c>
      <c r="E45" s="2">
        <v>59783.839999999997</v>
      </c>
      <c r="F45" s="2">
        <f t="shared" si="0"/>
        <v>1140313</v>
      </c>
    </row>
    <row r="46" spans="1:6">
      <c r="B46" t="s">
        <v>1396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1401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98</v>
      </c>
      <c r="E54" s="2">
        <v>30000</v>
      </c>
      <c r="F54" s="2">
        <f t="shared" si="0"/>
        <v>408000</v>
      </c>
    </row>
    <row r="55" spans="1:6">
      <c r="B55" t="s">
        <v>1425</v>
      </c>
      <c r="D55" s="2">
        <v>200</v>
      </c>
      <c r="F55" s="2">
        <f t="shared" si="0"/>
        <v>408200</v>
      </c>
    </row>
    <row r="56" spans="1:6">
      <c r="B56" t="s">
        <v>1458</v>
      </c>
      <c r="E56" s="2">
        <v>1100</v>
      </c>
      <c r="F56" s="2">
        <f t="shared" si="0"/>
        <v>407100</v>
      </c>
    </row>
    <row r="57" spans="1:6">
      <c r="A57" s="350">
        <v>45536</v>
      </c>
      <c r="B57" s="352" t="s">
        <v>36</v>
      </c>
      <c r="C57" s="352" t="s">
        <v>98</v>
      </c>
      <c r="D57" s="353"/>
      <c r="E57" s="353">
        <v>5600</v>
      </c>
      <c r="F57" s="353">
        <f t="shared" si="0"/>
        <v>401500</v>
      </c>
    </row>
    <row r="58" spans="1:6">
      <c r="A58" s="350">
        <v>45550</v>
      </c>
      <c r="B58" s="352" t="s">
        <v>1535</v>
      </c>
      <c r="C58" s="352" t="s">
        <v>98</v>
      </c>
      <c r="D58" s="353"/>
      <c r="E58" s="353">
        <v>30000</v>
      </c>
      <c r="F58" s="353">
        <f t="shared" si="0"/>
        <v>371500</v>
      </c>
    </row>
    <row r="59" spans="1:6">
      <c r="A59" s="350">
        <v>45565</v>
      </c>
      <c r="B59" s="10" t="s">
        <v>1534</v>
      </c>
      <c r="C59" s="10" t="s">
        <v>1457</v>
      </c>
      <c r="D59" s="9"/>
      <c r="E59" s="9">
        <v>6000</v>
      </c>
      <c r="F59" s="9">
        <f t="shared" si="0"/>
        <v>365500</v>
      </c>
    </row>
    <row r="60" spans="1:6">
      <c r="A60" s="350">
        <v>45580</v>
      </c>
      <c r="B60" s="352" t="s">
        <v>1533</v>
      </c>
      <c r="C60" s="352" t="s">
        <v>98</v>
      </c>
      <c r="D60" s="353"/>
      <c r="E60" s="353">
        <v>30000</v>
      </c>
      <c r="F60" s="353">
        <f t="shared" si="0"/>
        <v>335500</v>
      </c>
    </row>
    <row r="61" spans="1:6">
      <c r="A61" s="350">
        <v>45595</v>
      </c>
      <c r="B61" s="10" t="s">
        <v>1532</v>
      </c>
      <c r="C61" s="10" t="s">
        <v>1457</v>
      </c>
      <c r="D61" s="9"/>
      <c r="E61" s="9">
        <v>6000</v>
      </c>
      <c r="F61" s="9">
        <f t="shared" si="0"/>
        <v>329500</v>
      </c>
    </row>
    <row r="62" spans="1:6">
      <c r="A62" s="351">
        <v>45611</v>
      </c>
      <c r="B62" t="s">
        <v>1531</v>
      </c>
      <c r="C62" s="10" t="s">
        <v>1512</v>
      </c>
      <c r="E62" s="2">
        <v>35800</v>
      </c>
      <c r="F62" s="2">
        <f t="shared" si="0"/>
        <v>293700</v>
      </c>
    </row>
    <row r="63" spans="1:6">
      <c r="A63" s="351"/>
      <c r="B63" t="s">
        <v>1549</v>
      </c>
      <c r="C63" s="10"/>
      <c r="D63" s="2">
        <v>630</v>
      </c>
      <c r="F63" s="2">
        <f t="shared" si="0"/>
        <v>294330</v>
      </c>
    </row>
    <row r="64" spans="1:6">
      <c r="A64" s="351">
        <v>45641</v>
      </c>
      <c r="B64" s="348" t="s">
        <v>1530</v>
      </c>
      <c r="C64" s="348" t="s">
        <v>1529</v>
      </c>
      <c r="D64" s="362"/>
      <c r="E64" s="362">
        <v>38000</v>
      </c>
      <c r="F64" s="2">
        <f t="shared" si="0"/>
        <v>256330</v>
      </c>
    </row>
    <row r="65" spans="1:6">
      <c r="A65" s="1">
        <v>45672</v>
      </c>
      <c r="B65" t="s">
        <v>37</v>
      </c>
      <c r="C65" t="s">
        <v>1395</v>
      </c>
      <c r="E65" s="2">
        <v>36500</v>
      </c>
      <c r="F65" s="2">
        <f t="shared" si="0"/>
        <v>219830</v>
      </c>
    </row>
    <row r="66" spans="1:6">
      <c r="A66" s="1">
        <v>45703</v>
      </c>
      <c r="B66" t="s">
        <v>38</v>
      </c>
      <c r="C66" t="s">
        <v>1395</v>
      </c>
      <c r="E66" s="2">
        <v>36500</v>
      </c>
      <c r="F66" s="2">
        <f t="shared" si="0"/>
        <v>183330</v>
      </c>
    </row>
    <row r="67" spans="1:6">
      <c r="A67" s="1">
        <v>45731</v>
      </c>
      <c r="B67" t="s">
        <v>39</v>
      </c>
      <c r="C67" t="s">
        <v>1395</v>
      </c>
      <c r="E67" s="2">
        <v>36500</v>
      </c>
      <c r="F67" s="2">
        <f t="shared" si="0"/>
        <v>146830</v>
      </c>
    </row>
    <row r="68" spans="1:6">
      <c r="A68" s="1">
        <v>45762</v>
      </c>
      <c r="B68" t="s">
        <v>40</v>
      </c>
      <c r="C68" t="s">
        <v>1395</v>
      </c>
      <c r="E68" s="2">
        <v>36500</v>
      </c>
      <c r="F68" s="2">
        <f t="shared" si="0"/>
        <v>110330</v>
      </c>
    </row>
    <row r="69" spans="1:6">
      <c r="A69" s="1">
        <v>45792</v>
      </c>
      <c r="B69" t="s">
        <v>41</v>
      </c>
      <c r="C69" t="s">
        <v>1395</v>
      </c>
      <c r="E69" s="2">
        <v>36500</v>
      </c>
      <c r="F69" s="2">
        <f t="shared" si="0"/>
        <v>73830</v>
      </c>
    </row>
    <row r="70" spans="1:6">
      <c r="A70" s="1">
        <v>45823</v>
      </c>
      <c r="B70" t="s">
        <v>42</v>
      </c>
      <c r="C70" t="s">
        <v>1395</v>
      </c>
      <c r="E70" s="2">
        <v>36500</v>
      </c>
      <c r="F70" s="2">
        <f t="shared" si="0"/>
        <v>37330</v>
      </c>
    </row>
    <row r="71" spans="1:6" ht="13.5" thickBot="1">
      <c r="A71" s="1">
        <v>45853</v>
      </c>
      <c r="B71" t="s">
        <v>43</v>
      </c>
      <c r="C71" t="s">
        <v>1395</v>
      </c>
      <c r="E71" s="2">
        <v>36500</v>
      </c>
      <c r="F71" s="2">
        <f t="shared" si="0"/>
        <v>830</v>
      </c>
    </row>
    <row r="72" spans="1:6">
      <c r="E72" s="344"/>
      <c r="F72" s="345">
        <f t="shared" si="0"/>
        <v>830</v>
      </c>
    </row>
    <row r="73" spans="1:6" ht="13.5" thickBot="1">
      <c r="E73" s="346"/>
      <c r="F73" s="347" t="s">
        <v>1505</v>
      </c>
    </row>
    <row r="79" spans="1:6">
      <c r="B79" t="s">
        <v>44</v>
      </c>
      <c r="D79" s="2">
        <v>1466500</v>
      </c>
      <c r="F79" s="2">
        <f t="shared" ref="F79:F84" si="1">F78+D79-E79</f>
        <v>1466500</v>
      </c>
    </row>
    <row r="80" spans="1:6">
      <c r="B80" t="s">
        <v>35</v>
      </c>
      <c r="D80" s="2">
        <v>11631</v>
      </c>
      <c r="F80" s="2">
        <f t="shared" si="1"/>
        <v>1478131</v>
      </c>
    </row>
    <row r="81" spans="2:6">
      <c r="B81" t="s">
        <v>45</v>
      </c>
      <c r="D81" s="2">
        <v>15500</v>
      </c>
      <c r="F81" s="2">
        <f t="shared" si="1"/>
        <v>1493631</v>
      </c>
    </row>
    <row r="82" spans="2:6">
      <c r="F82" s="2">
        <f t="shared" si="1"/>
        <v>1493631</v>
      </c>
    </row>
    <row r="83" spans="2:6">
      <c r="F83" s="2">
        <f t="shared" si="1"/>
        <v>1493631</v>
      </c>
    </row>
    <row r="84" spans="2:6">
      <c r="B84" s="3" t="s">
        <v>46</v>
      </c>
      <c r="C84" s="3"/>
      <c r="D84" s="13"/>
      <c r="E84" s="13"/>
      <c r="F84" s="13">
        <f t="shared" si="1"/>
        <v>1493631</v>
      </c>
    </row>
    <row r="86" spans="2:6">
      <c r="B86" s="291" t="s">
        <v>1406</v>
      </c>
      <c r="C86" s="291" t="s">
        <v>1407</v>
      </c>
      <c r="D86" s="317"/>
      <c r="E86" s="318" t="s">
        <v>1408</v>
      </c>
      <c r="F86" s="318" t="s">
        <v>671</v>
      </c>
    </row>
    <row r="87" spans="2:6">
      <c r="F87" s="14">
        <f>F84+D87-E87</f>
        <v>1493631</v>
      </c>
    </row>
    <row r="88" spans="2:6">
      <c r="F88" s="2">
        <f>F87-E88</f>
        <v>1493631</v>
      </c>
    </row>
    <row r="89" spans="2:6">
      <c r="B89" t="s">
        <v>1416</v>
      </c>
      <c r="C89" t="s">
        <v>1412</v>
      </c>
      <c r="E89" s="2">
        <f>E44+E45</f>
        <v>134783.84</v>
      </c>
      <c r="F89" s="2">
        <f t="shared" ref="F89:F102" si="2">F88-E89</f>
        <v>1358847.16</v>
      </c>
    </row>
    <row r="90" spans="2:6">
      <c r="F90" s="2">
        <f t="shared" si="2"/>
        <v>1358847.16</v>
      </c>
    </row>
    <row r="91" spans="2:6">
      <c r="B91" t="s">
        <v>47</v>
      </c>
      <c r="C91" t="s">
        <v>89</v>
      </c>
      <c r="E91" s="2">
        <v>100000</v>
      </c>
      <c r="F91" s="2">
        <f t="shared" si="2"/>
        <v>1258847.1599999999</v>
      </c>
    </row>
    <row r="92" spans="2:6">
      <c r="F92" s="2">
        <f t="shared" si="2"/>
        <v>1258847.1599999999</v>
      </c>
    </row>
    <row r="93" spans="2:6">
      <c r="B93" t="s">
        <v>1404</v>
      </c>
      <c r="C93" t="s">
        <v>72</v>
      </c>
      <c r="E93" s="2">
        <v>11631</v>
      </c>
      <c r="F93" s="2">
        <f t="shared" si="2"/>
        <v>1247216.1599999999</v>
      </c>
    </row>
    <row r="94" spans="2:6" ht="13.5" thickBot="1">
      <c r="B94" t="s">
        <v>1405</v>
      </c>
      <c r="C94" t="s">
        <v>72</v>
      </c>
      <c r="E94" s="2">
        <v>15500</v>
      </c>
      <c r="F94" s="2">
        <f t="shared" si="2"/>
        <v>1231716.1599999999</v>
      </c>
    </row>
    <row r="95" spans="2:6" ht="13.5" thickBot="1">
      <c r="B95" s="332"/>
      <c r="C95" s="333"/>
      <c r="D95" s="334" t="s">
        <v>1419</v>
      </c>
      <c r="E95" s="326">
        <f>SUM(E89:E94)</f>
        <v>261914.84</v>
      </c>
    </row>
    <row r="97" spans="2:6">
      <c r="F97" s="13">
        <f>F94-E97</f>
        <v>1231716.1599999999</v>
      </c>
    </row>
    <row r="98" spans="2:6">
      <c r="B98" t="s">
        <v>49</v>
      </c>
      <c r="C98" t="s">
        <v>1410</v>
      </c>
      <c r="E98" s="2">
        <v>84313</v>
      </c>
      <c r="F98" s="2">
        <f t="shared" si="2"/>
        <v>1147403.1599999999</v>
      </c>
    </row>
    <row r="99" spans="2:6">
      <c r="B99" t="s">
        <v>1409</v>
      </c>
      <c r="C99" t="s">
        <v>1410</v>
      </c>
      <c r="E99" s="2">
        <v>68000</v>
      </c>
      <c r="F99" s="2">
        <f t="shared" si="2"/>
        <v>1079403.1599999999</v>
      </c>
    </row>
    <row r="100" spans="2:6">
      <c r="B100" t="s">
        <v>48</v>
      </c>
      <c r="C100" t="s">
        <v>1410</v>
      </c>
      <c r="E100" s="2">
        <f>F33*-1</f>
        <v>91403.16</v>
      </c>
      <c r="F100" s="2">
        <f t="shared" si="2"/>
        <v>987999.99999999988</v>
      </c>
    </row>
    <row r="101" spans="2:6">
      <c r="B101" t="s">
        <v>1411</v>
      </c>
      <c r="C101" t="s">
        <v>1410</v>
      </c>
      <c r="E101" s="2">
        <v>550000</v>
      </c>
      <c r="F101" s="2">
        <f t="shared" si="2"/>
        <v>437999.99999999988</v>
      </c>
    </row>
    <row r="102" spans="2:6" ht="13.5" thickBot="1">
      <c r="B102" t="s">
        <v>1417</v>
      </c>
      <c r="C102" t="s">
        <v>1410</v>
      </c>
      <c r="E102" s="2">
        <v>438000</v>
      </c>
      <c r="F102" s="2">
        <f t="shared" si="2"/>
        <v>0</v>
      </c>
    </row>
    <row r="103" spans="2:6" ht="13.5" thickBot="1">
      <c r="B103" s="332"/>
      <c r="C103" s="333"/>
      <c r="D103" s="334" t="s">
        <v>1418</v>
      </c>
      <c r="E103" s="326">
        <f>SUM(E98:E102)</f>
        <v>1231716.1600000001</v>
      </c>
    </row>
    <row r="120" spans="2:6">
      <c r="B120" t="s">
        <v>1420</v>
      </c>
    </row>
    <row r="122" spans="2:6">
      <c r="F122" s="2">
        <f t="shared" ref="F122:F127" si="3">F121+D122-E122</f>
        <v>0</v>
      </c>
    </row>
    <row r="123" spans="2:6">
      <c r="B123" t="s">
        <v>50</v>
      </c>
      <c r="D123" s="2">
        <v>50000</v>
      </c>
      <c r="F123" s="2">
        <f t="shared" si="3"/>
        <v>50000</v>
      </c>
    </row>
    <row r="124" spans="2:6">
      <c r="B124" t="s">
        <v>51</v>
      </c>
      <c r="D124" s="2">
        <v>140000</v>
      </c>
      <c r="F124" s="2">
        <f t="shared" si="3"/>
        <v>190000</v>
      </c>
    </row>
    <row r="125" spans="2:6">
      <c r="B125" t="s">
        <v>52</v>
      </c>
      <c r="D125" s="2">
        <v>195000</v>
      </c>
      <c r="F125" s="2">
        <f t="shared" si="3"/>
        <v>385000</v>
      </c>
    </row>
    <row r="126" spans="2:6">
      <c r="B126" t="s">
        <v>108</v>
      </c>
      <c r="E126" s="2">
        <v>310000</v>
      </c>
      <c r="F126" s="2">
        <f t="shared" si="3"/>
        <v>75000</v>
      </c>
    </row>
    <row r="127" spans="2:6">
      <c r="B127" s="3" t="s">
        <v>1422</v>
      </c>
      <c r="C127" s="3"/>
      <c r="D127" s="13"/>
      <c r="E127" s="13"/>
      <c r="F127" s="13">
        <f t="shared" si="3"/>
        <v>75000</v>
      </c>
    </row>
    <row r="128" spans="2:6">
      <c r="B128" s="3" t="s">
        <v>1423</v>
      </c>
      <c r="C128" s="3"/>
      <c r="D128" s="13">
        <f>E89-F126</f>
        <v>59783.839999999997</v>
      </c>
      <c r="F128" s="2">
        <f t="shared" ref="F128" si="4">F126+D128-E128</f>
        <v>134783.84</v>
      </c>
    </row>
    <row r="129" spans="5:6">
      <c r="E129" s="70" t="s">
        <v>1421</v>
      </c>
      <c r="F129" s="13">
        <f>F128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bestFit="1" customWidth="1"/>
  </cols>
  <sheetData>
    <row r="2" spans="1:8">
      <c r="E2" t="s">
        <v>53</v>
      </c>
      <c r="F2">
        <v>2513</v>
      </c>
    </row>
    <row r="3" spans="1:8">
      <c r="E3" t="s">
        <v>54</v>
      </c>
      <c r="F3">
        <v>4100</v>
      </c>
    </row>
    <row r="4" spans="1:8">
      <c r="E4" t="s">
        <v>55</v>
      </c>
      <c r="F4">
        <v>26.15</v>
      </c>
    </row>
    <row r="5" spans="1:8">
      <c r="E5" t="s">
        <v>56</v>
      </c>
    </row>
    <row r="7" spans="1:8">
      <c r="D7" s="15" t="s">
        <v>57</v>
      </c>
      <c r="E7" s="15" t="s">
        <v>58</v>
      </c>
      <c r="F7" s="15" t="s">
        <v>59</v>
      </c>
      <c r="G7" s="15"/>
      <c r="H7" s="15" t="s">
        <v>60</v>
      </c>
    </row>
    <row r="8" spans="1:8">
      <c r="A8" t="s">
        <v>61</v>
      </c>
      <c r="B8" s="1">
        <v>44562</v>
      </c>
      <c r="C8" t="s">
        <v>62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63</v>
      </c>
      <c r="B9" s="1">
        <v>44562</v>
      </c>
      <c r="C9" t="s">
        <v>64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65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66</v>
      </c>
      <c r="B14" s="1">
        <v>45509</v>
      </c>
      <c r="C14" t="s">
        <v>67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68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69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70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71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72</v>
      </c>
      <c r="B20" s="1">
        <v>45509</v>
      </c>
      <c r="C20" t="s">
        <v>73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74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75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76</v>
      </c>
    </row>
    <row r="23" spans="1:9">
      <c r="B23" s="1"/>
      <c r="C23" t="s">
        <v>77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76</v>
      </c>
    </row>
    <row r="24" spans="1:9">
      <c r="B24" s="1"/>
      <c r="C24" t="s">
        <v>78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76</v>
      </c>
    </row>
    <row r="25" spans="1:9">
      <c r="B25" s="1"/>
      <c r="C25" t="s">
        <v>79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76</v>
      </c>
    </row>
    <row r="26" spans="1:9">
      <c r="B26" s="1"/>
      <c r="H26" s="2"/>
    </row>
    <row r="27" spans="1:9">
      <c r="A27" t="s">
        <v>80</v>
      </c>
      <c r="B27" t="s">
        <v>81</v>
      </c>
      <c r="C27" t="s">
        <v>55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82</v>
      </c>
    </row>
    <row r="28" spans="1:9">
      <c r="C28" t="s">
        <v>83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84</v>
      </c>
    </row>
    <row r="29" spans="1:9">
      <c r="B29" t="s">
        <v>81</v>
      </c>
      <c r="C29" t="s">
        <v>85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82</v>
      </c>
    </row>
    <row r="30" spans="1:9">
      <c r="C30" t="s">
        <v>86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87</v>
      </c>
    </row>
    <row r="31" spans="1:9">
      <c r="B31" t="s">
        <v>81</v>
      </c>
      <c r="C31" t="s">
        <v>88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89</v>
      </c>
      <c r="C33" t="s">
        <v>90</v>
      </c>
      <c r="F33" s="17">
        <v>100000</v>
      </c>
      <c r="G33" s="17">
        <f>F33</f>
        <v>100000</v>
      </c>
      <c r="H33" s="2">
        <f>H32+F33</f>
        <v>1420308.4482339998</v>
      </c>
      <c r="I33" t="s">
        <v>91</v>
      </c>
    </row>
    <row r="34" spans="1:10">
      <c r="A34" t="s">
        <v>92</v>
      </c>
      <c r="C34" t="s">
        <v>90</v>
      </c>
      <c r="F34" s="17">
        <v>68000</v>
      </c>
      <c r="G34" s="17">
        <v>68000</v>
      </c>
      <c r="H34" s="2">
        <f>H33+F34</f>
        <v>1488308.4482339998</v>
      </c>
      <c r="I34" t="s">
        <v>91</v>
      </c>
    </row>
    <row r="42" spans="1:10">
      <c r="G42" t="s">
        <v>93</v>
      </c>
      <c r="J42" t="s">
        <v>94</v>
      </c>
    </row>
    <row r="43" spans="1:10">
      <c r="J43">
        <v>1500000</v>
      </c>
    </row>
    <row r="44" spans="1:10">
      <c r="C44" t="s">
        <v>95</v>
      </c>
      <c r="F44" s="17">
        <v>22058</v>
      </c>
      <c r="H44" s="2">
        <f t="shared" ref="H44:H50" si="1">H43+F44-G44</f>
        <v>22058</v>
      </c>
    </row>
    <row r="45" spans="1:10">
      <c r="A45" t="s">
        <v>80</v>
      </c>
      <c r="C45" t="s">
        <v>96</v>
      </c>
      <c r="F45" s="17">
        <v>155000</v>
      </c>
      <c r="H45" s="2">
        <f t="shared" si="1"/>
        <v>177058</v>
      </c>
    </row>
    <row r="46" spans="1:10">
      <c r="C46" t="s">
        <v>97</v>
      </c>
      <c r="F46" s="17"/>
      <c r="G46" s="18">
        <v>50000</v>
      </c>
      <c r="H46" s="2">
        <f t="shared" si="1"/>
        <v>127058</v>
      </c>
      <c r="I46" t="s">
        <v>98</v>
      </c>
      <c r="J46">
        <f>J43-G46</f>
        <v>1450000</v>
      </c>
    </row>
    <row r="47" spans="1:10">
      <c r="C47" t="s">
        <v>99</v>
      </c>
      <c r="F47" s="17">
        <v>722</v>
      </c>
      <c r="H47" s="2">
        <f t="shared" si="1"/>
        <v>127780</v>
      </c>
      <c r="I47" t="s">
        <v>100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101</v>
      </c>
      <c r="F50" s="17">
        <v>12290</v>
      </c>
      <c r="G50" s="2"/>
      <c r="H50" s="13">
        <f t="shared" si="1"/>
        <v>140070</v>
      </c>
      <c r="I50" s="19" t="s">
        <v>91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100</v>
      </c>
    </row>
    <row r="56" spans="2:10">
      <c r="H56" s="2">
        <f t="shared" si="2"/>
        <v>554317.39240000001</v>
      </c>
    </row>
    <row r="57" spans="2:10">
      <c r="C57" t="s">
        <v>53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91</v>
      </c>
    </row>
    <row r="58" spans="2:10">
      <c r="C58" t="s">
        <v>103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91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91</v>
      </c>
    </row>
    <row r="61" spans="2:10">
      <c r="C61" t="s">
        <v>105</v>
      </c>
      <c r="F61">
        <v>100000</v>
      </c>
      <c r="H61" s="2">
        <f t="shared" si="2"/>
        <v>1244192.3924</v>
      </c>
      <c r="I61" s="19" t="s">
        <v>91</v>
      </c>
    </row>
    <row r="62" spans="2:10">
      <c r="C62" t="s">
        <v>106</v>
      </c>
      <c r="F62">
        <v>68000</v>
      </c>
      <c r="H62" s="13">
        <f t="shared" si="2"/>
        <v>1312192.3924</v>
      </c>
      <c r="I62" s="19" t="s">
        <v>91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107</v>
      </c>
    </row>
    <row r="69" spans="2:9">
      <c r="C69" t="s">
        <v>95</v>
      </c>
      <c r="F69" s="17">
        <v>127500</v>
      </c>
      <c r="H69" s="13">
        <f t="shared" ref="H69:H82" si="3">H68+F69-G69</f>
        <v>127500</v>
      </c>
    </row>
    <row r="70" spans="2:9">
      <c r="C70" t="s">
        <v>96</v>
      </c>
      <c r="F70" s="17"/>
      <c r="H70" s="13">
        <f t="shared" si="3"/>
        <v>127500</v>
      </c>
    </row>
    <row r="71" spans="2:9">
      <c r="C71" t="s">
        <v>97</v>
      </c>
      <c r="F71" s="17"/>
      <c r="G71" s="18">
        <v>50000</v>
      </c>
      <c r="H71" s="13">
        <f t="shared" si="3"/>
        <v>77500</v>
      </c>
      <c r="I71" t="s">
        <v>98</v>
      </c>
    </row>
    <row r="72" spans="2:9">
      <c r="C72" t="s">
        <v>99</v>
      </c>
      <c r="F72" s="17">
        <v>722</v>
      </c>
      <c r="H72" s="13">
        <f t="shared" si="3"/>
        <v>78222</v>
      </c>
      <c r="I72" t="s">
        <v>100</v>
      </c>
    </row>
    <row r="73" spans="2:9">
      <c r="C73" t="s">
        <v>108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102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100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91</v>
      </c>
    </row>
    <row r="77" spans="2:9">
      <c r="C77" t="s">
        <v>109</v>
      </c>
      <c r="F77" s="17">
        <v>12290</v>
      </c>
      <c r="G77" s="2"/>
      <c r="H77" s="13">
        <f t="shared" si="3"/>
        <v>1164307.8659999999</v>
      </c>
      <c r="I77" s="19" t="s">
        <v>91</v>
      </c>
    </row>
    <row r="78" spans="2:9">
      <c r="C78" t="s">
        <v>105</v>
      </c>
      <c r="F78">
        <v>100000</v>
      </c>
      <c r="H78" s="13">
        <f t="shared" si="3"/>
        <v>1264307.8659999999</v>
      </c>
      <c r="I78" s="19" t="s">
        <v>91</v>
      </c>
    </row>
    <row r="79" spans="2:9">
      <c r="C79" t="s">
        <v>106</v>
      </c>
      <c r="F79">
        <v>100000</v>
      </c>
      <c r="H79" s="13">
        <f t="shared" si="3"/>
        <v>1364307.8659999999</v>
      </c>
      <c r="I79" s="19" t="s">
        <v>91</v>
      </c>
    </row>
    <row r="80" spans="2:9">
      <c r="H80" s="13">
        <f t="shared" si="3"/>
        <v>1364307.8659999999</v>
      </c>
    </row>
    <row r="81" spans="3:9">
      <c r="C81" t="s">
        <v>110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91</v>
      </c>
    </row>
    <row r="82" spans="3:9">
      <c r="C82" t="s">
        <v>103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tabSelected="1" zoomScale="175" zoomScaleNormal="175" workbookViewId="0">
      <selection activeCell="N12" sqref="N1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111</v>
      </c>
      <c r="D1" s="24"/>
      <c r="E1" s="25"/>
      <c r="F1" s="23" t="s">
        <v>112</v>
      </c>
      <c r="G1" s="24"/>
      <c r="H1" s="26"/>
      <c r="I1" s="27"/>
      <c r="J1" s="28"/>
      <c r="K1" s="29" t="s">
        <v>113</v>
      </c>
      <c r="L1" s="357" t="s">
        <v>114</v>
      </c>
      <c r="M1" s="357"/>
      <c r="N1" t="s">
        <v>115</v>
      </c>
    </row>
    <row r="2" spans="1:14" ht="15.75">
      <c r="A2" s="21">
        <v>-2024</v>
      </c>
      <c r="B2" s="25" t="s">
        <v>116</v>
      </c>
      <c r="C2" s="30" t="s">
        <v>117</v>
      </c>
      <c r="D2" s="24" t="s">
        <v>118</v>
      </c>
      <c r="E2" s="25" t="s">
        <v>116</v>
      </c>
      <c r="F2" s="30" t="s">
        <v>117</v>
      </c>
      <c r="G2" s="24" t="s">
        <v>3</v>
      </c>
      <c r="H2" s="26"/>
      <c r="I2" s="27"/>
      <c r="J2" s="28" t="s">
        <v>119</v>
      </c>
      <c r="K2" s="31">
        <v>0.23538400000000001</v>
      </c>
      <c r="L2" s="32">
        <f>1-K2</f>
        <v>0.76461599999999996</v>
      </c>
      <c r="M2" s="33" t="s">
        <v>120</v>
      </c>
      <c r="N2">
        <f>F115/1000</f>
        <v>698.22030499999994</v>
      </c>
    </row>
    <row r="3" spans="1:14">
      <c r="A3" t="s">
        <v>121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122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123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124</v>
      </c>
      <c r="J4">
        <v>235</v>
      </c>
      <c r="K4" s="41">
        <f>J4*$K$2</f>
        <v>55.315240000000003</v>
      </c>
      <c r="L4" s="42">
        <f>J4-K4</f>
        <v>179.68475999999998</v>
      </c>
      <c r="M4" s="40"/>
      <c r="N4">
        <f>'02_24'!E111/1000</f>
        <v>809.24983035699995</v>
      </c>
    </row>
    <row r="5" spans="1:14">
      <c r="A5" t="s">
        <v>125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126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127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128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129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130</v>
      </c>
      <c r="K7" s="41"/>
      <c r="L7" s="42"/>
      <c r="M7" s="44">
        <f>E19/1000</f>
        <v>38.99691</v>
      </c>
      <c r="N7">
        <f>'05_24'!E101/1000</f>
        <v>1018.9678865999999</v>
      </c>
    </row>
    <row r="8" spans="1:14">
      <c r="A8" t="s">
        <v>131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132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133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134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135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136</v>
      </c>
      <c r="J10">
        <v>500</v>
      </c>
      <c r="K10" s="41"/>
      <c r="L10" s="42"/>
      <c r="M10" s="40">
        <f>J10*0.13</f>
        <v>65</v>
      </c>
      <c r="N10">
        <f>'08_24'!E125/1000</f>
        <v>981.30372722800007</v>
      </c>
    </row>
    <row r="11" spans="1:14">
      <c r="A11" t="s">
        <v>137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98006.38</v>
      </c>
      <c r="F11" s="34">
        <f>'09_24'!G2</f>
        <v>-69863.539999999994</v>
      </c>
      <c r="G11" s="35">
        <f t="shared" si="1"/>
        <v>12675.046307000026</v>
      </c>
      <c r="H11" s="36"/>
      <c r="I11" s="37" t="s">
        <v>138</v>
      </c>
      <c r="J11">
        <v>0</v>
      </c>
      <c r="K11" s="41">
        <f>J11*$K$2</f>
        <v>0</v>
      </c>
      <c r="L11" s="42">
        <f>J11-K11</f>
        <v>0</v>
      </c>
      <c r="M11" s="40"/>
      <c r="N11">
        <f>'09_24'!E101/1000</f>
        <v>749.1965993199999</v>
      </c>
    </row>
    <row r="12" spans="1:14">
      <c r="A12" t="s">
        <v>139</v>
      </c>
      <c r="B12" s="34">
        <f>'10_24'!D2</f>
        <v>27984.15</v>
      </c>
      <c r="C12" s="34">
        <f>'10_24'!E2</f>
        <v>-126233.26999999999</v>
      </c>
      <c r="D12" s="35">
        <f t="shared" si="0"/>
        <v>-25189.153693000029</v>
      </c>
      <c r="E12" s="34">
        <f>'10_24'!F2</f>
        <v>64006.38</v>
      </c>
      <c r="F12" s="34">
        <f>'10_24'!G2</f>
        <v>-123041.59000000001</v>
      </c>
      <c r="G12" s="35">
        <f t="shared" si="1"/>
        <v>-46360.163692999988</v>
      </c>
      <c r="H12" s="36"/>
      <c r="I12" s="37" t="s">
        <v>140</v>
      </c>
      <c r="J12">
        <v>0</v>
      </c>
      <c r="K12" s="41">
        <f>J12*$K$2</f>
        <v>0</v>
      </c>
      <c r="L12" s="42">
        <f>J12-K12</f>
        <v>0</v>
      </c>
      <c r="M12" s="40"/>
      <c r="N12">
        <f>'10_24'!E136/1000</f>
        <v>726.05859999999996</v>
      </c>
    </row>
    <row r="13" spans="1:14">
      <c r="A13" t="s">
        <v>141</v>
      </c>
      <c r="B13" s="34">
        <f>'11_24'!D2</f>
        <v>277984.15000000002</v>
      </c>
      <c r="C13" s="34">
        <f>'11_24'!E2</f>
        <v>-182434.39</v>
      </c>
      <c r="D13" s="35">
        <f t="shared" si="0"/>
        <v>70360.60630699998</v>
      </c>
      <c r="E13" s="34">
        <f>'11_24'!F2</f>
        <v>212306.38</v>
      </c>
      <c r="F13" s="34">
        <f>'11_24'!G2</f>
        <v>-220559.32</v>
      </c>
      <c r="G13" s="35">
        <f t="shared" si="1"/>
        <v>-54613.10369299999</v>
      </c>
      <c r="H13" s="36"/>
      <c r="I13" s="37" t="s">
        <v>142</v>
      </c>
      <c r="J13">
        <v>0</v>
      </c>
      <c r="K13" s="41">
        <f>J13*$K$2</f>
        <v>0</v>
      </c>
      <c r="L13" s="42">
        <f>J13-K13</f>
        <v>0</v>
      </c>
      <c r="M13" s="45"/>
      <c r="N13">
        <f>'11_24'!E111/1000</f>
        <v>695.35238000000004</v>
      </c>
    </row>
    <row r="14" spans="1:14">
      <c r="A14" t="s">
        <v>143</v>
      </c>
      <c r="B14" s="34">
        <f>'12_24'!D2</f>
        <v>27984.15</v>
      </c>
      <c r="C14" s="34">
        <f>'12_24'!E2</f>
        <v>-62202.759999999995</v>
      </c>
      <c r="D14" s="35">
        <f t="shared" si="0"/>
        <v>36141.996306999987</v>
      </c>
      <c r="E14" s="34">
        <f>'12_24'!F2</f>
        <v>234000</v>
      </c>
      <c r="F14" s="34">
        <f>'12_24'!G2</f>
        <v>-111385.76</v>
      </c>
      <c r="G14" s="35">
        <f t="shared" si="1"/>
        <v>68001.136307000008</v>
      </c>
      <c r="H14" s="36"/>
      <c r="I14" s="46" t="s">
        <v>144</v>
      </c>
      <c r="J14" s="47">
        <v>0</v>
      </c>
      <c r="K14" s="41">
        <f>J14*$K$2</f>
        <v>0</v>
      </c>
      <c r="L14" s="42">
        <f>J14-K14</f>
        <v>0</v>
      </c>
      <c r="M14" s="40"/>
      <c r="N14">
        <f>'12_24'!E129/1000</f>
        <v>674.75337999999999</v>
      </c>
    </row>
    <row r="15" spans="1:14">
      <c r="A15" s="48" t="s">
        <v>145</v>
      </c>
      <c r="B15" s="35">
        <f>SUM(B3:B14)</f>
        <v>1087985.3500000001</v>
      </c>
      <c r="C15" s="35">
        <f>SUM(C3:C14)</f>
        <v>-1051843.353693</v>
      </c>
      <c r="D15" s="35">
        <f>B15+C15</f>
        <v>36141.996307000052</v>
      </c>
      <c r="E15" s="35">
        <f>SUM(E3:E14)</f>
        <v>1270715.2400000002</v>
      </c>
      <c r="F15" s="35">
        <f>SUM(F3:F14)</f>
        <v>-1202714.103693</v>
      </c>
      <c r="G15" s="35">
        <f>E15+F15</f>
        <v>68001.136307000183</v>
      </c>
      <c r="H15" s="49"/>
      <c r="I15" s="50"/>
      <c r="J15" s="51">
        <f>SUM(J3:J14)</f>
        <v>1344</v>
      </c>
      <c r="K15" s="52">
        <f>SUM(K4:K14)</f>
        <v>103.33357600000001</v>
      </c>
      <c r="L15" s="53">
        <f>SUM(L4:L14)</f>
        <v>335.66642400000001</v>
      </c>
      <c r="M15" s="54">
        <f>M10+M8+M6+M5+M3+M7</f>
        <v>419.18009999999998</v>
      </c>
    </row>
    <row r="16" spans="1:14">
      <c r="A16" s="55">
        <v>12</v>
      </c>
      <c r="B16" s="56">
        <f>B15/A16</f>
        <v>90665.445833333346</v>
      </c>
      <c r="C16" s="57">
        <f>C15/A16</f>
        <v>-87653.612807750003</v>
      </c>
      <c r="D16" s="57"/>
      <c r="E16" s="57">
        <f>E15/A16</f>
        <v>105892.93666666669</v>
      </c>
      <c r="F16" s="57">
        <f>F15/A16</f>
        <v>-100226.17530775</v>
      </c>
      <c r="G16" s="57">
        <f>G15/A16</f>
        <v>5666.7613589166822</v>
      </c>
      <c r="H16" s="58"/>
      <c r="I16" s="59"/>
      <c r="J16" s="60">
        <f>J15/12</f>
        <v>112</v>
      </c>
      <c r="K16" s="61">
        <f>K15/12</f>
        <v>8.6111313333333346</v>
      </c>
      <c r="L16" s="62">
        <f>L15/12</f>
        <v>27.972201999999999</v>
      </c>
      <c r="M16" s="63">
        <f>M15/12</f>
        <v>34.931674999999998</v>
      </c>
      <c r="N16" s="64">
        <f>AVERAGE(N2:N15)</f>
        <v>804.76922251461542</v>
      </c>
    </row>
    <row r="17" spans="2:13">
      <c r="C17" s="2"/>
      <c r="D17" s="2"/>
      <c r="G17" s="65"/>
      <c r="H17" s="65"/>
      <c r="I17" s="37"/>
      <c r="K17" s="2" t="s">
        <v>145</v>
      </c>
      <c r="L17" s="358">
        <f>L15+M15</f>
        <v>754.84652400000004</v>
      </c>
      <c r="M17" s="358"/>
    </row>
    <row r="18" spans="2:13">
      <c r="D18" s="66" t="s">
        <v>146</v>
      </c>
      <c r="E18" s="2">
        <f>'01_24'!F27+'02_24'!F14+'02_24'!F25+'03_24'!F19+'04_24'!F41+'05_24'!F22+'06_24'!F19+'05_24'!F22+'06_24'!F31+'04_24'!F15</f>
        <v>78933.19</v>
      </c>
      <c r="J18" s="37"/>
      <c r="K18" s="2" t="s">
        <v>147</v>
      </c>
      <c r="L18" s="67"/>
      <c r="M18" s="68">
        <f>L17/12</f>
        <v>62.903877000000001</v>
      </c>
    </row>
    <row r="19" spans="2:13">
      <c r="C19" s="10"/>
      <c r="D19" s="69" t="s">
        <v>148</v>
      </c>
      <c r="E19" s="9">
        <f>'07_24'!F30+'08_24'!F25+'09_24'!F19+'10_24'!F25+'11_24'!F27+'12_24'!F30</f>
        <v>38996.909999999996</v>
      </c>
    </row>
    <row r="20" spans="2:13">
      <c r="D20" s="70" t="s">
        <v>149</v>
      </c>
      <c r="E20" s="13">
        <f>SUM(E18:E19)</f>
        <v>117930.1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150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151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1456</v>
      </c>
    </row>
    <row r="27" spans="2:13">
      <c r="C27" t="s">
        <v>612</v>
      </c>
      <c r="D27">
        <v>13006.38</v>
      </c>
    </row>
    <row r="30" spans="2:13">
      <c r="B30" t="s">
        <v>152</v>
      </c>
    </row>
    <row r="31" spans="2:13">
      <c r="C31" t="s">
        <v>153</v>
      </c>
    </row>
    <row r="32" spans="2:13">
      <c r="C32" t="s">
        <v>154</v>
      </c>
    </row>
    <row r="34" spans="2:3">
      <c r="B34" t="s">
        <v>155</v>
      </c>
    </row>
    <row r="35" spans="2:3">
      <c r="C35" t="s">
        <v>156</v>
      </c>
    </row>
    <row r="36" spans="2:3">
      <c r="C36" t="s">
        <v>157</v>
      </c>
    </row>
    <row r="37" spans="2:3">
      <c r="B37" t="s">
        <v>158</v>
      </c>
    </row>
    <row r="38" spans="2:3">
      <c r="C38" t="s">
        <v>159</v>
      </c>
    </row>
    <row r="39" spans="2:3">
      <c r="C39" t="s">
        <v>160</v>
      </c>
    </row>
    <row r="40" spans="2:3">
      <c r="C40" t="s">
        <v>161</v>
      </c>
    </row>
    <row r="41" spans="2:3">
      <c r="C41" t="s">
        <v>162</v>
      </c>
    </row>
    <row r="42" spans="2:3">
      <c r="C42" t="s">
        <v>163</v>
      </c>
    </row>
    <row r="43" spans="2:3">
      <c r="B43" t="s">
        <v>164</v>
      </c>
    </row>
    <row r="44" spans="2:3">
      <c r="C44" t="s">
        <v>165</v>
      </c>
    </row>
    <row r="115" spans="2:7">
      <c r="B115" s="76" t="s">
        <v>166</v>
      </c>
      <c r="C115" s="77" t="s">
        <v>167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80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168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169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170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171</v>
      </c>
      <c r="E120" s="2"/>
      <c r="F120" s="13">
        <v>6267.13</v>
      </c>
    </row>
    <row r="121" spans="2:7">
      <c r="B121" s="81">
        <f t="shared" si="2"/>
        <v>45290</v>
      </c>
      <c r="C121" t="s">
        <v>56</v>
      </c>
      <c r="D121" s="2" t="s">
        <v>172</v>
      </c>
      <c r="E121" s="2"/>
      <c r="F121" s="13">
        <v>21088.49</v>
      </c>
    </row>
    <row r="122" spans="2:7">
      <c r="B122" s="81">
        <f t="shared" si="2"/>
        <v>45290</v>
      </c>
      <c r="C122" t="s">
        <v>173</v>
      </c>
      <c r="D122" s="2" t="s">
        <v>174</v>
      </c>
      <c r="E122" s="2"/>
      <c r="F122" s="13">
        <v>5587.73</v>
      </c>
    </row>
    <row r="123" spans="2:7">
      <c r="B123" s="81">
        <f t="shared" si="2"/>
        <v>45290</v>
      </c>
      <c r="C123" t="s">
        <v>175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176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177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178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179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180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181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182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183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90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184</v>
      </c>
      <c r="F133" s="84">
        <f>H33</f>
        <v>0</v>
      </c>
    </row>
    <row r="134" spans="2:6">
      <c r="E134" s="3"/>
    </row>
    <row r="135" spans="2:6">
      <c r="E135" s="70" t="s">
        <v>185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167"/>
  <sheetViews>
    <sheetView zoomScale="145" zoomScaleNormal="145" workbookViewId="0">
      <selection activeCell="F150" sqref="F15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1481</v>
      </c>
      <c r="C2" s="87" t="s">
        <v>187</v>
      </c>
      <c r="D2" s="85">
        <f>SUM(D4:D44)</f>
        <v>27984.15</v>
      </c>
      <c r="E2" s="85">
        <f>SUM(E4:E45)</f>
        <v>-62202.759999999995</v>
      </c>
      <c r="F2" s="85">
        <f>SUM(F4:F44)</f>
        <v>234000</v>
      </c>
      <c r="G2" s="85">
        <f>SUM(G4:G40)</f>
        <v>-111385.76</v>
      </c>
      <c r="H2" s="85">
        <f>F2+G2</f>
        <v>122614.24</v>
      </c>
    </row>
    <row r="3" spans="1:8">
      <c r="B3" s="70"/>
    </row>
    <row r="4" spans="1:8">
      <c r="B4" s="43"/>
      <c r="H4" s="85">
        <f>H3+F4+G4</f>
        <v>0</v>
      </c>
    </row>
    <row r="5" spans="1:8">
      <c r="A5" s="335">
        <v>45631</v>
      </c>
      <c r="B5" s="359" t="s">
        <v>208</v>
      </c>
      <c r="C5" s="348"/>
      <c r="D5" s="343"/>
      <c r="E5" s="343">
        <f>E80</f>
        <v>-1797.23</v>
      </c>
      <c r="G5" s="85">
        <f>E5</f>
        <v>-1797.23</v>
      </c>
      <c r="H5" s="85">
        <f t="shared" ref="H5:H38" si="0">H4+F5+G5</f>
        <v>-1797.23</v>
      </c>
    </row>
    <row r="6" spans="1:8">
      <c r="A6" s="96">
        <v>45630</v>
      </c>
      <c r="B6" s="359" t="s">
        <v>209</v>
      </c>
      <c r="C6" s="348"/>
      <c r="D6" s="343"/>
      <c r="E6" s="343">
        <f>E95</f>
        <v>-9239.0299999999988</v>
      </c>
      <c r="G6" s="85">
        <f>E6</f>
        <v>-9239.0299999999988</v>
      </c>
      <c r="H6" s="85">
        <f t="shared" si="0"/>
        <v>-11036.259999999998</v>
      </c>
    </row>
    <row r="7" spans="1:8">
      <c r="A7" s="335">
        <v>45630</v>
      </c>
      <c r="B7" s="349" t="s">
        <v>211</v>
      </c>
      <c r="C7" s="349"/>
      <c r="D7" s="343"/>
      <c r="E7" s="343">
        <v>-1500</v>
      </c>
      <c r="G7" s="85">
        <v>-1512.13</v>
      </c>
      <c r="H7" s="85">
        <f t="shared" si="0"/>
        <v>-12548.39</v>
      </c>
    </row>
    <row r="8" spans="1:8">
      <c r="B8" s="349" t="s">
        <v>210</v>
      </c>
      <c r="C8" s="349"/>
      <c r="D8" s="343"/>
      <c r="E8" s="343">
        <v>-17500</v>
      </c>
      <c r="G8" s="85">
        <v>-17500</v>
      </c>
      <c r="H8" s="85">
        <f t="shared" si="0"/>
        <v>-30048.39</v>
      </c>
    </row>
    <row r="9" spans="1:8">
      <c r="B9" s="359" t="s">
        <v>207</v>
      </c>
      <c r="C9" s="348"/>
      <c r="D9" s="343"/>
      <c r="E9" s="343">
        <f>E75*-1</f>
        <v>0</v>
      </c>
      <c r="H9" s="85">
        <f t="shared" si="0"/>
        <v>-30048.39</v>
      </c>
    </row>
    <row r="10" spans="1:8">
      <c r="B10" s="348"/>
      <c r="C10" s="348"/>
      <c r="D10" s="343"/>
      <c r="E10" s="343"/>
      <c r="H10" s="85">
        <f t="shared" si="0"/>
        <v>-30048.39</v>
      </c>
    </row>
    <row r="11" spans="1:8">
      <c r="A11" s="335">
        <v>45630</v>
      </c>
      <c r="B11" s="348" t="s">
        <v>1443</v>
      </c>
      <c r="C11" s="348" t="s">
        <v>1451</v>
      </c>
      <c r="D11" s="343" t="s">
        <v>1525</v>
      </c>
      <c r="E11" s="343">
        <v>-1380</v>
      </c>
      <c r="H11" s="85">
        <f t="shared" si="0"/>
        <v>-30048.39</v>
      </c>
    </row>
    <row r="12" spans="1:8">
      <c r="A12" s="335">
        <v>45630</v>
      </c>
      <c r="B12" s="348" t="s">
        <v>1443</v>
      </c>
      <c r="C12" s="348" t="s">
        <v>1450</v>
      </c>
      <c r="D12" s="343" t="s">
        <v>1525</v>
      </c>
      <c r="E12" s="341">
        <v>-1380</v>
      </c>
      <c r="H12" s="85">
        <f t="shared" si="0"/>
        <v>-30048.39</v>
      </c>
    </row>
    <row r="13" spans="1:8">
      <c r="A13" s="335">
        <v>45630</v>
      </c>
      <c r="B13" s="349" t="s">
        <v>1452</v>
      </c>
      <c r="C13" s="348"/>
      <c r="D13" s="343" t="s">
        <v>1525</v>
      </c>
      <c r="E13" s="341">
        <v>-1415</v>
      </c>
      <c r="H13" s="85">
        <f t="shared" si="0"/>
        <v>-30048.39</v>
      </c>
    </row>
    <row r="14" spans="1:8">
      <c r="A14" s="335">
        <v>45630</v>
      </c>
      <c r="B14" s="349" t="s">
        <v>1453</v>
      </c>
      <c r="C14" s="348"/>
      <c r="D14" s="343" t="s">
        <v>1525</v>
      </c>
      <c r="E14" s="341">
        <v>-141.5</v>
      </c>
      <c r="H14" s="85">
        <f t="shared" si="0"/>
        <v>-30048.39</v>
      </c>
    </row>
    <row r="15" spans="1:8">
      <c r="B15" s="348" t="s">
        <v>1526</v>
      </c>
      <c r="C15" s="348"/>
      <c r="D15" s="343"/>
      <c r="E15" s="343"/>
      <c r="G15" s="85">
        <v>-60000</v>
      </c>
      <c r="H15" s="85">
        <f t="shared" si="0"/>
        <v>-90048.39</v>
      </c>
    </row>
    <row r="16" spans="1:8">
      <c r="B16" s="348" t="s">
        <v>1527</v>
      </c>
      <c r="C16" s="348"/>
      <c r="D16" s="343"/>
      <c r="E16" s="343"/>
      <c r="G16" s="85">
        <v>-19000</v>
      </c>
      <c r="H16" s="85">
        <f t="shared" si="0"/>
        <v>-109048.39</v>
      </c>
    </row>
    <row r="17" spans="1:13">
      <c r="B17" s="348" t="s">
        <v>1528</v>
      </c>
      <c r="C17" s="356"/>
      <c r="D17" s="343"/>
      <c r="E17" s="343"/>
      <c r="F17" s="85">
        <v>219000</v>
      </c>
      <c r="H17" s="85">
        <f t="shared" si="0"/>
        <v>109951.61</v>
      </c>
    </row>
    <row r="18" spans="1:13">
      <c r="B18" s="348" t="s">
        <v>237</v>
      </c>
      <c r="C18" s="348"/>
      <c r="D18" s="343"/>
      <c r="E18" s="343"/>
      <c r="F18" s="85">
        <v>15000</v>
      </c>
      <c r="H18" s="85">
        <f t="shared" si="0"/>
        <v>124951.61</v>
      </c>
    </row>
    <row r="19" spans="1:13">
      <c r="A19" s="335">
        <v>45642</v>
      </c>
      <c r="B19" s="360" t="s">
        <v>205</v>
      </c>
      <c r="C19" s="360" t="s">
        <v>204</v>
      </c>
      <c r="D19" s="343"/>
      <c r="E19" s="343">
        <v>-300</v>
      </c>
      <c r="G19" s="85">
        <v>-2035</v>
      </c>
      <c r="H19" s="85">
        <f t="shared" si="0"/>
        <v>122916.61</v>
      </c>
    </row>
    <row r="20" spans="1:13">
      <c r="A20" s="335">
        <v>45642</v>
      </c>
      <c r="B20" s="360" t="s">
        <v>206</v>
      </c>
      <c r="C20" s="360" t="s">
        <v>204</v>
      </c>
      <c r="D20" s="343"/>
      <c r="E20" s="343">
        <v>-100</v>
      </c>
      <c r="G20" s="85">
        <v>-40</v>
      </c>
      <c r="H20" s="85">
        <f t="shared" si="0"/>
        <v>122876.61</v>
      </c>
    </row>
    <row r="21" spans="1:13">
      <c r="A21" s="335">
        <v>45638</v>
      </c>
      <c r="B21" s="349" t="s">
        <v>203</v>
      </c>
      <c r="C21" s="349" t="s">
        <v>204</v>
      </c>
      <c r="D21" s="343"/>
      <c r="E21" s="343">
        <v>-150</v>
      </c>
      <c r="G21" s="85">
        <v>-262.37</v>
      </c>
      <c r="H21" s="85">
        <f t="shared" si="0"/>
        <v>122614.24</v>
      </c>
    </row>
    <row r="22" spans="1:13">
      <c r="B22" s="88"/>
      <c r="C22" s="88"/>
      <c r="H22" s="85">
        <f t="shared" si="0"/>
        <v>122614.24</v>
      </c>
      <c r="J22" s="91"/>
      <c r="K22" s="91"/>
      <c r="L22" s="354"/>
      <c r="M22" s="355"/>
    </row>
    <row r="23" spans="1:13">
      <c r="B23" s="88" t="s">
        <v>190</v>
      </c>
      <c r="C23" s="88"/>
      <c r="E23" s="85">
        <v>-400</v>
      </c>
      <c r="H23" s="85">
        <f t="shared" si="0"/>
        <v>122614.24</v>
      </c>
      <c r="J23" s="91"/>
      <c r="K23" s="91"/>
      <c r="L23" s="354"/>
      <c r="M23" s="355"/>
    </row>
    <row r="24" spans="1:13">
      <c r="B24" s="88" t="s">
        <v>191</v>
      </c>
      <c r="C24" s="88"/>
      <c r="E24" s="85">
        <v>-500</v>
      </c>
      <c r="H24" s="85">
        <f t="shared" si="0"/>
        <v>122614.24</v>
      </c>
      <c r="J24" s="91"/>
      <c r="K24" s="91"/>
      <c r="L24" s="354"/>
      <c r="M24" s="355"/>
    </row>
    <row r="25" spans="1:13">
      <c r="H25" s="85">
        <f t="shared" si="0"/>
        <v>122614.24</v>
      </c>
    </row>
    <row r="26" spans="1:13">
      <c r="H26" s="85">
        <f t="shared" si="0"/>
        <v>122614.24</v>
      </c>
    </row>
    <row r="27" spans="1:13">
      <c r="H27" s="85">
        <f t="shared" si="0"/>
        <v>122614.24</v>
      </c>
    </row>
    <row r="28" spans="1:13">
      <c r="B28" s="88"/>
      <c r="C28" s="88"/>
      <c r="H28" s="85">
        <f t="shared" si="0"/>
        <v>122614.24</v>
      </c>
      <c r="K28" s="91"/>
      <c r="L28" s="91"/>
      <c r="M28" s="91"/>
    </row>
    <row r="29" spans="1:13">
      <c r="B29" t="s">
        <v>80</v>
      </c>
      <c r="H29" s="85">
        <f t="shared" si="0"/>
        <v>122614.24</v>
      </c>
    </row>
    <row r="30" spans="1:13">
      <c r="B30" t="s">
        <v>80</v>
      </c>
      <c r="E30" s="85">
        <v>-6500</v>
      </c>
      <c r="H30" s="85">
        <f t="shared" si="0"/>
        <v>122614.24</v>
      </c>
    </row>
    <row r="31" spans="1:13">
      <c r="B31" t="s">
        <v>168</v>
      </c>
      <c r="E31" s="85">
        <v>-6500</v>
      </c>
      <c r="H31" s="85">
        <f t="shared" si="0"/>
        <v>122614.24</v>
      </c>
    </row>
    <row r="32" spans="1:13">
      <c r="H32" s="85">
        <f t="shared" si="0"/>
        <v>122614.24</v>
      </c>
    </row>
    <row r="33" spans="1:8">
      <c r="B33" t="s">
        <v>212</v>
      </c>
      <c r="E33" s="85">
        <v>-6500</v>
      </c>
      <c r="H33" s="85">
        <f t="shared" si="0"/>
        <v>122614.24</v>
      </c>
    </row>
    <row r="34" spans="1:8">
      <c r="H34" s="85">
        <f t="shared" si="0"/>
        <v>122614.24</v>
      </c>
    </row>
    <row r="35" spans="1:8">
      <c r="B35" t="s">
        <v>213</v>
      </c>
      <c r="D35" s="86">
        <v>12984.15</v>
      </c>
      <c r="H35" s="85">
        <f t="shared" si="0"/>
        <v>122614.24</v>
      </c>
    </row>
    <row r="36" spans="1:8">
      <c r="A36" s="97"/>
      <c r="B36" t="s">
        <v>215</v>
      </c>
      <c r="D36" s="85">
        <v>15000</v>
      </c>
      <c r="H36" s="85">
        <f t="shared" si="0"/>
        <v>122614.24</v>
      </c>
    </row>
    <row r="37" spans="1:8">
      <c r="A37" s="97"/>
      <c r="H37" s="85">
        <f t="shared" si="0"/>
        <v>122614.24</v>
      </c>
    </row>
    <row r="38" spans="1:8">
      <c r="H38" s="85">
        <f t="shared" si="0"/>
        <v>122614.24</v>
      </c>
    </row>
    <row r="40" spans="1:8">
      <c r="A40" s="337">
        <v>45655</v>
      </c>
      <c r="B40" t="s">
        <v>1443</v>
      </c>
      <c r="C40" t="s">
        <v>1446</v>
      </c>
      <c r="E40" s="85">
        <v>-1380</v>
      </c>
    </row>
    <row r="41" spans="1:8">
      <c r="A41" s="337">
        <v>45686</v>
      </c>
      <c r="B41" t="s">
        <v>1443</v>
      </c>
      <c r="C41" t="s">
        <v>1445</v>
      </c>
      <c r="E41" s="85">
        <v>-1380</v>
      </c>
    </row>
    <row r="42" spans="1:8">
      <c r="A42" s="337">
        <v>45716</v>
      </c>
      <c r="B42" t="s">
        <v>1443</v>
      </c>
      <c r="C42" t="s">
        <v>1447</v>
      </c>
      <c r="E42" s="85">
        <v>-1380</v>
      </c>
    </row>
    <row r="43" spans="1:8">
      <c r="A43" s="337">
        <v>45745</v>
      </c>
      <c r="B43" t="s">
        <v>1443</v>
      </c>
      <c r="C43" t="s">
        <v>1448</v>
      </c>
      <c r="E43" s="85">
        <v>-1380</v>
      </c>
    </row>
    <row r="44" spans="1:8">
      <c r="A44" s="337">
        <v>45776</v>
      </c>
      <c r="B44" t="s">
        <v>1443</v>
      </c>
      <c r="C44" t="s">
        <v>1449</v>
      </c>
      <c r="E44" s="85">
        <v>-1380</v>
      </c>
    </row>
    <row r="45" spans="1:8">
      <c r="A45" s="337"/>
    </row>
    <row r="46" spans="1:8">
      <c r="B46" s="88"/>
      <c r="C46" s="88"/>
    </row>
    <row r="47" spans="1:8">
      <c r="B47" s="89" t="s">
        <v>193</v>
      </c>
      <c r="C47" s="88"/>
    </row>
    <row r="48" spans="1:8">
      <c r="B48" s="89" t="s">
        <v>195</v>
      </c>
      <c r="C48" s="88"/>
    </row>
    <row r="49" spans="1:13">
      <c r="B49" s="88" t="s">
        <v>197</v>
      </c>
      <c r="C49" s="88"/>
    </row>
    <row r="50" spans="1:13">
      <c r="B50" s="88" t="s">
        <v>199</v>
      </c>
      <c r="C50" s="88"/>
    </row>
    <row r="51" spans="1:13">
      <c r="B51" s="88" t="s">
        <v>202</v>
      </c>
      <c r="C51" s="88"/>
    </row>
    <row r="52" spans="1:13">
      <c r="B52" s="88"/>
      <c r="C52" s="88"/>
    </row>
    <row r="53" spans="1:13">
      <c r="C53" s="86"/>
      <c r="D53" s="86"/>
      <c r="E53" s="86"/>
      <c r="F53" s="86">
        <f>E59</f>
        <v>93450</v>
      </c>
      <c r="G53"/>
      <c r="J53" s="91"/>
      <c r="K53" s="91"/>
      <c r="L53" s="354"/>
      <c r="M53" s="355"/>
    </row>
    <row r="54" spans="1:13">
      <c r="B54" s="90" t="s">
        <v>194</v>
      </c>
      <c r="C54" s="86">
        <v>8</v>
      </c>
      <c r="D54" s="91">
        <v>250</v>
      </c>
      <c r="E54" s="86">
        <f>D54*C54</f>
        <v>2000</v>
      </c>
      <c r="F54" s="86">
        <f>F53-E54</f>
        <v>91450</v>
      </c>
      <c r="G54" t="s">
        <v>98</v>
      </c>
      <c r="J54" s="91"/>
      <c r="K54" s="91"/>
      <c r="L54" s="354"/>
      <c r="M54" s="355"/>
    </row>
    <row r="55" spans="1:13">
      <c r="B55" s="90" t="s">
        <v>196</v>
      </c>
      <c r="C55" s="91">
        <v>2</v>
      </c>
      <c r="D55" s="91">
        <v>250</v>
      </c>
      <c r="E55" s="86">
        <f>D55*C55</f>
        <v>500</v>
      </c>
      <c r="F55" s="86">
        <f>F54-E55</f>
        <v>90950</v>
      </c>
      <c r="G55" t="s">
        <v>98</v>
      </c>
      <c r="J55" s="91"/>
      <c r="K55" s="91"/>
      <c r="L55" s="354"/>
      <c r="M55" s="355"/>
    </row>
    <row r="56" spans="1:13">
      <c r="B56" s="90" t="s">
        <v>198</v>
      </c>
      <c r="C56" s="86">
        <v>11</v>
      </c>
      <c r="D56" s="86">
        <v>250</v>
      </c>
      <c r="E56" s="86">
        <f>D56*C56</f>
        <v>2750</v>
      </c>
      <c r="F56" s="86">
        <f>F55-E56</f>
        <v>88200</v>
      </c>
      <c r="G56" t="s">
        <v>98</v>
      </c>
      <c r="J56" s="91"/>
      <c r="K56" s="91"/>
      <c r="L56" s="354"/>
      <c r="M56" s="355"/>
    </row>
    <row r="57" spans="1:13">
      <c r="B57" s="90" t="s">
        <v>200</v>
      </c>
      <c r="C57" s="85">
        <v>1</v>
      </c>
      <c r="D57" s="85">
        <v>8595</v>
      </c>
      <c r="E57" s="85">
        <f>D57*C57</f>
        <v>8595</v>
      </c>
      <c r="F57" s="86">
        <f>F56-E57</f>
        <v>79605</v>
      </c>
      <c r="G57" s="3" t="s">
        <v>201</v>
      </c>
      <c r="J57" s="91"/>
      <c r="K57" s="91"/>
      <c r="L57" s="354"/>
      <c r="M57" s="355"/>
    </row>
    <row r="58" spans="1:13">
      <c r="B58" s="90" t="s">
        <v>200</v>
      </c>
      <c r="C58" s="85">
        <v>9</v>
      </c>
      <c r="D58" s="85">
        <v>8845</v>
      </c>
      <c r="E58" s="85">
        <f>D58*C58</f>
        <v>79605</v>
      </c>
      <c r="F58" s="86">
        <f>F57-E58</f>
        <v>0</v>
      </c>
      <c r="G58" s="3" t="s">
        <v>201</v>
      </c>
      <c r="J58" s="91"/>
      <c r="K58" s="91"/>
      <c r="L58" s="354"/>
      <c r="M58" s="355"/>
    </row>
    <row r="59" spans="1:13">
      <c r="B59" s="91"/>
      <c r="C59" s="91"/>
      <c r="D59" s="92" t="s">
        <v>187</v>
      </c>
      <c r="E59" s="93">
        <f>SUM(E54:E58)</f>
        <v>93450</v>
      </c>
      <c r="F59" s="86"/>
      <c r="G59"/>
      <c r="J59" s="91"/>
      <c r="K59" s="91"/>
      <c r="L59" s="354"/>
      <c r="M59" s="355"/>
    </row>
    <row r="60" spans="1:13">
      <c r="B60" s="88"/>
      <c r="C60" s="88"/>
      <c r="J60" s="91"/>
      <c r="K60" s="91"/>
      <c r="L60" s="354"/>
      <c r="M60" s="355"/>
    </row>
    <row r="61" spans="1:13">
      <c r="B61" s="88"/>
      <c r="C61" s="88"/>
      <c r="J61" s="91"/>
      <c r="K61" s="91"/>
      <c r="L61" s="354"/>
      <c r="M61" s="355"/>
    </row>
    <row r="62" spans="1:13">
      <c r="A62" s="337"/>
    </row>
    <row r="63" spans="1:13">
      <c r="A63" s="335"/>
    </row>
    <row r="64" spans="1:13">
      <c r="A64" s="335"/>
    </row>
    <row r="66" spans="1:5">
      <c r="B66" t="s">
        <v>216</v>
      </c>
    </row>
    <row r="67" spans="1:5">
      <c r="A67" s="78" t="s">
        <v>217</v>
      </c>
      <c r="B67" s="78"/>
      <c r="C67" s="78"/>
    </row>
    <row r="68" spans="1:5">
      <c r="A68" s="97"/>
      <c r="C68" s="98"/>
    </row>
    <row r="69" spans="1:5">
      <c r="A69" s="100">
        <v>44929</v>
      </c>
      <c r="B69" s="101" t="s">
        <v>218</v>
      </c>
      <c r="C69" s="78"/>
      <c r="D69" s="85">
        <f>SUM(D70:D75)</f>
        <v>0</v>
      </c>
      <c r="E69" s="85">
        <f>SUM(E70:E75)</f>
        <v>0</v>
      </c>
    </row>
    <row r="70" spans="1:5">
      <c r="A70" s="97"/>
      <c r="B70" s="94" t="s">
        <v>219</v>
      </c>
    </row>
    <row r="71" spans="1:5">
      <c r="B71" t="s">
        <v>220</v>
      </c>
    </row>
    <row r="72" spans="1:5">
      <c r="B72" t="s">
        <v>221</v>
      </c>
    </row>
    <row r="73" spans="1:5">
      <c r="B73" t="s">
        <v>222</v>
      </c>
    </row>
    <row r="74" spans="1:5">
      <c r="B74" t="s">
        <v>223</v>
      </c>
    </row>
    <row r="75" spans="1:5">
      <c r="B75" t="s">
        <v>224</v>
      </c>
      <c r="C75" s="94"/>
    </row>
    <row r="76" spans="1:5">
      <c r="C76" s="94"/>
    </row>
    <row r="78" spans="1:5">
      <c r="B78" s="13"/>
    </row>
    <row r="79" spans="1:5">
      <c r="B79" s="102"/>
    </row>
    <row r="80" spans="1:5">
      <c r="A80" s="78"/>
      <c r="B80" s="77" t="s">
        <v>225</v>
      </c>
      <c r="C80" s="78"/>
      <c r="E80" s="85">
        <f>SUM(E81:E92)</f>
        <v>-1797.23</v>
      </c>
    </row>
    <row r="82" spans="1:5">
      <c r="A82" s="20">
        <v>45373</v>
      </c>
      <c r="B82" t="s">
        <v>226</v>
      </c>
      <c r="C82">
        <v>10176.39</v>
      </c>
      <c r="D82" s="85" t="s">
        <v>227</v>
      </c>
      <c r="E82" s="85">
        <v>-1130.71</v>
      </c>
    </row>
    <row r="83" spans="1:5">
      <c r="A83" s="20">
        <v>45375</v>
      </c>
      <c r="B83" t="s">
        <v>228</v>
      </c>
      <c r="C83">
        <v>5999</v>
      </c>
      <c r="D83" s="85" t="s">
        <v>227</v>
      </c>
      <c r="E83" s="85">
        <v>-666.52</v>
      </c>
    </row>
    <row r="84" spans="1:5">
      <c r="A84" s="20"/>
    </row>
    <row r="85" spans="1:5" ht="15">
      <c r="A85" s="20"/>
      <c r="C85" s="108" t="s">
        <v>278</v>
      </c>
    </row>
    <row r="87" spans="1:5">
      <c r="A87" s="97"/>
      <c r="B87" s="94"/>
      <c r="C87" s="94"/>
    </row>
    <row r="88" spans="1:5">
      <c r="A88" s="97"/>
      <c r="B88" s="94"/>
      <c r="C88" s="94"/>
    </row>
    <row r="89" spans="1:5">
      <c r="A89" s="97"/>
      <c r="B89" s="103"/>
      <c r="C89" s="94"/>
    </row>
    <row r="90" spans="1:5">
      <c r="A90" s="97"/>
      <c r="B90" s="103"/>
      <c r="C90" s="94"/>
    </row>
    <row r="91" spans="1:5">
      <c r="A91" s="97"/>
      <c r="B91" s="103"/>
    </row>
    <row r="92" spans="1:5">
      <c r="A92" s="97"/>
      <c r="B92" s="103"/>
      <c r="C92" s="94"/>
    </row>
    <row r="93" spans="1:5">
      <c r="A93" s="97"/>
      <c r="B93" s="3"/>
    </row>
    <row r="94" spans="1:5">
      <c r="A94" s="97"/>
      <c r="B94" s="94"/>
      <c r="C94" s="94"/>
    </row>
    <row r="95" spans="1:5">
      <c r="A95" s="78"/>
      <c r="B95" s="77" t="s">
        <v>229</v>
      </c>
      <c r="C95" s="78"/>
      <c r="E95" s="85">
        <f>SUM(E96:E114)</f>
        <v>-9239.0299999999988</v>
      </c>
    </row>
    <row r="96" spans="1:5">
      <c r="A96" s="97"/>
      <c r="B96" s="94"/>
      <c r="C96" s="94"/>
    </row>
    <row r="97" spans="1:5">
      <c r="A97" s="97"/>
      <c r="B97" s="94"/>
      <c r="C97" s="94"/>
    </row>
    <row r="98" spans="1:5">
      <c r="A98" s="97"/>
      <c r="B98" s="3" t="s">
        <v>1519</v>
      </c>
      <c r="C98" s="94"/>
      <c r="E98" s="85">
        <v>-429.88</v>
      </c>
    </row>
    <row r="99" spans="1:5">
      <c r="A99" s="97"/>
      <c r="B99" s="3" t="s">
        <v>1520</v>
      </c>
      <c r="C99" s="94"/>
      <c r="E99" s="85">
        <v>-654.99</v>
      </c>
    </row>
    <row r="100" spans="1:5">
      <c r="A100" s="97"/>
      <c r="B100" s="3" t="s">
        <v>1521</v>
      </c>
      <c r="C100" s="94"/>
      <c r="E100" s="85">
        <v>-1600</v>
      </c>
    </row>
    <row r="101" spans="1:5">
      <c r="A101" s="97"/>
      <c r="B101" s="3" t="s">
        <v>294</v>
      </c>
      <c r="C101" s="94"/>
      <c r="E101" s="85">
        <v>-125.48</v>
      </c>
    </row>
    <row r="102" spans="1:5">
      <c r="A102" s="97"/>
      <c r="B102" s="3" t="s">
        <v>294</v>
      </c>
      <c r="C102" s="94"/>
      <c r="E102" s="85">
        <v>-297.45</v>
      </c>
    </row>
    <row r="103" spans="1:5">
      <c r="A103" s="97"/>
      <c r="B103" s="3" t="s">
        <v>294</v>
      </c>
      <c r="C103" s="94"/>
      <c r="E103" s="85">
        <v>-174</v>
      </c>
    </row>
    <row r="104" spans="1:5">
      <c r="A104" s="97"/>
      <c r="B104" s="3" t="s">
        <v>294</v>
      </c>
      <c r="C104" s="94"/>
      <c r="E104" s="85">
        <v>-49</v>
      </c>
    </row>
    <row r="105" spans="1:5">
      <c r="A105" s="97"/>
      <c r="B105" s="3" t="s">
        <v>294</v>
      </c>
      <c r="C105" s="94"/>
      <c r="E105" s="85">
        <v>-29.9</v>
      </c>
    </row>
    <row r="106" spans="1:5">
      <c r="A106" s="97"/>
      <c r="B106" s="3" t="s">
        <v>1522</v>
      </c>
      <c r="C106" s="94"/>
      <c r="E106" s="85">
        <v>-525</v>
      </c>
    </row>
    <row r="107" spans="1:5">
      <c r="A107" s="97"/>
      <c r="B107" s="3" t="s">
        <v>294</v>
      </c>
      <c r="C107" s="94"/>
      <c r="E107" s="85">
        <v>-257.33</v>
      </c>
    </row>
    <row r="108" spans="1:5">
      <c r="A108" s="97"/>
      <c r="B108" s="3" t="s">
        <v>1523</v>
      </c>
      <c r="C108" s="94"/>
      <c r="E108" s="85">
        <v>-84.95</v>
      </c>
    </row>
    <row r="109" spans="1:5">
      <c r="A109" s="97"/>
      <c r="B109" s="3" t="s">
        <v>277</v>
      </c>
      <c r="C109" s="94">
        <v>129000.63</v>
      </c>
    </row>
    <row r="110" spans="1:5">
      <c r="A110" s="97"/>
      <c r="B110" s="3" t="s">
        <v>736</v>
      </c>
      <c r="C110" s="94"/>
      <c r="E110" s="85">
        <v>-500</v>
      </c>
    </row>
    <row r="111" spans="1:5">
      <c r="A111" s="97"/>
      <c r="B111" s="3" t="s">
        <v>1523</v>
      </c>
      <c r="C111" s="94"/>
      <c r="E111" s="85">
        <v>-886.3</v>
      </c>
    </row>
    <row r="112" spans="1:5">
      <c r="A112" s="97"/>
      <c r="B112" s="3" t="s">
        <v>1523</v>
      </c>
      <c r="C112" s="94"/>
      <c r="E112" s="85">
        <v>-99.75</v>
      </c>
    </row>
    <row r="113" spans="1:5">
      <c r="A113" s="97">
        <v>45606</v>
      </c>
      <c r="B113" s="3" t="s">
        <v>1524</v>
      </c>
      <c r="C113" s="94"/>
      <c r="E113" s="85">
        <v>-3525</v>
      </c>
    </row>
    <row r="114" spans="1:5">
      <c r="A114" s="97"/>
      <c r="B114" s="3"/>
      <c r="C114" s="94"/>
    </row>
    <row r="115" spans="1:5" ht="15">
      <c r="A115" s="97"/>
      <c r="B115" s="3"/>
      <c r="C115" s="108" t="s">
        <v>278</v>
      </c>
    </row>
    <row r="116" spans="1:5">
      <c r="A116" s="97"/>
      <c r="B116" s="3"/>
      <c r="C116" s="94"/>
    </row>
    <row r="117" spans="1:5">
      <c r="A117" s="97"/>
      <c r="B117" s="3"/>
      <c r="C117" s="94"/>
    </row>
    <row r="118" spans="1:5">
      <c r="A118" s="97"/>
      <c r="B118" s="3"/>
      <c r="C118" s="94"/>
    </row>
    <row r="119" spans="1:5">
      <c r="A119" s="97"/>
      <c r="B119" s="3"/>
      <c r="C119" s="94"/>
    </row>
    <row r="120" spans="1:5">
      <c r="A120" s="97"/>
      <c r="B120" s="3"/>
      <c r="C120" s="94"/>
    </row>
    <row r="121" spans="1:5">
      <c r="A121" s="97"/>
      <c r="B121" s="3"/>
      <c r="C121" s="94"/>
    </row>
    <row r="122" spans="1:5">
      <c r="A122" s="97"/>
      <c r="B122" s="3"/>
      <c r="C122" s="94"/>
    </row>
    <row r="123" spans="1:5">
      <c r="A123" s="97"/>
      <c r="B123" s="3"/>
      <c r="C123" s="94"/>
    </row>
    <row r="124" spans="1:5">
      <c r="A124" s="97"/>
      <c r="B124" s="3"/>
      <c r="C124" s="94"/>
    </row>
    <row r="125" spans="1:5">
      <c r="A125" s="97"/>
      <c r="B125" s="3"/>
      <c r="C125" s="94"/>
    </row>
    <row r="126" spans="1:5">
      <c r="A126" s="97"/>
      <c r="B126" s="3"/>
      <c r="C126" s="94"/>
    </row>
    <row r="129" spans="1:6">
      <c r="A129" s="76" t="s">
        <v>1543</v>
      </c>
      <c r="B129" s="77" t="s">
        <v>167</v>
      </c>
      <c r="C129" s="78">
        <v>2024</v>
      </c>
      <c r="E129" s="85">
        <f>SUM(E130:E152)</f>
        <v>674753.38</v>
      </c>
    </row>
    <row r="130" spans="1:6">
      <c r="A130" s="97"/>
      <c r="B130" t="s">
        <v>80</v>
      </c>
      <c r="E130" s="85">
        <v>0</v>
      </c>
    </row>
    <row r="131" spans="1:6">
      <c r="A131" s="97"/>
      <c r="B131" t="s">
        <v>168</v>
      </c>
    </row>
    <row r="132" spans="1:6">
      <c r="A132" s="97"/>
      <c r="B132" t="s">
        <v>1544</v>
      </c>
      <c r="E132" s="85">
        <v>293700</v>
      </c>
    </row>
    <row r="133" spans="1:6">
      <c r="A133" s="97"/>
    </row>
    <row r="134" spans="1:6">
      <c r="A134" s="97"/>
      <c r="B134" t="s">
        <v>1432</v>
      </c>
      <c r="C134" s="2"/>
      <c r="D134" s="2"/>
      <c r="E134" s="13">
        <v>21084</v>
      </c>
    </row>
    <row r="135" spans="1:6">
      <c r="A135" s="97"/>
      <c r="C135" s="2"/>
      <c r="D135" s="2"/>
      <c r="E135" s="13"/>
    </row>
    <row r="136" spans="1:6">
      <c r="A136" s="97"/>
      <c r="B136" t="s">
        <v>1438</v>
      </c>
      <c r="C136" s="2">
        <v>40</v>
      </c>
      <c r="D136" s="111">
        <v>852</v>
      </c>
      <c r="E136" s="13">
        <f t="shared" ref="E136:E147" si="1">D136*C136</f>
        <v>34080</v>
      </c>
    </row>
    <row r="137" spans="1:6">
      <c r="A137" s="97"/>
      <c r="B137" t="s">
        <v>1548</v>
      </c>
      <c r="C137" s="2">
        <v>4000</v>
      </c>
      <c r="D137" s="2">
        <v>31</v>
      </c>
      <c r="E137" s="13">
        <f>D137*C137</f>
        <v>124000</v>
      </c>
      <c r="F137" s="13">
        <f>SUM(E136:E137)</f>
        <v>158080</v>
      </c>
    </row>
    <row r="138" spans="1:6">
      <c r="A138" s="97"/>
      <c r="C138" s="2"/>
      <c r="D138" s="2"/>
    </row>
    <row r="139" spans="1:6">
      <c r="A139" s="97"/>
      <c r="B139" t="s">
        <v>1439</v>
      </c>
      <c r="C139" s="112">
        <v>125000</v>
      </c>
      <c r="D139" s="111">
        <v>0.77971599999999996</v>
      </c>
      <c r="E139" s="13">
        <f t="shared" si="1"/>
        <v>97464.5</v>
      </c>
    </row>
    <row r="140" spans="1:6">
      <c r="A140" s="97"/>
      <c r="B140" t="s">
        <v>1440</v>
      </c>
      <c r="C140" s="2">
        <v>10</v>
      </c>
      <c r="D140" s="2">
        <v>103.7</v>
      </c>
      <c r="E140" s="13">
        <f t="shared" si="1"/>
        <v>1037</v>
      </c>
    </row>
    <row r="141" spans="1:6">
      <c r="A141" s="97"/>
      <c r="B141" t="s">
        <v>1441</v>
      </c>
      <c r="C141" s="2">
        <v>38</v>
      </c>
      <c r="D141" s="2">
        <v>21.42</v>
      </c>
      <c r="E141" s="13">
        <f t="shared" si="1"/>
        <v>813.96</v>
      </c>
    </row>
    <row r="142" spans="1:6">
      <c r="A142" s="97"/>
      <c r="B142" t="s">
        <v>1442</v>
      </c>
      <c r="C142" s="2">
        <v>26</v>
      </c>
      <c r="D142" s="2">
        <v>25.92</v>
      </c>
      <c r="E142" s="13">
        <f t="shared" si="1"/>
        <v>673.92000000000007</v>
      </c>
      <c r="F142" s="13">
        <f>SUM(E139:E142)</f>
        <v>99989.38</v>
      </c>
    </row>
    <row r="143" spans="1:6">
      <c r="A143" s="97"/>
      <c r="B143" t="s">
        <v>179</v>
      </c>
      <c r="C143" s="2"/>
      <c r="D143" s="2"/>
    </row>
    <row r="144" spans="1:6">
      <c r="A144" s="97"/>
    </row>
    <row r="145" spans="1:6">
      <c r="A145" s="97"/>
      <c r="B145" t="s">
        <v>1433</v>
      </c>
      <c r="C145" s="2">
        <v>2900</v>
      </c>
      <c r="D145" s="2">
        <v>1</v>
      </c>
      <c r="E145" s="13">
        <f t="shared" si="1"/>
        <v>2900</v>
      </c>
    </row>
    <row r="146" spans="1:6">
      <c r="A146" s="97"/>
      <c r="B146" t="s">
        <v>1436</v>
      </c>
      <c r="C146" s="2">
        <v>4900</v>
      </c>
      <c r="D146" s="2">
        <v>16</v>
      </c>
      <c r="E146" s="13">
        <f t="shared" si="1"/>
        <v>78400</v>
      </c>
    </row>
    <row r="147" spans="1:6">
      <c r="A147" s="97"/>
      <c r="B147" t="s">
        <v>1437</v>
      </c>
      <c r="C147" s="2">
        <v>19600</v>
      </c>
      <c r="D147" s="2">
        <v>1</v>
      </c>
      <c r="E147" s="13">
        <f t="shared" si="1"/>
        <v>19600</v>
      </c>
      <c r="F147" s="13">
        <f>SUM(E145:E147)</f>
        <v>100900</v>
      </c>
    </row>
    <row r="148" spans="1:6">
      <c r="A148" s="97"/>
      <c r="C148" s="2"/>
      <c r="D148" s="2"/>
    </row>
    <row r="149" spans="1:6">
      <c r="A149" s="97"/>
      <c r="B149" t="s">
        <v>1435</v>
      </c>
      <c r="C149" s="336">
        <v>33.250599999999999</v>
      </c>
      <c r="D149" s="2"/>
      <c r="E149" s="13"/>
    </row>
    <row r="150" spans="1:6">
      <c r="A150" s="97"/>
      <c r="B150" t="s">
        <v>1434</v>
      </c>
      <c r="C150" s="336">
        <v>36.854999999999997</v>
      </c>
      <c r="D150" s="2"/>
      <c r="E150" s="13"/>
    </row>
    <row r="151" spans="1:6">
      <c r="A151" s="97"/>
      <c r="B151" t="s">
        <v>183</v>
      </c>
      <c r="C151" s="2"/>
      <c r="D151" s="2"/>
      <c r="E151" s="13">
        <v>0</v>
      </c>
    </row>
    <row r="152" spans="1:6">
      <c r="A152" s="97"/>
      <c r="B152" t="s">
        <v>90</v>
      </c>
      <c r="C152" s="2"/>
      <c r="D152" s="2"/>
      <c r="E152" s="13">
        <v>1000</v>
      </c>
    </row>
    <row r="153" spans="1:6">
      <c r="A153" s="97"/>
      <c r="E153" s="113"/>
    </row>
    <row r="154" spans="1:6">
      <c r="A154" s="97"/>
      <c r="C154" s="110"/>
      <c r="D154" s="3"/>
      <c r="E154" s="110"/>
    </row>
    <row r="155" spans="1:6">
      <c r="A155" s="97"/>
      <c r="C155" s="110"/>
      <c r="D155" s="70" t="s">
        <v>185</v>
      </c>
      <c r="E155" s="8">
        <f>SUM(E130:E152)</f>
        <v>674753.38</v>
      </c>
    </row>
    <row r="156" spans="1:6">
      <c r="A156" s="97"/>
      <c r="C156" s="114" t="str">
        <f>A129</f>
        <v>ARALIKa</v>
      </c>
      <c r="D156" s="115" t="s">
        <v>184</v>
      </c>
      <c r="E156" s="116">
        <f>H30</f>
        <v>122614.24</v>
      </c>
    </row>
    <row r="157" spans="1:6">
      <c r="A157" s="97"/>
    </row>
    <row r="158" spans="1:6">
      <c r="A158" s="97"/>
    </row>
    <row r="159" spans="1:6">
      <c r="A159" s="97"/>
    </row>
    <row r="164" spans="2:2">
      <c r="B164" s="3" t="s">
        <v>1516</v>
      </c>
    </row>
    <row r="165" spans="2:2">
      <c r="B165" s="3" t="s">
        <v>1517</v>
      </c>
    </row>
    <row r="166" spans="2:2">
      <c r="B166" s="3" t="s">
        <v>1518</v>
      </c>
    </row>
    <row r="167" spans="2:2">
      <c r="B167" s="1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H137"/>
  <sheetViews>
    <sheetView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1482</v>
      </c>
      <c r="C2" s="87" t="s">
        <v>187</v>
      </c>
      <c r="D2" s="85">
        <f>SUM(D4:D38)</f>
        <v>277984.15000000002</v>
      </c>
      <c r="E2" s="85">
        <f>SUM(E4:E38)</f>
        <v>-182434.39</v>
      </c>
      <c r="F2" s="85">
        <f>SUM(F4:F38)</f>
        <v>212306.38</v>
      </c>
      <c r="G2" s="85">
        <f>SUM(G4:G38)</f>
        <v>-220559.32</v>
      </c>
      <c r="H2" s="85">
        <f>F2+G2</f>
        <v>-8252.9400000000023</v>
      </c>
    </row>
    <row r="3" spans="1:8">
      <c r="B3" s="70"/>
    </row>
    <row r="4" spans="1:8">
      <c r="D4" s="86"/>
      <c r="E4" s="86">
        <v>0</v>
      </c>
      <c r="H4" s="85">
        <f>H3+F4+G4</f>
        <v>0</v>
      </c>
    </row>
    <row r="5" spans="1:8">
      <c r="D5" s="86"/>
      <c r="E5" s="86">
        <v>0</v>
      </c>
      <c r="H5" s="85">
        <f t="shared" ref="H5:H19" si="0">H4+F5+G5</f>
        <v>0</v>
      </c>
    </row>
    <row r="6" spans="1:8">
      <c r="B6" s="88" t="s">
        <v>235</v>
      </c>
      <c r="C6" s="88" t="s">
        <v>192</v>
      </c>
      <c r="D6" s="86"/>
      <c r="E6" s="86">
        <v>-250</v>
      </c>
      <c r="H6" s="85">
        <f t="shared" si="0"/>
        <v>0</v>
      </c>
    </row>
    <row r="7" spans="1:8">
      <c r="A7" s="96">
        <v>45596</v>
      </c>
      <c r="B7" s="104" t="s">
        <v>209</v>
      </c>
      <c r="D7" s="86"/>
      <c r="E7" s="86">
        <f>E69</f>
        <v>-129000.63</v>
      </c>
      <c r="F7" s="86"/>
      <c r="G7" s="86">
        <v>-129000.63</v>
      </c>
      <c r="H7" s="86">
        <f t="shared" si="0"/>
        <v>-129000.63</v>
      </c>
    </row>
    <row r="8" spans="1:8">
      <c r="A8" s="96">
        <v>45597</v>
      </c>
      <c r="B8" s="88" t="s">
        <v>211</v>
      </c>
      <c r="G8" s="86">
        <v>-1512.13</v>
      </c>
      <c r="H8" s="86">
        <f t="shared" si="0"/>
        <v>-130512.76000000001</v>
      </c>
    </row>
    <row r="9" spans="1:8">
      <c r="A9" s="335">
        <v>45569</v>
      </c>
      <c r="B9" s="95" t="s">
        <v>208</v>
      </c>
      <c r="E9" s="86">
        <f>E54</f>
        <v>-1797.26</v>
      </c>
      <c r="F9" s="86"/>
      <c r="G9" s="86">
        <v>-1797.26</v>
      </c>
      <c r="H9" s="86">
        <f t="shared" si="0"/>
        <v>-132310.02000000002</v>
      </c>
    </row>
    <row r="10" spans="1:8">
      <c r="B10" s="104" t="s">
        <v>207</v>
      </c>
      <c r="D10" s="86"/>
      <c r="E10" s="86">
        <f>E49*-1</f>
        <v>0</v>
      </c>
      <c r="H10" s="85">
        <f t="shared" si="0"/>
        <v>-132310.02000000002</v>
      </c>
    </row>
    <row r="11" spans="1:8">
      <c r="A11" s="335">
        <v>45604</v>
      </c>
      <c r="B11" s="88" t="s">
        <v>236</v>
      </c>
      <c r="C11" s="88"/>
      <c r="E11" s="86">
        <v>-17500</v>
      </c>
      <c r="G11" s="86">
        <v>-17500</v>
      </c>
      <c r="H11" s="85">
        <f t="shared" si="0"/>
        <v>-149810.02000000002</v>
      </c>
    </row>
    <row r="12" spans="1:8">
      <c r="A12" s="335">
        <v>45605</v>
      </c>
      <c r="B12" s="348" t="s">
        <v>244</v>
      </c>
      <c r="C12" s="88"/>
      <c r="E12" s="86"/>
      <c r="F12" s="86">
        <v>15000</v>
      </c>
      <c r="G12" s="86"/>
      <c r="H12" s="85">
        <f t="shared" si="0"/>
        <v>-134810.02000000002</v>
      </c>
    </row>
    <row r="13" spans="1:8">
      <c r="A13" s="335">
        <v>45600</v>
      </c>
      <c r="B13" s="43" t="s">
        <v>1489</v>
      </c>
      <c r="C13" s="88"/>
      <c r="E13" s="86"/>
      <c r="F13" s="86"/>
      <c r="G13" s="86">
        <v>-206.3</v>
      </c>
      <c r="H13" s="85">
        <f t="shared" si="0"/>
        <v>-135016.32000000001</v>
      </c>
    </row>
    <row r="14" spans="1:8">
      <c r="B14" s="88" t="s">
        <v>190</v>
      </c>
      <c r="C14" s="88"/>
      <c r="E14" s="86">
        <v>-400</v>
      </c>
      <c r="F14" s="86"/>
      <c r="G14" s="86"/>
      <c r="H14" s="85">
        <f t="shared" si="0"/>
        <v>-135016.32000000001</v>
      </c>
    </row>
    <row r="15" spans="1:8">
      <c r="B15" s="88" t="s">
        <v>191</v>
      </c>
      <c r="C15" s="88"/>
      <c r="E15" s="86">
        <v>-500</v>
      </c>
      <c r="F15" s="86"/>
      <c r="G15" s="86"/>
      <c r="H15" s="85">
        <f t="shared" si="0"/>
        <v>-135016.32000000001</v>
      </c>
    </row>
    <row r="16" spans="1:8">
      <c r="A16" s="335">
        <v>45607</v>
      </c>
      <c r="B16" s="88" t="s">
        <v>1515</v>
      </c>
      <c r="E16" s="86"/>
      <c r="F16" s="86">
        <v>148500</v>
      </c>
      <c r="G16" s="86"/>
      <c r="H16" s="85">
        <f t="shared" si="0"/>
        <v>13483.679999999993</v>
      </c>
    </row>
    <row r="17" spans="1:8">
      <c r="B17" s="88"/>
      <c r="C17" s="88"/>
      <c r="E17" s="86"/>
      <c r="F17" s="86"/>
      <c r="G17" s="86"/>
      <c r="H17" s="85">
        <f t="shared" si="0"/>
        <v>13483.679999999993</v>
      </c>
    </row>
    <row r="18" spans="1:8">
      <c r="A18" s="335">
        <v>45617</v>
      </c>
      <c r="B18" s="88" t="s">
        <v>203</v>
      </c>
      <c r="C18" s="88"/>
      <c r="E18" s="86">
        <v>-150</v>
      </c>
      <c r="F18" s="86"/>
      <c r="G18" s="86">
        <v>-146</v>
      </c>
      <c r="H18" s="85">
        <f t="shared" si="0"/>
        <v>13337.679999999993</v>
      </c>
    </row>
    <row r="19" spans="1:8">
      <c r="A19" s="335">
        <v>45614</v>
      </c>
      <c r="B19" s="94" t="s">
        <v>205</v>
      </c>
      <c r="C19" s="94"/>
      <c r="E19" s="86">
        <v>-300</v>
      </c>
      <c r="F19" s="86"/>
      <c r="G19" s="86">
        <v>-850</v>
      </c>
      <c r="H19" s="85">
        <f t="shared" si="0"/>
        <v>12487.679999999993</v>
      </c>
    </row>
    <row r="20" spans="1:8">
      <c r="A20" s="335">
        <v>45614</v>
      </c>
      <c r="B20" s="94" t="s">
        <v>206</v>
      </c>
      <c r="C20" s="94"/>
      <c r="E20" s="86">
        <v>-100</v>
      </c>
      <c r="F20" s="86"/>
      <c r="G20" s="86">
        <v>-25</v>
      </c>
      <c r="H20" s="85">
        <f t="shared" ref="H20:H36" si="1">H19+F20+G20</f>
        <v>12462.679999999993</v>
      </c>
    </row>
    <row r="21" spans="1:8">
      <c r="B21" s="88"/>
      <c r="C21" s="88"/>
      <c r="E21" s="86"/>
      <c r="F21" s="86"/>
      <c r="G21" s="86"/>
      <c r="H21" s="85">
        <f t="shared" si="1"/>
        <v>12462.679999999993</v>
      </c>
    </row>
    <row r="22" spans="1:8">
      <c r="A22" s="335">
        <v>45620</v>
      </c>
      <c r="B22" s="349" t="s">
        <v>1511</v>
      </c>
      <c r="E22" s="86"/>
      <c r="F22" s="341">
        <v>35800</v>
      </c>
      <c r="G22" s="86"/>
      <c r="H22" s="85">
        <f t="shared" si="1"/>
        <v>48262.679999999993</v>
      </c>
    </row>
    <row r="23" spans="1:8">
      <c r="A23" s="335">
        <v>45623</v>
      </c>
      <c r="B23" t="s">
        <v>1506</v>
      </c>
      <c r="D23" s="343"/>
      <c r="E23" s="86">
        <v>-10000</v>
      </c>
      <c r="F23" s="86"/>
      <c r="G23" s="86">
        <v>-40000</v>
      </c>
      <c r="H23" s="85">
        <f t="shared" si="1"/>
        <v>8262.679999999993</v>
      </c>
    </row>
    <row r="24" spans="1:8">
      <c r="A24" s="335">
        <v>45625</v>
      </c>
      <c r="B24" s="348" t="s">
        <v>1443</v>
      </c>
      <c r="C24" s="348" t="s">
        <v>1450</v>
      </c>
      <c r="D24" s="343"/>
      <c r="E24" s="341">
        <v>-1380</v>
      </c>
      <c r="F24" s="86"/>
      <c r="G24" s="86"/>
      <c r="H24" s="85">
        <f t="shared" si="1"/>
        <v>8262.679999999993</v>
      </c>
    </row>
    <row r="25" spans="1:8">
      <c r="A25" s="335">
        <v>45626</v>
      </c>
      <c r="B25" s="349" t="s">
        <v>1452</v>
      </c>
      <c r="C25" s="348"/>
      <c r="D25" s="343"/>
      <c r="E25" s="341">
        <v>-1415</v>
      </c>
      <c r="F25" s="86"/>
      <c r="G25" s="86"/>
      <c r="H25" s="85">
        <f t="shared" si="1"/>
        <v>8262.679999999993</v>
      </c>
    </row>
    <row r="26" spans="1:8">
      <c r="A26" s="335">
        <v>45626</v>
      </c>
      <c r="B26" s="349" t="s">
        <v>1453</v>
      </c>
      <c r="C26" s="348"/>
      <c r="D26" s="343"/>
      <c r="E26" s="341">
        <v>-141.5</v>
      </c>
      <c r="F26" s="86"/>
      <c r="G26" s="86"/>
      <c r="H26" s="85">
        <f t="shared" si="1"/>
        <v>8262.679999999993</v>
      </c>
    </row>
    <row r="27" spans="1:8">
      <c r="E27" s="86"/>
      <c r="F27" s="86"/>
      <c r="G27" s="86"/>
      <c r="H27" s="85">
        <f t="shared" si="1"/>
        <v>8262.679999999993</v>
      </c>
    </row>
    <row r="28" spans="1:8">
      <c r="B28" t="s">
        <v>1514</v>
      </c>
      <c r="E28" s="86"/>
      <c r="F28" s="86"/>
      <c r="G28" s="86">
        <v>-5000</v>
      </c>
      <c r="H28" s="85">
        <f t="shared" si="1"/>
        <v>3262.679999999993</v>
      </c>
    </row>
    <row r="29" spans="1:8">
      <c r="B29" t="s">
        <v>80</v>
      </c>
      <c r="E29" s="86">
        <v>-6500</v>
      </c>
      <c r="F29" s="86"/>
      <c r="G29" s="86">
        <v>-6511</v>
      </c>
      <c r="H29" s="85">
        <f t="shared" si="1"/>
        <v>-3248.320000000007</v>
      </c>
    </row>
    <row r="30" spans="1:8">
      <c r="B30" t="s">
        <v>1513</v>
      </c>
      <c r="E30" s="86"/>
      <c r="F30" s="86"/>
      <c r="G30" s="86">
        <v>-5000</v>
      </c>
      <c r="H30" s="85">
        <f t="shared" si="1"/>
        <v>-8248.320000000007</v>
      </c>
    </row>
    <row r="31" spans="1:8">
      <c r="B31" t="s">
        <v>168</v>
      </c>
      <c r="E31" s="86">
        <v>-6500</v>
      </c>
      <c r="F31" s="86"/>
      <c r="G31" s="86">
        <v>-6511</v>
      </c>
      <c r="H31" s="85">
        <f t="shared" si="1"/>
        <v>-14759.320000000007</v>
      </c>
    </row>
    <row r="32" spans="1:8">
      <c r="B32" t="s">
        <v>212</v>
      </c>
      <c r="E32" s="86">
        <v>-6500</v>
      </c>
      <c r="F32" s="86"/>
      <c r="G32" s="86">
        <v>-6500</v>
      </c>
      <c r="H32" s="85">
        <f t="shared" si="1"/>
        <v>-21259.320000000007</v>
      </c>
    </row>
    <row r="33" spans="1:8">
      <c r="H33" s="85">
        <f t="shared" si="1"/>
        <v>-21259.320000000007</v>
      </c>
    </row>
    <row r="34" spans="1:8">
      <c r="B34" t="s">
        <v>213</v>
      </c>
      <c r="D34" s="86">
        <v>12984.15</v>
      </c>
      <c r="F34" s="85">
        <v>13006.38</v>
      </c>
      <c r="H34" s="85">
        <f t="shared" si="1"/>
        <v>-8252.9400000000078</v>
      </c>
    </row>
    <row r="35" spans="1:8">
      <c r="A35" s="97"/>
      <c r="B35" s="348" t="s">
        <v>237</v>
      </c>
      <c r="C35" s="348"/>
      <c r="D35" s="343">
        <v>15000</v>
      </c>
      <c r="H35" s="85">
        <f t="shared" si="1"/>
        <v>-8252.9400000000078</v>
      </c>
    </row>
    <row r="36" spans="1:8">
      <c r="B36" s="348" t="s">
        <v>238</v>
      </c>
      <c r="C36" s="356">
        <v>0.234011</v>
      </c>
      <c r="D36" s="343">
        <v>250000</v>
      </c>
      <c r="H36" s="85">
        <f t="shared" si="1"/>
        <v>-8252.9400000000078</v>
      </c>
    </row>
    <row r="38" spans="1:8" ht="15.75">
      <c r="B38" s="99"/>
    </row>
    <row r="40" spans="1:8">
      <c r="B40" t="s">
        <v>216</v>
      </c>
    </row>
    <row r="41" spans="1:8">
      <c r="A41" s="78" t="s">
        <v>217</v>
      </c>
      <c r="B41" s="78"/>
      <c r="C41" s="78"/>
    </row>
    <row r="42" spans="1:8">
      <c r="A42" s="97"/>
      <c r="C42" s="98"/>
    </row>
    <row r="43" spans="1:8">
      <c r="A43" s="100">
        <v>44929</v>
      </c>
      <c r="B43" s="101" t="s">
        <v>218</v>
      </c>
      <c r="C43" s="78"/>
      <c r="D43" s="85">
        <f>SUM(D44:D49)</f>
        <v>0</v>
      </c>
      <c r="E43" s="85">
        <f>SUM(E44:E49)</f>
        <v>0</v>
      </c>
    </row>
    <row r="44" spans="1:8">
      <c r="A44" s="97"/>
      <c r="B44" s="94" t="s">
        <v>219</v>
      </c>
    </row>
    <row r="45" spans="1:8">
      <c r="B45" t="s">
        <v>220</v>
      </c>
    </row>
    <row r="46" spans="1:8">
      <c r="B46" t="s">
        <v>221</v>
      </c>
    </row>
    <row r="47" spans="1:8">
      <c r="B47" t="s">
        <v>222</v>
      </c>
    </row>
    <row r="48" spans="1:8">
      <c r="B48" t="s">
        <v>223</v>
      </c>
    </row>
    <row r="49" spans="1:5">
      <c r="B49" t="s">
        <v>224</v>
      </c>
      <c r="C49" s="94"/>
    </row>
    <row r="50" spans="1:5">
      <c r="C50" s="94"/>
    </row>
    <row r="52" spans="1:5">
      <c r="B52" s="13"/>
    </row>
    <row r="53" spans="1:5">
      <c r="B53" s="102"/>
    </row>
    <row r="54" spans="1:5">
      <c r="A54" s="78"/>
      <c r="B54" s="77" t="s">
        <v>225</v>
      </c>
      <c r="C54" s="78"/>
      <c r="E54" s="85">
        <f>SUM(E55:E66)</f>
        <v>-1797.26</v>
      </c>
    </row>
    <row r="56" spans="1:5">
      <c r="A56" s="20">
        <v>45373</v>
      </c>
      <c r="B56" t="s">
        <v>226</v>
      </c>
      <c r="C56">
        <v>10176.39</v>
      </c>
      <c r="D56" s="85" t="s">
        <v>239</v>
      </c>
      <c r="E56" s="85">
        <v>-1130.71</v>
      </c>
    </row>
    <row r="57" spans="1:5">
      <c r="A57" s="20">
        <v>45375</v>
      </c>
      <c r="B57" t="s">
        <v>228</v>
      </c>
      <c r="C57">
        <v>5999</v>
      </c>
      <c r="D57" s="85" t="s">
        <v>240</v>
      </c>
      <c r="E57" s="85">
        <v>-666.55</v>
      </c>
    </row>
    <row r="58" spans="1:5">
      <c r="A58" s="20"/>
    </row>
    <row r="59" spans="1:5" ht="15">
      <c r="D59" s="108" t="s">
        <v>278</v>
      </c>
    </row>
    <row r="61" spans="1:5">
      <c r="A61" s="97"/>
      <c r="B61" s="94"/>
      <c r="C61" s="94"/>
    </row>
    <row r="62" spans="1:5">
      <c r="A62" s="97"/>
      <c r="B62" s="94"/>
      <c r="C62" s="94"/>
    </row>
    <row r="63" spans="1:5">
      <c r="A63" s="97"/>
      <c r="B63" s="103"/>
      <c r="C63" s="94"/>
    </row>
    <row r="64" spans="1:5">
      <c r="A64" s="97"/>
      <c r="B64" s="103"/>
      <c r="C64" s="94"/>
    </row>
    <row r="65" spans="1:5">
      <c r="A65" s="97"/>
      <c r="B65" s="103"/>
    </row>
    <row r="66" spans="1:5">
      <c r="A66" s="97"/>
      <c r="B66" s="103"/>
      <c r="C66" s="94"/>
    </row>
    <row r="67" spans="1:5">
      <c r="A67" s="97"/>
      <c r="B67" s="3"/>
    </row>
    <row r="68" spans="1:5">
      <c r="A68" s="97"/>
      <c r="B68" s="94"/>
      <c r="C68" s="94"/>
    </row>
    <row r="69" spans="1:5">
      <c r="A69" s="78"/>
      <c r="B69" s="77" t="s">
        <v>229</v>
      </c>
      <c r="C69" s="78"/>
      <c r="E69" s="85">
        <f>SUM(E70:E101)</f>
        <v>-129000.63</v>
      </c>
    </row>
    <row r="70" spans="1:5">
      <c r="A70" s="97"/>
      <c r="B70" s="94"/>
      <c r="C70" s="94"/>
    </row>
    <row r="71" spans="1:5">
      <c r="A71" s="97">
        <v>45560</v>
      </c>
      <c r="B71" s="94" t="s">
        <v>243</v>
      </c>
      <c r="C71" s="94"/>
      <c r="E71" s="85">
        <v>-118966.5</v>
      </c>
    </row>
    <row r="72" spans="1:5">
      <c r="A72" s="97"/>
      <c r="B72" s="94" t="s">
        <v>243</v>
      </c>
      <c r="C72" s="94"/>
      <c r="E72" s="85">
        <v>-277.72000000000003</v>
      </c>
    </row>
    <row r="73" spans="1:5">
      <c r="A73" s="97"/>
      <c r="B73" s="3" t="s">
        <v>1490</v>
      </c>
      <c r="C73" s="94"/>
      <c r="E73" s="85">
        <v>-1398.6</v>
      </c>
    </row>
    <row r="74" spans="1:5">
      <c r="A74" s="97"/>
      <c r="B74" s="3" t="s">
        <v>1491</v>
      </c>
      <c r="C74" s="94"/>
      <c r="E74" s="85">
        <v>-1855</v>
      </c>
    </row>
    <row r="75" spans="1:5">
      <c r="A75" s="97"/>
      <c r="B75" s="3"/>
      <c r="C75" s="94"/>
    </row>
    <row r="76" spans="1:5">
      <c r="A76" s="97"/>
      <c r="B76" s="3" t="s">
        <v>1492</v>
      </c>
      <c r="C76" s="94"/>
      <c r="E76" s="85">
        <v>-480</v>
      </c>
    </row>
    <row r="77" spans="1:5">
      <c r="A77" s="97"/>
      <c r="B77" s="3" t="s">
        <v>1493</v>
      </c>
      <c r="C77" s="94"/>
      <c r="E77" s="85">
        <v>-147.80000000000001</v>
      </c>
    </row>
    <row r="78" spans="1:5">
      <c r="A78" s="97"/>
      <c r="B78" s="3" t="s">
        <v>1493</v>
      </c>
      <c r="C78" s="94">
        <v>17.59</v>
      </c>
      <c r="E78" s="85">
        <v>-17.59</v>
      </c>
    </row>
    <row r="79" spans="1:5">
      <c r="A79" s="97"/>
      <c r="B79" s="3" t="s">
        <v>1494</v>
      </c>
      <c r="C79" s="94">
        <v>330</v>
      </c>
      <c r="E79" s="85">
        <v>-330</v>
      </c>
    </row>
    <row r="80" spans="1:5">
      <c r="A80" s="97"/>
      <c r="B80" s="3" t="s">
        <v>1495</v>
      </c>
      <c r="C80" s="94">
        <v>-130</v>
      </c>
      <c r="E80" s="85">
        <v>-130</v>
      </c>
    </row>
    <row r="81" spans="1:5">
      <c r="A81" s="97"/>
      <c r="B81" s="3" t="s">
        <v>93</v>
      </c>
      <c r="C81" s="94"/>
      <c r="D81" s="85">
        <v>71389.3</v>
      </c>
    </row>
    <row r="82" spans="1:5">
      <c r="A82" s="97"/>
      <c r="B82" s="3" t="s">
        <v>1496</v>
      </c>
      <c r="C82" s="94"/>
      <c r="E82" s="85">
        <v>-140</v>
      </c>
    </row>
    <row r="83" spans="1:5">
      <c r="A83" s="97"/>
      <c r="B83" s="3" t="s">
        <v>1494</v>
      </c>
      <c r="C83" s="94">
        <v>750</v>
      </c>
      <c r="E83" s="85">
        <v>-750</v>
      </c>
    </row>
    <row r="84" spans="1:5">
      <c r="A84" s="97"/>
      <c r="B84" s="3" t="s">
        <v>1493</v>
      </c>
      <c r="C84" s="94"/>
      <c r="E84" s="85">
        <v>-253.55</v>
      </c>
    </row>
    <row r="85" spans="1:5">
      <c r="A85" s="97"/>
      <c r="B85" s="3" t="s">
        <v>1497</v>
      </c>
      <c r="C85" s="94"/>
      <c r="E85" s="85">
        <v>-250</v>
      </c>
    </row>
    <row r="86" spans="1:5">
      <c r="A86" s="97"/>
      <c r="B86" s="3" t="s">
        <v>1498</v>
      </c>
      <c r="C86" s="94"/>
      <c r="E86" s="85">
        <v>-400</v>
      </c>
    </row>
    <row r="87" spans="1:5">
      <c r="A87" s="97"/>
      <c r="B87" s="3" t="s">
        <v>1498</v>
      </c>
      <c r="C87" s="94"/>
      <c r="E87" s="85">
        <v>-100</v>
      </c>
    </row>
    <row r="88" spans="1:5">
      <c r="A88" s="97"/>
      <c r="B88" s="3" t="s">
        <v>1493</v>
      </c>
      <c r="C88" s="94"/>
      <c r="E88" s="85">
        <v>-68.5</v>
      </c>
    </row>
    <row r="89" spans="1:5">
      <c r="A89" s="97"/>
      <c r="B89" s="3" t="s">
        <v>1493</v>
      </c>
      <c r="C89" s="94">
        <v>43.13</v>
      </c>
      <c r="E89" s="85">
        <v>-43.13</v>
      </c>
    </row>
    <row r="90" spans="1:5">
      <c r="A90" s="97"/>
      <c r="B90" s="3" t="s">
        <v>1494</v>
      </c>
      <c r="C90" s="94">
        <v>235</v>
      </c>
      <c r="E90" s="85">
        <v>-235</v>
      </c>
    </row>
    <row r="91" spans="1:5">
      <c r="A91" s="97"/>
      <c r="B91" s="3" t="s">
        <v>1495</v>
      </c>
      <c r="C91" s="94">
        <v>375</v>
      </c>
      <c r="E91" s="85">
        <v>-375</v>
      </c>
    </row>
    <row r="92" spans="1:5">
      <c r="A92" s="97"/>
      <c r="B92" s="3" t="s">
        <v>1493</v>
      </c>
      <c r="C92" s="94">
        <v>79.84</v>
      </c>
      <c r="E92" s="85">
        <v>-79.84</v>
      </c>
    </row>
    <row r="93" spans="1:5">
      <c r="A93" s="97"/>
      <c r="B93" s="3" t="s">
        <v>1494</v>
      </c>
      <c r="C93" s="94">
        <v>235</v>
      </c>
      <c r="E93" s="85">
        <v>-235</v>
      </c>
    </row>
    <row r="94" spans="1:5">
      <c r="A94" s="97"/>
      <c r="B94" s="3" t="s">
        <v>1495</v>
      </c>
      <c r="C94" s="94">
        <v>210</v>
      </c>
      <c r="E94" s="85">
        <v>-210</v>
      </c>
    </row>
    <row r="95" spans="1:5">
      <c r="A95" s="97"/>
      <c r="B95" s="3" t="s">
        <v>1493</v>
      </c>
      <c r="C95" s="94"/>
      <c r="E95" s="85">
        <v>-112.3</v>
      </c>
    </row>
    <row r="96" spans="1:5">
      <c r="A96" s="97"/>
      <c r="B96" s="3" t="s">
        <v>1498</v>
      </c>
      <c r="C96" s="94"/>
      <c r="E96" s="85">
        <v>-230</v>
      </c>
    </row>
    <row r="97" spans="1:5">
      <c r="A97" s="97"/>
      <c r="B97" s="3" t="s">
        <v>1493</v>
      </c>
      <c r="C97" s="94"/>
      <c r="E97" s="85">
        <v>-187.2</v>
      </c>
    </row>
    <row r="98" spans="1:5">
      <c r="A98" s="97"/>
      <c r="B98" s="3" t="s">
        <v>1499</v>
      </c>
      <c r="C98" s="94">
        <v>1062.9000000000001</v>
      </c>
      <c r="E98" s="85">
        <v>-1062.9000000000001</v>
      </c>
    </row>
    <row r="99" spans="1:5">
      <c r="A99" s="97"/>
      <c r="B99" s="3" t="s">
        <v>1500</v>
      </c>
      <c r="C99" s="94"/>
      <c r="E99" s="85">
        <v>-240</v>
      </c>
    </row>
    <row r="100" spans="1:5">
      <c r="A100" s="97"/>
      <c r="B100" s="3" t="s">
        <v>1501</v>
      </c>
      <c r="C100" s="94"/>
      <c r="E100" s="85">
        <v>-280</v>
      </c>
    </row>
    <row r="101" spans="1:5">
      <c r="B101" s="3" t="s">
        <v>1495</v>
      </c>
      <c r="C101">
        <v>145</v>
      </c>
      <c r="E101" s="85">
        <v>-145</v>
      </c>
    </row>
    <row r="102" spans="1:5" ht="15">
      <c r="C102">
        <f>SUM(C77:C101)</f>
        <v>3353.4599999999996</v>
      </c>
      <c r="D102" s="108" t="s">
        <v>278</v>
      </c>
    </row>
    <row r="111" spans="1:5">
      <c r="A111" s="76" t="s">
        <v>1541</v>
      </c>
      <c r="B111" s="77" t="s">
        <v>167</v>
      </c>
      <c r="C111" s="78">
        <v>2024</v>
      </c>
      <c r="D111" s="79"/>
      <c r="E111" s="80">
        <f>SUM(E112:E133)</f>
        <v>695352.38</v>
      </c>
    </row>
    <row r="112" spans="1:5">
      <c r="A112" s="81">
        <v>45595</v>
      </c>
      <c r="B112" t="s">
        <v>80</v>
      </c>
      <c r="C112" s="2"/>
      <c r="D112" s="2"/>
      <c r="E112" s="2">
        <v>0</v>
      </c>
    </row>
    <row r="113" spans="1:5">
      <c r="A113" s="81">
        <f t="shared" ref="A113:A133" si="2">A112</f>
        <v>45595</v>
      </c>
      <c r="B113" t="s">
        <v>302</v>
      </c>
      <c r="C113" s="2"/>
      <c r="D113" s="2"/>
      <c r="E113" s="2">
        <v>0</v>
      </c>
    </row>
    <row r="114" spans="1:5">
      <c r="A114" s="81"/>
      <c r="B114" t="s">
        <v>1542</v>
      </c>
      <c r="C114" s="2"/>
      <c r="D114" s="2"/>
      <c r="E114" s="2">
        <v>329500</v>
      </c>
    </row>
    <row r="115" spans="1:5">
      <c r="A115" s="81">
        <f>A113</f>
        <v>45595</v>
      </c>
      <c r="B115" t="s">
        <v>1432</v>
      </c>
      <c r="C115" s="2"/>
      <c r="D115" s="2"/>
      <c r="E115" s="13">
        <v>6923</v>
      </c>
    </row>
    <row r="116" spans="1:5">
      <c r="A116" s="81">
        <f>A113</f>
        <v>45595</v>
      </c>
      <c r="B116" t="s">
        <v>1438</v>
      </c>
      <c r="C116" s="2">
        <v>40</v>
      </c>
      <c r="D116" s="111">
        <v>830</v>
      </c>
      <c r="E116" s="13">
        <f t="shared" ref="E116:E124" si="3">D116*C116</f>
        <v>33200</v>
      </c>
    </row>
    <row r="117" spans="1:5">
      <c r="A117" s="81">
        <f>A122</f>
        <v>45595</v>
      </c>
      <c r="B117" t="s">
        <v>308</v>
      </c>
      <c r="C117" s="2">
        <v>4000</v>
      </c>
      <c r="D117" s="2">
        <v>30.96</v>
      </c>
      <c r="E117" s="13">
        <f t="shared" si="3"/>
        <v>123840</v>
      </c>
    </row>
    <row r="118" spans="1:5">
      <c r="A118" s="81">
        <f>A115</f>
        <v>45595</v>
      </c>
      <c r="B118" t="s">
        <v>1439</v>
      </c>
      <c r="C118" s="112">
        <v>125000</v>
      </c>
      <c r="D118" s="111">
        <v>0.77971599999999996</v>
      </c>
      <c r="E118" s="13">
        <f t="shared" si="3"/>
        <v>97464.5</v>
      </c>
    </row>
    <row r="119" spans="1:5">
      <c r="A119" s="81">
        <f>A116</f>
        <v>45595</v>
      </c>
      <c r="B119" t="s">
        <v>1440</v>
      </c>
      <c r="C119" s="2">
        <v>10</v>
      </c>
      <c r="D119" s="2">
        <v>103.7</v>
      </c>
      <c r="E119" s="13">
        <f t="shared" si="3"/>
        <v>1037</v>
      </c>
    </row>
    <row r="120" spans="1:5">
      <c r="A120" s="81">
        <f t="shared" si="2"/>
        <v>45595</v>
      </c>
      <c r="B120" t="s">
        <v>1441</v>
      </c>
      <c r="C120" s="2">
        <v>38</v>
      </c>
      <c r="D120" s="2">
        <v>21.42</v>
      </c>
      <c r="E120" s="13">
        <f t="shared" si="3"/>
        <v>813.96</v>
      </c>
    </row>
    <row r="121" spans="1:5">
      <c r="A121" s="81">
        <f t="shared" si="2"/>
        <v>45595</v>
      </c>
      <c r="B121" t="s">
        <v>1442</v>
      </c>
      <c r="C121" s="2">
        <v>26</v>
      </c>
      <c r="D121" s="2">
        <v>25.92</v>
      </c>
      <c r="E121" s="13">
        <f t="shared" si="3"/>
        <v>673.92000000000007</v>
      </c>
    </row>
    <row r="122" spans="1:5">
      <c r="A122" s="81">
        <f t="shared" si="2"/>
        <v>45595</v>
      </c>
      <c r="B122" t="s">
        <v>179</v>
      </c>
      <c r="C122" s="2"/>
      <c r="D122" s="2"/>
      <c r="E122" s="13">
        <f t="shared" si="3"/>
        <v>0</v>
      </c>
    </row>
    <row r="123" spans="1:5">
      <c r="E123" s="13">
        <f t="shared" si="3"/>
        <v>0</v>
      </c>
    </row>
    <row r="124" spans="1:5">
      <c r="A124" s="81">
        <f>A117</f>
        <v>45595</v>
      </c>
      <c r="C124" s="2"/>
      <c r="D124" s="2"/>
      <c r="E124" s="13">
        <f t="shared" si="3"/>
        <v>0</v>
      </c>
    </row>
    <row r="125" spans="1:5">
      <c r="A125" s="81">
        <f t="shared" si="2"/>
        <v>45595</v>
      </c>
      <c r="C125" s="2"/>
      <c r="D125" s="2"/>
      <c r="E125" s="13">
        <f t="shared" ref="E119:E133" si="4">D125*C125</f>
        <v>0</v>
      </c>
    </row>
    <row r="126" spans="1:5">
      <c r="A126" s="81">
        <f t="shared" si="2"/>
        <v>45595</v>
      </c>
      <c r="B126" t="s">
        <v>1433</v>
      </c>
      <c r="C126" s="2">
        <v>2900</v>
      </c>
      <c r="D126" s="2">
        <v>1</v>
      </c>
      <c r="E126" s="13">
        <f>D126*C126</f>
        <v>2900</v>
      </c>
    </row>
    <row r="127" spans="1:5">
      <c r="A127" s="81">
        <f t="shared" si="2"/>
        <v>45595</v>
      </c>
      <c r="B127" t="s">
        <v>1436</v>
      </c>
      <c r="C127" s="2">
        <v>4900</v>
      </c>
      <c r="D127" s="2">
        <v>16</v>
      </c>
      <c r="E127" s="13">
        <f>D127*C127</f>
        <v>78400</v>
      </c>
    </row>
    <row r="128" spans="1:5">
      <c r="A128" s="81">
        <f t="shared" si="2"/>
        <v>45595</v>
      </c>
      <c r="B128" t="s">
        <v>1437</v>
      </c>
      <c r="C128" s="2">
        <v>19600</v>
      </c>
      <c r="D128" s="2">
        <v>1</v>
      </c>
      <c r="E128" s="13">
        <f>D128*C128</f>
        <v>19600</v>
      </c>
    </row>
    <row r="129" spans="1:5">
      <c r="A129" s="81">
        <f t="shared" si="2"/>
        <v>45595</v>
      </c>
      <c r="C129" s="2"/>
      <c r="D129" s="2"/>
      <c r="E129" s="13"/>
    </row>
    <row r="130" spans="1:5">
      <c r="A130" s="81">
        <f>A126</f>
        <v>45595</v>
      </c>
      <c r="B130" t="s">
        <v>1435</v>
      </c>
      <c r="C130" s="336">
        <v>33.250599999999999</v>
      </c>
      <c r="D130" s="2">
        <v>0</v>
      </c>
      <c r="E130" s="13"/>
    </row>
    <row r="131" spans="1:5">
      <c r="A131" s="81">
        <f t="shared" si="2"/>
        <v>45595</v>
      </c>
      <c r="B131" t="s">
        <v>1434</v>
      </c>
      <c r="C131" s="336">
        <v>36.854999999999997</v>
      </c>
      <c r="D131" s="2">
        <v>0</v>
      </c>
      <c r="E131" s="13">
        <f t="shared" si="4"/>
        <v>0</v>
      </c>
    </row>
    <row r="132" spans="1:5">
      <c r="A132" s="81">
        <f t="shared" si="2"/>
        <v>45595</v>
      </c>
      <c r="B132" t="s">
        <v>183</v>
      </c>
      <c r="C132" s="2"/>
      <c r="D132" s="2"/>
      <c r="E132" s="13">
        <v>0</v>
      </c>
    </row>
    <row r="133" spans="1:5">
      <c r="A133" s="81">
        <f t="shared" si="2"/>
        <v>45595</v>
      </c>
      <c r="B133" t="s">
        <v>90</v>
      </c>
      <c r="C133" s="2"/>
      <c r="D133" s="2"/>
      <c r="E133" s="13">
        <v>1000</v>
      </c>
    </row>
    <row r="134" spans="1:5">
      <c r="E134" s="113"/>
    </row>
    <row r="135" spans="1:5">
      <c r="C135" s="110"/>
      <c r="D135" s="3"/>
      <c r="E135" s="110"/>
    </row>
    <row r="136" spans="1:5">
      <c r="C136" s="110"/>
      <c r="D136" s="70" t="s">
        <v>185</v>
      </c>
      <c r="E136" s="8">
        <f>SUM(E112:E133)</f>
        <v>695352.38</v>
      </c>
    </row>
    <row r="137" spans="1:5">
      <c r="C137" s="114" t="str">
        <f>A111</f>
        <v>KASIMa</v>
      </c>
      <c r="D137" s="115" t="s">
        <v>184</v>
      </c>
      <c r="E137" s="116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H137"/>
  <sheetViews>
    <sheetView zoomScale="145" zoomScaleNormal="145" workbookViewId="0">
      <selection activeCell="C126" sqref="C126:C12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1483</v>
      </c>
      <c r="C2" s="87" t="s">
        <v>187</v>
      </c>
      <c r="D2" s="85">
        <f>SUM(D4:D35)</f>
        <v>27984.15</v>
      </c>
      <c r="E2" s="85">
        <f>SUM(E4:E35)</f>
        <v>-126233.26999999999</v>
      </c>
      <c r="F2" s="85">
        <f>SUM(F4:F35)</f>
        <v>64006.38</v>
      </c>
      <c r="G2" s="85">
        <f>SUM(G4:G35)</f>
        <v>-123041.59000000001</v>
      </c>
      <c r="H2" s="85">
        <f>F2+G2</f>
        <v>-59035.210000000014</v>
      </c>
    </row>
    <row r="3" spans="1:8">
      <c r="B3" s="70"/>
    </row>
    <row r="4" spans="1:8">
      <c r="B4" s="43"/>
      <c r="H4" s="85">
        <f>H3+F4+G4</f>
        <v>0</v>
      </c>
    </row>
    <row r="5" spans="1:8">
      <c r="B5" s="88" t="s">
        <v>241</v>
      </c>
      <c r="C5" s="88" t="s">
        <v>192</v>
      </c>
      <c r="D5" s="86"/>
      <c r="E5" s="86">
        <v>-250</v>
      </c>
      <c r="F5" s="86"/>
      <c r="G5" s="86"/>
      <c r="H5" s="85">
        <f t="shared" ref="H5:H25" si="0">H4+F5+G5</f>
        <v>0</v>
      </c>
    </row>
    <row r="6" spans="1:8">
      <c r="A6" s="335">
        <v>45568</v>
      </c>
      <c r="B6" s="88" t="s">
        <v>211</v>
      </c>
      <c r="C6" s="88"/>
      <c r="D6" s="86"/>
      <c r="E6" s="86">
        <v>-1500</v>
      </c>
      <c r="F6" s="86"/>
      <c r="G6" s="86">
        <v>-1513.12</v>
      </c>
      <c r="H6" s="85">
        <f t="shared" si="0"/>
        <v>-1513.12</v>
      </c>
    </row>
    <row r="7" spans="1:8">
      <c r="A7" s="96">
        <v>45569</v>
      </c>
      <c r="B7" s="104" t="s">
        <v>209</v>
      </c>
      <c r="D7" s="86"/>
      <c r="E7" s="86">
        <f>E66</f>
        <v>-71389.3</v>
      </c>
      <c r="F7" s="86"/>
      <c r="G7" s="86">
        <v>-71389.3</v>
      </c>
      <c r="H7" s="85">
        <f t="shared" si="0"/>
        <v>-72902.42</v>
      </c>
    </row>
    <row r="8" spans="1:8">
      <c r="A8" s="335">
        <v>45572</v>
      </c>
      <c r="B8" s="104" t="s">
        <v>208</v>
      </c>
      <c r="D8" s="86"/>
      <c r="E8" s="86">
        <f>E51</f>
        <v>-3066.5699999999997</v>
      </c>
      <c r="F8" s="86"/>
      <c r="G8" s="86">
        <v>-3066.57</v>
      </c>
      <c r="H8" s="85">
        <f t="shared" si="0"/>
        <v>-75968.990000000005</v>
      </c>
    </row>
    <row r="9" spans="1:8">
      <c r="B9" s="104" t="s">
        <v>207</v>
      </c>
      <c r="D9" s="86"/>
      <c r="E9" s="86">
        <f>E46*-1</f>
        <v>0</v>
      </c>
      <c r="F9" s="86"/>
      <c r="G9" s="86">
        <v>0</v>
      </c>
      <c r="H9" s="85">
        <f t="shared" si="0"/>
        <v>-75968.990000000005</v>
      </c>
    </row>
    <row r="10" spans="1:8">
      <c r="A10" s="335">
        <v>45573</v>
      </c>
      <c r="B10" s="88" t="s">
        <v>242</v>
      </c>
      <c r="C10" s="88"/>
      <c r="D10" s="86"/>
      <c r="E10" s="86">
        <v>-17500</v>
      </c>
      <c r="F10" s="86"/>
      <c r="G10" s="86">
        <v>-17500</v>
      </c>
      <c r="H10" s="85">
        <f t="shared" si="0"/>
        <v>-93468.99</v>
      </c>
    </row>
    <row r="11" spans="1:8">
      <c r="A11" s="335">
        <v>45573</v>
      </c>
      <c r="B11" s="88" t="s">
        <v>1480</v>
      </c>
      <c r="C11" s="88"/>
      <c r="D11" s="86"/>
      <c r="E11" s="86"/>
      <c r="F11" s="86"/>
      <c r="G11" s="86">
        <v>-7080.3</v>
      </c>
      <c r="H11" s="85">
        <f t="shared" si="0"/>
        <v>-100549.29000000001</v>
      </c>
    </row>
    <row r="12" spans="1:8">
      <c r="A12" s="335">
        <v>45574</v>
      </c>
      <c r="B12" s="339" t="s">
        <v>248</v>
      </c>
      <c r="C12" s="88" t="s">
        <v>888</v>
      </c>
      <c r="E12" s="86"/>
      <c r="F12" s="86">
        <v>15000</v>
      </c>
      <c r="H12" s="85">
        <f t="shared" si="0"/>
        <v>-85549.290000000008</v>
      </c>
    </row>
    <row r="13" spans="1:8">
      <c r="B13" s="88"/>
      <c r="C13" s="88"/>
      <c r="E13" s="86"/>
      <c r="H13" s="85">
        <f t="shared" si="0"/>
        <v>-85549.290000000008</v>
      </c>
    </row>
    <row r="14" spans="1:8">
      <c r="A14" s="335">
        <v>45580</v>
      </c>
      <c r="B14" s="349" t="s">
        <v>1509</v>
      </c>
      <c r="C14" s="88"/>
      <c r="E14" s="86"/>
      <c r="F14" s="85">
        <v>30000</v>
      </c>
      <c r="H14" s="85">
        <f t="shared" si="0"/>
        <v>-55549.290000000008</v>
      </c>
    </row>
    <row r="15" spans="1:8">
      <c r="A15" s="335">
        <v>45595</v>
      </c>
      <c r="B15" s="88" t="s">
        <v>190</v>
      </c>
      <c r="C15" s="88"/>
      <c r="D15" s="86"/>
      <c r="E15" s="86">
        <v>-400</v>
      </c>
      <c r="F15" s="86"/>
      <c r="G15" s="86">
        <v>-435</v>
      </c>
      <c r="H15" s="85">
        <f t="shared" si="0"/>
        <v>-55984.290000000008</v>
      </c>
    </row>
    <row r="16" spans="1:8">
      <c r="A16" s="335">
        <v>45595</v>
      </c>
      <c r="B16" s="88" t="s">
        <v>191</v>
      </c>
      <c r="C16" s="88"/>
      <c r="D16" s="86"/>
      <c r="E16" s="86">
        <v>-500</v>
      </c>
      <c r="F16" s="86"/>
      <c r="G16" s="86">
        <v>-785</v>
      </c>
      <c r="H16" s="85">
        <f t="shared" si="0"/>
        <v>-56769.290000000008</v>
      </c>
    </row>
    <row r="17" spans="1:8">
      <c r="A17" s="335">
        <v>45579</v>
      </c>
      <c r="B17" s="88" t="s">
        <v>1488</v>
      </c>
      <c r="D17" s="86"/>
      <c r="E17" s="86"/>
      <c r="F17" s="86"/>
      <c r="G17" s="86">
        <v>-65</v>
      </c>
      <c r="H17" s="85">
        <f t="shared" si="0"/>
        <v>-56834.290000000008</v>
      </c>
    </row>
    <row r="18" spans="1:8">
      <c r="B18" s="88" t="s">
        <v>203</v>
      </c>
      <c r="C18" s="88" t="s">
        <v>204</v>
      </c>
      <c r="D18" s="86"/>
      <c r="E18" s="86">
        <v>-150</v>
      </c>
      <c r="F18" s="86"/>
      <c r="G18" s="86"/>
      <c r="H18" s="85">
        <f t="shared" si="0"/>
        <v>-56834.290000000008</v>
      </c>
    </row>
    <row r="19" spans="1:8">
      <c r="A19" s="335">
        <v>45582</v>
      </c>
      <c r="B19" s="94" t="s">
        <v>205</v>
      </c>
      <c r="C19" s="94" t="s">
        <v>204</v>
      </c>
      <c r="D19" s="86"/>
      <c r="E19" s="86">
        <v>-300</v>
      </c>
      <c r="F19" s="86"/>
      <c r="G19" s="86">
        <v>-78</v>
      </c>
      <c r="H19" s="85">
        <f t="shared" si="0"/>
        <v>-56912.290000000008</v>
      </c>
    </row>
    <row r="20" spans="1:8">
      <c r="A20" s="335">
        <v>45582</v>
      </c>
      <c r="B20" s="94" t="s">
        <v>206</v>
      </c>
      <c r="C20" s="94" t="s">
        <v>204</v>
      </c>
      <c r="D20" s="86"/>
      <c r="E20" s="86">
        <v>-100</v>
      </c>
      <c r="F20" s="86"/>
      <c r="G20" s="86">
        <v>-43</v>
      </c>
      <c r="H20" s="85">
        <f t="shared" si="0"/>
        <v>-56955.290000000008</v>
      </c>
    </row>
    <row r="21" spans="1:8">
      <c r="B21" s="88"/>
      <c r="C21" s="88"/>
      <c r="D21" s="86"/>
      <c r="E21" s="86"/>
      <c r="F21" s="86"/>
      <c r="G21" s="86"/>
      <c r="H21" s="85">
        <f t="shared" si="0"/>
        <v>-56955.290000000008</v>
      </c>
    </row>
    <row r="22" spans="1:8">
      <c r="B22" t="s">
        <v>1502</v>
      </c>
      <c r="C22" s="86"/>
      <c r="E22" s="86"/>
      <c r="F22" s="86"/>
      <c r="G22" s="86"/>
      <c r="H22" s="85">
        <f t="shared" si="0"/>
        <v>-56955.290000000008</v>
      </c>
    </row>
    <row r="23" spans="1:8">
      <c r="A23" s="335">
        <v>45594</v>
      </c>
      <c r="B23" t="s">
        <v>1443</v>
      </c>
      <c r="C23" t="s">
        <v>1451</v>
      </c>
      <c r="D23" s="86" t="s">
        <v>1504</v>
      </c>
      <c r="E23" s="86">
        <v>-1380</v>
      </c>
      <c r="F23" s="86"/>
      <c r="G23" s="86">
        <v>-1380</v>
      </c>
      <c r="H23" s="85">
        <f t="shared" si="0"/>
        <v>-58335.290000000008</v>
      </c>
    </row>
    <row r="24" spans="1:8">
      <c r="A24" s="335">
        <v>45595</v>
      </c>
      <c r="B24" t="s">
        <v>1128</v>
      </c>
      <c r="D24" s="86"/>
      <c r="E24" s="86">
        <v>-197.4</v>
      </c>
      <c r="F24" s="86"/>
      <c r="G24" s="86">
        <v>-206.3</v>
      </c>
      <c r="H24" s="85">
        <f t="shared" si="0"/>
        <v>-58541.590000000011</v>
      </c>
    </row>
    <row r="25" spans="1:8">
      <c r="A25" s="335">
        <v>45593</v>
      </c>
      <c r="B25" t="s">
        <v>80</v>
      </c>
      <c r="D25" s="86"/>
      <c r="E25" s="86">
        <v>-6500</v>
      </c>
      <c r="F25" s="86"/>
      <c r="G25" s="86">
        <v>-6500</v>
      </c>
      <c r="H25" s="85">
        <f t="shared" si="0"/>
        <v>-65041.590000000011</v>
      </c>
    </row>
    <row r="26" spans="1:8">
      <c r="A26" s="335">
        <v>45593</v>
      </c>
      <c r="B26" t="s">
        <v>168</v>
      </c>
      <c r="D26" s="86"/>
      <c r="E26" s="86">
        <v>-6500</v>
      </c>
      <c r="F26" s="86"/>
      <c r="G26" s="86">
        <v>-6500</v>
      </c>
      <c r="H26" s="85">
        <f t="shared" ref="H26:H33" si="1">H25+F26+G26</f>
        <v>-71541.590000000011</v>
      </c>
    </row>
    <row r="27" spans="1:8">
      <c r="B27" t="s">
        <v>212</v>
      </c>
      <c r="D27" s="86"/>
      <c r="E27" s="86">
        <v>-6500</v>
      </c>
      <c r="F27" s="86"/>
      <c r="G27" s="86">
        <v>-6500</v>
      </c>
      <c r="H27" s="85">
        <f t="shared" si="1"/>
        <v>-78041.590000000011</v>
      </c>
    </row>
    <row r="28" spans="1:8">
      <c r="D28" s="86"/>
      <c r="E28" s="86"/>
      <c r="F28" s="86"/>
      <c r="G28" s="86"/>
      <c r="H28" s="85">
        <f t="shared" si="1"/>
        <v>-78041.590000000011</v>
      </c>
    </row>
    <row r="29" spans="1:8">
      <c r="A29" s="335">
        <v>45592</v>
      </c>
      <c r="B29" t="s">
        <v>213</v>
      </c>
      <c r="D29" s="86">
        <v>12984.15</v>
      </c>
      <c r="E29" s="86"/>
      <c r="F29" s="86">
        <v>13006.38</v>
      </c>
      <c r="G29" s="86"/>
      <c r="H29" s="85">
        <f t="shared" si="1"/>
        <v>-65035.210000000014</v>
      </c>
    </row>
    <row r="30" spans="1:8">
      <c r="A30" s="97">
        <v>45590</v>
      </c>
      <c r="B30" s="348" t="s">
        <v>1510</v>
      </c>
      <c r="F30" s="85">
        <v>6000</v>
      </c>
      <c r="H30" s="85">
        <f t="shared" si="1"/>
        <v>-59035.210000000014</v>
      </c>
    </row>
    <row r="31" spans="1:8">
      <c r="A31" s="97"/>
      <c r="B31" s="339" t="s">
        <v>244</v>
      </c>
      <c r="C31" s="339"/>
      <c r="D31" s="340">
        <v>15000</v>
      </c>
      <c r="H31" s="85">
        <f t="shared" si="1"/>
        <v>-59035.210000000014</v>
      </c>
    </row>
    <row r="32" spans="1:8">
      <c r="A32" s="97"/>
      <c r="H32" s="85">
        <f t="shared" si="1"/>
        <v>-59035.210000000014</v>
      </c>
    </row>
    <row r="33" spans="1:8">
      <c r="B33" t="s">
        <v>1503</v>
      </c>
      <c r="C33" s="98">
        <v>0.234011</v>
      </c>
      <c r="H33" s="85">
        <f t="shared" si="1"/>
        <v>-59035.210000000014</v>
      </c>
    </row>
    <row r="34" spans="1:8">
      <c r="B34" s="339" t="s">
        <v>189</v>
      </c>
      <c r="C34" s="339"/>
      <c r="D34" s="340"/>
      <c r="E34" s="340">
        <v>-10000</v>
      </c>
    </row>
    <row r="35" spans="1:8" ht="15.75">
      <c r="B35" s="99"/>
    </row>
    <row r="37" spans="1:8">
      <c r="B37" t="s">
        <v>216</v>
      </c>
    </row>
    <row r="38" spans="1:8">
      <c r="A38" s="78" t="s">
        <v>217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218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219</v>
      </c>
    </row>
    <row r="42" spans="1:8">
      <c r="B42" t="s">
        <v>220</v>
      </c>
    </row>
    <row r="43" spans="1:8">
      <c r="B43" t="s">
        <v>221</v>
      </c>
    </row>
    <row r="44" spans="1:8">
      <c r="B44" t="s">
        <v>222</v>
      </c>
    </row>
    <row r="45" spans="1:8">
      <c r="B45" t="s">
        <v>223</v>
      </c>
    </row>
    <row r="46" spans="1:8">
      <c r="B46" t="s">
        <v>224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225</v>
      </c>
      <c r="C51" s="78"/>
      <c r="E51" s="85">
        <f>SUM(E52:E63)</f>
        <v>-3066.5699999999997</v>
      </c>
    </row>
    <row r="53" spans="1:5">
      <c r="A53" s="20">
        <v>45373</v>
      </c>
      <c r="B53" t="s">
        <v>226</v>
      </c>
      <c r="C53">
        <v>10176.39</v>
      </c>
      <c r="D53" s="85" t="s">
        <v>245</v>
      </c>
      <c r="E53" s="85">
        <v>-1130.71</v>
      </c>
    </row>
    <row r="54" spans="1:5">
      <c r="A54" s="20">
        <v>45375</v>
      </c>
      <c r="B54" t="s">
        <v>228</v>
      </c>
      <c r="C54">
        <v>5999</v>
      </c>
      <c r="D54" s="85" t="s">
        <v>245</v>
      </c>
      <c r="E54" s="85">
        <v>-666.56</v>
      </c>
    </row>
    <row r="55" spans="1:5">
      <c r="A55" s="20"/>
      <c r="B55" t="s">
        <v>1460</v>
      </c>
      <c r="E55" s="85">
        <v>-363.83</v>
      </c>
    </row>
    <row r="56" spans="1:5">
      <c r="B56" t="s">
        <v>1461</v>
      </c>
      <c r="E56" s="85">
        <v>-905.47</v>
      </c>
    </row>
    <row r="57" spans="1:5">
      <c r="B57" t="s">
        <v>277</v>
      </c>
      <c r="C57">
        <v>8037.9</v>
      </c>
    </row>
    <row r="58" spans="1:5" ht="15">
      <c r="A58" s="97"/>
      <c r="B58" s="94"/>
      <c r="C58" s="94"/>
      <c r="D58" s="108" t="s">
        <v>278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229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1462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1465</v>
      </c>
      <c r="C72" s="94"/>
      <c r="E72" s="85">
        <v>-1500</v>
      </c>
    </row>
    <row r="73" spans="1:5">
      <c r="A73" s="97"/>
      <c r="B73" s="3" t="s">
        <v>1464</v>
      </c>
      <c r="C73" s="94"/>
      <c r="E73" s="85">
        <v>-385</v>
      </c>
    </row>
    <row r="74" spans="1:5">
      <c r="A74" s="97"/>
      <c r="B74" s="3" t="s">
        <v>1463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1466</v>
      </c>
      <c r="C76" s="94"/>
      <c r="E76" s="85">
        <v>-1865</v>
      </c>
    </row>
    <row r="77" spans="1:5">
      <c r="A77" s="97"/>
      <c r="B77" s="3" t="s">
        <v>1467</v>
      </c>
      <c r="C77" s="94"/>
      <c r="E77" s="85">
        <v>-80</v>
      </c>
    </row>
    <row r="78" spans="1:5">
      <c r="A78" s="97"/>
      <c r="B78" s="3" t="s">
        <v>1468</v>
      </c>
      <c r="C78" s="94"/>
      <c r="E78" s="85">
        <v>-19.5</v>
      </c>
    </row>
    <row r="79" spans="1:5">
      <c r="A79" s="97"/>
      <c r="B79" s="3" t="s">
        <v>1469</v>
      </c>
      <c r="C79" s="94"/>
      <c r="E79" s="85">
        <v>-706.97</v>
      </c>
    </row>
    <row r="80" spans="1:5">
      <c r="A80" s="97"/>
      <c r="B80" s="3" t="s">
        <v>805</v>
      </c>
      <c r="C80" s="94"/>
      <c r="E80" s="85">
        <v>-299.99</v>
      </c>
    </row>
    <row r="81" spans="1:5">
      <c r="A81" s="97"/>
      <c r="B81" s="3" t="s">
        <v>1470</v>
      </c>
      <c r="C81" s="94"/>
      <c r="E81" s="85">
        <v>-1620</v>
      </c>
    </row>
    <row r="82" spans="1:5">
      <c r="A82" s="97"/>
      <c r="B82" s="3" t="s">
        <v>1471</v>
      </c>
      <c r="C82" s="94"/>
      <c r="E82" s="85">
        <v>-66.7</v>
      </c>
    </row>
    <row r="83" spans="1:5">
      <c r="A83" s="97"/>
      <c r="B83" s="3" t="s">
        <v>1472</v>
      </c>
      <c r="C83" s="94"/>
      <c r="E83" s="85">
        <v>-45</v>
      </c>
    </row>
    <row r="84" spans="1:5">
      <c r="A84" s="97"/>
      <c r="B84" s="3" t="s">
        <v>333</v>
      </c>
      <c r="C84" s="94">
        <v>69</v>
      </c>
      <c r="E84" s="85">
        <v>-69.66</v>
      </c>
    </row>
    <row r="85" spans="1:5">
      <c r="A85" s="97"/>
      <c r="B85" s="3" t="s">
        <v>1473</v>
      </c>
      <c r="C85" s="94">
        <v>250</v>
      </c>
      <c r="E85" s="85">
        <v>-250</v>
      </c>
    </row>
    <row r="86" spans="1:5">
      <c r="A86" s="97"/>
      <c r="B86" s="3" t="s">
        <v>1474</v>
      </c>
      <c r="C86" s="94">
        <v>145</v>
      </c>
      <c r="E86" s="85">
        <v>-145</v>
      </c>
    </row>
    <row r="87" spans="1:5">
      <c r="A87" s="97"/>
      <c r="B87" s="3" t="s">
        <v>333</v>
      </c>
      <c r="C87" s="94">
        <v>80</v>
      </c>
      <c r="E87" s="85">
        <v>-79.58</v>
      </c>
    </row>
    <row r="88" spans="1:5">
      <c r="A88" s="97"/>
      <c r="B88" s="3" t="s">
        <v>1473</v>
      </c>
      <c r="C88" s="94">
        <v>300</v>
      </c>
      <c r="E88" s="85">
        <v>-300</v>
      </c>
    </row>
    <row r="89" spans="1:5">
      <c r="A89" s="97"/>
      <c r="B89" s="3" t="s">
        <v>277</v>
      </c>
      <c r="C89" s="94"/>
      <c r="D89" s="85">
        <v>21576.400000000001</v>
      </c>
    </row>
    <row r="90" spans="1:5">
      <c r="A90" s="97"/>
      <c r="B90" s="3" t="s">
        <v>333</v>
      </c>
      <c r="C90" s="94">
        <v>50</v>
      </c>
      <c r="E90" s="85">
        <v>-49.3</v>
      </c>
    </row>
    <row r="91" spans="1:5">
      <c r="A91" s="97"/>
      <c r="B91" s="3" t="s">
        <v>1475</v>
      </c>
      <c r="C91" s="94"/>
      <c r="E91" s="85">
        <v>-190</v>
      </c>
    </row>
    <row r="92" spans="1:5">
      <c r="A92" s="97"/>
      <c r="B92" s="3" t="s">
        <v>333</v>
      </c>
      <c r="C92" s="94"/>
      <c r="E92" s="85">
        <v>-375.55</v>
      </c>
    </row>
    <row r="93" spans="1:5">
      <c r="A93" s="97"/>
      <c r="B93" s="3" t="s">
        <v>1473</v>
      </c>
      <c r="C93" s="94">
        <v>260</v>
      </c>
      <c r="E93" s="85">
        <v>-260</v>
      </c>
    </row>
    <row r="94" spans="1:5">
      <c r="A94" s="97"/>
      <c r="B94" s="3" t="s">
        <v>333</v>
      </c>
      <c r="C94" s="94">
        <v>65.790000000000006</v>
      </c>
      <c r="E94" s="85">
        <v>-65.790000000000006</v>
      </c>
    </row>
    <row r="95" spans="1:5">
      <c r="A95" s="97"/>
      <c r="B95" s="3" t="s">
        <v>1473</v>
      </c>
      <c r="C95" s="94">
        <v>330</v>
      </c>
      <c r="E95" s="85">
        <v>-330</v>
      </c>
    </row>
    <row r="96" spans="1:5">
      <c r="A96" s="97"/>
      <c r="B96" s="3" t="s">
        <v>1474</v>
      </c>
      <c r="C96" s="94">
        <v>225</v>
      </c>
      <c r="E96" s="85">
        <v>-225</v>
      </c>
    </row>
    <row r="97" spans="1:5">
      <c r="A97" s="97"/>
      <c r="B97" s="3" t="s">
        <v>1476</v>
      </c>
      <c r="C97" s="94"/>
      <c r="E97" s="85">
        <v>-410</v>
      </c>
    </row>
    <row r="98" spans="1:5">
      <c r="B98" s="3" t="s">
        <v>291</v>
      </c>
      <c r="E98" s="85">
        <v>-27.25</v>
      </c>
    </row>
    <row r="99" spans="1:5">
      <c r="B99" s="3" t="s">
        <v>1477</v>
      </c>
      <c r="E99" s="85">
        <v>-70</v>
      </c>
    </row>
    <row r="100" spans="1:5">
      <c r="B100" s="3" t="s">
        <v>1478</v>
      </c>
      <c r="E100" s="85">
        <v>-350</v>
      </c>
    </row>
    <row r="101" spans="1:5">
      <c r="B101" s="3" t="s">
        <v>1475</v>
      </c>
      <c r="E101" s="85">
        <v>-420</v>
      </c>
    </row>
    <row r="102" spans="1:5">
      <c r="B102" s="3" t="s">
        <v>1479</v>
      </c>
      <c r="E102" s="85">
        <v>-154.5</v>
      </c>
    </row>
    <row r="103" spans="1:5">
      <c r="B103" s="3" t="s">
        <v>1475</v>
      </c>
      <c r="E103" s="85">
        <v>-290</v>
      </c>
    </row>
    <row r="104" spans="1:5">
      <c r="B104" s="3" t="s">
        <v>1473</v>
      </c>
      <c r="C104">
        <v>415</v>
      </c>
      <c r="E104" s="85">
        <v>-415</v>
      </c>
    </row>
    <row r="105" spans="1:5">
      <c r="B105" s="37" t="s">
        <v>352</v>
      </c>
      <c r="C105">
        <f>SUM(C81:C104)</f>
        <v>2189.79</v>
      </c>
    </row>
    <row r="106" spans="1:5" ht="15">
      <c r="D106" s="108" t="s">
        <v>278</v>
      </c>
    </row>
    <row r="111" spans="1:5">
      <c r="A111" s="76" t="s">
        <v>1539</v>
      </c>
      <c r="B111" s="77" t="s">
        <v>167</v>
      </c>
      <c r="C111" s="78">
        <v>2024</v>
      </c>
      <c r="D111" s="79"/>
      <c r="E111" s="80">
        <f>SUM(E112:E133)</f>
        <v>726058.6</v>
      </c>
    </row>
    <row r="112" spans="1:5">
      <c r="A112" s="81">
        <v>45565</v>
      </c>
      <c r="B112" t="s">
        <v>80</v>
      </c>
      <c r="C112" s="2"/>
      <c r="D112" s="2"/>
      <c r="E112" s="2">
        <v>0</v>
      </c>
    </row>
    <row r="113" spans="1:5">
      <c r="A113" s="81">
        <f t="shared" ref="A113:A133" si="2">A112</f>
        <v>45565</v>
      </c>
      <c r="B113" t="s">
        <v>302</v>
      </c>
      <c r="C113" s="2"/>
      <c r="D113" s="2"/>
      <c r="E113" s="2">
        <v>0</v>
      </c>
    </row>
    <row r="114" spans="1:5">
      <c r="A114" s="81"/>
      <c r="B114" t="s">
        <v>1540</v>
      </c>
      <c r="C114" s="2"/>
      <c r="D114" s="2"/>
      <c r="E114" s="2">
        <v>365500</v>
      </c>
    </row>
    <row r="115" spans="1:5">
      <c r="A115" s="81">
        <f>A113</f>
        <v>45565</v>
      </c>
      <c r="B115" t="s">
        <v>1432</v>
      </c>
      <c r="C115" s="2"/>
      <c r="D115" s="2"/>
      <c r="E115" s="13">
        <v>1492</v>
      </c>
    </row>
    <row r="116" spans="1:5">
      <c r="A116" s="81">
        <f>A113</f>
        <v>45565</v>
      </c>
      <c r="B116" t="s">
        <v>1438</v>
      </c>
      <c r="C116" s="2">
        <v>40</v>
      </c>
      <c r="D116" s="111">
        <v>852</v>
      </c>
      <c r="E116" s="13">
        <f t="shared" ref="E116:E125" si="3">D116*C116</f>
        <v>34080</v>
      </c>
    </row>
    <row r="117" spans="1:5">
      <c r="A117" s="81">
        <f>A122</f>
        <v>45565</v>
      </c>
      <c r="B117" t="s">
        <v>308</v>
      </c>
      <c r="C117" s="2">
        <v>30.96</v>
      </c>
      <c r="D117" s="2">
        <v>4000</v>
      </c>
      <c r="E117" s="13">
        <f t="shared" si="3"/>
        <v>123840</v>
      </c>
    </row>
    <row r="118" spans="1:5">
      <c r="A118" s="81">
        <f>A115</f>
        <v>45565</v>
      </c>
      <c r="B118" t="s">
        <v>1439</v>
      </c>
      <c r="C118" s="112">
        <v>125000</v>
      </c>
      <c r="D118" s="111">
        <v>0.77300000000000002</v>
      </c>
      <c r="E118" s="13">
        <f t="shared" si="3"/>
        <v>96625</v>
      </c>
    </row>
    <row r="119" spans="1:5">
      <c r="A119" s="81">
        <f>A116</f>
        <v>45565</v>
      </c>
      <c r="B119" t="s">
        <v>1440</v>
      </c>
      <c r="C119" s="2">
        <v>10</v>
      </c>
      <c r="D119" s="2">
        <v>124.8</v>
      </c>
      <c r="E119" s="13">
        <f t="shared" si="3"/>
        <v>1248</v>
      </c>
    </row>
    <row r="120" spans="1:5">
      <c r="A120" s="81">
        <f t="shared" si="2"/>
        <v>45565</v>
      </c>
      <c r="B120" t="s">
        <v>1441</v>
      </c>
      <c r="C120" s="2">
        <v>38</v>
      </c>
      <c r="D120" s="2">
        <v>19.22</v>
      </c>
      <c r="E120" s="13">
        <f t="shared" si="3"/>
        <v>730.3599999999999</v>
      </c>
    </row>
    <row r="121" spans="1:5">
      <c r="A121" s="81">
        <f t="shared" si="2"/>
        <v>45565</v>
      </c>
      <c r="B121" t="s">
        <v>1442</v>
      </c>
      <c r="C121" s="2">
        <v>26</v>
      </c>
      <c r="D121" s="2">
        <v>24.74</v>
      </c>
      <c r="E121" s="13">
        <f t="shared" si="3"/>
        <v>643.24</v>
      </c>
    </row>
    <row r="122" spans="1:5">
      <c r="A122" s="81">
        <f t="shared" si="2"/>
        <v>45565</v>
      </c>
      <c r="B122" t="s">
        <v>179</v>
      </c>
      <c r="C122" s="2"/>
      <c r="D122" s="2"/>
      <c r="E122" s="13">
        <f t="shared" si="3"/>
        <v>0</v>
      </c>
    </row>
    <row r="124" spans="1:5">
      <c r="A124" s="81">
        <f>A117</f>
        <v>45565</v>
      </c>
      <c r="C124" s="2"/>
      <c r="D124" s="2"/>
      <c r="E124" s="13">
        <f t="shared" si="3"/>
        <v>0</v>
      </c>
    </row>
    <row r="125" spans="1:5">
      <c r="A125" s="81">
        <f t="shared" si="2"/>
        <v>45565</v>
      </c>
      <c r="C125" s="2"/>
      <c r="D125" s="2"/>
      <c r="E125" s="13">
        <f t="shared" si="3"/>
        <v>0</v>
      </c>
    </row>
    <row r="126" spans="1:5">
      <c r="A126" s="81">
        <f t="shared" si="2"/>
        <v>45565</v>
      </c>
      <c r="B126" t="s">
        <v>1545</v>
      </c>
      <c r="C126" s="2">
        <v>2900</v>
      </c>
      <c r="D126" s="2">
        <v>1</v>
      </c>
      <c r="E126" s="13">
        <f>D126*C126</f>
        <v>2900</v>
      </c>
    </row>
    <row r="127" spans="1:5">
      <c r="A127" s="81">
        <f t="shared" si="2"/>
        <v>45565</v>
      </c>
      <c r="B127" t="s">
        <v>1546</v>
      </c>
      <c r="C127" s="2">
        <v>4900</v>
      </c>
      <c r="D127" s="2">
        <v>16</v>
      </c>
      <c r="E127" s="13">
        <f>D127*C127</f>
        <v>78400</v>
      </c>
    </row>
    <row r="128" spans="1:5">
      <c r="A128" s="81">
        <f t="shared" si="2"/>
        <v>45565</v>
      </c>
      <c r="B128" t="s">
        <v>1547</v>
      </c>
      <c r="C128" s="2">
        <v>19600</v>
      </c>
      <c r="D128" s="2">
        <v>1</v>
      </c>
      <c r="E128" s="13">
        <f>D128*C128</f>
        <v>19600</v>
      </c>
    </row>
    <row r="129" spans="1:5">
      <c r="A129" s="81">
        <f t="shared" si="2"/>
        <v>45565</v>
      </c>
      <c r="C129" s="2"/>
      <c r="D129" s="2"/>
      <c r="E129" s="13"/>
    </row>
    <row r="130" spans="1:5">
      <c r="A130" s="81">
        <f>A126</f>
        <v>45565</v>
      </c>
      <c r="B130" t="s">
        <v>1435</v>
      </c>
      <c r="C130" s="336">
        <v>33.250599999999999</v>
      </c>
      <c r="D130" s="2"/>
      <c r="E130" s="13"/>
    </row>
    <row r="131" spans="1:5">
      <c r="A131" s="81">
        <f t="shared" si="2"/>
        <v>45565</v>
      </c>
      <c r="B131" t="s">
        <v>1434</v>
      </c>
      <c r="C131" s="336">
        <v>36.854999999999997</v>
      </c>
      <c r="D131" s="2"/>
      <c r="E131" s="13">
        <f t="shared" ref="E131" si="4">D131*C131</f>
        <v>0</v>
      </c>
    </row>
    <row r="132" spans="1:5">
      <c r="A132" s="81">
        <f t="shared" si="2"/>
        <v>45565</v>
      </c>
      <c r="B132" t="s">
        <v>183</v>
      </c>
      <c r="C132" s="2"/>
      <c r="D132" s="2"/>
      <c r="E132" s="13">
        <v>0</v>
      </c>
    </row>
    <row r="133" spans="1:5">
      <c r="A133" s="81">
        <f t="shared" si="2"/>
        <v>45565</v>
      </c>
      <c r="B133" t="s">
        <v>90</v>
      </c>
      <c r="C133" s="2"/>
      <c r="D133" s="2"/>
      <c r="E133" s="13">
        <v>1000</v>
      </c>
    </row>
    <row r="134" spans="1:5">
      <c r="E134" s="113"/>
    </row>
    <row r="135" spans="1:5">
      <c r="C135" s="110"/>
      <c r="D135" s="3"/>
      <c r="E135" s="110"/>
    </row>
    <row r="136" spans="1:5">
      <c r="C136" s="110"/>
      <c r="D136" s="70" t="s">
        <v>185</v>
      </c>
      <c r="E136" s="8">
        <f>SUM(E112:E133)</f>
        <v>726058.6</v>
      </c>
    </row>
    <row r="137" spans="1:5">
      <c r="C137" s="114" t="str">
        <f>A111</f>
        <v>EKİMe</v>
      </c>
      <c r="D137" s="115" t="s">
        <v>184</v>
      </c>
      <c r="E137" s="116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H127"/>
  <sheetViews>
    <sheetView topLeftCell="A100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1484</v>
      </c>
      <c r="C2" s="87" t="s">
        <v>187</v>
      </c>
      <c r="D2" s="85">
        <f>SUM(D4:D28)</f>
        <v>36484.15</v>
      </c>
      <c r="E2" s="85">
        <f>SUM(E4:E28)</f>
        <v>-81364.900000000009</v>
      </c>
      <c r="F2" s="85">
        <f>SUM(F4:F28)</f>
        <v>98006.38</v>
      </c>
      <c r="G2" s="85">
        <f>SUM(G4:G28)</f>
        <v>-69863.539999999994</v>
      </c>
      <c r="H2" s="85">
        <f>F2+G2</f>
        <v>28142.840000000011</v>
      </c>
    </row>
    <row r="3" spans="1:8">
      <c r="B3" s="70"/>
    </row>
    <row r="4" spans="1:8">
      <c r="A4" s="335">
        <v>45534</v>
      </c>
      <c r="B4" s="43" t="s">
        <v>188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246</v>
      </c>
      <c r="C5" s="88" t="s">
        <v>192</v>
      </c>
      <c r="E5" s="86">
        <v>-250</v>
      </c>
      <c r="F5" s="86"/>
      <c r="G5" s="86"/>
      <c r="H5" s="85">
        <f t="shared" ref="H5:H30" si="0">H4+F5+G5</f>
        <v>-162.11000000000001</v>
      </c>
    </row>
    <row r="6" spans="1:8">
      <c r="A6" s="96">
        <v>45538</v>
      </c>
      <c r="B6" s="104" t="s">
        <v>209</v>
      </c>
      <c r="D6" s="86"/>
      <c r="E6" s="86">
        <f>E61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208</v>
      </c>
      <c r="D7" s="86"/>
      <c r="E7" s="86">
        <f>E46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211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247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207</v>
      </c>
      <c r="E10" s="85">
        <f>E41*-1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262</v>
      </c>
      <c r="C11" t="s">
        <v>481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205</v>
      </c>
      <c r="C12" s="94" t="s">
        <v>204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206</v>
      </c>
      <c r="C13" s="94" t="s">
        <v>204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1454</v>
      </c>
      <c r="F14" s="86">
        <v>34000</v>
      </c>
      <c r="H14" s="85">
        <f t="shared" si="0"/>
        <v>93.860000000000582</v>
      </c>
    </row>
    <row r="15" spans="1:8">
      <c r="A15" s="335">
        <v>45550</v>
      </c>
      <c r="B15" s="348" t="s">
        <v>1507</v>
      </c>
      <c r="F15" s="85">
        <v>30000</v>
      </c>
      <c r="H15" s="85">
        <f t="shared" si="0"/>
        <v>30093.86</v>
      </c>
    </row>
    <row r="16" spans="1:8">
      <c r="B16" t="s">
        <v>80</v>
      </c>
      <c r="E16" s="86">
        <v>-6500</v>
      </c>
      <c r="F16" s="86"/>
      <c r="G16" s="86">
        <v>-6500</v>
      </c>
      <c r="H16" s="85">
        <f t="shared" si="0"/>
        <v>23593.86</v>
      </c>
    </row>
    <row r="17" spans="1:8">
      <c r="B17" t="s">
        <v>168</v>
      </c>
      <c r="E17" s="86">
        <v>-6500</v>
      </c>
      <c r="F17" s="86"/>
      <c r="G17" s="86">
        <v>-6500</v>
      </c>
      <c r="H17" s="85">
        <f t="shared" si="0"/>
        <v>17093.86</v>
      </c>
    </row>
    <row r="18" spans="1:8">
      <c r="B18" t="s">
        <v>212</v>
      </c>
      <c r="E18" s="86">
        <v>-6500</v>
      </c>
      <c r="F18" s="86"/>
      <c r="G18" s="86">
        <v>-6500</v>
      </c>
      <c r="H18" s="85">
        <f t="shared" si="0"/>
        <v>10593.86</v>
      </c>
    </row>
    <row r="19" spans="1:8">
      <c r="B19" t="s">
        <v>213</v>
      </c>
      <c r="D19" s="86">
        <v>12984.15</v>
      </c>
      <c r="E19" s="86"/>
      <c r="F19" s="86">
        <v>13006.38</v>
      </c>
      <c r="H19" s="85">
        <f t="shared" si="0"/>
        <v>23600.239999999998</v>
      </c>
    </row>
    <row r="20" spans="1:8">
      <c r="A20" s="97"/>
      <c r="B20" s="88" t="s">
        <v>190</v>
      </c>
      <c r="C20" s="88"/>
      <c r="E20" s="86">
        <v>-400</v>
      </c>
      <c r="F20" s="86"/>
      <c r="G20" s="86">
        <v>-455</v>
      </c>
      <c r="H20" s="85">
        <f t="shared" si="0"/>
        <v>23145.239999999998</v>
      </c>
    </row>
    <row r="21" spans="1:8">
      <c r="A21" s="97">
        <v>45565</v>
      </c>
      <c r="B21" s="88" t="s">
        <v>191</v>
      </c>
      <c r="C21" s="88"/>
      <c r="E21" s="86">
        <v>-500</v>
      </c>
      <c r="F21" s="86"/>
      <c r="G21" s="86">
        <v>-805</v>
      </c>
      <c r="H21" s="85">
        <f t="shared" si="0"/>
        <v>22340.239999999998</v>
      </c>
    </row>
    <row r="22" spans="1:8">
      <c r="A22" s="335">
        <v>45564</v>
      </c>
      <c r="B22" t="s">
        <v>1443</v>
      </c>
      <c r="C22" t="s">
        <v>1444</v>
      </c>
      <c r="D22" s="86" t="s">
        <v>717</v>
      </c>
      <c r="E22" s="85">
        <v>-1398.6</v>
      </c>
      <c r="H22" s="85">
        <f t="shared" si="0"/>
        <v>22340.239999999998</v>
      </c>
    </row>
    <row r="23" spans="1:8">
      <c r="A23" s="335">
        <v>45564</v>
      </c>
      <c r="B23" s="348" t="s">
        <v>1508</v>
      </c>
      <c r="D23" s="86"/>
      <c r="F23" s="85">
        <v>6000</v>
      </c>
      <c r="H23" s="85">
        <f t="shared" si="0"/>
        <v>28340.239999999998</v>
      </c>
    </row>
    <row r="24" spans="1:8">
      <c r="A24" s="335">
        <v>45565</v>
      </c>
      <c r="B24" t="s">
        <v>1459</v>
      </c>
      <c r="G24" s="86">
        <v>-197.4</v>
      </c>
      <c r="H24" s="85">
        <f t="shared" si="0"/>
        <v>28142.839999999997</v>
      </c>
    </row>
    <row r="25" spans="1:8">
      <c r="B25" s="105" t="s">
        <v>263</v>
      </c>
      <c r="C25" s="105"/>
      <c r="D25" s="106">
        <v>8500</v>
      </c>
      <c r="H25" s="85">
        <f t="shared" si="0"/>
        <v>28142.839999999997</v>
      </c>
    </row>
    <row r="26" spans="1:8">
      <c r="A26" s="335">
        <v>45574</v>
      </c>
      <c r="B26" s="339" t="s">
        <v>248</v>
      </c>
      <c r="C26" s="339"/>
      <c r="D26" s="343">
        <v>15000</v>
      </c>
      <c r="H26" s="85">
        <f t="shared" si="0"/>
        <v>28142.839999999997</v>
      </c>
    </row>
    <row r="27" spans="1:8">
      <c r="B27" s="339" t="s">
        <v>189</v>
      </c>
      <c r="C27" s="339"/>
      <c r="D27" s="340"/>
      <c r="E27" s="340">
        <v>-10000</v>
      </c>
      <c r="H27" s="85">
        <f t="shared" si="0"/>
        <v>28142.839999999997</v>
      </c>
    </row>
    <row r="28" spans="1:8">
      <c r="B28" s="88" t="s">
        <v>203</v>
      </c>
      <c r="C28" s="88" t="s">
        <v>204</v>
      </c>
      <c r="E28" s="85">
        <v>-150</v>
      </c>
      <c r="H28" s="85">
        <f t="shared" si="0"/>
        <v>28142.839999999997</v>
      </c>
    </row>
    <row r="29" spans="1:8">
      <c r="A29" s="335">
        <v>45574</v>
      </c>
      <c r="B29" s="103" t="s">
        <v>1455</v>
      </c>
      <c r="G29" s="86">
        <v>-10000</v>
      </c>
      <c r="H29" s="85">
        <f t="shared" si="0"/>
        <v>18142.839999999997</v>
      </c>
    </row>
    <row r="30" spans="1:8">
      <c r="B30" t="s">
        <v>249</v>
      </c>
      <c r="C30" s="98">
        <v>0.234011</v>
      </c>
      <c r="D30" s="85">
        <v>144000</v>
      </c>
      <c r="H30" s="85">
        <f t="shared" si="0"/>
        <v>18142.839999999997</v>
      </c>
    </row>
    <row r="31" spans="1:8">
      <c r="C31" s="98"/>
    </row>
    <row r="32" spans="1:8">
      <c r="B32" t="s">
        <v>216</v>
      </c>
    </row>
    <row r="33" spans="1:5">
      <c r="A33" s="78" t="s">
        <v>217</v>
      </c>
      <c r="B33" s="78"/>
      <c r="C33" s="78"/>
    </row>
    <row r="34" spans="1:5">
      <c r="A34" s="97"/>
      <c r="C34" s="98"/>
    </row>
    <row r="35" spans="1:5">
      <c r="A35" s="100">
        <v>44929</v>
      </c>
      <c r="B35" s="101" t="s">
        <v>218</v>
      </c>
      <c r="C35" s="78"/>
      <c r="D35" s="85">
        <f>SUM(D36:D41)</f>
        <v>0</v>
      </c>
      <c r="E35" s="85">
        <f>SUM(E36:E41)</f>
        <v>0</v>
      </c>
    </row>
    <row r="36" spans="1:5">
      <c r="A36" s="97"/>
      <c r="B36" s="94" t="s">
        <v>219</v>
      </c>
    </row>
    <row r="37" spans="1:5">
      <c r="B37" t="s">
        <v>220</v>
      </c>
    </row>
    <row r="38" spans="1:5">
      <c r="B38" t="s">
        <v>221</v>
      </c>
    </row>
    <row r="39" spans="1:5">
      <c r="B39" t="s">
        <v>222</v>
      </c>
    </row>
    <row r="40" spans="1:5">
      <c r="B40" t="s">
        <v>223</v>
      </c>
    </row>
    <row r="41" spans="1:5">
      <c r="B41" t="s">
        <v>224</v>
      </c>
      <c r="C41" s="94"/>
    </row>
    <row r="42" spans="1:5">
      <c r="C42" s="94"/>
    </row>
    <row r="44" spans="1:5">
      <c r="B44" s="13"/>
    </row>
    <row r="45" spans="1:5">
      <c r="B45" s="102"/>
    </row>
    <row r="46" spans="1:5">
      <c r="A46" s="78"/>
      <c r="B46" s="77" t="s">
        <v>225</v>
      </c>
      <c r="C46" s="78"/>
      <c r="E46" s="85">
        <f>SUM(E47:E58)</f>
        <v>-8037.9</v>
      </c>
    </row>
    <row r="48" spans="1:5">
      <c r="A48" s="20">
        <v>45348</v>
      </c>
      <c r="B48" t="s">
        <v>250</v>
      </c>
      <c r="C48">
        <v>1406</v>
      </c>
      <c r="D48" s="85" t="s">
        <v>251</v>
      </c>
      <c r="E48" s="85">
        <v>-234.35</v>
      </c>
    </row>
    <row r="49" spans="1:5">
      <c r="A49" s="20">
        <v>45373</v>
      </c>
      <c r="B49" t="s">
        <v>226</v>
      </c>
      <c r="C49">
        <v>10176.39</v>
      </c>
      <c r="D49" s="85" t="s">
        <v>252</v>
      </c>
      <c r="E49" s="85">
        <v>-1130.71</v>
      </c>
    </row>
    <row r="50" spans="1:5">
      <c r="A50" s="20">
        <v>45375</v>
      </c>
      <c r="B50" t="s">
        <v>228</v>
      </c>
      <c r="C50">
        <v>5999</v>
      </c>
      <c r="D50" s="85" t="s">
        <v>252</v>
      </c>
      <c r="E50" s="85">
        <v>-666.56</v>
      </c>
    </row>
    <row r="51" spans="1:5">
      <c r="A51" s="20">
        <v>45358</v>
      </c>
      <c r="B51" t="s">
        <v>253</v>
      </c>
      <c r="C51">
        <v>2273</v>
      </c>
      <c r="D51" s="85" t="s">
        <v>251</v>
      </c>
      <c r="E51" s="85">
        <v>-378.87</v>
      </c>
    </row>
    <row r="52" spans="1:5">
      <c r="A52" s="20">
        <v>45371</v>
      </c>
      <c r="B52" t="s">
        <v>254</v>
      </c>
      <c r="D52" s="85" t="s">
        <v>251</v>
      </c>
      <c r="E52" s="85">
        <v>101.79</v>
      </c>
    </row>
    <row r="53" spans="1:5">
      <c r="A53" s="97">
        <v>45456</v>
      </c>
      <c r="B53" s="103" t="s">
        <v>255</v>
      </c>
      <c r="C53" s="94"/>
      <c r="D53" s="85" t="s">
        <v>256</v>
      </c>
      <c r="E53" s="85">
        <v>-3923.34</v>
      </c>
    </row>
    <row r="54" spans="1:5">
      <c r="A54" s="97"/>
      <c r="B54" s="94"/>
      <c r="C54" s="94"/>
    </row>
    <row r="55" spans="1:5">
      <c r="A55" s="97"/>
      <c r="B55" s="103" t="s">
        <v>277</v>
      </c>
      <c r="C55" s="94">
        <v>8154.2</v>
      </c>
    </row>
    <row r="56" spans="1:5">
      <c r="A56" s="97"/>
      <c r="B56" s="103" t="s">
        <v>840</v>
      </c>
      <c r="C56" s="94"/>
      <c r="E56" s="85">
        <v>-1805.86</v>
      </c>
    </row>
    <row r="57" spans="1:5" ht="15">
      <c r="A57" s="97"/>
      <c r="B57" s="103"/>
      <c r="C57" s="108" t="s">
        <v>278</v>
      </c>
    </row>
    <row r="58" spans="1:5">
      <c r="A58" s="97"/>
      <c r="B58" s="103"/>
      <c r="C58" s="94"/>
    </row>
    <row r="59" spans="1:5">
      <c r="A59" s="97"/>
      <c r="B59" s="3"/>
    </row>
    <row r="60" spans="1:5">
      <c r="A60" s="97"/>
      <c r="B60" s="94"/>
      <c r="C60" s="94"/>
    </row>
    <row r="61" spans="1:5">
      <c r="A61" s="78"/>
      <c r="B61" s="77" t="s">
        <v>229</v>
      </c>
      <c r="C61" s="78"/>
      <c r="E61" s="85">
        <f>SUM(E62:E70)</f>
        <v>-21576.400000000001</v>
      </c>
    </row>
    <row r="62" spans="1:5">
      <c r="A62" s="97"/>
      <c r="B62" s="94"/>
      <c r="C62" s="94"/>
    </row>
    <row r="63" spans="1:5">
      <c r="A63" s="97"/>
      <c r="B63" s="94"/>
      <c r="C63" s="94"/>
      <c r="E63" s="85">
        <v>-21576.400000000001</v>
      </c>
    </row>
    <row r="64" spans="1:5" ht="15">
      <c r="A64" s="97"/>
      <c r="B64" s="3"/>
      <c r="C64" s="108" t="s">
        <v>278</v>
      </c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101" spans="1:5">
      <c r="A101" s="76" t="s">
        <v>1431</v>
      </c>
      <c r="B101" s="77" t="s">
        <v>167</v>
      </c>
      <c r="C101" s="78">
        <v>2024</v>
      </c>
      <c r="D101" s="79"/>
      <c r="E101" s="80">
        <f>SUM(E102:E123)</f>
        <v>749196.59931999992</v>
      </c>
    </row>
    <row r="102" spans="1:5">
      <c r="A102" s="81">
        <v>45534</v>
      </c>
      <c r="B102" t="s">
        <v>80</v>
      </c>
      <c r="C102" s="2"/>
      <c r="D102" s="2"/>
      <c r="E102" s="2">
        <v>0</v>
      </c>
    </row>
    <row r="103" spans="1:5">
      <c r="A103" s="81">
        <f t="shared" ref="A103:A123" si="1">A102</f>
        <v>45534</v>
      </c>
      <c r="B103" t="s">
        <v>302</v>
      </c>
      <c r="C103" s="2"/>
      <c r="D103" s="2"/>
      <c r="E103" s="2">
        <v>0</v>
      </c>
    </row>
    <row r="104" spans="1:5">
      <c r="A104" s="81"/>
      <c r="B104" t="s">
        <v>1538</v>
      </c>
      <c r="C104" s="2"/>
      <c r="D104" s="2"/>
      <c r="E104" s="2">
        <v>407100</v>
      </c>
    </row>
    <row r="105" spans="1:5">
      <c r="A105" s="81">
        <f>A103</f>
        <v>45534</v>
      </c>
      <c r="B105" t="s">
        <v>1432</v>
      </c>
      <c r="C105" s="2"/>
      <c r="D105" s="2"/>
      <c r="E105" s="13">
        <v>5105.2299999999996</v>
      </c>
    </row>
    <row r="106" spans="1:5">
      <c r="A106" s="81">
        <f>A103</f>
        <v>45534</v>
      </c>
      <c r="B106" t="s">
        <v>1438</v>
      </c>
      <c r="C106" s="2">
        <v>40</v>
      </c>
      <c r="D106" s="111">
        <v>732.60648300000003</v>
      </c>
      <c r="E106" s="13">
        <f t="shared" ref="E106:E116" si="2">D106*C106</f>
        <v>29304.259320000001</v>
      </c>
    </row>
    <row r="107" spans="1:5">
      <c r="A107" s="81">
        <f>A112</f>
        <v>45534</v>
      </c>
      <c r="B107" t="s">
        <v>308</v>
      </c>
      <c r="C107" s="2">
        <v>28.5</v>
      </c>
      <c r="D107" s="2">
        <v>4000</v>
      </c>
      <c r="E107" s="13">
        <f t="shared" si="2"/>
        <v>114000</v>
      </c>
    </row>
    <row r="108" spans="1:5">
      <c r="A108" s="81">
        <f>A105</f>
        <v>45534</v>
      </c>
      <c r="B108" t="s">
        <v>1439</v>
      </c>
      <c r="C108" s="112">
        <v>125000</v>
      </c>
      <c r="D108" s="111">
        <v>0.77971599999999996</v>
      </c>
      <c r="E108" s="13">
        <f t="shared" si="2"/>
        <v>97464.5</v>
      </c>
    </row>
    <row r="109" spans="1:5">
      <c r="A109" s="81">
        <f>A106</f>
        <v>45534</v>
      </c>
      <c r="B109" t="s">
        <v>1440</v>
      </c>
      <c r="C109" s="2">
        <v>10</v>
      </c>
      <c r="D109" s="2">
        <v>103.7</v>
      </c>
      <c r="E109" s="13">
        <f t="shared" si="2"/>
        <v>1037</v>
      </c>
    </row>
    <row r="110" spans="1:5">
      <c r="A110" s="81">
        <f t="shared" si="1"/>
        <v>45534</v>
      </c>
      <c r="B110" t="s">
        <v>1441</v>
      </c>
      <c r="C110" s="2">
        <v>38</v>
      </c>
      <c r="D110" s="2">
        <v>21.42</v>
      </c>
      <c r="E110" s="13">
        <f t="shared" si="2"/>
        <v>813.96</v>
      </c>
    </row>
    <row r="111" spans="1:5">
      <c r="A111" s="81">
        <f t="shared" si="1"/>
        <v>45534</v>
      </c>
      <c r="B111" t="s">
        <v>1442</v>
      </c>
      <c r="C111" s="2">
        <v>26</v>
      </c>
      <c r="D111" s="2">
        <v>25.92</v>
      </c>
      <c r="E111" s="13">
        <f t="shared" si="2"/>
        <v>673.92000000000007</v>
      </c>
    </row>
    <row r="112" spans="1:5">
      <c r="A112" s="81">
        <f t="shared" si="1"/>
        <v>45534</v>
      </c>
      <c r="B112" t="s">
        <v>179</v>
      </c>
      <c r="C112" s="2"/>
      <c r="D112" s="2"/>
      <c r="E112" s="13">
        <f t="shared" si="2"/>
        <v>0</v>
      </c>
    </row>
    <row r="113" spans="1:5">
      <c r="E113" s="13">
        <f t="shared" si="2"/>
        <v>0</v>
      </c>
    </row>
    <row r="114" spans="1:5">
      <c r="A114" s="81">
        <f>A107</f>
        <v>45534</v>
      </c>
      <c r="C114" s="2"/>
      <c r="D114" s="2"/>
      <c r="E114" s="13">
        <f t="shared" si="2"/>
        <v>0</v>
      </c>
    </row>
    <row r="115" spans="1:5">
      <c r="A115" s="81">
        <f t="shared" si="1"/>
        <v>45534</v>
      </c>
      <c r="C115" s="2"/>
      <c r="D115" s="2"/>
      <c r="E115" s="13">
        <f t="shared" si="2"/>
        <v>0</v>
      </c>
    </row>
    <row r="116" spans="1:5">
      <c r="A116" s="81">
        <f t="shared" si="1"/>
        <v>45534</v>
      </c>
      <c r="B116" t="s">
        <v>1433</v>
      </c>
      <c r="C116" s="2">
        <v>2697.73</v>
      </c>
      <c r="D116" s="2">
        <v>1</v>
      </c>
      <c r="E116" s="13">
        <f t="shared" si="2"/>
        <v>2697.73</v>
      </c>
    </row>
    <row r="117" spans="1:5">
      <c r="A117" s="81">
        <f t="shared" si="1"/>
        <v>45534</v>
      </c>
      <c r="B117" t="s">
        <v>1436</v>
      </c>
      <c r="C117" s="2">
        <v>4500</v>
      </c>
      <c r="D117" s="2">
        <v>16</v>
      </c>
      <c r="E117" s="13">
        <f>D117*C117</f>
        <v>72000</v>
      </c>
    </row>
    <row r="118" spans="1:5">
      <c r="A118" s="81">
        <f t="shared" si="1"/>
        <v>45534</v>
      </c>
      <c r="B118" t="s">
        <v>1437</v>
      </c>
      <c r="C118" s="2">
        <v>18000</v>
      </c>
      <c r="D118" s="2">
        <v>1</v>
      </c>
      <c r="E118" s="13">
        <f>D118*C118</f>
        <v>18000</v>
      </c>
    </row>
    <row r="119" spans="1:5">
      <c r="A119" s="81">
        <f t="shared" si="1"/>
        <v>45534</v>
      </c>
      <c r="C119" s="2"/>
      <c r="D119" s="2"/>
      <c r="E119" s="13"/>
    </row>
    <row r="120" spans="1:5">
      <c r="A120" s="81">
        <f>A116</f>
        <v>45534</v>
      </c>
      <c r="B120" t="s">
        <v>1435</v>
      </c>
      <c r="C120" s="336">
        <v>33.250599999999999</v>
      </c>
      <c r="D120" s="2"/>
      <c r="E120" s="13"/>
    </row>
    <row r="121" spans="1:5">
      <c r="A121" s="81">
        <f t="shared" si="1"/>
        <v>45534</v>
      </c>
      <c r="B121" t="s">
        <v>1434</v>
      </c>
      <c r="C121" s="336">
        <v>36.854999999999997</v>
      </c>
      <c r="D121" s="2"/>
      <c r="E121" s="13"/>
    </row>
    <row r="122" spans="1:5">
      <c r="A122" s="81">
        <f t="shared" si="1"/>
        <v>45534</v>
      </c>
      <c r="B122" t="s">
        <v>183</v>
      </c>
      <c r="C122" s="2"/>
      <c r="D122" s="2"/>
      <c r="E122" s="13">
        <v>0</v>
      </c>
    </row>
    <row r="123" spans="1:5">
      <c r="A123" s="81">
        <f t="shared" si="1"/>
        <v>45534</v>
      </c>
      <c r="B123" t="s">
        <v>90</v>
      </c>
      <c r="C123" s="2"/>
      <c r="D123" s="2"/>
      <c r="E123" s="13">
        <v>1000</v>
      </c>
    </row>
    <row r="124" spans="1:5">
      <c r="E124" s="113"/>
    </row>
    <row r="125" spans="1:5">
      <c r="C125" s="110"/>
      <c r="D125" s="3"/>
      <c r="E125" s="110"/>
    </row>
    <row r="126" spans="1:5">
      <c r="C126" s="110"/>
      <c r="D126" s="70" t="s">
        <v>185</v>
      </c>
      <c r="E126" s="8">
        <f>SUM(E102:E123)</f>
        <v>749196.59931999992</v>
      </c>
    </row>
    <row r="127" spans="1:5">
      <c r="C127" s="114" t="str">
        <f>A101</f>
        <v>EYLÜLe</v>
      </c>
      <c r="D127" s="115" t="s">
        <v>184</v>
      </c>
      <c r="E127" s="116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H150"/>
  <sheetViews>
    <sheetView topLeftCell="A125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1485</v>
      </c>
      <c r="C2" s="87" t="s">
        <v>187</v>
      </c>
      <c r="D2" s="85">
        <f>SUM(D4:D46)</f>
        <v>195484.15</v>
      </c>
      <c r="E2" s="85">
        <f>SUM(E4:E46)</f>
        <v>-88440.670000000013</v>
      </c>
      <c r="F2" s="85">
        <f>SUM(F4:F47)</f>
        <v>28006.379999999997</v>
      </c>
      <c r="G2" s="85">
        <f>SUM(G4:G47)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188</v>
      </c>
      <c r="C4" t="s">
        <v>257</v>
      </c>
      <c r="D4" s="86"/>
      <c r="E4" s="86">
        <v>-152</v>
      </c>
      <c r="F4" s="86"/>
      <c r="G4" s="86">
        <v>-166.9</v>
      </c>
      <c r="H4" s="86">
        <f t="shared" ref="H4:H47" si="0">H3+F4+G4</f>
        <v>-166.9</v>
      </c>
    </row>
    <row r="5" spans="1:8">
      <c r="B5" s="88" t="s">
        <v>258</v>
      </c>
      <c r="C5" s="88" t="s">
        <v>192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211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208</v>
      </c>
      <c r="D7" s="86"/>
      <c r="E7" s="86">
        <f>E63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209</v>
      </c>
      <c r="D8" s="86"/>
      <c r="E8" s="86">
        <f>E78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259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/>
      <c r="B10" s="361"/>
      <c r="D10" s="86"/>
      <c r="E10" s="86"/>
      <c r="F10" s="86"/>
      <c r="G10" s="86"/>
      <c r="H10" s="86">
        <f t="shared" si="0"/>
        <v>-41833.49</v>
      </c>
    </row>
    <row r="11" spans="1:8">
      <c r="A11" s="96">
        <v>45510</v>
      </c>
      <c r="B11" t="s">
        <v>260</v>
      </c>
      <c r="D11" s="86">
        <v>15000</v>
      </c>
      <c r="E11" s="86"/>
      <c r="F11" s="86">
        <v>15000</v>
      </c>
      <c r="G11" s="86"/>
      <c r="H11" s="86">
        <f t="shared" si="0"/>
        <v>-26833.489999999998</v>
      </c>
    </row>
    <row r="12" spans="1:8">
      <c r="A12" s="97">
        <v>45511</v>
      </c>
      <c r="B12" s="88" t="s">
        <v>261</v>
      </c>
      <c r="C12" s="88"/>
      <c r="D12" s="86"/>
      <c r="E12" s="86">
        <v>-17500</v>
      </c>
      <c r="F12" s="86"/>
      <c r="G12" s="86">
        <v>-17500</v>
      </c>
      <c r="H12" s="86">
        <f t="shared" si="0"/>
        <v>-44333.49</v>
      </c>
    </row>
    <row r="13" spans="1:8">
      <c r="A13" s="97"/>
      <c r="B13" s="95" t="s">
        <v>207</v>
      </c>
      <c r="E13" s="85">
        <f>E58*-1</f>
        <v>0</v>
      </c>
      <c r="G13" s="85">
        <v>-50</v>
      </c>
      <c r="H13" s="86">
        <f t="shared" si="0"/>
        <v>-44383.49</v>
      </c>
    </row>
    <row r="14" spans="1:8">
      <c r="A14" s="97">
        <v>45519</v>
      </c>
      <c r="B14" s="349" t="s">
        <v>1536</v>
      </c>
      <c r="C14" s="88"/>
      <c r="D14" s="86"/>
      <c r="E14" s="86"/>
      <c r="F14" s="86"/>
      <c r="G14" s="86"/>
      <c r="H14" s="86">
        <f t="shared" si="0"/>
        <v>-44383.49</v>
      </c>
    </row>
    <row r="15" spans="1:8">
      <c r="A15" s="97">
        <v>45520</v>
      </c>
      <c r="B15" s="88" t="s">
        <v>440</v>
      </c>
      <c r="C15" s="88"/>
      <c r="D15" s="86"/>
      <c r="E15" s="86"/>
      <c r="F15" s="86"/>
      <c r="G15" s="86">
        <v>-95</v>
      </c>
      <c r="H15" s="86">
        <f t="shared" si="0"/>
        <v>-44478.49</v>
      </c>
    </row>
    <row r="16" spans="1:8">
      <c r="A16" s="335">
        <v>45523</v>
      </c>
      <c r="B16" s="94" t="s">
        <v>205</v>
      </c>
      <c r="C16" s="94" t="s">
        <v>204</v>
      </c>
      <c r="D16" s="86"/>
      <c r="E16" s="86">
        <v>-300</v>
      </c>
      <c r="F16" s="86"/>
      <c r="G16" s="86">
        <v>-56</v>
      </c>
      <c r="H16" s="86">
        <f t="shared" si="0"/>
        <v>-44534.49</v>
      </c>
    </row>
    <row r="17" spans="1:8">
      <c r="A17" s="335">
        <v>45523</v>
      </c>
      <c r="B17" s="94" t="s">
        <v>206</v>
      </c>
      <c r="C17" s="94" t="s">
        <v>204</v>
      </c>
      <c r="D17" s="86"/>
      <c r="E17" s="86">
        <v>-100</v>
      </c>
      <c r="F17" s="86"/>
      <c r="G17" s="86">
        <v>-28</v>
      </c>
      <c r="H17" s="86">
        <f t="shared" si="0"/>
        <v>-44562.49</v>
      </c>
    </row>
    <row r="18" spans="1:8">
      <c r="A18" s="335">
        <v>45533</v>
      </c>
      <c r="B18" s="88" t="s">
        <v>190</v>
      </c>
      <c r="C18" s="88"/>
      <c r="D18" s="86"/>
      <c r="E18" s="86">
        <v>-400</v>
      </c>
      <c r="F18" s="86"/>
      <c r="G18" s="86">
        <v>-500</v>
      </c>
      <c r="H18" s="86">
        <f t="shared" si="0"/>
        <v>-45062.49</v>
      </c>
    </row>
    <row r="19" spans="1:8">
      <c r="A19" s="335">
        <v>45533</v>
      </c>
      <c r="B19" s="88" t="s">
        <v>191</v>
      </c>
      <c r="C19" s="88"/>
      <c r="D19" s="86"/>
      <c r="E19" s="86">
        <v>-500</v>
      </c>
      <c r="F19" s="86"/>
      <c r="G19" s="86">
        <v>-865</v>
      </c>
      <c r="H19" s="86">
        <f t="shared" si="0"/>
        <v>-45927.49</v>
      </c>
    </row>
    <row r="20" spans="1:8">
      <c r="B20" t="s">
        <v>80</v>
      </c>
      <c r="D20" s="86"/>
      <c r="E20" s="86"/>
      <c r="F20" s="86"/>
      <c r="G20" s="86"/>
      <c r="H20" s="86">
        <f t="shared" si="0"/>
        <v>-45927.49</v>
      </c>
    </row>
    <row r="21" spans="1:8">
      <c r="B21" t="s">
        <v>80</v>
      </c>
      <c r="D21" s="86"/>
      <c r="E21" s="86">
        <v>-6500</v>
      </c>
      <c r="F21" s="86"/>
      <c r="G21" s="86">
        <v>-6500</v>
      </c>
      <c r="H21" s="86">
        <f t="shared" si="0"/>
        <v>-52427.49</v>
      </c>
    </row>
    <row r="22" spans="1:8">
      <c r="B22" t="s">
        <v>168</v>
      </c>
      <c r="D22" s="86"/>
      <c r="E22" s="86">
        <v>-6500</v>
      </c>
      <c r="F22" s="86"/>
      <c r="G22" s="86">
        <v>-6500</v>
      </c>
      <c r="H22" s="86">
        <f t="shared" si="0"/>
        <v>-58927.49</v>
      </c>
    </row>
    <row r="23" spans="1:8">
      <c r="B23" t="s">
        <v>212</v>
      </c>
      <c r="D23" s="86"/>
      <c r="E23" s="86">
        <v>-6500</v>
      </c>
      <c r="F23" s="86"/>
      <c r="G23" s="86">
        <v>-6500</v>
      </c>
      <c r="H23" s="86">
        <f t="shared" si="0"/>
        <v>-65427.49</v>
      </c>
    </row>
    <row r="24" spans="1:8">
      <c r="H24" s="86">
        <f t="shared" si="0"/>
        <v>-65427.49</v>
      </c>
    </row>
    <row r="25" spans="1:8">
      <c r="A25" s="97"/>
      <c r="B25" t="s">
        <v>213</v>
      </c>
      <c r="D25" s="85">
        <v>12984.15</v>
      </c>
      <c r="F25" s="85">
        <v>13006.38</v>
      </c>
      <c r="H25" s="86">
        <f t="shared" si="0"/>
        <v>-52421.11</v>
      </c>
    </row>
    <row r="26" spans="1:8">
      <c r="A26" s="97"/>
      <c r="H26" s="86">
        <f t="shared" si="0"/>
        <v>-52421.11</v>
      </c>
    </row>
    <row r="27" spans="1:8">
      <c r="H27" s="86">
        <f t="shared" si="0"/>
        <v>-52421.11</v>
      </c>
    </row>
    <row r="28" spans="1:8">
      <c r="A28" s="20">
        <v>45531</v>
      </c>
      <c r="B28" t="s">
        <v>264</v>
      </c>
      <c r="C28" s="98"/>
      <c r="D28" s="85" t="s">
        <v>1424</v>
      </c>
      <c r="E28" s="86">
        <v>-750</v>
      </c>
      <c r="F28" s="86"/>
      <c r="G28" s="86">
        <f t="shared" ref="G28:G33" si="1">E28</f>
        <v>-750</v>
      </c>
      <c r="H28" s="86">
        <f t="shared" si="0"/>
        <v>-53171.11</v>
      </c>
    </row>
    <row r="29" spans="1:8">
      <c r="A29" s="20">
        <v>45531</v>
      </c>
      <c r="B29" t="s">
        <v>265</v>
      </c>
      <c r="C29" s="98"/>
      <c r="D29" s="85" t="s">
        <v>1424</v>
      </c>
      <c r="E29" s="86">
        <v>-2137.5</v>
      </c>
      <c r="F29" s="86"/>
      <c r="G29" s="86">
        <f t="shared" si="1"/>
        <v>-2137.5</v>
      </c>
      <c r="H29" s="86">
        <f t="shared" si="0"/>
        <v>-55308.61</v>
      </c>
    </row>
    <row r="30" spans="1:8">
      <c r="A30" s="20">
        <v>45531</v>
      </c>
      <c r="B30" t="s">
        <v>266</v>
      </c>
      <c r="C30" s="98"/>
      <c r="D30" s="85" t="s">
        <v>1424</v>
      </c>
      <c r="E30" s="86">
        <v>-925</v>
      </c>
      <c r="F30" s="86"/>
      <c r="G30" s="86">
        <f t="shared" si="1"/>
        <v>-925</v>
      </c>
      <c r="H30" s="86">
        <f t="shared" si="0"/>
        <v>-56233.61</v>
      </c>
    </row>
    <row r="31" spans="1:8">
      <c r="A31" s="20">
        <v>45531</v>
      </c>
      <c r="B31" t="s">
        <v>267</v>
      </c>
      <c r="C31" s="98"/>
      <c r="D31" s="85" t="s">
        <v>1424</v>
      </c>
      <c r="E31" s="86">
        <v>-625</v>
      </c>
      <c r="F31" s="86"/>
      <c r="G31" s="86">
        <f t="shared" si="1"/>
        <v>-625</v>
      </c>
      <c r="H31" s="86">
        <f t="shared" si="0"/>
        <v>-56858.61</v>
      </c>
    </row>
    <row r="32" spans="1:8">
      <c r="A32" s="20">
        <v>45531</v>
      </c>
      <c r="B32" t="s">
        <v>268</v>
      </c>
      <c r="C32" s="98"/>
      <c r="D32" s="85" t="s">
        <v>1424</v>
      </c>
      <c r="E32" s="86">
        <v>-1075</v>
      </c>
      <c r="F32" s="86"/>
      <c r="G32" s="86">
        <f t="shared" si="1"/>
        <v>-1075</v>
      </c>
      <c r="H32" s="86">
        <f t="shared" si="0"/>
        <v>-57933.61</v>
      </c>
    </row>
    <row r="33" spans="1:8">
      <c r="A33" s="20">
        <v>45531</v>
      </c>
      <c r="B33" t="s">
        <v>269</v>
      </c>
      <c r="C33" s="98"/>
      <c r="D33" s="85" t="s">
        <v>1424</v>
      </c>
      <c r="E33" s="86">
        <v>-1825</v>
      </c>
      <c r="F33" s="86"/>
      <c r="G33" s="86">
        <f t="shared" si="1"/>
        <v>-1825</v>
      </c>
      <c r="H33" s="86">
        <f t="shared" si="0"/>
        <v>-59758.61</v>
      </c>
    </row>
    <row r="34" spans="1:8">
      <c r="A34" s="20"/>
      <c r="C34" s="98"/>
      <c r="E34" s="86"/>
      <c r="F34" s="86"/>
      <c r="G34" s="86"/>
      <c r="H34" s="86">
        <f t="shared" si="0"/>
        <v>-59758.61</v>
      </c>
    </row>
    <row r="35" spans="1:8">
      <c r="A35" s="335">
        <v>45531</v>
      </c>
      <c r="B35" t="s">
        <v>1426</v>
      </c>
      <c r="C35" s="85" t="s">
        <v>1424</v>
      </c>
      <c r="D35" s="86" t="s">
        <v>1430</v>
      </c>
      <c r="E35" s="86">
        <v>-136.08000000000001</v>
      </c>
      <c r="F35" s="86"/>
      <c r="G35" s="86">
        <v>-136.08000000000001</v>
      </c>
      <c r="H35" s="86">
        <f t="shared" si="0"/>
        <v>-59894.69</v>
      </c>
    </row>
    <row r="36" spans="1:8">
      <c r="A36" s="335">
        <v>45531</v>
      </c>
      <c r="B36" t="s">
        <v>1427</v>
      </c>
      <c r="C36" s="85" t="s">
        <v>1424</v>
      </c>
      <c r="D36" s="86" t="s">
        <v>1430</v>
      </c>
      <c r="E36" s="86">
        <v>-258.61</v>
      </c>
      <c r="F36" s="86"/>
      <c r="G36" s="86">
        <v>-258.61</v>
      </c>
      <c r="H36" s="86">
        <f t="shared" si="0"/>
        <v>-60153.3</v>
      </c>
    </row>
    <row r="37" spans="1:8">
      <c r="A37" s="335">
        <v>45531</v>
      </c>
      <c r="B37" t="s">
        <v>1428</v>
      </c>
      <c r="C37" s="85" t="s">
        <v>1424</v>
      </c>
      <c r="D37" s="86" t="s">
        <v>1430</v>
      </c>
      <c r="E37" s="86">
        <v>-119.07</v>
      </c>
      <c r="F37" s="86"/>
      <c r="G37" s="86">
        <v>-119.07</v>
      </c>
      <c r="H37" s="86">
        <f t="shared" si="0"/>
        <v>-60272.37</v>
      </c>
    </row>
    <row r="38" spans="1:8">
      <c r="A38" s="335">
        <v>45531</v>
      </c>
      <c r="B38" t="s">
        <v>1429</v>
      </c>
      <c r="C38" s="85" t="s">
        <v>1424</v>
      </c>
      <c r="D38" s="86" t="s">
        <v>1430</v>
      </c>
      <c r="E38" s="86">
        <v>-103.12</v>
      </c>
      <c r="F38" s="86"/>
      <c r="G38" s="86">
        <v>-103.12</v>
      </c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A40" s="335">
        <v>45535</v>
      </c>
      <c r="B40" s="349" t="s">
        <v>1537</v>
      </c>
      <c r="C40" s="98"/>
      <c r="H40" s="86">
        <f t="shared" si="0"/>
        <v>-60375.490000000005</v>
      </c>
    </row>
    <row r="41" spans="1:8">
      <c r="H41" s="86">
        <f t="shared" si="0"/>
        <v>-60375.490000000005</v>
      </c>
    </row>
    <row r="42" spans="1:8">
      <c r="B42" s="339" t="s">
        <v>262</v>
      </c>
      <c r="C42" s="339"/>
      <c r="D42" s="343">
        <v>15000</v>
      </c>
      <c r="H42" s="86">
        <f t="shared" si="0"/>
        <v>-60375.490000000005</v>
      </c>
    </row>
    <row r="43" spans="1:8">
      <c r="B43" s="105" t="s">
        <v>263</v>
      </c>
      <c r="C43" s="105"/>
      <c r="D43" s="106">
        <v>8500</v>
      </c>
      <c r="H43" s="86">
        <f t="shared" si="0"/>
        <v>-60375.490000000005</v>
      </c>
    </row>
    <row r="44" spans="1:8">
      <c r="B44" s="339" t="s">
        <v>189</v>
      </c>
      <c r="C44" s="339"/>
      <c r="D44" s="340"/>
      <c r="E44" s="340">
        <v>-10000</v>
      </c>
      <c r="H44" s="86">
        <f t="shared" si="0"/>
        <v>-60375.490000000005</v>
      </c>
    </row>
    <row r="45" spans="1:8">
      <c r="B45" t="s">
        <v>270</v>
      </c>
      <c r="C45" s="98">
        <v>0.234011</v>
      </c>
      <c r="D45" s="85">
        <v>144000</v>
      </c>
      <c r="H45" s="86">
        <f t="shared" si="0"/>
        <v>-60375.490000000005</v>
      </c>
    </row>
    <row r="46" spans="1:8">
      <c r="B46" s="88" t="s">
        <v>203</v>
      </c>
      <c r="C46" s="88" t="s">
        <v>204</v>
      </c>
      <c r="E46" s="85">
        <v>-150</v>
      </c>
      <c r="H46" s="86">
        <f t="shared" si="0"/>
        <v>-60375.490000000005</v>
      </c>
    </row>
    <row r="47" spans="1:8">
      <c r="H47" s="86">
        <f t="shared" si="0"/>
        <v>-60375.490000000005</v>
      </c>
    </row>
    <row r="49" spans="1:5">
      <c r="B49" t="s">
        <v>216</v>
      </c>
    </row>
    <row r="50" spans="1:5">
      <c r="A50" s="78" t="s">
        <v>217</v>
      </c>
      <c r="B50" s="78"/>
      <c r="C50" s="78"/>
    </row>
    <row r="51" spans="1:5">
      <c r="A51" s="97"/>
      <c r="C51" s="98"/>
    </row>
    <row r="52" spans="1:5">
      <c r="A52" s="100">
        <v>44929</v>
      </c>
      <c r="B52" s="101" t="s">
        <v>218</v>
      </c>
      <c r="C52" s="78"/>
      <c r="D52" s="85">
        <f>SUM(D53:D58)</f>
        <v>0</v>
      </c>
      <c r="E52" s="85">
        <f>SUM(E53:E58)</f>
        <v>0</v>
      </c>
    </row>
    <row r="53" spans="1:5">
      <c r="A53" s="97"/>
      <c r="B53" s="94" t="s">
        <v>219</v>
      </c>
    </row>
    <row r="54" spans="1:5">
      <c r="B54" t="s">
        <v>220</v>
      </c>
    </row>
    <row r="55" spans="1:5">
      <c r="B55" t="s">
        <v>221</v>
      </c>
    </row>
    <row r="56" spans="1:5">
      <c r="B56" t="s">
        <v>222</v>
      </c>
    </row>
    <row r="57" spans="1:5">
      <c r="B57" t="s">
        <v>223</v>
      </c>
    </row>
    <row r="58" spans="1:5">
      <c r="B58" t="s">
        <v>224</v>
      </c>
      <c r="C58" s="94"/>
    </row>
    <row r="59" spans="1:5">
      <c r="C59" s="94"/>
    </row>
    <row r="61" spans="1:5">
      <c r="B61" s="13"/>
    </row>
    <row r="62" spans="1:5">
      <c r="B62" s="102"/>
    </row>
    <row r="63" spans="1:5">
      <c r="A63" s="78"/>
      <c r="B63" s="77" t="s">
        <v>225</v>
      </c>
      <c r="C63" s="78"/>
      <c r="E63" s="85">
        <f>SUM(E64:E75)</f>
        <v>-8154.2</v>
      </c>
    </row>
    <row r="65" spans="1:6">
      <c r="A65" s="20">
        <v>45348</v>
      </c>
      <c r="B65" t="s">
        <v>250</v>
      </c>
      <c r="C65">
        <v>1406</v>
      </c>
      <c r="D65" s="85" t="s">
        <v>271</v>
      </c>
      <c r="E65" s="85">
        <v>-234.33</v>
      </c>
      <c r="F65" s="85">
        <v>0</v>
      </c>
    </row>
    <row r="66" spans="1:6">
      <c r="A66" s="20">
        <v>45373</v>
      </c>
      <c r="B66" t="s">
        <v>226</v>
      </c>
      <c r="C66">
        <v>10176.39</v>
      </c>
      <c r="D66" s="85" t="s">
        <v>272</v>
      </c>
      <c r="E66" s="85">
        <v>-1130.71</v>
      </c>
      <c r="F66" s="85">
        <v>0</v>
      </c>
    </row>
    <row r="67" spans="1:6">
      <c r="A67" s="20">
        <v>45375</v>
      </c>
      <c r="B67" t="s">
        <v>228</v>
      </c>
      <c r="C67">
        <v>5999</v>
      </c>
      <c r="D67" s="85" t="s">
        <v>272</v>
      </c>
      <c r="E67" s="85">
        <v>-666.56</v>
      </c>
      <c r="F67" s="85">
        <v>0</v>
      </c>
    </row>
    <row r="68" spans="1:6">
      <c r="A68" s="20">
        <v>45358</v>
      </c>
      <c r="B68" t="s">
        <v>253</v>
      </c>
      <c r="C68">
        <v>2273</v>
      </c>
      <c r="D68" s="85" t="s">
        <v>271</v>
      </c>
      <c r="E68" s="85">
        <v>-378.87</v>
      </c>
      <c r="F68" s="85">
        <v>0</v>
      </c>
    </row>
    <row r="69" spans="1:6">
      <c r="A69" s="20">
        <v>45371</v>
      </c>
      <c r="B69" t="s">
        <v>254</v>
      </c>
      <c r="D69" s="85" t="s">
        <v>271</v>
      </c>
      <c r="E69" s="85">
        <v>101.77</v>
      </c>
      <c r="F69" s="85">
        <v>0</v>
      </c>
    </row>
    <row r="70" spans="1:6">
      <c r="A70" s="97">
        <v>45442</v>
      </c>
      <c r="B70" s="107" t="s">
        <v>273</v>
      </c>
      <c r="C70" s="94"/>
      <c r="D70" s="85" t="s">
        <v>274</v>
      </c>
      <c r="E70" s="85">
        <v>-1054.1400000000001</v>
      </c>
      <c r="F70" s="85">
        <v>0</v>
      </c>
    </row>
    <row r="71" spans="1:6">
      <c r="A71" s="97">
        <v>45456</v>
      </c>
      <c r="B71" s="103" t="s">
        <v>255</v>
      </c>
      <c r="C71" s="94"/>
      <c r="D71" s="85" t="s">
        <v>275</v>
      </c>
      <c r="E71" s="85">
        <v>-3923.33</v>
      </c>
      <c r="F71" s="85">
        <v>0</v>
      </c>
    </row>
    <row r="72" spans="1:6">
      <c r="A72" s="97">
        <v>45470</v>
      </c>
      <c r="B72" s="103" t="s">
        <v>276</v>
      </c>
      <c r="C72" s="94"/>
      <c r="E72" s="85">
        <v>-868.03</v>
      </c>
    </row>
    <row r="73" spans="1:6">
      <c r="A73" s="97">
        <v>45478</v>
      </c>
      <c r="B73" s="103" t="s">
        <v>277</v>
      </c>
      <c r="C73" s="94"/>
      <c r="D73" s="85">
        <v>2700.47</v>
      </c>
    </row>
    <row r="74" spans="1:6" ht="15">
      <c r="A74" s="97">
        <v>45478</v>
      </c>
      <c r="B74" s="103" t="s">
        <v>277</v>
      </c>
      <c r="D74" s="85">
        <v>6244.07</v>
      </c>
      <c r="E74" s="108" t="s">
        <v>278</v>
      </c>
    </row>
    <row r="75" spans="1:6">
      <c r="A75" s="97"/>
      <c r="B75" s="103"/>
      <c r="C75" s="94"/>
    </row>
    <row r="76" spans="1:6">
      <c r="A76" s="97"/>
      <c r="B76" s="3"/>
    </row>
    <row r="77" spans="1:6">
      <c r="A77" s="97"/>
      <c r="B77" s="94"/>
      <c r="C77" s="94"/>
    </row>
    <row r="78" spans="1:6">
      <c r="A78" s="78"/>
      <c r="B78" s="77" t="s">
        <v>229</v>
      </c>
      <c r="C78" s="78"/>
      <c r="E78" s="85">
        <f>SUM(E79:E121)</f>
        <v>-21980.090000000004</v>
      </c>
    </row>
    <row r="79" spans="1:6">
      <c r="A79" s="97"/>
      <c r="B79" s="94"/>
      <c r="C79" s="94"/>
    </row>
    <row r="80" spans="1:6">
      <c r="A80" s="97"/>
      <c r="B80" s="3" t="s">
        <v>279</v>
      </c>
      <c r="C80" s="94"/>
      <c r="D80" s="85" t="s">
        <v>280</v>
      </c>
      <c r="E80" s="85">
        <v>-649.79999999999995</v>
      </c>
    </row>
    <row r="81" spans="1:5">
      <c r="A81" s="97"/>
      <c r="B81" s="3" t="s">
        <v>281</v>
      </c>
      <c r="C81" s="94">
        <v>50</v>
      </c>
      <c r="D81" s="85" t="s">
        <v>280</v>
      </c>
    </row>
    <row r="82" spans="1:5">
      <c r="A82" s="97"/>
      <c r="B82" s="3"/>
      <c r="C82" s="94"/>
    </row>
    <row r="83" spans="1:5">
      <c r="A83" s="97">
        <v>45456</v>
      </c>
      <c r="B83" t="s">
        <v>282</v>
      </c>
      <c r="C83" s="94"/>
      <c r="D83" s="85" t="s">
        <v>274</v>
      </c>
      <c r="E83" s="85">
        <v>-5875</v>
      </c>
    </row>
    <row r="84" spans="1:5">
      <c r="A84" s="97">
        <v>45456</v>
      </c>
      <c r="B84" t="s">
        <v>283</v>
      </c>
      <c r="C84" s="94"/>
      <c r="D84" s="85" t="s">
        <v>274</v>
      </c>
      <c r="E84" s="85">
        <v>-4300</v>
      </c>
    </row>
    <row r="85" spans="1:5">
      <c r="A85" s="97">
        <v>45475</v>
      </c>
      <c r="B85" s="3" t="s">
        <v>284</v>
      </c>
      <c r="C85" s="94"/>
      <c r="E85" s="85">
        <v>-1129.5</v>
      </c>
    </row>
    <row r="86" spans="1:5">
      <c r="A86" s="97">
        <v>45478</v>
      </c>
      <c r="B86" s="3" t="s">
        <v>285</v>
      </c>
      <c r="C86" s="94"/>
      <c r="E86" s="85">
        <v>-1060</v>
      </c>
    </row>
    <row r="87" spans="1:5">
      <c r="A87" s="97"/>
      <c r="B87" s="3"/>
      <c r="C87" s="94"/>
    </row>
    <row r="88" spans="1:5">
      <c r="A88" s="97">
        <v>45467</v>
      </c>
      <c r="B88" s="3" t="s">
        <v>286</v>
      </c>
      <c r="C88" s="94">
        <v>120</v>
      </c>
      <c r="E88" s="85">
        <v>-120</v>
      </c>
    </row>
    <row r="89" spans="1:5">
      <c r="A89" s="97">
        <v>45467</v>
      </c>
      <c r="B89" s="3" t="s">
        <v>287</v>
      </c>
      <c r="C89" s="94"/>
      <c r="E89" s="85">
        <v>-70</v>
      </c>
    </row>
    <row r="90" spans="1:5">
      <c r="A90" s="97">
        <v>45467</v>
      </c>
      <c r="B90" s="3" t="s">
        <v>288</v>
      </c>
      <c r="C90" s="94"/>
      <c r="E90" s="85">
        <v>-1400</v>
      </c>
    </row>
    <row r="91" spans="1:5">
      <c r="A91" s="97">
        <v>45468</v>
      </c>
      <c r="B91" s="3" t="s">
        <v>286</v>
      </c>
      <c r="C91" s="94">
        <v>150</v>
      </c>
      <c r="E91" s="85">
        <v>-150</v>
      </c>
    </row>
    <row r="92" spans="1:5">
      <c r="A92" s="97">
        <v>45468</v>
      </c>
      <c r="B92" s="3" t="s">
        <v>289</v>
      </c>
      <c r="C92" s="94"/>
      <c r="E92" s="85">
        <v>-230</v>
      </c>
    </row>
    <row r="93" spans="1:5">
      <c r="A93" s="97">
        <v>45469</v>
      </c>
      <c r="B93" s="3" t="s">
        <v>286</v>
      </c>
      <c r="C93" s="94">
        <v>250</v>
      </c>
      <c r="E93" s="85">
        <v>-250</v>
      </c>
    </row>
    <row r="94" spans="1:5">
      <c r="A94" s="97">
        <v>45470</v>
      </c>
      <c r="B94" s="3" t="s">
        <v>290</v>
      </c>
      <c r="C94" s="94"/>
      <c r="E94" s="85">
        <v>-130</v>
      </c>
    </row>
    <row r="95" spans="1:5">
      <c r="A95" s="97">
        <v>45470</v>
      </c>
      <c r="B95" s="3" t="s">
        <v>291</v>
      </c>
      <c r="C95" s="94"/>
      <c r="E95" s="85">
        <v>-48.99</v>
      </c>
    </row>
    <row r="96" spans="1:5">
      <c r="A96" s="97">
        <v>45470</v>
      </c>
      <c r="B96" s="3" t="s">
        <v>292</v>
      </c>
      <c r="C96" s="94"/>
      <c r="E96" s="85">
        <v>-169.5</v>
      </c>
    </row>
    <row r="97" spans="1:5">
      <c r="A97" s="97">
        <v>45471</v>
      </c>
      <c r="B97" s="3" t="s">
        <v>293</v>
      </c>
      <c r="C97" s="94"/>
      <c r="E97" s="85">
        <v>-80</v>
      </c>
    </row>
    <row r="98" spans="1:5">
      <c r="A98" s="97">
        <v>45473</v>
      </c>
      <c r="B98" s="3" t="s">
        <v>294</v>
      </c>
      <c r="C98" s="94"/>
      <c r="E98" s="85">
        <v>-50</v>
      </c>
    </row>
    <row r="99" spans="1:5">
      <c r="A99" s="97">
        <v>45474</v>
      </c>
      <c r="B99" s="3" t="s">
        <v>287</v>
      </c>
      <c r="C99" s="94"/>
      <c r="E99" s="85">
        <v>-70</v>
      </c>
    </row>
    <row r="100" spans="1:5">
      <c r="A100" s="97">
        <v>45475</v>
      </c>
      <c r="B100" s="3" t="s">
        <v>286</v>
      </c>
      <c r="C100" s="94">
        <v>440</v>
      </c>
      <c r="E100" s="85">
        <v>-440</v>
      </c>
    </row>
    <row r="101" spans="1:5">
      <c r="A101" s="97">
        <v>45475</v>
      </c>
      <c r="B101" s="3" t="s">
        <v>295</v>
      </c>
      <c r="E101" s="85">
        <v>-1673</v>
      </c>
    </row>
    <row r="102" spans="1:5">
      <c r="A102" s="97">
        <v>45475</v>
      </c>
      <c r="B102" s="3" t="s">
        <v>290</v>
      </c>
      <c r="C102" s="94"/>
      <c r="E102" s="85">
        <v>-150</v>
      </c>
    </row>
    <row r="103" spans="1:5">
      <c r="A103" s="97">
        <v>45476</v>
      </c>
      <c r="B103" s="3" t="s">
        <v>287</v>
      </c>
      <c r="C103" s="94"/>
      <c r="E103" s="85">
        <v>-140</v>
      </c>
    </row>
    <row r="104" spans="1:5">
      <c r="A104" s="97">
        <v>45477</v>
      </c>
      <c r="B104" s="3" t="s">
        <v>296</v>
      </c>
      <c r="C104" s="94">
        <v>10597.81</v>
      </c>
    </row>
    <row r="105" spans="1:5">
      <c r="A105" s="97">
        <v>45478</v>
      </c>
      <c r="B105" s="3" t="s">
        <v>297</v>
      </c>
      <c r="C105" s="94"/>
      <c r="E105" s="85">
        <v>-300</v>
      </c>
    </row>
    <row r="106" spans="1:5">
      <c r="A106" s="97">
        <v>45478</v>
      </c>
      <c r="B106" s="3" t="s">
        <v>277</v>
      </c>
      <c r="C106" s="94">
        <v>15971.71</v>
      </c>
    </row>
    <row r="107" spans="1:5">
      <c r="A107" s="97">
        <v>45479</v>
      </c>
      <c r="B107" s="3" t="s">
        <v>298</v>
      </c>
      <c r="C107" s="94"/>
      <c r="E107" s="85">
        <v>-325</v>
      </c>
    </row>
    <row r="108" spans="1:5">
      <c r="A108" s="97">
        <v>45479</v>
      </c>
      <c r="B108" s="3" t="s">
        <v>299</v>
      </c>
      <c r="C108" s="94"/>
      <c r="E108" s="85">
        <v>-629</v>
      </c>
    </row>
    <row r="109" spans="1:5">
      <c r="A109" s="97"/>
      <c r="B109" s="3" t="s">
        <v>300</v>
      </c>
      <c r="C109" s="94"/>
      <c r="E109" s="85">
        <v>-800</v>
      </c>
    </row>
    <row r="110" spans="1:5">
      <c r="E110" s="85">
        <v>-119.74</v>
      </c>
    </row>
    <row r="111" spans="1:5">
      <c r="E111" s="85">
        <v>-215.98</v>
      </c>
    </row>
    <row r="112" spans="1:5">
      <c r="E112" s="85">
        <v>-104</v>
      </c>
    </row>
    <row r="113" spans="1:5">
      <c r="E113" s="85">
        <v>-81.37</v>
      </c>
    </row>
    <row r="114" spans="1:5">
      <c r="E114" s="85">
        <v>-65.67</v>
      </c>
    </row>
    <row r="115" spans="1:5">
      <c r="E115" s="85">
        <v>-260</v>
      </c>
    </row>
    <row r="116" spans="1:5">
      <c r="E116" s="85">
        <v>-270</v>
      </c>
    </row>
    <row r="117" spans="1:5">
      <c r="E117" s="85">
        <v>-300</v>
      </c>
    </row>
    <row r="118" spans="1:5">
      <c r="B118" s="37" t="s">
        <v>352</v>
      </c>
      <c r="C118" s="94">
        <f>SUM(C88:C100)</f>
        <v>960</v>
      </c>
      <c r="E118" s="85">
        <v>-37.33</v>
      </c>
    </row>
    <row r="119" spans="1:5">
      <c r="E119" s="85">
        <v>-37.33</v>
      </c>
    </row>
    <row r="120" spans="1:5">
      <c r="E120" s="85">
        <v>-72.63</v>
      </c>
    </row>
    <row r="121" spans="1:5" ht="15">
      <c r="D121" s="108" t="s">
        <v>278</v>
      </c>
      <c r="E121" s="85">
        <v>-176.25</v>
      </c>
    </row>
    <row r="122" spans="1:5" ht="15">
      <c r="D122" s="109"/>
    </row>
    <row r="123" spans="1:5" ht="15">
      <c r="D123" s="109"/>
    </row>
    <row r="125" spans="1:5">
      <c r="A125" s="76" t="s">
        <v>301</v>
      </c>
      <c r="B125" s="77" t="s">
        <v>167</v>
      </c>
      <c r="C125" s="78">
        <v>2024</v>
      </c>
      <c r="D125" s="79"/>
      <c r="E125" s="80">
        <f>SUM(E126:E146)</f>
        <v>981303.72722800006</v>
      </c>
    </row>
    <row r="126" spans="1:5">
      <c r="A126" s="81">
        <v>45505</v>
      </c>
      <c r="B126" t="s">
        <v>80</v>
      </c>
      <c r="C126" s="2"/>
      <c r="D126" s="2"/>
      <c r="E126" s="2">
        <v>64000</v>
      </c>
    </row>
    <row r="127" spans="1:5">
      <c r="A127" s="81">
        <f t="shared" ref="A127:A146" si="2">A126</f>
        <v>45505</v>
      </c>
      <c r="B127" t="s">
        <v>302</v>
      </c>
      <c r="C127" s="2"/>
      <c r="D127" s="2"/>
      <c r="E127" s="2">
        <v>150845</v>
      </c>
    </row>
    <row r="128" spans="1:5">
      <c r="A128" s="81">
        <f t="shared" si="2"/>
        <v>45505</v>
      </c>
      <c r="B128" t="s">
        <v>169</v>
      </c>
      <c r="C128" s="2"/>
      <c r="D128" s="2"/>
      <c r="E128" s="13">
        <v>12712.47</v>
      </c>
    </row>
    <row r="129" spans="1:5">
      <c r="A129" s="81">
        <f t="shared" si="2"/>
        <v>45505</v>
      </c>
      <c r="B129" t="s">
        <v>170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303</v>
      </c>
      <c r="C130" s="2"/>
      <c r="D130" s="2"/>
      <c r="E130" s="13">
        <v>0</v>
      </c>
    </row>
    <row r="131" spans="1:5">
      <c r="A131" s="81">
        <f t="shared" si="2"/>
        <v>45505</v>
      </c>
      <c r="B131" t="s">
        <v>171</v>
      </c>
      <c r="C131" s="110"/>
      <c r="D131" s="2"/>
      <c r="E131" s="13">
        <v>0</v>
      </c>
    </row>
    <row r="132" spans="1:5">
      <c r="A132" s="81">
        <f t="shared" si="2"/>
        <v>45505</v>
      </c>
      <c r="B132" t="s">
        <v>56</v>
      </c>
      <c r="C132" s="2">
        <v>74</v>
      </c>
      <c r="D132" s="111">
        <v>677.53942199999995</v>
      </c>
      <c r="E132" s="13">
        <f t="shared" ref="E132:E144" si="3">D132*C132</f>
        <v>50137.917227999998</v>
      </c>
    </row>
    <row r="133" spans="1:5">
      <c r="A133" s="81">
        <f t="shared" si="2"/>
        <v>45505</v>
      </c>
      <c r="B133" t="s">
        <v>304</v>
      </c>
      <c r="C133" s="112">
        <v>125000</v>
      </c>
      <c r="D133" s="111">
        <v>0.83506999999999998</v>
      </c>
      <c r="E133" s="13">
        <f t="shared" si="3"/>
        <v>104383.75</v>
      </c>
    </row>
    <row r="134" spans="1:5">
      <c r="A134" s="81">
        <f t="shared" si="2"/>
        <v>45505</v>
      </c>
      <c r="B134" t="s">
        <v>305</v>
      </c>
      <c r="C134" s="2">
        <v>10</v>
      </c>
      <c r="D134" s="2">
        <v>123.7</v>
      </c>
      <c r="E134" s="13">
        <f t="shared" si="3"/>
        <v>1237</v>
      </c>
    </row>
    <row r="135" spans="1:5">
      <c r="A135" s="81">
        <f t="shared" si="2"/>
        <v>45505</v>
      </c>
      <c r="B135" t="s">
        <v>306</v>
      </c>
      <c r="C135" s="2">
        <v>38</v>
      </c>
      <c r="D135" s="2">
        <v>22.78</v>
      </c>
      <c r="E135" s="13">
        <f t="shared" si="3"/>
        <v>865.6400000000001</v>
      </c>
    </row>
    <row r="136" spans="1:5">
      <c r="A136" s="81">
        <f t="shared" si="2"/>
        <v>45505</v>
      </c>
      <c r="B136" t="s">
        <v>307</v>
      </c>
      <c r="C136" s="2">
        <v>26</v>
      </c>
      <c r="D136" s="2">
        <v>27.26</v>
      </c>
      <c r="E136" s="13">
        <f t="shared" si="3"/>
        <v>708.76</v>
      </c>
    </row>
    <row r="137" spans="1:5">
      <c r="A137" s="81">
        <f t="shared" si="2"/>
        <v>45505</v>
      </c>
      <c r="B137" t="s">
        <v>179</v>
      </c>
      <c r="C137" s="2"/>
      <c r="D137" s="2"/>
      <c r="E137" s="13">
        <f t="shared" si="3"/>
        <v>0</v>
      </c>
    </row>
    <row r="138" spans="1:5">
      <c r="A138" s="81">
        <f t="shared" si="2"/>
        <v>45505</v>
      </c>
      <c r="B138" t="s">
        <v>308</v>
      </c>
      <c r="C138" s="2">
        <v>7500</v>
      </c>
      <c r="D138" s="2">
        <v>24.5</v>
      </c>
      <c r="E138" s="13">
        <f t="shared" si="3"/>
        <v>183750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C140" s="2"/>
      <c r="D140" s="2"/>
      <c r="E140" s="13">
        <f t="shared" si="3"/>
        <v>0</v>
      </c>
    </row>
    <row r="141" spans="1:5">
      <c r="A141" s="81">
        <f t="shared" si="2"/>
        <v>45505</v>
      </c>
      <c r="B141" t="s">
        <v>309</v>
      </c>
      <c r="C141" s="2">
        <v>2375.02</v>
      </c>
      <c r="D141" s="2">
        <v>156</v>
      </c>
      <c r="E141" s="13">
        <f t="shared" si="3"/>
        <v>370503.12</v>
      </c>
    </row>
    <row r="142" spans="1:5">
      <c r="A142" s="81">
        <f t="shared" si="2"/>
        <v>45505</v>
      </c>
      <c r="B142" t="s">
        <v>310</v>
      </c>
      <c r="C142" s="83">
        <v>31.963699999999999</v>
      </c>
      <c r="D142" s="2">
        <v>850</v>
      </c>
      <c r="E142" s="13">
        <f t="shared" si="3"/>
        <v>27169.145</v>
      </c>
    </row>
    <row r="143" spans="1:5">
      <c r="A143" s="81">
        <f t="shared" si="2"/>
        <v>45505</v>
      </c>
      <c r="B143" t="s">
        <v>311</v>
      </c>
      <c r="C143" s="83">
        <f>C142</f>
        <v>31.963699999999999</v>
      </c>
      <c r="D143" s="2">
        <v>250</v>
      </c>
      <c r="E143" s="13">
        <f t="shared" si="3"/>
        <v>7990.9250000000002</v>
      </c>
    </row>
    <row r="144" spans="1:5">
      <c r="A144" s="81">
        <f t="shared" si="2"/>
        <v>45505</v>
      </c>
      <c r="B144" t="s">
        <v>312</v>
      </c>
      <c r="C144" s="83">
        <v>34.412100000000002</v>
      </c>
      <c r="D144" s="2">
        <v>0</v>
      </c>
      <c r="E144" s="13">
        <f t="shared" si="3"/>
        <v>0</v>
      </c>
    </row>
    <row r="145" spans="1:5">
      <c r="A145" s="81">
        <f t="shared" si="2"/>
        <v>45505</v>
      </c>
      <c r="B145" t="s">
        <v>183</v>
      </c>
      <c r="C145" s="2"/>
      <c r="D145" s="2"/>
      <c r="E145" s="13">
        <v>3000</v>
      </c>
    </row>
    <row r="146" spans="1:5">
      <c r="A146" s="81">
        <f t="shared" si="2"/>
        <v>45505</v>
      </c>
      <c r="B146" t="s">
        <v>90</v>
      </c>
      <c r="C146" s="2"/>
      <c r="D146" s="2"/>
      <c r="E146" s="13">
        <v>4000</v>
      </c>
    </row>
    <row r="147" spans="1:5">
      <c r="E147" s="113"/>
    </row>
    <row r="148" spans="1:5">
      <c r="C148" s="110"/>
      <c r="D148" s="3"/>
      <c r="E148" s="110"/>
    </row>
    <row r="149" spans="1:5">
      <c r="C149" s="110"/>
      <c r="D149" s="70" t="s">
        <v>185</v>
      </c>
      <c r="E149" s="8">
        <f>SUM(E126:E146)</f>
        <v>981303.72722800006</v>
      </c>
    </row>
    <row r="150" spans="1:5">
      <c r="C150" s="114" t="str">
        <f>A125</f>
        <v>AĞUSTOSa</v>
      </c>
      <c r="D150" s="115" t="s">
        <v>184</v>
      </c>
      <c r="E150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topLeftCell="A133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1486</v>
      </c>
      <c r="C2" s="87" t="s">
        <v>187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188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190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191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313</v>
      </c>
      <c r="C8" s="88" t="s">
        <v>192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208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209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314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315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211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203</v>
      </c>
      <c r="C14" s="88" t="s">
        <v>204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189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205</v>
      </c>
      <c r="C19" s="94" t="s">
        <v>204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206</v>
      </c>
      <c r="C20" s="94" t="s">
        <v>204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207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80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168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212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213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263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260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190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191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316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216</v>
      </c>
    </row>
    <row r="42" spans="1:8">
      <c r="A42" s="78" t="s">
        <v>217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218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219</v>
      </c>
    </row>
    <row r="46" spans="1:8">
      <c r="B46" t="s">
        <v>220</v>
      </c>
    </row>
    <row r="47" spans="1:8">
      <c r="B47" t="s">
        <v>221</v>
      </c>
    </row>
    <row r="48" spans="1:8">
      <c r="B48" t="s">
        <v>222</v>
      </c>
      <c r="D48" s="85" t="s">
        <v>317</v>
      </c>
    </row>
    <row r="49" spans="1:5">
      <c r="B49" t="s">
        <v>223</v>
      </c>
      <c r="D49" s="85" t="s">
        <v>318</v>
      </c>
    </row>
    <row r="50" spans="1:5">
      <c r="B50" t="s">
        <v>224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225</v>
      </c>
      <c r="C55" s="78"/>
      <c r="E55" s="85">
        <f>SUM(E56:E68)</f>
        <v>-8944.5400000000009</v>
      </c>
    </row>
    <row r="57" spans="1:5">
      <c r="A57" s="20">
        <v>45348</v>
      </c>
      <c r="B57" t="s">
        <v>250</v>
      </c>
      <c r="C57">
        <v>1406</v>
      </c>
      <c r="D57" s="85" t="s">
        <v>319</v>
      </c>
      <c r="E57" s="85">
        <v>-234.33</v>
      </c>
    </row>
    <row r="58" spans="1:5">
      <c r="A58" s="20">
        <v>45373</v>
      </c>
      <c r="B58" t="s">
        <v>226</v>
      </c>
      <c r="C58">
        <v>10176.39</v>
      </c>
      <c r="D58" s="85" t="s">
        <v>320</v>
      </c>
      <c r="E58" s="85">
        <v>-1130.71</v>
      </c>
    </row>
    <row r="59" spans="1:5">
      <c r="A59" s="20">
        <v>45375</v>
      </c>
      <c r="B59" t="s">
        <v>228</v>
      </c>
      <c r="C59">
        <v>5999</v>
      </c>
      <c r="D59" s="85" t="s">
        <v>320</v>
      </c>
      <c r="E59" s="85">
        <v>-666.56</v>
      </c>
    </row>
    <row r="60" spans="1:5">
      <c r="A60" s="20">
        <v>45358</v>
      </c>
      <c r="B60" t="s">
        <v>253</v>
      </c>
      <c r="C60">
        <v>2273</v>
      </c>
      <c r="D60" s="85" t="s">
        <v>319</v>
      </c>
      <c r="E60" s="85">
        <v>-378.87</v>
      </c>
    </row>
    <row r="61" spans="1:5">
      <c r="A61" s="20">
        <v>45371</v>
      </c>
      <c r="B61" t="s">
        <v>254</v>
      </c>
      <c r="D61" s="85" t="s">
        <v>321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273</v>
      </c>
      <c r="C63" s="94"/>
      <c r="D63" s="85" t="s">
        <v>322</v>
      </c>
      <c r="E63" s="85">
        <v>-1054.1400000000001</v>
      </c>
    </row>
    <row r="64" spans="1:5">
      <c r="A64" s="97">
        <v>45456</v>
      </c>
      <c r="B64" s="103" t="s">
        <v>255</v>
      </c>
      <c r="C64" s="94"/>
      <c r="D64" s="85" t="s">
        <v>323</v>
      </c>
      <c r="E64" s="85">
        <v>-3923.33</v>
      </c>
    </row>
    <row r="65" spans="1:5">
      <c r="A65" s="97">
        <v>45442</v>
      </c>
      <c r="B65" s="94" t="s">
        <v>324</v>
      </c>
      <c r="C65" s="94"/>
      <c r="E65" s="85">
        <v>-278.97000000000003</v>
      </c>
    </row>
    <row r="67" spans="1:5">
      <c r="A67" s="97">
        <v>45444</v>
      </c>
      <c r="B67" s="103" t="s">
        <v>325</v>
      </c>
      <c r="C67" s="94"/>
      <c r="E67" s="85">
        <v>-1379.4</v>
      </c>
    </row>
    <row r="68" spans="1:5" ht="15">
      <c r="A68" s="97">
        <v>45447</v>
      </c>
      <c r="B68" s="103" t="s">
        <v>277</v>
      </c>
      <c r="D68" s="85">
        <v>4300</v>
      </c>
      <c r="E68" s="108" t="s">
        <v>278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229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326</v>
      </c>
      <c r="C74" s="94"/>
      <c r="D74" s="85" t="s">
        <v>327</v>
      </c>
      <c r="E74" s="85">
        <v>-3551.68</v>
      </c>
    </row>
    <row r="75" spans="1:5">
      <c r="A75" s="97"/>
      <c r="B75" s="3" t="s">
        <v>279</v>
      </c>
      <c r="C75" s="94"/>
      <c r="D75" s="85" t="s">
        <v>328</v>
      </c>
      <c r="E75" s="85">
        <v>-649.78</v>
      </c>
    </row>
    <row r="76" spans="1:5">
      <c r="A76" s="97"/>
      <c r="B76" s="3" t="s">
        <v>281</v>
      </c>
      <c r="C76" s="94"/>
      <c r="D76" s="85" t="s">
        <v>329</v>
      </c>
    </row>
    <row r="77" spans="1:5">
      <c r="A77" s="97"/>
      <c r="B77" s="3"/>
      <c r="C77" s="94"/>
    </row>
    <row r="78" spans="1:5">
      <c r="A78" s="97">
        <v>45456</v>
      </c>
      <c r="B78" t="s">
        <v>282</v>
      </c>
      <c r="C78" s="94"/>
      <c r="D78" s="85" t="s">
        <v>322</v>
      </c>
      <c r="E78" s="85">
        <v>-5875</v>
      </c>
    </row>
    <row r="79" spans="1:5">
      <c r="A79" s="97">
        <v>45456</v>
      </c>
      <c r="B79" t="s">
        <v>283</v>
      </c>
      <c r="C79" s="94"/>
      <c r="D79" s="85" t="s">
        <v>322</v>
      </c>
      <c r="E79" s="85">
        <v>-4300</v>
      </c>
    </row>
    <row r="80" spans="1:5">
      <c r="A80" s="97">
        <v>45465</v>
      </c>
      <c r="B80" s="3" t="s">
        <v>324</v>
      </c>
      <c r="C80" s="94"/>
      <c r="E80" s="85">
        <v>-483.01</v>
      </c>
    </row>
    <row r="81" spans="1:5">
      <c r="A81" s="97">
        <v>45436</v>
      </c>
      <c r="B81" s="3" t="s">
        <v>330</v>
      </c>
      <c r="C81" s="94"/>
      <c r="E81" s="85">
        <v>-80</v>
      </c>
    </row>
    <row r="82" spans="1:5">
      <c r="A82" s="97">
        <v>45436</v>
      </c>
      <c r="B82" s="3" t="s">
        <v>331</v>
      </c>
      <c r="C82" s="94"/>
      <c r="E82" s="85">
        <v>-1000</v>
      </c>
    </row>
    <row r="83" spans="1:5">
      <c r="A83" s="97">
        <v>45437</v>
      </c>
      <c r="B83" s="3" t="s">
        <v>332</v>
      </c>
      <c r="C83" s="94"/>
      <c r="E83" s="85">
        <v>-70</v>
      </c>
    </row>
    <row r="84" spans="1:5">
      <c r="A84" s="97">
        <v>45438</v>
      </c>
      <c r="B84" s="3" t="s">
        <v>333</v>
      </c>
      <c r="C84" s="94"/>
      <c r="E84" s="85">
        <v>-232.27</v>
      </c>
    </row>
    <row r="85" spans="1:5">
      <c r="A85" s="97">
        <v>45438</v>
      </c>
      <c r="B85" s="3" t="s">
        <v>334</v>
      </c>
      <c r="C85" s="94"/>
      <c r="E85" s="85">
        <v>-130</v>
      </c>
    </row>
    <row r="86" spans="1:5">
      <c r="A86" s="97">
        <v>45469</v>
      </c>
      <c r="B86" s="3" t="s">
        <v>335</v>
      </c>
      <c r="C86" s="94"/>
      <c r="E86" s="85">
        <v>-246.8</v>
      </c>
    </row>
    <row r="87" spans="1:5">
      <c r="A87" s="97">
        <v>45439</v>
      </c>
      <c r="B87" s="3" t="s">
        <v>332</v>
      </c>
      <c r="C87" s="94"/>
      <c r="E87" s="85">
        <v>-70</v>
      </c>
    </row>
    <row r="88" spans="1:5">
      <c r="A88" s="97">
        <v>45440</v>
      </c>
      <c r="B88" s="3" t="s">
        <v>286</v>
      </c>
      <c r="C88" s="94">
        <v>300</v>
      </c>
      <c r="E88" s="85">
        <v>-300</v>
      </c>
    </row>
    <row r="89" spans="1:5">
      <c r="A89" s="97">
        <v>45440</v>
      </c>
      <c r="B89" s="3" t="s">
        <v>336</v>
      </c>
      <c r="C89" s="94"/>
      <c r="E89" s="85">
        <v>-460</v>
      </c>
    </row>
    <row r="90" spans="1:5">
      <c r="A90" s="97">
        <v>45441</v>
      </c>
      <c r="B90" s="3" t="s">
        <v>333</v>
      </c>
      <c r="C90" s="94"/>
      <c r="E90" s="85">
        <v>-27.66</v>
      </c>
    </row>
    <row r="91" spans="1:5">
      <c r="A91" s="97">
        <v>45441</v>
      </c>
      <c r="B91" s="3" t="s">
        <v>286</v>
      </c>
      <c r="C91" s="94">
        <v>400</v>
      </c>
      <c r="E91" s="85">
        <v>-400</v>
      </c>
    </row>
    <row r="92" spans="1:5">
      <c r="A92" s="97">
        <v>45442</v>
      </c>
      <c r="B92" s="3" t="s">
        <v>286</v>
      </c>
      <c r="C92" s="94">
        <v>200</v>
      </c>
      <c r="E92" s="85">
        <v>-200</v>
      </c>
    </row>
    <row r="93" spans="1:5">
      <c r="A93" s="97">
        <v>45442</v>
      </c>
      <c r="B93" s="3" t="s">
        <v>337</v>
      </c>
      <c r="C93" s="94"/>
      <c r="E93" s="85">
        <v>-80</v>
      </c>
    </row>
    <row r="94" spans="1:5">
      <c r="A94" s="97">
        <v>45444</v>
      </c>
      <c r="B94" s="3" t="s">
        <v>338</v>
      </c>
      <c r="C94" s="94"/>
      <c r="E94" s="85">
        <v>-80</v>
      </c>
    </row>
    <row r="95" spans="1:5">
      <c r="A95" s="97">
        <v>45444</v>
      </c>
      <c r="B95" s="3" t="s">
        <v>333</v>
      </c>
      <c r="C95" s="94"/>
      <c r="E95" s="85">
        <v>-12.26</v>
      </c>
    </row>
    <row r="96" spans="1:5">
      <c r="A96" s="97">
        <v>45444</v>
      </c>
      <c r="B96" s="3" t="s">
        <v>286</v>
      </c>
      <c r="C96" s="94">
        <v>350</v>
      </c>
      <c r="E96" s="85">
        <v>-350</v>
      </c>
    </row>
    <row r="97" spans="1:5">
      <c r="A97" s="97">
        <v>45444</v>
      </c>
      <c r="B97" s="3" t="s">
        <v>339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332</v>
      </c>
      <c r="C99" s="94"/>
      <c r="E99" s="85">
        <v>-70</v>
      </c>
    </row>
    <row r="100" spans="1:5">
      <c r="A100" s="97">
        <v>45446</v>
      </c>
      <c r="B100" s="3" t="s">
        <v>277</v>
      </c>
      <c r="C100" s="94"/>
      <c r="D100" s="85">
        <v>7949.1</v>
      </c>
    </row>
    <row r="101" spans="1:5">
      <c r="A101" s="97">
        <v>45447</v>
      </c>
      <c r="B101" s="3" t="s">
        <v>286</v>
      </c>
      <c r="C101" s="94">
        <v>240</v>
      </c>
      <c r="E101" s="85">
        <v>-240</v>
      </c>
    </row>
    <row r="102" spans="1:5">
      <c r="A102" s="97">
        <v>45447</v>
      </c>
      <c r="B102" s="3" t="s">
        <v>332</v>
      </c>
      <c r="C102" s="94"/>
      <c r="E102" s="85">
        <v>-70</v>
      </c>
    </row>
    <row r="103" spans="1:5">
      <c r="A103" s="97">
        <v>45447</v>
      </c>
      <c r="B103" s="3" t="s">
        <v>277</v>
      </c>
      <c r="C103" s="94"/>
      <c r="D103" s="85">
        <v>11998.63</v>
      </c>
    </row>
    <row r="104" spans="1:5">
      <c r="A104" s="20">
        <v>45448</v>
      </c>
      <c r="B104" s="3" t="s">
        <v>286</v>
      </c>
      <c r="C104">
        <v>280</v>
      </c>
      <c r="E104" s="85">
        <v>-280</v>
      </c>
    </row>
    <row r="105" spans="1:5">
      <c r="A105" s="20">
        <v>45448</v>
      </c>
      <c r="B105" s="3" t="s">
        <v>340</v>
      </c>
    </row>
    <row r="106" spans="1:5">
      <c r="A106" s="20">
        <v>45449</v>
      </c>
      <c r="B106" s="3" t="s">
        <v>286</v>
      </c>
      <c r="C106">
        <v>300</v>
      </c>
      <c r="E106" s="85">
        <v>-300</v>
      </c>
    </row>
    <row r="107" spans="1:5">
      <c r="A107" s="20">
        <v>45449</v>
      </c>
      <c r="B107" s="3" t="s">
        <v>333</v>
      </c>
      <c r="E107" s="85">
        <v>-84.7</v>
      </c>
    </row>
    <row r="108" spans="1:5">
      <c r="A108" s="20">
        <v>45450</v>
      </c>
      <c r="B108" s="3" t="s">
        <v>286</v>
      </c>
      <c r="C108">
        <v>300</v>
      </c>
      <c r="E108" s="85">
        <v>-300</v>
      </c>
    </row>
    <row r="109" spans="1:5">
      <c r="A109" s="20">
        <v>45450</v>
      </c>
      <c r="B109" s="3" t="s">
        <v>338</v>
      </c>
      <c r="E109" s="85">
        <v>-80</v>
      </c>
    </row>
    <row r="110" spans="1:5">
      <c r="A110" s="20">
        <v>45451</v>
      </c>
      <c r="B110" s="3" t="s">
        <v>286</v>
      </c>
      <c r="C110">
        <v>250</v>
      </c>
      <c r="E110" s="85">
        <v>-250</v>
      </c>
    </row>
    <row r="111" spans="1:5">
      <c r="A111" s="20">
        <v>45451</v>
      </c>
      <c r="B111" s="3" t="s">
        <v>332</v>
      </c>
      <c r="E111" s="85">
        <v>-145</v>
      </c>
    </row>
    <row r="112" spans="1:5">
      <c r="A112" s="20">
        <v>45454</v>
      </c>
      <c r="B112" s="3" t="s">
        <v>286</v>
      </c>
      <c r="C112">
        <v>400</v>
      </c>
      <c r="E112" s="85">
        <v>-400</v>
      </c>
    </row>
    <row r="113" spans="1:5">
      <c r="A113" s="20">
        <v>45455</v>
      </c>
      <c r="B113" s="3" t="s">
        <v>341</v>
      </c>
      <c r="E113" s="85">
        <v>-300</v>
      </c>
    </row>
    <row r="114" spans="1:5">
      <c r="A114" s="20">
        <v>45456</v>
      </c>
      <c r="B114" s="3" t="s">
        <v>286</v>
      </c>
      <c r="C114">
        <v>300</v>
      </c>
      <c r="E114" s="85">
        <v>-300</v>
      </c>
    </row>
    <row r="115" spans="1:5">
      <c r="A115" s="20">
        <v>45456</v>
      </c>
      <c r="B115" s="3" t="s">
        <v>332</v>
      </c>
      <c r="E115" s="85">
        <v>-70</v>
      </c>
    </row>
    <row r="116" spans="1:5">
      <c r="A116" s="20">
        <v>45459</v>
      </c>
      <c r="B116" s="3" t="s">
        <v>338</v>
      </c>
      <c r="E116" s="85">
        <v>-80</v>
      </c>
    </row>
    <row r="117" spans="1:5">
      <c r="A117" s="20">
        <v>45460</v>
      </c>
      <c r="B117" s="3" t="s">
        <v>333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338</v>
      </c>
      <c r="E119" s="85">
        <v>-80</v>
      </c>
    </row>
    <row r="120" spans="1:5">
      <c r="A120" s="20">
        <v>45464</v>
      </c>
      <c r="B120" s="3" t="s">
        <v>342</v>
      </c>
      <c r="E120" s="85">
        <v>-105</v>
      </c>
    </row>
    <row r="121" spans="1:5">
      <c r="A121" s="20">
        <v>45464</v>
      </c>
      <c r="B121" s="3" t="s">
        <v>343</v>
      </c>
      <c r="E121" s="85">
        <v>-800</v>
      </c>
    </row>
    <row r="122" spans="1:5">
      <c r="A122" s="20">
        <v>45464</v>
      </c>
      <c r="B122" s="3" t="s">
        <v>344</v>
      </c>
      <c r="E122" s="85">
        <v>-277.5</v>
      </c>
    </row>
    <row r="123" spans="1:5">
      <c r="A123" s="20">
        <v>45465</v>
      </c>
      <c r="B123" s="3" t="s">
        <v>345</v>
      </c>
      <c r="E123" s="85">
        <v>-200</v>
      </c>
    </row>
    <row r="124" spans="1:5">
      <c r="A124" s="20">
        <v>45466</v>
      </c>
      <c r="B124" s="3" t="s">
        <v>346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347</v>
      </c>
      <c r="E126" s="85">
        <v>-650</v>
      </c>
    </row>
    <row r="127" spans="1:5">
      <c r="A127" s="20">
        <v>45466</v>
      </c>
      <c r="B127" s="3" t="s">
        <v>348</v>
      </c>
      <c r="E127" s="85">
        <v>-134.33000000000001</v>
      </c>
    </row>
    <row r="128" spans="1:5">
      <c r="A128" s="20">
        <v>45467</v>
      </c>
      <c r="B128" s="3" t="s">
        <v>349</v>
      </c>
      <c r="E128" s="85">
        <v>-28.05</v>
      </c>
    </row>
    <row r="129" spans="1:5">
      <c r="A129" s="20">
        <v>45467</v>
      </c>
      <c r="B129" s="3" t="s">
        <v>350</v>
      </c>
      <c r="E129" s="85">
        <v>-28.05</v>
      </c>
    </row>
    <row r="130" spans="1:5">
      <c r="A130" s="20">
        <v>45467</v>
      </c>
      <c r="B130" s="3" t="s">
        <v>351</v>
      </c>
      <c r="E130" s="85">
        <v>-186.98</v>
      </c>
    </row>
    <row r="131" spans="1:5" ht="15">
      <c r="B131" s="70" t="s">
        <v>352</v>
      </c>
      <c r="C131" s="3">
        <f>SUM(C86:C130)</f>
        <v>3320</v>
      </c>
      <c r="E131" s="108" t="s">
        <v>278</v>
      </c>
    </row>
    <row r="132" spans="1:5">
      <c r="B132" s="3" t="s">
        <v>353</v>
      </c>
    </row>
    <row r="133" spans="1:5">
      <c r="A133" s="76" t="s">
        <v>354</v>
      </c>
      <c r="B133" s="77" t="s">
        <v>167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80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302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169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170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303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171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56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304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305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306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307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179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308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309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310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311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312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183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90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185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184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355</v>
      </c>
      <c r="C2" s="87" t="s">
        <v>187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188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356</v>
      </c>
      <c r="C5" s="88" t="s">
        <v>192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203</v>
      </c>
      <c r="C6" s="88" t="s">
        <v>204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209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357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358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208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359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360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361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189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362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363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364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365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207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205</v>
      </c>
      <c r="C21" s="94" t="s">
        <v>204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206</v>
      </c>
      <c r="C22" s="94" t="s">
        <v>204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80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168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212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213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314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263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216</v>
      </c>
    </row>
    <row r="39" spans="1:8">
      <c r="A39" s="78" t="s">
        <v>217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218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219</v>
      </c>
      <c r="D42" s="85">
        <v>468.65</v>
      </c>
    </row>
    <row r="43" spans="1:8">
      <c r="B43" t="s">
        <v>220</v>
      </c>
      <c r="D43" s="85">
        <v>1257.73</v>
      </c>
      <c r="E43" s="85">
        <v>1260</v>
      </c>
    </row>
    <row r="44" spans="1:8">
      <c r="B44" t="s">
        <v>366</v>
      </c>
      <c r="C44" t="s">
        <v>367</v>
      </c>
      <c r="D44" s="85">
        <v>919.84</v>
      </c>
      <c r="E44" s="85">
        <v>919.84</v>
      </c>
    </row>
    <row r="45" spans="1:8">
      <c r="B45" t="s">
        <v>222</v>
      </c>
      <c r="D45" s="85">
        <v>2358.0300000000002</v>
      </c>
      <c r="E45" s="85">
        <v>2358</v>
      </c>
    </row>
    <row r="46" spans="1:8">
      <c r="B46" t="s">
        <v>223</v>
      </c>
      <c r="D46" s="85">
        <v>352.42</v>
      </c>
      <c r="E46" s="85">
        <v>30</v>
      </c>
    </row>
    <row r="47" spans="1:8">
      <c r="B47" t="s">
        <v>224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225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368</v>
      </c>
      <c r="C53" s="94">
        <v>7648.33</v>
      </c>
      <c r="D53" s="85" t="s">
        <v>369</v>
      </c>
      <c r="E53" s="85">
        <v>-849.85</v>
      </c>
      <c r="F53" s="85">
        <v>0</v>
      </c>
    </row>
    <row r="54" spans="1:6">
      <c r="A54" s="20">
        <v>45348</v>
      </c>
      <c r="B54" t="s">
        <v>250</v>
      </c>
      <c r="C54">
        <v>1406</v>
      </c>
      <c r="D54" s="85" t="s">
        <v>370</v>
      </c>
      <c r="E54" s="85">
        <v>-234.33</v>
      </c>
      <c r="F54" s="85">
        <v>0</v>
      </c>
    </row>
    <row r="55" spans="1:6">
      <c r="A55" s="20">
        <v>45373</v>
      </c>
      <c r="B55" t="s">
        <v>226</v>
      </c>
      <c r="C55">
        <v>10176.39</v>
      </c>
      <c r="D55" s="85" t="s">
        <v>371</v>
      </c>
      <c r="E55" s="85">
        <v>-1130.71</v>
      </c>
      <c r="F55" s="85">
        <v>0</v>
      </c>
    </row>
    <row r="56" spans="1:6">
      <c r="A56" s="20">
        <v>45375</v>
      </c>
      <c r="B56" t="s">
        <v>228</v>
      </c>
      <c r="C56">
        <v>5999</v>
      </c>
      <c r="D56" s="85" t="s">
        <v>371</v>
      </c>
      <c r="E56" s="85">
        <v>-666.56</v>
      </c>
      <c r="F56" s="85">
        <v>0</v>
      </c>
    </row>
    <row r="57" spans="1:6">
      <c r="A57" s="20">
        <v>45358</v>
      </c>
      <c r="B57" t="s">
        <v>253</v>
      </c>
      <c r="C57">
        <v>2273</v>
      </c>
      <c r="D57" s="85" t="s">
        <v>370</v>
      </c>
      <c r="E57" s="85">
        <v>-378.87</v>
      </c>
      <c r="F57" s="85">
        <v>0</v>
      </c>
    </row>
    <row r="58" spans="1:6">
      <c r="A58" s="20">
        <v>45371</v>
      </c>
      <c r="B58" t="s">
        <v>254</v>
      </c>
      <c r="D58" s="85" t="s">
        <v>370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372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373</v>
      </c>
      <c r="E61" s="85">
        <v>-890</v>
      </c>
      <c r="F61" s="85">
        <v>0</v>
      </c>
    </row>
    <row r="62" spans="1:6" ht="15">
      <c r="A62" s="97">
        <v>45418</v>
      </c>
      <c r="B62" s="103" t="s">
        <v>277</v>
      </c>
      <c r="C62" s="94">
        <v>4278.51</v>
      </c>
      <c r="D62" s="109"/>
      <c r="E62" s="108" t="s">
        <v>278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229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326</v>
      </c>
      <c r="C67" s="94"/>
      <c r="D67" s="85" t="s">
        <v>374</v>
      </c>
      <c r="E67" s="85">
        <v>-3551.66</v>
      </c>
    </row>
    <row r="68" spans="1:6">
      <c r="A68" s="97"/>
      <c r="B68" s="3" t="s">
        <v>279</v>
      </c>
      <c r="C68" s="94"/>
      <c r="D68" s="85" t="s">
        <v>375</v>
      </c>
      <c r="E68" s="85">
        <v>-649.78</v>
      </c>
    </row>
    <row r="69" spans="1:6">
      <c r="A69" s="97"/>
      <c r="B69" s="3" t="s">
        <v>281</v>
      </c>
      <c r="C69" s="94">
        <v>49.98</v>
      </c>
      <c r="D69" s="85" t="s">
        <v>375</v>
      </c>
    </row>
    <row r="70" spans="1:6">
      <c r="A70" s="97"/>
      <c r="B70" s="3"/>
      <c r="C70" s="94"/>
    </row>
    <row r="71" spans="1:6">
      <c r="A71" s="97">
        <v>45408</v>
      </c>
      <c r="B71" s="3" t="s">
        <v>376</v>
      </c>
      <c r="C71" s="94"/>
      <c r="E71" s="85">
        <v>-1407.23</v>
      </c>
    </row>
    <row r="72" spans="1:6">
      <c r="A72" s="97">
        <v>45420</v>
      </c>
      <c r="B72" s="3" t="s">
        <v>340</v>
      </c>
      <c r="C72" s="94">
        <v>300</v>
      </c>
    </row>
    <row r="73" spans="1:6">
      <c r="A73" s="97">
        <v>45426</v>
      </c>
      <c r="B73" s="3" t="s">
        <v>377</v>
      </c>
      <c r="C73" s="94"/>
      <c r="E73" s="85">
        <v>-1469</v>
      </c>
    </row>
    <row r="74" spans="1:6">
      <c r="A74" s="97">
        <v>45426</v>
      </c>
      <c r="B74" s="3" t="s">
        <v>378</v>
      </c>
      <c r="C74" s="94"/>
      <c r="E74" s="85">
        <v>-1453</v>
      </c>
    </row>
    <row r="75" spans="1:6">
      <c r="A75" s="97">
        <v>45427</v>
      </c>
      <c r="B75" s="3" t="s">
        <v>379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380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381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382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383</v>
      </c>
      <c r="C80" s="94" t="s">
        <v>384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385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386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387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388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388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330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277</v>
      </c>
      <c r="C87" s="94">
        <v>23491.02</v>
      </c>
    </row>
    <row r="88" spans="1:6">
      <c r="A88" s="97">
        <v>45420</v>
      </c>
      <c r="B88" s="3" t="s">
        <v>333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389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333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383</v>
      </c>
      <c r="C91" s="94" t="s">
        <v>384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383</v>
      </c>
      <c r="C92" s="94" t="s">
        <v>384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390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391</v>
      </c>
      <c r="C94" s="94">
        <v>95.08</v>
      </c>
      <c r="F94" s="85">
        <v>0</v>
      </c>
    </row>
    <row r="95" spans="1:6">
      <c r="A95" s="20">
        <v>45427</v>
      </c>
      <c r="B95" s="3" t="s">
        <v>392</v>
      </c>
      <c r="E95" s="85">
        <v>-1123.1500000000001</v>
      </c>
      <c r="F95" s="85">
        <v>0</v>
      </c>
    </row>
    <row r="96" spans="1:6">
      <c r="A96" s="20">
        <v>45427</v>
      </c>
      <c r="B96" s="3" t="s">
        <v>393</v>
      </c>
      <c r="C96">
        <v>1.26</v>
      </c>
      <c r="F96" s="85">
        <v>0</v>
      </c>
    </row>
    <row r="97" spans="1:6">
      <c r="A97" s="20">
        <v>45427</v>
      </c>
      <c r="B97" s="3" t="s">
        <v>394</v>
      </c>
      <c r="E97" s="85">
        <v>-16</v>
      </c>
      <c r="F97" s="85">
        <v>0</v>
      </c>
    </row>
    <row r="98" spans="1:6">
      <c r="A98" s="20">
        <v>45427</v>
      </c>
      <c r="B98" s="3" t="s">
        <v>395</v>
      </c>
      <c r="E98" s="85">
        <v>-375</v>
      </c>
      <c r="F98" s="85">
        <v>0</v>
      </c>
    </row>
    <row r="99" spans="1:6">
      <c r="A99" s="20">
        <v>45427</v>
      </c>
      <c r="B99" s="3" t="s">
        <v>394</v>
      </c>
      <c r="E99" s="85">
        <v>-11.5</v>
      </c>
      <c r="F99" s="85">
        <v>0</v>
      </c>
    </row>
    <row r="100" spans="1:6">
      <c r="A100" s="20">
        <v>45428</v>
      </c>
      <c r="B100" s="3" t="s">
        <v>396</v>
      </c>
      <c r="E100" s="85">
        <v>-500</v>
      </c>
      <c r="F100" s="85">
        <v>0</v>
      </c>
    </row>
    <row r="101" spans="1:6">
      <c r="A101" s="20">
        <v>45428</v>
      </c>
      <c r="B101" s="3" t="s">
        <v>397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397</v>
      </c>
      <c r="E102" s="85">
        <v>-169.99</v>
      </c>
      <c r="F102" s="85">
        <v>0</v>
      </c>
    </row>
    <row r="103" spans="1:6">
      <c r="A103" s="20">
        <v>45430</v>
      </c>
      <c r="B103" s="3" t="s">
        <v>398</v>
      </c>
      <c r="E103" s="85">
        <v>-330</v>
      </c>
      <c r="F103" s="85">
        <v>0</v>
      </c>
    </row>
    <row r="104" spans="1:6">
      <c r="A104" s="20">
        <v>45430</v>
      </c>
      <c r="B104" s="3" t="s">
        <v>397</v>
      </c>
      <c r="E104" s="85">
        <v>-139.9</v>
      </c>
      <c r="F104" s="85">
        <v>0</v>
      </c>
    </row>
    <row r="105" spans="1:6">
      <c r="A105" s="20">
        <v>45430</v>
      </c>
      <c r="B105" s="3" t="s">
        <v>396</v>
      </c>
      <c r="E105" s="85">
        <v>-500</v>
      </c>
      <c r="F105" s="85">
        <v>0</v>
      </c>
    </row>
    <row r="106" spans="1:6">
      <c r="A106" s="20">
        <v>45431</v>
      </c>
      <c r="B106" s="3" t="s">
        <v>399</v>
      </c>
      <c r="E106" s="85">
        <v>-266</v>
      </c>
      <c r="F106" s="85">
        <v>0</v>
      </c>
    </row>
    <row r="107" spans="1:6">
      <c r="A107" s="20">
        <v>45432</v>
      </c>
      <c r="B107" s="3" t="s">
        <v>399</v>
      </c>
      <c r="E107" s="85">
        <v>-22.1</v>
      </c>
      <c r="F107" s="85">
        <v>0</v>
      </c>
    </row>
    <row r="108" spans="1:6">
      <c r="A108" s="20">
        <v>45432</v>
      </c>
      <c r="B108" s="3" t="s">
        <v>394</v>
      </c>
      <c r="E108" s="85">
        <v>-11.5</v>
      </c>
      <c r="F108" s="85">
        <v>0</v>
      </c>
    </row>
    <row r="109" spans="1:6">
      <c r="A109" s="20">
        <v>45432</v>
      </c>
      <c r="B109" s="3" t="s">
        <v>395</v>
      </c>
      <c r="E109" s="85">
        <v>-335</v>
      </c>
      <c r="F109" s="85">
        <v>0</v>
      </c>
    </row>
    <row r="110" spans="1:6">
      <c r="A110" s="20">
        <v>45432</v>
      </c>
      <c r="B110" s="3" t="s">
        <v>394</v>
      </c>
      <c r="E110" s="85">
        <v>-11.5</v>
      </c>
      <c r="F110" s="85">
        <v>0</v>
      </c>
    </row>
    <row r="111" spans="1:6">
      <c r="A111" s="20">
        <v>45432</v>
      </c>
      <c r="B111" s="3" t="s">
        <v>400</v>
      </c>
      <c r="E111" s="85">
        <v>-650</v>
      </c>
      <c r="F111" s="85">
        <v>0</v>
      </c>
    </row>
    <row r="112" spans="1:6">
      <c r="A112" s="20">
        <v>45435</v>
      </c>
      <c r="B112" s="3" t="s">
        <v>383</v>
      </c>
      <c r="C112" t="s">
        <v>384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401</v>
      </c>
      <c r="E113" s="85">
        <v>-550</v>
      </c>
      <c r="F113" s="85">
        <v>0</v>
      </c>
    </row>
    <row r="114" spans="1:6" ht="15">
      <c r="A114" s="20"/>
      <c r="B114" s="3"/>
      <c r="C114" s="118" t="s">
        <v>352</v>
      </c>
      <c r="D114" s="119">
        <f>SUM(D79:D113)</f>
        <v>-1050</v>
      </c>
      <c r="E114" s="108" t="s">
        <v>278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402</v>
      </c>
      <c r="B118" s="77" t="s">
        <v>167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80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302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169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170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303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171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56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304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305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179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308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309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403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311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404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183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90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185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184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405</v>
      </c>
      <c r="C2" s="87" t="s">
        <v>187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406</v>
      </c>
      <c r="C4" s="88" t="s">
        <v>192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188</v>
      </c>
      <c r="C5" t="s">
        <v>407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190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191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408</v>
      </c>
      <c r="D8" s="86" t="s">
        <v>409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203</v>
      </c>
      <c r="C9" s="88" t="s">
        <v>204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208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209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410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189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411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411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205</v>
      </c>
      <c r="C16" s="94" t="s">
        <v>204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206</v>
      </c>
      <c r="C17" s="94" t="s">
        <v>204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207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80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168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212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213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412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190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191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216</v>
      </c>
    </row>
    <row r="29" spans="1:8">
      <c r="A29" s="97"/>
      <c r="C29" s="98"/>
    </row>
    <row r="30" spans="1:8">
      <c r="A30" s="100">
        <v>44929</v>
      </c>
      <c r="B30" s="101" t="s">
        <v>218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219</v>
      </c>
      <c r="D31" s="86">
        <v>786.88</v>
      </c>
      <c r="E31" s="86">
        <v>787</v>
      </c>
    </row>
    <row r="32" spans="1:8">
      <c r="B32" t="s">
        <v>220</v>
      </c>
      <c r="D32" s="86">
        <v>1205</v>
      </c>
      <c r="E32" s="86">
        <v>1205</v>
      </c>
    </row>
    <row r="33" spans="1:5">
      <c r="B33" t="s">
        <v>221</v>
      </c>
      <c r="D33" s="86">
        <v>55.4</v>
      </c>
      <c r="E33" s="86">
        <v>55.4</v>
      </c>
    </row>
    <row r="34" spans="1:5">
      <c r="B34" t="s">
        <v>222</v>
      </c>
      <c r="D34" s="86">
        <v>1257.4000000000001</v>
      </c>
      <c r="E34" s="86">
        <v>1257.4000000000001</v>
      </c>
    </row>
    <row r="35" spans="1:5">
      <c r="B35" t="s">
        <v>223</v>
      </c>
      <c r="D35" s="86">
        <v>370.48</v>
      </c>
      <c r="E35" s="86">
        <v>370.48</v>
      </c>
    </row>
    <row r="36" spans="1:5">
      <c r="B36" t="s">
        <v>224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225</v>
      </c>
      <c r="C41" s="78"/>
      <c r="E41" s="85">
        <f>SUM(E42:E53)</f>
        <v>-4278.51</v>
      </c>
    </row>
    <row r="43" spans="1:5">
      <c r="A43" s="97">
        <v>45187</v>
      </c>
      <c r="B43" s="94" t="s">
        <v>368</v>
      </c>
      <c r="C43" s="94">
        <v>7648.33</v>
      </c>
      <c r="D43" s="85" t="s">
        <v>240</v>
      </c>
      <c r="E43" s="85">
        <v>-849.81</v>
      </c>
    </row>
    <row r="44" spans="1:5">
      <c r="A44" s="20">
        <v>45348</v>
      </c>
      <c r="B44" t="s">
        <v>250</v>
      </c>
      <c r="C44">
        <v>1406</v>
      </c>
      <c r="D44" s="85" t="s">
        <v>413</v>
      </c>
      <c r="E44" s="85">
        <v>-234.33</v>
      </c>
    </row>
    <row r="45" spans="1:5">
      <c r="A45" s="20">
        <v>45373</v>
      </c>
      <c r="B45" t="s">
        <v>226</v>
      </c>
      <c r="C45">
        <v>10176.39</v>
      </c>
      <c r="D45" s="85" t="s">
        <v>414</v>
      </c>
      <c r="E45" s="85">
        <v>-1130.71</v>
      </c>
    </row>
    <row r="46" spans="1:5">
      <c r="A46" s="20">
        <v>45375</v>
      </c>
      <c r="B46" t="s">
        <v>228</v>
      </c>
      <c r="C46">
        <v>5999</v>
      </c>
      <c r="D46" s="85" t="s">
        <v>415</v>
      </c>
      <c r="E46" s="85">
        <v>-666.56</v>
      </c>
    </row>
    <row r="47" spans="1:5">
      <c r="A47" s="20">
        <v>45358</v>
      </c>
      <c r="B47" t="s">
        <v>253</v>
      </c>
      <c r="C47">
        <v>2273</v>
      </c>
      <c r="D47" s="85" t="s">
        <v>413</v>
      </c>
      <c r="E47" s="85">
        <v>-378.87</v>
      </c>
    </row>
    <row r="48" spans="1:5">
      <c r="A48" s="20">
        <v>45371</v>
      </c>
      <c r="B48" t="s">
        <v>254</v>
      </c>
      <c r="D48" s="85" t="s">
        <v>416</v>
      </c>
      <c r="E48" s="85">
        <v>101.77</v>
      </c>
    </row>
    <row r="49" spans="1:5">
      <c r="A49" s="20">
        <v>45377</v>
      </c>
      <c r="B49" t="s">
        <v>417</v>
      </c>
      <c r="D49" s="85" t="s">
        <v>418</v>
      </c>
    </row>
    <row r="50" spans="1:5">
      <c r="A50" s="97"/>
      <c r="B50" s="103" t="s">
        <v>419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420</v>
      </c>
      <c r="E52" s="85">
        <v>-790</v>
      </c>
    </row>
    <row r="53" spans="1:5">
      <c r="A53" s="97"/>
      <c r="B53" s="103" t="s">
        <v>421</v>
      </c>
      <c r="C53" s="94"/>
      <c r="E53" s="85">
        <v>-240</v>
      </c>
    </row>
    <row r="54" spans="1:5" ht="15">
      <c r="A54" s="97"/>
      <c r="B54" s="103"/>
      <c r="C54" s="94"/>
      <c r="D54" s="108" t="s">
        <v>278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229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326</v>
      </c>
      <c r="C59" s="94"/>
      <c r="D59" s="85" t="s">
        <v>422</v>
      </c>
      <c r="E59" s="85">
        <v>-3551.66</v>
      </c>
    </row>
    <row r="60" spans="1:5">
      <c r="A60" s="97"/>
      <c r="B60" s="3" t="s">
        <v>279</v>
      </c>
      <c r="C60" s="94"/>
      <c r="D60" s="85" t="s">
        <v>423</v>
      </c>
      <c r="E60" s="85">
        <v>-649.78</v>
      </c>
    </row>
    <row r="61" spans="1:5">
      <c r="A61" s="97"/>
      <c r="B61" s="3" t="s">
        <v>281</v>
      </c>
      <c r="C61" s="94">
        <v>49.98</v>
      </c>
      <c r="D61" s="85" t="s">
        <v>423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424</v>
      </c>
      <c r="C64" s="94"/>
      <c r="E64" s="85">
        <v>-500</v>
      </c>
    </row>
    <row r="65" spans="1:5">
      <c r="A65" s="97">
        <v>45398</v>
      </c>
      <c r="B65" s="3" t="s">
        <v>425</v>
      </c>
      <c r="C65" s="94"/>
      <c r="E65" s="85">
        <v>-400</v>
      </c>
    </row>
    <row r="66" spans="1:5">
      <c r="A66" s="97">
        <v>45398</v>
      </c>
      <c r="B66" s="3" t="s">
        <v>294</v>
      </c>
      <c r="C66" s="94"/>
      <c r="E66" s="85">
        <v>-48.5</v>
      </c>
    </row>
    <row r="67" spans="1:5">
      <c r="A67" s="97">
        <v>45398</v>
      </c>
      <c r="B67" s="3" t="s">
        <v>425</v>
      </c>
      <c r="C67" s="94"/>
      <c r="E67" s="85">
        <v>-871.29</v>
      </c>
    </row>
    <row r="68" spans="1:5">
      <c r="A68" s="97">
        <v>45398</v>
      </c>
      <c r="B68" s="3" t="s">
        <v>425</v>
      </c>
      <c r="C68" s="94"/>
      <c r="E68" s="85">
        <v>-810.42</v>
      </c>
    </row>
    <row r="69" spans="1:5">
      <c r="A69" s="97">
        <v>45397</v>
      </c>
      <c r="B69" s="3" t="s">
        <v>383</v>
      </c>
      <c r="C69" s="94">
        <v>240</v>
      </c>
      <c r="E69" s="85">
        <v>-240</v>
      </c>
    </row>
    <row r="70" spans="1:5">
      <c r="A70" s="97">
        <v>45388</v>
      </c>
      <c r="B70" s="3" t="s">
        <v>426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383</v>
      </c>
      <c r="C72" s="94">
        <v>250</v>
      </c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294</v>
      </c>
      <c r="C76" s="94"/>
      <c r="E76" s="85">
        <v>-34.6</v>
      </c>
    </row>
    <row r="77" spans="1:5">
      <c r="A77" s="97">
        <v>24.4</v>
      </c>
      <c r="B77" s="3" t="s">
        <v>294</v>
      </c>
      <c r="C77" s="94"/>
      <c r="E77" s="85">
        <v>-370.4</v>
      </c>
    </row>
    <row r="78" spans="1:5">
      <c r="A78" s="97">
        <v>45405</v>
      </c>
      <c r="B78" s="3" t="s">
        <v>427</v>
      </c>
      <c r="C78" s="94"/>
      <c r="E78" s="85">
        <v>-1306.8800000000001</v>
      </c>
    </row>
    <row r="79" spans="1:5">
      <c r="A79" s="97">
        <v>45387</v>
      </c>
      <c r="B79" s="3" t="s">
        <v>428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70" t="s">
        <v>1487</v>
      </c>
      <c r="C81" s="94">
        <f>SUM(C69:C80)</f>
        <v>490</v>
      </c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278</v>
      </c>
    </row>
    <row r="101" spans="1:5">
      <c r="A101" s="76" t="s">
        <v>429</v>
      </c>
      <c r="B101" s="77" t="s">
        <v>167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80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302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169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170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303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171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56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304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305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179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308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309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403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311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404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183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90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185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184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7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430</v>
      </c>
      <c r="C2" s="87" t="s">
        <v>187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431</v>
      </c>
      <c r="C5" s="88" t="s">
        <v>192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188</v>
      </c>
      <c r="C6" t="s">
        <v>432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433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434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435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408</v>
      </c>
      <c r="D10" s="85" t="s">
        <v>436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203</v>
      </c>
      <c r="C11" s="88" t="s">
        <v>204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209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208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437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438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439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439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189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207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440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441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205</v>
      </c>
      <c r="C22" s="94" t="s">
        <v>442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206</v>
      </c>
      <c r="C23" s="94" t="s">
        <v>204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443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444</v>
      </c>
      <c r="C25" t="s">
        <v>90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444</v>
      </c>
      <c r="C26" t="s">
        <v>90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444</v>
      </c>
      <c r="C27" t="s">
        <v>445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444</v>
      </c>
      <c r="C28" t="s">
        <v>90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446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190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191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80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447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448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212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213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449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450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216</v>
      </c>
    </row>
    <row r="52" spans="1:5">
      <c r="A52" s="78" t="s">
        <v>217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218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219</v>
      </c>
      <c r="D55" s="85">
        <v>874.44</v>
      </c>
      <c r="E55" s="85">
        <v>800</v>
      </c>
    </row>
    <row r="56" spans="1:5">
      <c r="B56" t="s">
        <v>220</v>
      </c>
      <c r="D56" s="85">
        <v>1078.92</v>
      </c>
      <c r="E56" s="85">
        <v>1079</v>
      </c>
    </row>
    <row r="57" spans="1:5">
      <c r="B57" t="s">
        <v>221</v>
      </c>
      <c r="D57" s="85">
        <v>173.45</v>
      </c>
      <c r="E57" s="85">
        <v>172.5</v>
      </c>
    </row>
    <row r="58" spans="1:5">
      <c r="B58" t="s">
        <v>222</v>
      </c>
      <c r="C58" t="s">
        <v>451</v>
      </c>
      <c r="D58" s="85">
        <v>1774</v>
      </c>
      <c r="E58" s="85">
        <v>1774</v>
      </c>
    </row>
    <row r="59" spans="1:5">
      <c r="B59" t="s">
        <v>223</v>
      </c>
      <c r="D59" s="85">
        <v>326.58999999999997</v>
      </c>
      <c r="E59" s="85">
        <v>325</v>
      </c>
    </row>
    <row r="60" spans="1:5">
      <c r="B60" t="s">
        <v>224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225</v>
      </c>
      <c r="C65" s="78"/>
      <c r="E65" s="85">
        <f>SUM(E66:E91)</f>
        <v>-6693.55</v>
      </c>
    </row>
    <row r="67" spans="1:5">
      <c r="A67" s="97">
        <v>45187</v>
      </c>
      <c r="B67" s="94" t="s">
        <v>368</v>
      </c>
      <c r="C67" s="94">
        <v>7648.33</v>
      </c>
      <c r="D67" s="85" t="s">
        <v>245</v>
      </c>
      <c r="E67" s="85">
        <v>-849.81</v>
      </c>
    </row>
    <row r="68" spans="1:5">
      <c r="A68" s="20">
        <v>45348</v>
      </c>
      <c r="B68" t="s">
        <v>250</v>
      </c>
      <c r="C68">
        <v>1406</v>
      </c>
      <c r="D68" s="85" t="s">
        <v>452</v>
      </c>
      <c r="E68" s="85">
        <v>-234.33</v>
      </c>
    </row>
    <row r="69" spans="1:5">
      <c r="A69" s="20">
        <v>45358</v>
      </c>
      <c r="B69" t="s">
        <v>253</v>
      </c>
      <c r="C69">
        <v>2273</v>
      </c>
      <c r="D69" s="85" t="s">
        <v>452</v>
      </c>
      <c r="E69" s="85">
        <v>-378.87</v>
      </c>
    </row>
    <row r="70" spans="1:5">
      <c r="A70" s="20">
        <v>45371</v>
      </c>
      <c r="B70" t="s">
        <v>254</v>
      </c>
      <c r="D70" s="85" t="s">
        <v>453</v>
      </c>
      <c r="E70" s="85">
        <v>101.77</v>
      </c>
    </row>
    <row r="71" spans="1:5">
      <c r="A71" s="20">
        <v>45373</v>
      </c>
      <c r="B71" t="s">
        <v>226</v>
      </c>
      <c r="C71">
        <v>10176.39</v>
      </c>
      <c r="D71" s="85" t="s">
        <v>454</v>
      </c>
      <c r="E71" s="85">
        <v>-1130.71</v>
      </c>
    </row>
    <row r="72" spans="1:5">
      <c r="A72" s="20">
        <v>45375</v>
      </c>
      <c r="B72" t="s">
        <v>228</v>
      </c>
      <c r="C72">
        <v>5999</v>
      </c>
      <c r="D72" s="85" t="s">
        <v>454</v>
      </c>
      <c r="E72" s="85">
        <v>-666.56</v>
      </c>
    </row>
    <row r="73" spans="1:5">
      <c r="A73" s="20"/>
    </row>
    <row r="74" spans="1:5">
      <c r="A74" s="20">
        <v>45347</v>
      </c>
      <c r="B74" t="s">
        <v>455</v>
      </c>
      <c r="E74" s="85">
        <v>-343</v>
      </c>
    </row>
    <row r="75" spans="1:5">
      <c r="A75" s="97">
        <v>45348</v>
      </c>
      <c r="B75" s="94" t="s">
        <v>456</v>
      </c>
      <c r="C75" s="94"/>
      <c r="E75" s="85">
        <v>-150</v>
      </c>
    </row>
    <row r="76" spans="1:5">
      <c r="A76" s="97">
        <v>45351</v>
      </c>
      <c r="B76" s="94" t="s">
        <v>457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458</v>
      </c>
      <c r="C78" s="94"/>
      <c r="E78" s="85">
        <v>-600</v>
      </c>
    </row>
    <row r="79" spans="1:5">
      <c r="A79" s="97">
        <v>45354</v>
      </c>
      <c r="B79" s="103" t="s">
        <v>459</v>
      </c>
      <c r="C79" s="94"/>
      <c r="E79" s="85">
        <v>-330</v>
      </c>
    </row>
    <row r="80" spans="1:5">
      <c r="A80" s="97">
        <v>45355</v>
      </c>
      <c r="B80" s="103" t="s">
        <v>460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330</v>
      </c>
      <c r="C81" s="94"/>
      <c r="E81" s="85">
        <v>-50</v>
      </c>
    </row>
    <row r="82" spans="1:5">
      <c r="A82" s="97">
        <v>45356</v>
      </c>
      <c r="B82" s="103" t="s">
        <v>460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461</v>
      </c>
      <c r="C83" s="94"/>
      <c r="E83" s="85">
        <v>-160</v>
      </c>
    </row>
    <row r="84" spans="1:5">
      <c r="A84" s="97">
        <v>45357</v>
      </c>
      <c r="B84" s="103" t="s">
        <v>277</v>
      </c>
      <c r="C84" s="94">
        <v>6341.66</v>
      </c>
    </row>
    <row r="85" spans="1:5">
      <c r="A85" s="97">
        <v>45361</v>
      </c>
      <c r="B85" s="103" t="s">
        <v>333</v>
      </c>
      <c r="E85" s="85">
        <v>-294.14</v>
      </c>
    </row>
    <row r="86" spans="1:5">
      <c r="A86" s="97">
        <v>45358</v>
      </c>
      <c r="B86" s="103" t="s">
        <v>460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462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463</v>
      </c>
      <c r="C90" s="94"/>
      <c r="E90" s="85">
        <v>500</v>
      </c>
    </row>
    <row r="91" spans="1:5" ht="15">
      <c r="A91" s="97">
        <v>45374</v>
      </c>
      <c r="B91" s="103" t="s">
        <v>463</v>
      </c>
      <c r="D91" s="108" t="s">
        <v>278</v>
      </c>
    </row>
    <row r="92" spans="1:5" ht="15">
      <c r="A92" s="97"/>
      <c r="B92" s="37" t="s">
        <v>352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229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464</v>
      </c>
      <c r="D99" s="85" t="s">
        <v>465</v>
      </c>
      <c r="E99" s="85">
        <v>-600</v>
      </c>
    </row>
    <row r="100" spans="1:6">
      <c r="A100" s="96">
        <v>45285</v>
      </c>
      <c r="B100" s="94" t="s">
        <v>326</v>
      </c>
      <c r="C100" s="94"/>
      <c r="D100" s="85" t="s">
        <v>466</v>
      </c>
      <c r="E100" s="85">
        <v>-3551.66</v>
      </c>
      <c r="F100" s="85">
        <v>0</v>
      </c>
    </row>
    <row r="101" spans="1:6">
      <c r="A101" s="97"/>
      <c r="B101" s="3" t="s">
        <v>467</v>
      </c>
      <c r="C101" s="94"/>
      <c r="D101" s="85" t="s">
        <v>468</v>
      </c>
      <c r="E101" s="85">
        <v>-649.78</v>
      </c>
      <c r="F101" s="85">
        <v>0</v>
      </c>
    </row>
    <row r="102" spans="1:6">
      <c r="A102" s="97"/>
      <c r="B102" s="3" t="s">
        <v>281</v>
      </c>
      <c r="C102" s="94">
        <v>49.98</v>
      </c>
      <c r="D102" s="85" t="s">
        <v>468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469</v>
      </c>
      <c r="C104" s="94"/>
      <c r="E104" s="85">
        <v>-1750</v>
      </c>
    </row>
    <row r="105" spans="1:6" ht="15">
      <c r="A105" s="97"/>
      <c r="B105" s="3"/>
      <c r="C105" s="94"/>
      <c r="D105" s="108" t="s">
        <v>278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470</v>
      </c>
      <c r="B111" s="77" t="s">
        <v>167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80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302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169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170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303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171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56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304</v>
      </c>
      <c r="C119" s="2" t="s">
        <v>471</v>
      </c>
      <c r="D119" s="2"/>
      <c r="E119" s="13">
        <v>110122</v>
      </c>
    </row>
    <row r="120" spans="1:5">
      <c r="A120" s="81">
        <f t="shared" si="1"/>
        <v>45383</v>
      </c>
      <c r="B120" t="s">
        <v>179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309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403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311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404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183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90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185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184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116</v>
      </c>
      <c r="G1" s="124" t="s">
        <v>117</v>
      </c>
      <c r="H1" s="124" t="s">
        <v>3</v>
      </c>
    </row>
    <row r="2" spans="1:8">
      <c r="B2" s="3" t="s">
        <v>472</v>
      </c>
      <c r="C2" s="87" t="s">
        <v>187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473</v>
      </c>
      <c r="C4" s="88" t="s">
        <v>192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474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188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189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209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208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475</v>
      </c>
      <c r="C10" t="s">
        <v>476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475</v>
      </c>
      <c r="C11" t="s">
        <v>476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477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477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478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203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207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205</v>
      </c>
      <c r="C17" s="94" t="s">
        <v>204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206</v>
      </c>
      <c r="C18" s="94" t="s">
        <v>204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213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80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479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168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212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214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190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191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216</v>
      </c>
      <c r="G32" s="65"/>
      <c r="H32" s="65"/>
    </row>
    <row r="33" spans="1:8">
      <c r="A33" s="78"/>
      <c r="B33" s="78" t="s">
        <v>217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218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219</v>
      </c>
      <c r="D36" s="102">
        <v>967.68</v>
      </c>
      <c r="E36" s="86">
        <v>970</v>
      </c>
      <c r="H36" s="65"/>
    </row>
    <row r="37" spans="1:8">
      <c r="B37" t="s">
        <v>480</v>
      </c>
      <c r="C37" t="s">
        <v>481</v>
      </c>
      <c r="D37" s="102">
        <v>1224.42</v>
      </c>
      <c r="E37" s="86">
        <v>1225</v>
      </c>
      <c r="F37" s="65"/>
      <c r="G37" s="65"/>
    </row>
    <row r="38" spans="1:8">
      <c r="B38" t="s">
        <v>221</v>
      </c>
      <c r="D38" s="102">
        <v>237.14</v>
      </c>
      <c r="E38" s="86">
        <v>237.14</v>
      </c>
      <c r="F38" s="65"/>
      <c r="G38" s="65"/>
    </row>
    <row r="39" spans="1:8">
      <c r="B39" t="s">
        <v>482</v>
      </c>
      <c r="D39" s="102">
        <v>2248.8000000000002</v>
      </c>
      <c r="E39" s="86">
        <v>2248</v>
      </c>
      <c r="F39" s="65"/>
      <c r="G39" s="65"/>
    </row>
    <row r="40" spans="1:8">
      <c r="B40" t="s">
        <v>223</v>
      </c>
      <c r="D40" s="102">
        <v>439.85</v>
      </c>
      <c r="E40" s="86">
        <v>440</v>
      </c>
      <c r="F40" s="65"/>
      <c r="G40" s="65"/>
    </row>
    <row r="41" spans="1:8">
      <c r="B41" t="s">
        <v>224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225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368</v>
      </c>
      <c r="C47" s="94">
        <v>7648.33</v>
      </c>
      <c r="D47" s="102" t="s">
        <v>483</v>
      </c>
      <c r="E47" s="85">
        <v>-849.81</v>
      </c>
      <c r="G47" s="65"/>
      <c r="H47" s="65"/>
    </row>
    <row r="48" spans="1:8">
      <c r="A48" s="97">
        <v>45187</v>
      </c>
      <c r="B48" s="94" t="s">
        <v>484</v>
      </c>
      <c r="C48" s="94">
        <v>11128</v>
      </c>
      <c r="D48" s="102" t="s">
        <v>251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333</v>
      </c>
      <c r="E49" s="85">
        <v>-453.4</v>
      </c>
      <c r="G49" s="65"/>
      <c r="H49" s="65"/>
    </row>
    <row r="50" spans="1:8">
      <c r="A50" s="20">
        <v>45326</v>
      </c>
      <c r="B50" t="s">
        <v>485</v>
      </c>
      <c r="E50" s="85">
        <v>-300</v>
      </c>
      <c r="G50" s="65"/>
      <c r="H50" s="65"/>
    </row>
    <row r="51" spans="1:8">
      <c r="A51" s="20">
        <v>45327</v>
      </c>
      <c r="B51" t="s">
        <v>277</v>
      </c>
      <c r="C51">
        <v>3900.57</v>
      </c>
      <c r="G51" s="65"/>
      <c r="H51" s="65"/>
    </row>
    <row r="52" spans="1:8">
      <c r="A52" s="20">
        <v>45330</v>
      </c>
      <c r="B52" t="s">
        <v>486</v>
      </c>
      <c r="E52" s="85">
        <v>-900</v>
      </c>
      <c r="G52" s="65"/>
      <c r="H52" s="65"/>
    </row>
    <row r="53" spans="1:8">
      <c r="A53" s="20">
        <v>45330</v>
      </c>
      <c r="B53" t="s">
        <v>487</v>
      </c>
      <c r="E53" s="85">
        <v>-116.38</v>
      </c>
      <c r="G53" s="65"/>
      <c r="H53" s="65"/>
    </row>
    <row r="54" spans="1:8">
      <c r="A54" s="97">
        <v>45331</v>
      </c>
      <c r="B54" s="94" t="s">
        <v>460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488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460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489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490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460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460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278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229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491</v>
      </c>
      <c r="C67" s="94"/>
      <c r="D67" s="102" t="s">
        <v>492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464</v>
      </c>
      <c r="D68" s="102" t="s">
        <v>493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326</v>
      </c>
      <c r="C69" s="94"/>
      <c r="D69" s="102" t="s">
        <v>494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495</v>
      </c>
      <c r="C70" s="113">
        <v>-1204.5</v>
      </c>
      <c r="D70" s="102" t="s">
        <v>496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497</v>
      </c>
      <c r="C71" s="113">
        <v>-148.6</v>
      </c>
      <c r="D71" s="102" t="s">
        <v>496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498</v>
      </c>
      <c r="C72" s="113">
        <v>-244.8</v>
      </c>
      <c r="D72" s="102" t="s">
        <v>496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499</v>
      </c>
      <c r="C73" s="113">
        <v>-532.6</v>
      </c>
      <c r="D73" s="102" t="s">
        <v>496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500</v>
      </c>
      <c r="E74" s="85">
        <v>-449.5</v>
      </c>
      <c r="F74" s="65"/>
      <c r="G74" s="65"/>
      <c r="H74" s="65"/>
    </row>
    <row r="75" spans="1:8">
      <c r="A75" s="96"/>
      <c r="B75" s="94" t="s">
        <v>501</v>
      </c>
      <c r="C75" s="94"/>
      <c r="D75" s="130" t="s">
        <v>500</v>
      </c>
      <c r="E75" s="85">
        <v>-299.64</v>
      </c>
      <c r="F75" s="65"/>
      <c r="G75" s="65"/>
      <c r="H75" s="65"/>
    </row>
    <row r="76" spans="1:8">
      <c r="A76" s="96"/>
      <c r="B76" s="94" t="s">
        <v>502</v>
      </c>
      <c r="C76" s="94"/>
      <c r="D76" s="130" t="s">
        <v>500</v>
      </c>
      <c r="E76" s="85">
        <v>-546.82000000000005</v>
      </c>
      <c r="F76" s="65"/>
      <c r="G76" s="65"/>
      <c r="H76" s="65"/>
    </row>
    <row r="77" spans="1:8">
      <c r="A77" s="97"/>
      <c r="B77" s="3" t="s">
        <v>279</v>
      </c>
      <c r="C77" s="94"/>
      <c r="D77" s="130" t="s">
        <v>503</v>
      </c>
      <c r="E77" s="85">
        <v>-649.78</v>
      </c>
      <c r="F77" s="65"/>
      <c r="G77" s="65"/>
      <c r="H77" s="65"/>
    </row>
    <row r="78" spans="1:8">
      <c r="A78" s="97"/>
      <c r="B78" s="3" t="s">
        <v>281</v>
      </c>
      <c r="C78" s="94">
        <v>49.98</v>
      </c>
      <c r="D78" s="130" t="s">
        <v>503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504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505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243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506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277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278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507</v>
      </c>
      <c r="B108" s="77" t="s">
        <v>167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80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508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169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170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303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171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56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304</v>
      </c>
      <c r="C116" s="2" t="s">
        <v>509</v>
      </c>
      <c r="D116" s="2"/>
      <c r="E116" s="13">
        <v>129254.5</v>
      </c>
    </row>
    <row r="117" spans="1:5">
      <c r="A117" s="81">
        <f t="shared" si="1"/>
        <v>45352</v>
      </c>
      <c r="B117" t="s">
        <v>510</v>
      </c>
      <c r="C117" s="2" t="s">
        <v>511</v>
      </c>
      <c r="D117" s="2"/>
      <c r="E117" s="13">
        <v>256.56</v>
      </c>
    </row>
    <row r="118" spans="1:5">
      <c r="A118" s="81">
        <f t="shared" si="1"/>
        <v>45352</v>
      </c>
      <c r="B118" t="s">
        <v>512</v>
      </c>
      <c r="C118" s="81" t="s">
        <v>513</v>
      </c>
      <c r="D118" s="82"/>
      <c r="E118" s="13">
        <v>0</v>
      </c>
    </row>
    <row r="119" spans="1:5">
      <c r="A119" s="81">
        <f t="shared" si="1"/>
        <v>45352</v>
      </c>
      <c r="B119" t="s">
        <v>514</v>
      </c>
      <c r="C119" s="81" t="s">
        <v>515</v>
      </c>
      <c r="D119" s="82"/>
      <c r="E119" s="13">
        <v>588.6</v>
      </c>
    </row>
    <row r="120" spans="1:5">
      <c r="A120" s="81">
        <f t="shared" si="1"/>
        <v>45352</v>
      </c>
      <c r="B120" t="s">
        <v>516</v>
      </c>
      <c r="C120" s="81"/>
      <c r="D120" s="82"/>
      <c r="E120" s="13"/>
    </row>
    <row r="121" spans="1:5">
      <c r="A121" s="81">
        <f t="shared" si="1"/>
        <v>45352</v>
      </c>
      <c r="B121" t="s">
        <v>179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517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518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311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519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183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90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185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184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2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116</v>
      </c>
      <c r="G1" s="124" t="s">
        <v>117</v>
      </c>
      <c r="H1" s="124" t="s">
        <v>3</v>
      </c>
    </row>
    <row r="2" spans="1:8">
      <c r="A2" s="3" t="s">
        <v>520</v>
      </c>
      <c r="C2" s="87" t="s">
        <v>187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188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211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189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521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522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208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209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523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524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524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525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526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527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206</v>
      </c>
      <c r="C17" s="94" t="s">
        <v>528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203</v>
      </c>
      <c r="C18" s="88" t="s">
        <v>204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207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205</v>
      </c>
      <c r="C20" s="94" t="s">
        <v>529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214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80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168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212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213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478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190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191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530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216</v>
      </c>
      <c r="G33" s="65"/>
      <c r="H33" s="110"/>
    </row>
    <row r="34" spans="1:8">
      <c r="A34" s="78" t="s">
        <v>217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218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219</v>
      </c>
      <c r="D37" s="2">
        <v>999.4</v>
      </c>
      <c r="E37" s="113">
        <v>999.4</v>
      </c>
      <c r="H37" s="65"/>
    </row>
    <row r="38" spans="1:8">
      <c r="B38" t="s">
        <v>220</v>
      </c>
      <c r="D38" s="2">
        <v>876.64</v>
      </c>
      <c r="E38" s="113">
        <v>875</v>
      </c>
      <c r="F38" s="65"/>
      <c r="G38" s="65"/>
    </row>
    <row r="39" spans="1:8">
      <c r="B39" t="s">
        <v>221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531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223</v>
      </c>
      <c r="D41" s="2">
        <v>483.72</v>
      </c>
      <c r="E41" s="113">
        <v>483</v>
      </c>
      <c r="F41" s="65"/>
      <c r="G41" s="65"/>
    </row>
    <row r="42" spans="1:8">
      <c r="B42" t="s">
        <v>224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225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532</v>
      </c>
      <c r="C50" s="94">
        <v>10764.57</v>
      </c>
      <c r="D50" s="37" t="s">
        <v>533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368</v>
      </c>
      <c r="C51" s="94">
        <v>7648.33</v>
      </c>
      <c r="D51" s="139" t="s">
        <v>534</v>
      </c>
      <c r="E51" s="110">
        <v>-849.81</v>
      </c>
      <c r="G51" s="65"/>
      <c r="H51" s="65"/>
    </row>
    <row r="52" spans="1:8">
      <c r="A52" s="97">
        <v>45187</v>
      </c>
      <c r="B52" s="94" t="s">
        <v>484</v>
      </c>
      <c r="C52" s="94">
        <v>11128</v>
      </c>
      <c r="D52" s="139" t="s">
        <v>271</v>
      </c>
      <c r="E52" s="110">
        <v>-1854.67</v>
      </c>
      <c r="G52" s="65"/>
      <c r="H52" s="65"/>
    </row>
    <row r="53" spans="1:8" ht="15">
      <c r="D53" s="108" t="s">
        <v>278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229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491</v>
      </c>
      <c r="C66" s="94"/>
      <c r="D66" t="s">
        <v>535</v>
      </c>
      <c r="E66" s="110">
        <v>-3974.44</v>
      </c>
      <c r="G66" s="65"/>
      <c r="H66" s="65"/>
    </row>
    <row r="67" spans="1:8">
      <c r="A67" s="96">
        <v>45214</v>
      </c>
      <c r="B67" t="s">
        <v>464</v>
      </c>
      <c r="D67" t="s">
        <v>536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326</v>
      </c>
      <c r="C68" s="94"/>
      <c r="D68" t="s">
        <v>537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495</v>
      </c>
      <c r="C69" s="113">
        <v>-1204.5</v>
      </c>
      <c r="D69" t="s">
        <v>538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497</v>
      </c>
      <c r="C70" s="113">
        <v>-148.6</v>
      </c>
      <c r="D70" t="s">
        <v>538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498</v>
      </c>
      <c r="C71" s="113">
        <v>-244.8</v>
      </c>
      <c r="D71" t="s">
        <v>538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499</v>
      </c>
      <c r="C72" s="113">
        <v>-532.6</v>
      </c>
      <c r="D72" t="s">
        <v>538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539</v>
      </c>
      <c r="E73" s="110">
        <v>-449.5</v>
      </c>
      <c r="F73" s="65"/>
      <c r="G73" s="65"/>
      <c r="H73" s="65"/>
    </row>
    <row r="74" spans="1:8">
      <c r="A74" s="96"/>
      <c r="B74" s="94" t="s">
        <v>501</v>
      </c>
      <c r="C74" s="94"/>
      <c r="D74" t="s">
        <v>539</v>
      </c>
      <c r="E74" s="110">
        <v>-299.64</v>
      </c>
      <c r="F74" s="65"/>
      <c r="G74" s="65"/>
      <c r="H74" s="65"/>
    </row>
    <row r="75" spans="1:8">
      <c r="A75" s="96"/>
      <c r="B75" s="94" t="s">
        <v>502</v>
      </c>
      <c r="C75" s="94"/>
      <c r="D75" t="s">
        <v>539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347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335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347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540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541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541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277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542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543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544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544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540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545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546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333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547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333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286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548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549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550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551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552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553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554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554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555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278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556</v>
      </c>
      <c r="B111" s="77" t="s">
        <v>167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80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557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169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170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303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171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56</v>
      </c>
      <c r="C118" s="2" t="s">
        <v>558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304</v>
      </c>
      <c r="C119" s="2" t="s">
        <v>509</v>
      </c>
      <c r="D119" s="2"/>
      <c r="E119" s="13">
        <v>129254.5</v>
      </c>
    </row>
    <row r="120" spans="1:6">
      <c r="A120" s="81">
        <f t="shared" si="1"/>
        <v>45352</v>
      </c>
      <c r="B120" t="s">
        <v>510</v>
      </c>
      <c r="C120" s="2" t="s">
        <v>511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512</v>
      </c>
      <c r="C121" s="81" t="s">
        <v>559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514</v>
      </c>
      <c r="C122" s="81" t="s">
        <v>515</v>
      </c>
      <c r="D122" s="82"/>
      <c r="E122" s="13">
        <v>588.6</v>
      </c>
    </row>
    <row r="123" spans="1:6">
      <c r="A123" s="81">
        <f t="shared" si="1"/>
        <v>45352</v>
      </c>
      <c r="B123" t="s">
        <v>516</v>
      </c>
      <c r="C123" s="81"/>
      <c r="D123" s="82"/>
      <c r="E123" s="13"/>
    </row>
    <row r="124" spans="1:6">
      <c r="A124" s="81">
        <f t="shared" si="1"/>
        <v>45352</v>
      </c>
      <c r="B124" t="s">
        <v>179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517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518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311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519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183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90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185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184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116</v>
      </c>
      <c r="G1" s="110" t="s">
        <v>117</v>
      </c>
      <c r="H1" s="110" t="s">
        <v>3</v>
      </c>
    </row>
    <row r="2" spans="1:8">
      <c r="A2" s="3" t="s">
        <v>186</v>
      </c>
      <c r="C2" s="110" t="s">
        <v>187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188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189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560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203</v>
      </c>
      <c r="C8" s="110" t="s">
        <v>204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205</v>
      </c>
      <c r="C9" s="110" t="s">
        <v>204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206</v>
      </c>
      <c r="C10" s="110" t="s">
        <v>204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207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208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209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561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561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562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80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168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212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190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191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563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213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214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564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565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566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530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567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568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568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569</v>
      </c>
      <c r="F36" s="113">
        <v>24000</v>
      </c>
      <c r="H36" s="110">
        <f t="shared" si="0"/>
        <v>137234.37</v>
      </c>
    </row>
    <row r="37" spans="1:8">
      <c r="A37" s="96"/>
      <c r="B37" t="s">
        <v>570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570</v>
      </c>
      <c r="G38" s="110">
        <v>-1000</v>
      </c>
      <c r="H38" s="110">
        <f t="shared" si="0"/>
        <v>132234.37</v>
      </c>
    </row>
    <row r="39" spans="1:8">
      <c r="A39" s="96"/>
      <c r="B39" t="s">
        <v>571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572</v>
      </c>
      <c r="H41" s="110">
        <f t="shared" si="0"/>
        <v>128534.37</v>
      </c>
    </row>
    <row r="42" spans="1:8">
      <c r="B42" t="s">
        <v>573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216</v>
      </c>
    </row>
    <row r="47" spans="1:8">
      <c r="A47" s="78" t="s">
        <v>217</v>
      </c>
      <c r="B47" s="78"/>
    </row>
    <row r="48" spans="1:8">
      <c r="A48" s="97"/>
    </row>
    <row r="49" spans="1:5">
      <c r="A49" s="100">
        <v>44929</v>
      </c>
      <c r="B49" s="101" t="s">
        <v>218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219</v>
      </c>
      <c r="C50" s="110" t="s">
        <v>574</v>
      </c>
      <c r="D50" s="110">
        <v>1329.72</v>
      </c>
      <c r="E50" s="110">
        <v>1330</v>
      </c>
    </row>
    <row r="51" spans="1:5">
      <c r="B51" t="s">
        <v>575</v>
      </c>
      <c r="D51" s="110">
        <v>1282.42</v>
      </c>
      <c r="E51" s="110">
        <v>1250</v>
      </c>
    </row>
    <row r="52" spans="1:5">
      <c r="B52" t="s">
        <v>221</v>
      </c>
      <c r="D52" s="110">
        <v>298.67</v>
      </c>
      <c r="E52" s="110">
        <v>298.5</v>
      </c>
    </row>
    <row r="53" spans="1:5">
      <c r="B53" t="s">
        <v>576</v>
      </c>
      <c r="D53" s="110">
        <v>1204.3800000000001</v>
      </c>
      <c r="E53" s="110">
        <v>1205</v>
      </c>
    </row>
    <row r="54" spans="1:5">
      <c r="B54" t="s">
        <v>223</v>
      </c>
      <c r="D54" s="110">
        <v>487.82</v>
      </c>
      <c r="E54" s="110">
        <v>490</v>
      </c>
    </row>
    <row r="55" spans="1:5">
      <c r="B55" t="s">
        <v>224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225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532</v>
      </c>
      <c r="C63" s="110">
        <v>10764.57</v>
      </c>
      <c r="D63" s="110" t="s">
        <v>577</v>
      </c>
      <c r="E63" s="110">
        <v>-1196.06</v>
      </c>
    </row>
    <row r="64" spans="1:5">
      <c r="A64" s="97">
        <v>45187</v>
      </c>
      <c r="B64" s="94" t="s">
        <v>368</v>
      </c>
      <c r="C64" s="110">
        <v>7648.33</v>
      </c>
      <c r="D64" s="110" t="s">
        <v>578</v>
      </c>
      <c r="E64" s="110">
        <v>-849.81</v>
      </c>
    </row>
    <row r="65" spans="1:5">
      <c r="A65" s="97">
        <v>45187</v>
      </c>
      <c r="B65" s="94" t="s">
        <v>484</v>
      </c>
      <c r="C65" s="110">
        <v>11128</v>
      </c>
      <c r="D65" s="110" t="s">
        <v>319</v>
      </c>
      <c r="E65" s="110">
        <v>-1854.67</v>
      </c>
    </row>
    <row r="66" spans="1:5">
      <c r="A66" s="81">
        <v>44995</v>
      </c>
      <c r="B66" t="s">
        <v>579</v>
      </c>
      <c r="C66" s="110">
        <v>613.91</v>
      </c>
      <c r="D66" s="110" t="s">
        <v>580</v>
      </c>
      <c r="E66" s="110">
        <v>-61.4</v>
      </c>
    </row>
    <row r="67" spans="1:5">
      <c r="D67" s="110" t="s">
        <v>278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229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491</v>
      </c>
      <c r="D79" s="110" t="s">
        <v>581</v>
      </c>
      <c r="E79" s="110">
        <v>-3974.44</v>
      </c>
    </row>
    <row r="80" spans="1:5">
      <c r="A80" s="96">
        <v>45214</v>
      </c>
      <c r="B80" t="s">
        <v>464</v>
      </c>
      <c r="D80" s="110" t="s">
        <v>466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495</v>
      </c>
      <c r="C82" s="110">
        <v>-1204.5</v>
      </c>
      <c r="D82" s="110" t="s">
        <v>582</v>
      </c>
      <c r="E82" s="110">
        <v>-401.5</v>
      </c>
    </row>
    <row r="83" spans="1:5">
      <c r="A83" s="96">
        <v>45259</v>
      </c>
      <c r="B83" t="s">
        <v>497</v>
      </c>
      <c r="C83" s="110">
        <v>-148.6</v>
      </c>
      <c r="D83" s="110" t="s">
        <v>582</v>
      </c>
      <c r="E83" s="110">
        <v>-49.53</v>
      </c>
    </row>
    <row r="84" spans="1:5">
      <c r="A84" s="96">
        <v>45259</v>
      </c>
      <c r="B84" t="s">
        <v>498</v>
      </c>
      <c r="C84" s="110">
        <v>-244.8</v>
      </c>
      <c r="D84" s="110" t="s">
        <v>582</v>
      </c>
      <c r="E84" s="110">
        <v>-81.599999999999994</v>
      </c>
    </row>
    <row r="85" spans="1:5">
      <c r="A85" s="96">
        <v>45259</v>
      </c>
      <c r="B85" t="s">
        <v>499</v>
      </c>
      <c r="C85" s="110">
        <v>-532.6</v>
      </c>
      <c r="D85" s="110" t="s">
        <v>582</v>
      </c>
      <c r="E85" s="110">
        <v>-177.53</v>
      </c>
    </row>
    <row r="86" spans="1:5">
      <c r="A86" s="96">
        <v>45285</v>
      </c>
      <c r="B86" s="94" t="s">
        <v>326</v>
      </c>
    </row>
    <row r="87" spans="1:5">
      <c r="A87" s="97"/>
      <c r="B87" s="3" t="s">
        <v>340</v>
      </c>
      <c r="C87" s="110">
        <v>109.92</v>
      </c>
    </row>
    <row r="88" spans="1:5">
      <c r="A88" s="97">
        <v>45283</v>
      </c>
      <c r="B88" s="3" t="s">
        <v>347</v>
      </c>
      <c r="E88" s="110">
        <v>-90</v>
      </c>
    </row>
    <row r="89" spans="1:5">
      <c r="A89" s="97">
        <v>45283</v>
      </c>
      <c r="B89" s="3" t="s">
        <v>457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457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347</v>
      </c>
      <c r="E91" s="110">
        <v>-110</v>
      </c>
    </row>
    <row r="92" spans="1:5">
      <c r="A92" s="97">
        <v>45281</v>
      </c>
      <c r="B92" s="3" t="s">
        <v>457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457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583</v>
      </c>
      <c r="E94" s="110">
        <v>-260</v>
      </c>
    </row>
    <row r="95" spans="1:5">
      <c r="A95" s="97">
        <v>45278</v>
      </c>
      <c r="B95" s="3" t="s">
        <v>457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584</v>
      </c>
      <c r="E96" s="110">
        <v>-300</v>
      </c>
    </row>
    <row r="97" spans="1:5">
      <c r="A97" s="97">
        <v>45276</v>
      </c>
      <c r="B97" s="3" t="s">
        <v>457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585</v>
      </c>
      <c r="E98" s="110">
        <v>-470</v>
      </c>
    </row>
    <row r="99" spans="1:5">
      <c r="A99" s="97">
        <v>45275</v>
      </c>
      <c r="B99" s="3" t="s">
        <v>586</v>
      </c>
      <c r="E99" s="110">
        <v>-285</v>
      </c>
    </row>
    <row r="100" spans="1:5">
      <c r="A100" s="97">
        <v>45274</v>
      </c>
      <c r="B100" s="3" t="s">
        <v>457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587</v>
      </c>
      <c r="E101" s="110">
        <v>-1108.1500000000001</v>
      </c>
    </row>
    <row r="102" spans="1:5">
      <c r="A102" s="97">
        <v>45271</v>
      </c>
      <c r="B102" s="3" t="s">
        <v>457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588</v>
      </c>
      <c r="E103" s="110">
        <v>-1551.29</v>
      </c>
    </row>
    <row r="104" spans="1:5">
      <c r="A104" s="97">
        <v>45270</v>
      </c>
      <c r="B104" s="3" t="s">
        <v>589</v>
      </c>
      <c r="E104" s="110">
        <v>-315.10000000000002</v>
      </c>
    </row>
    <row r="105" spans="1:5">
      <c r="A105" s="97">
        <v>45267</v>
      </c>
      <c r="B105" s="3" t="s">
        <v>347</v>
      </c>
      <c r="E105" s="110">
        <v>-300</v>
      </c>
    </row>
    <row r="106" spans="1:5">
      <c r="A106" s="97">
        <v>45266</v>
      </c>
      <c r="B106" s="3" t="s">
        <v>457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457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277</v>
      </c>
      <c r="D108" s="110">
        <v>11990.16</v>
      </c>
    </row>
    <row r="109" spans="1:5">
      <c r="A109" s="97">
        <v>45260</v>
      </c>
      <c r="B109" s="3" t="s">
        <v>457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457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457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457</v>
      </c>
      <c r="C112" s="110">
        <f>E112</f>
        <v>-160</v>
      </c>
      <c r="E112" s="110">
        <v>-160</v>
      </c>
    </row>
    <row r="113" spans="1:5">
      <c r="D113" s="110" t="s">
        <v>278</v>
      </c>
    </row>
    <row r="114" spans="1:5">
      <c r="B114" s="70" t="s">
        <v>352</v>
      </c>
      <c r="C114" s="110">
        <f>SUM(C89:C113)</f>
        <v>-2400.41</v>
      </c>
    </row>
    <row r="118" spans="1:5">
      <c r="A118" s="76" t="s">
        <v>590</v>
      </c>
      <c r="B118" s="77" t="s">
        <v>167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80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591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169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170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303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171</v>
      </c>
      <c r="D124" s="2"/>
      <c r="E124" s="13">
        <v>0</v>
      </c>
    </row>
    <row r="125" spans="1:5">
      <c r="A125" s="81">
        <v>45327</v>
      </c>
      <c r="B125" t="s">
        <v>56</v>
      </c>
      <c r="C125" s="2" t="s">
        <v>592</v>
      </c>
      <c r="D125" s="2"/>
      <c r="E125" s="13">
        <v>132120.79</v>
      </c>
    </row>
    <row r="126" spans="1:5">
      <c r="A126" s="81">
        <f>A125</f>
        <v>45327</v>
      </c>
      <c r="B126" t="s">
        <v>593</v>
      </c>
      <c r="C126" s="2"/>
      <c r="D126" s="2"/>
      <c r="E126" s="13">
        <v>0</v>
      </c>
    </row>
    <row r="127" spans="1:5">
      <c r="A127" s="81">
        <v>45327</v>
      </c>
      <c r="B127" t="s">
        <v>594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595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179</v>
      </c>
      <c r="C129" s="2"/>
      <c r="D129" s="2"/>
      <c r="E129" s="13">
        <v>500</v>
      </c>
    </row>
    <row r="130" spans="1:5">
      <c r="A130" s="81">
        <v>45327</v>
      </c>
      <c r="B130" t="s">
        <v>596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597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311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598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183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90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184</v>
      </c>
      <c r="E136" s="116">
        <f>H2</f>
        <v>128534.37000000002</v>
      </c>
    </row>
    <row r="137" spans="1:5">
      <c r="D137" s="3"/>
    </row>
    <row r="138" spans="1:5">
      <c r="D138" s="70" t="s">
        <v>185</v>
      </c>
      <c r="E138" s="8">
        <f>SUM(E119:E135)</f>
        <v>813151.51</v>
      </c>
    </row>
    <row r="140" spans="1:5">
      <c r="B140" t="s">
        <v>599</v>
      </c>
    </row>
    <row r="141" spans="1:5">
      <c r="A141" s="20">
        <v>45317</v>
      </c>
      <c r="B141" t="s">
        <v>600</v>
      </c>
      <c r="C141" s="110">
        <v>12500</v>
      </c>
      <c r="D141" s="110" t="s">
        <v>601</v>
      </c>
      <c r="E141" s="110">
        <v>10000</v>
      </c>
    </row>
    <row r="142" spans="1:5">
      <c r="B142" t="s">
        <v>600</v>
      </c>
      <c r="C142" s="110">
        <v>13400</v>
      </c>
      <c r="D142" s="110" t="s">
        <v>179</v>
      </c>
      <c r="E142" s="110">
        <v>25000</v>
      </c>
    </row>
    <row r="143" spans="1:5">
      <c r="B143" t="s">
        <v>600</v>
      </c>
      <c r="C143" s="110">
        <v>13700</v>
      </c>
      <c r="D143" s="110" t="s">
        <v>602</v>
      </c>
      <c r="E143" s="110">
        <v>10400</v>
      </c>
    </row>
    <row r="144" spans="1:5">
      <c r="B144" t="s">
        <v>600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603</v>
      </c>
      <c r="C146" s="110">
        <v>14400</v>
      </c>
    </row>
    <row r="147" spans="2:4">
      <c r="B147" t="s">
        <v>604</v>
      </c>
      <c r="C147" s="110">
        <v>2800</v>
      </c>
      <c r="D147" s="110">
        <f>SUM(C146:C147)</f>
        <v>17200</v>
      </c>
    </row>
    <row r="148" spans="2:4">
      <c r="B148" t="s">
        <v>605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111</v>
      </c>
      <c r="D1" s="24"/>
      <c r="E1" s="25"/>
      <c r="F1" s="23" t="s">
        <v>112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115</v>
      </c>
    </row>
    <row r="2" spans="1:14" ht="15.75">
      <c r="A2" s="21">
        <v>-2022</v>
      </c>
      <c r="B2" s="25" t="s">
        <v>116</v>
      </c>
      <c r="C2" s="30" t="s">
        <v>117</v>
      </c>
      <c r="D2" s="24" t="s">
        <v>118</v>
      </c>
      <c r="E2" s="25" t="s">
        <v>116</v>
      </c>
      <c r="F2" s="30" t="s">
        <v>117</v>
      </c>
      <c r="G2" s="24" t="s">
        <v>3</v>
      </c>
      <c r="H2" s="26"/>
      <c r="I2" s="27"/>
      <c r="J2" s="28" t="s">
        <v>119</v>
      </c>
      <c r="K2" s="146" t="s">
        <v>606</v>
      </c>
      <c r="L2" s="147" t="s">
        <v>607</v>
      </c>
      <c r="M2" s="33" t="s">
        <v>120</v>
      </c>
      <c r="N2" s="86">
        <f>F26/1000</f>
        <v>356.02226999999999</v>
      </c>
    </row>
    <row r="3" spans="1:14">
      <c r="A3" t="s">
        <v>121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122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123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124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125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126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127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128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129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130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131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132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133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134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135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136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137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138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139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140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141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142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143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144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145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608</v>
      </c>
      <c r="M17" s="165">
        <f>L15+M15</f>
        <v>627.48372256000005</v>
      </c>
    </row>
    <row r="18" spans="2:13" ht="15">
      <c r="D18" s="66" t="s">
        <v>146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609</v>
      </c>
      <c r="M18" s="68">
        <f>M17/12</f>
        <v>52.290310213333335</v>
      </c>
    </row>
    <row r="19" spans="2:13" ht="15">
      <c r="C19" s="10"/>
      <c r="D19" s="69" t="s">
        <v>148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610</v>
      </c>
    </row>
    <row r="20" spans="2:13" ht="15">
      <c r="C20" s="10"/>
      <c r="D20" s="69" t="s">
        <v>611</v>
      </c>
      <c r="E20" s="9">
        <v>7000</v>
      </c>
      <c r="G20" s="73"/>
    </row>
    <row r="21" spans="2:13" ht="14.25">
      <c r="D21" s="70" t="s">
        <v>149</v>
      </c>
      <c r="E21" s="13">
        <f>SUM(E18:E20)</f>
        <v>91141.08</v>
      </c>
      <c r="F21" s="75">
        <f>SUM(F18:F19)</f>
        <v>6986.25</v>
      </c>
      <c r="G21" s="75" t="s">
        <v>612</v>
      </c>
    </row>
    <row r="26" spans="2:13">
      <c r="B26" s="78"/>
      <c r="C26" s="77" t="s">
        <v>613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80</v>
      </c>
      <c r="F27">
        <v>32000</v>
      </c>
    </row>
    <row r="28" spans="2:13">
      <c r="B28" s="97">
        <v>45291</v>
      </c>
      <c r="C28" t="s">
        <v>168</v>
      </c>
      <c r="F28">
        <v>40000</v>
      </c>
    </row>
    <row r="29" spans="2:13">
      <c r="B29" s="97">
        <v>45291</v>
      </c>
      <c r="C29" t="s">
        <v>169</v>
      </c>
      <c r="F29">
        <v>40162.18</v>
      </c>
    </row>
    <row r="30" spans="2:13">
      <c r="B30" s="97">
        <v>45291</v>
      </c>
      <c r="C30" t="s">
        <v>170</v>
      </c>
      <c r="F30">
        <v>44912.09</v>
      </c>
    </row>
    <row r="31" spans="2:13">
      <c r="B31" s="97">
        <v>45291</v>
      </c>
      <c r="C31" t="s">
        <v>230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231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232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233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614</v>
      </c>
      <c r="G1" s="4" t="s">
        <v>3</v>
      </c>
    </row>
    <row r="2" spans="2:7">
      <c r="F2" s="7" t="s">
        <v>277</v>
      </c>
    </row>
    <row r="3" spans="2:7">
      <c r="B3" s="1">
        <v>44873</v>
      </c>
      <c r="C3" t="s">
        <v>615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616</v>
      </c>
      <c r="F5" s="13"/>
      <c r="G5" s="2">
        <f t="shared" si="0"/>
        <v>-1000</v>
      </c>
    </row>
    <row r="6" spans="2:7">
      <c r="B6" s="1">
        <v>44873</v>
      </c>
      <c r="C6" t="s">
        <v>617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618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619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620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621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621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622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623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624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625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476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626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627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476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628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629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630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631</v>
      </c>
      <c r="E25" s="2">
        <v>2258</v>
      </c>
      <c r="F25" s="13"/>
      <c r="G25" s="2">
        <f t="shared" si="0"/>
        <v>1535.9999999999993</v>
      </c>
    </row>
    <row r="26" spans="2:7">
      <c r="C26" t="s">
        <v>632</v>
      </c>
      <c r="E26" s="2">
        <v>613</v>
      </c>
      <c r="F26" s="4"/>
      <c r="G26" s="2">
        <f t="shared" si="0"/>
        <v>2148.9999999999991</v>
      </c>
    </row>
    <row r="27" spans="2:7">
      <c r="C27" t="s">
        <v>633</v>
      </c>
      <c r="E27" s="2">
        <v>720</v>
      </c>
      <c r="F27" s="4"/>
      <c r="G27" s="2">
        <f t="shared" si="0"/>
        <v>2868.9999999999991</v>
      </c>
    </row>
    <row r="28" spans="2:7">
      <c r="C28" t="s">
        <v>634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635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636</v>
      </c>
      <c r="E30" s="2">
        <v>2650</v>
      </c>
      <c r="F30" s="4"/>
      <c r="G30" s="2">
        <f t="shared" si="0"/>
        <v>3982.9999999999991</v>
      </c>
    </row>
    <row r="31" spans="2:7">
      <c r="C31" t="s">
        <v>637</v>
      </c>
      <c r="E31" s="2">
        <v>1356</v>
      </c>
      <c r="F31" s="4"/>
      <c r="G31" s="2">
        <f t="shared" si="0"/>
        <v>5338.9999999999991</v>
      </c>
    </row>
    <row r="32" spans="2:7">
      <c r="C32" t="s">
        <v>637</v>
      </c>
      <c r="E32" s="2">
        <v>869</v>
      </c>
      <c r="F32" s="4"/>
      <c r="G32" s="2">
        <f t="shared" si="0"/>
        <v>6207.9999999999991</v>
      </c>
    </row>
    <row r="33" spans="2:7">
      <c r="C33" t="s">
        <v>638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639</v>
      </c>
      <c r="F34" s="4">
        <v>3450</v>
      </c>
      <c r="G34" s="2">
        <f t="shared" si="0"/>
        <v>2757.9999999999991</v>
      </c>
    </row>
    <row r="35" spans="2:7">
      <c r="C35" t="s">
        <v>640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641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642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643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644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645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646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647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648</v>
      </c>
      <c r="E46" s="2">
        <v>573</v>
      </c>
      <c r="G46" s="2">
        <f t="shared" si="1"/>
        <v>4931</v>
      </c>
    </row>
    <row r="47" spans="2:7">
      <c r="C47" t="s">
        <v>649</v>
      </c>
      <c r="D47">
        <v>1500</v>
      </c>
      <c r="G47" s="2">
        <f t="shared" si="1"/>
        <v>4931</v>
      </c>
    </row>
    <row r="48" spans="2:7">
      <c r="C48" t="s">
        <v>650</v>
      </c>
      <c r="E48" s="2">
        <v>1207</v>
      </c>
      <c r="G48" s="2">
        <f t="shared" si="1"/>
        <v>6138</v>
      </c>
    </row>
    <row r="49" spans="2:7">
      <c r="C49" t="s">
        <v>651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652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653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654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655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656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657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588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658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659</v>
      </c>
      <c r="E61" s="176" t="s">
        <v>660</v>
      </c>
      <c r="F61" s="176" t="s">
        <v>661</v>
      </c>
      <c r="G61" s="177" t="s">
        <v>661</v>
      </c>
    </row>
    <row r="62" spans="2:7">
      <c r="D62" s="175" t="s">
        <v>662</v>
      </c>
      <c r="E62" s="176" t="s">
        <v>663</v>
      </c>
      <c r="F62" s="176" t="s">
        <v>93</v>
      </c>
      <c r="G62" s="178" t="s">
        <v>664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665</v>
      </c>
    </row>
    <row r="3" spans="2:9">
      <c r="D3" s="181" t="s">
        <v>666</v>
      </c>
      <c r="E3" s="110" t="s">
        <v>667</v>
      </c>
      <c r="F3" s="181" t="s">
        <v>668</v>
      </c>
      <c r="G3" s="182"/>
      <c r="I3" s="181" t="s">
        <v>669</v>
      </c>
    </row>
    <row r="4" spans="2:9">
      <c r="D4" s="181" t="s">
        <v>670</v>
      </c>
      <c r="E4" s="110" t="s">
        <v>671</v>
      </c>
      <c r="F4" s="181" t="s">
        <v>670</v>
      </c>
      <c r="G4" s="182"/>
      <c r="I4" s="181" t="s">
        <v>671</v>
      </c>
    </row>
    <row r="5" spans="2:9" ht="14.25">
      <c r="E5" s="183">
        <v>119305.95</v>
      </c>
      <c r="F5" s="183"/>
      <c r="G5" s="184"/>
      <c r="H5" s="185" t="s">
        <v>672</v>
      </c>
      <c r="I5" s="186">
        <f>NZN_23!I8*-1</f>
        <v>119305.95484700002</v>
      </c>
    </row>
    <row r="6" spans="2:9" ht="14.25">
      <c r="H6" s="187" t="s">
        <v>673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674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675</v>
      </c>
      <c r="I8" s="191">
        <f t="shared" ref="I8:I19" si="0">I7-F8</f>
        <v>149272.95484700002</v>
      </c>
    </row>
    <row r="9" spans="2:9">
      <c r="B9" s="81">
        <v>45324</v>
      </c>
      <c r="C9" t="s">
        <v>674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675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F10" s="189">
        <v>10000</v>
      </c>
      <c r="H10" s="191" t="s">
        <v>675</v>
      </c>
      <c r="I10" s="113">
        <f t="shared" si="0"/>
        <v>129272.95484700002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F11" s="189">
        <v>10000</v>
      </c>
      <c r="H11" s="191" t="s">
        <v>675</v>
      </c>
      <c r="I11" s="113">
        <f t="shared" si="0"/>
        <v>119272.95484700002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F12" s="189">
        <v>10000</v>
      </c>
      <c r="H12" s="191" t="s">
        <v>675</v>
      </c>
      <c r="I12" s="113">
        <f t="shared" si="0"/>
        <v>109272.95484700002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F13" s="189">
        <v>10000</v>
      </c>
      <c r="H13" s="191" t="s">
        <v>675</v>
      </c>
      <c r="I13" s="113">
        <f t="shared" si="0"/>
        <v>99272.954847000015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F14" s="189">
        <v>10000</v>
      </c>
      <c r="H14" s="191" t="s">
        <v>675</v>
      </c>
      <c r="I14" s="113">
        <f t="shared" si="0"/>
        <v>89272.954847000015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H15" s="113" t="s">
        <v>1095</v>
      </c>
      <c r="I15" s="113">
        <f t="shared" si="0"/>
        <v>89272.954847000015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H16" s="113" t="s">
        <v>1095</v>
      </c>
      <c r="I16" s="113">
        <f t="shared" si="0"/>
        <v>89272.954847000015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H17" s="113" t="s">
        <v>1095</v>
      </c>
      <c r="I17" s="113">
        <f t="shared" si="0"/>
        <v>89272.954847000015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H18" s="113" t="s">
        <v>1095</v>
      </c>
      <c r="I18" s="113">
        <f t="shared" si="0"/>
        <v>89272.954847000015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89272.954847000015</v>
      </c>
    </row>
    <row r="20" spans="2:11">
      <c r="D20" s="110"/>
    </row>
    <row r="21" spans="2:11" ht="15.75">
      <c r="C21" s="192" t="s">
        <v>676</v>
      </c>
      <c r="E21" s="193">
        <v>0.2351</v>
      </c>
      <c r="F21" s="193">
        <f>1-E21</f>
        <v>0.76490000000000002</v>
      </c>
    </row>
    <row r="22" spans="2:11">
      <c r="B22" s="194" t="s">
        <v>677</v>
      </c>
      <c r="C22" s="194" t="s">
        <v>678</v>
      </c>
      <c r="D22" s="195" t="s">
        <v>679</v>
      </c>
      <c r="E22" s="196" t="s">
        <v>680</v>
      </c>
      <c r="F22" s="195" t="s">
        <v>681</v>
      </c>
      <c r="G22" s="197" t="s">
        <v>682</v>
      </c>
      <c r="H22" s="195" t="s">
        <v>683</v>
      </c>
      <c r="I22" s="195" t="s">
        <v>684</v>
      </c>
    </row>
    <row r="23" spans="2:11">
      <c r="B23" s="194"/>
      <c r="C23" s="198" t="s">
        <v>685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686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687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688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689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690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690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573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691</v>
      </c>
      <c r="E40" s="113" t="s">
        <v>692</v>
      </c>
      <c r="F40" s="113" t="s">
        <v>693</v>
      </c>
      <c r="H40" s="215"/>
      <c r="I40" s="215"/>
      <c r="J40" s="216"/>
    </row>
    <row r="41" spans="2:11" ht="15.75">
      <c r="C41" t="s">
        <v>694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695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696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697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698</v>
      </c>
      <c r="E47" s="181" t="s">
        <v>699</v>
      </c>
      <c r="F47" s="181" t="s">
        <v>700</v>
      </c>
      <c r="K47" s="65"/>
    </row>
    <row r="48" spans="2:11">
      <c r="E48" s="187"/>
      <c r="K48" s="65"/>
    </row>
    <row r="49" spans="3:6">
      <c r="C49" s="65" t="s">
        <v>608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665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676</v>
      </c>
      <c r="E5" s="222">
        <v>0.2351</v>
      </c>
      <c r="F5" s="222">
        <f>1-E5</f>
        <v>0.76490000000000002</v>
      </c>
      <c r="I5" s="65"/>
    </row>
    <row r="6" spans="2:11">
      <c r="B6" t="s">
        <v>677</v>
      </c>
      <c r="C6" t="s">
        <v>678</v>
      </c>
      <c r="D6" s="37" t="s">
        <v>679</v>
      </c>
      <c r="E6" s="130" t="s">
        <v>680</v>
      </c>
      <c r="F6" s="37" t="s">
        <v>681</v>
      </c>
      <c r="G6" s="223" t="s">
        <v>682</v>
      </c>
      <c r="H6" s="37" t="s">
        <v>683</v>
      </c>
      <c r="I6" s="224" t="s">
        <v>684</v>
      </c>
    </row>
    <row r="7" spans="2:11">
      <c r="K7" s="201"/>
    </row>
    <row r="8" spans="2:11" ht="15.75">
      <c r="B8" s="202">
        <v>45290</v>
      </c>
      <c r="C8" t="s">
        <v>686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701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702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703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704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705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705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705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688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706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707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708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688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688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709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710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711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712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685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713</v>
      </c>
      <c r="D28" s="65"/>
      <c r="E28" s="65">
        <f>E8</f>
        <v>-5843.55</v>
      </c>
      <c r="F28" s="65"/>
      <c r="H28" s="65"/>
      <c r="I28" s="65"/>
    </row>
    <row r="29" spans="2:10">
      <c r="C29" t="s">
        <v>714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691</v>
      </c>
      <c r="E31" s="65" t="s">
        <v>692</v>
      </c>
      <c r="F31" s="65" t="s">
        <v>693</v>
      </c>
      <c r="H31" s="237"/>
      <c r="I31" s="237"/>
      <c r="J31" s="216"/>
    </row>
    <row r="32" spans="2:10" ht="15.75">
      <c r="C32" t="s">
        <v>694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695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696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697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698</v>
      </c>
      <c r="E38" s="70" t="s">
        <v>699</v>
      </c>
      <c r="F38" s="70" t="s">
        <v>700</v>
      </c>
      <c r="H38" s="65"/>
      <c r="I38" s="65"/>
      <c r="K38" s="65"/>
    </row>
    <row r="39" spans="3:11">
      <c r="C39" t="s">
        <v>715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608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716</v>
      </c>
      <c r="C2" s="87" t="s">
        <v>187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188</v>
      </c>
      <c r="C4" t="s">
        <v>717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190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191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718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719</v>
      </c>
      <c r="C8" s="88"/>
      <c r="D8" s="88"/>
      <c r="E8" s="84"/>
      <c r="H8" s="65">
        <f t="shared" si="0"/>
        <v>-1097</v>
      </c>
    </row>
    <row r="9" spans="1:8">
      <c r="B9" s="88" t="s">
        <v>720</v>
      </c>
      <c r="C9" s="88"/>
      <c r="D9" s="88"/>
      <c r="E9" s="84"/>
      <c r="H9" s="65">
        <f t="shared" si="0"/>
        <v>-1097</v>
      </c>
    </row>
    <row r="10" spans="1:8">
      <c r="B10" s="88" t="s">
        <v>202</v>
      </c>
      <c r="C10" s="88"/>
      <c r="D10" s="88"/>
      <c r="E10" s="84"/>
      <c r="H10" s="65">
        <f t="shared" si="0"/>
        <v>-1097</v>
      </c>
    </row>
    <row r="11" spans="1:8">
      <c r="B11" s="95" t="s">
        <v>207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208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209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721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721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722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203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205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206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80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80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168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212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723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190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191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213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724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564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566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725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217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218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726</v>
      </c>
      <c r="C47" t="s">
        <v>90</v>
      </c>
      <c r="D47">
        <v>947.93</v>
      </c>
      <c r="E47" s="65">
        <v>950</v>
      </c>
      <c r="F47" s="65"/>
      <c r="G47" s="65"/>
    </row>
    <row r="48" spans="1:8">
      <c r="B48" t="s">
        <v>220</v>
      </c>
      <c r="C48" t="s">
        <v>727</v>
      </c>
      <c r="D48">
        <v>1830.06</v>
      </c>
      <c r="E48" s="65">
        <v>1830</v>
      </c>
      <c r="F48" s="65"/>
      <c r="G48" s="65"/>
    </row>
    <row r="49" spans="1:8">
      <c r="B49" t="s">
        <v>221</v>
      </c>
      <c r="C49" t="s">
        <v>727</v>
      </c>
      <c r="D49">
        <v>209.55</v>
      </c>
      <c r="E49">
        <v>210</v>
      </c>
      <c r="F49" s="65"/>
      <c r="G49" s="65"/>
    </row>
    <row r="50" spans="1:8">
      <c r="B50" t="s">
        <v>222</v>
      </c>
      <c r="C50" t="s">
        <v>728</v>
      </c>
      <c r="D50">
        <v>1732.62</v>
      </c>
      <c r="E50">
        <v>1732</v>
      </c>
      <c r="F50" s="65"/>
      <c r="G50" s="65"/>
    </row>
    <row r="51" spans="1:8">
      <c r="B51" t="s">
        <v>223</v>
      </c>
      <c r="C51" t="s">
        <v>727</v>
      </c>
      <c r="D51">
        <v>499.34</v>
      </c>
      <c r="E51">
        <v>500</v>
      </c>
      <c r="F51" s="65"/>
      <c r="G51" s="65"/>
    </row>
    <row r="52" spans="1:8">
      <c r="B52" t="s">
        <v>224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225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579</v>
      </c>
      <c r="C60">
        <v>613.91</v>
      </c>
      <c r="D60" s="37" t="s">
        <v>729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532</v>
      </c>
      <c r="C62" s="94">
        <v>10764.57</v>
      </c>
      <c r="D62" s="37" t="s">
        <v>245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730</v>
      </c>
      <c r="D63" s="139" t="s">
        <v>251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368</v>
      </c>
      <c r="C64" s="94">
        <v>7648.33</v>
      </c>
      <c r="D64" s="139" t="s">
        <v>731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484</v>
      </c>
      <c r="C65" s="94">
        <v>11128</v>
      </c>
      <c r="D65" s="139" t="s">
        <v>732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278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229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491</v>
      </c>
      <c r="C82" s="94"/>
      <c r="D82" t="s">
        <v>733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464</v>
      </c>
      <c r="D83" t="s">
        <v>734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735</v>
      </c>
      <c r="E85" s="84">
        <v>-1046.0999999999999</v>
      </c>
    </row>
    <row r="86" spans="1:8">
      <c r="A86" s="96">
        <v>45226</v>
      </c>
      <c r="B86" t="s">
        <v>735</v>
      </c>
      <c r="E86" s="84">
        <v>-1046.0999999999999</v>
      </c>
    </row>
    <row r="87" spans="1:8">
      <c r="A87" s="96">
        <v>45224</v>
      </c>
      <c r="B87" t="s">
        <v>460</v>
      </c>
      <c r="D87">
        <v>160</v>
      </c>
      <c r="E87" s="84">
        <v>-160</v>
      </c>
    </row>
    <row r="88" spans="1:8">
      <c r="A88" s="96">
        <v>45225</v>
      </c>
      <c r="B88" t="s">
        <v>460</v>
      </c>
      <c r="D88">
        <v>200</v>
      </c>
      <c r="E88" s="84">
        <v>-200</v>
      </c>
    </row>
    <row r="89" spans="1:8">
      <c r="A89" s="96">
        <v>45225</v>
      </c>
      <c r="B89" t="s">
        <v>736</v>
      </c>
      <c r="E89" s="84">
        <v>-200</v>
      </c>
    </row>
    <row r="90" spans="1:8">
      <c r="A90" s="96">
        <v>45226</v>
      </c>
      <c r="B90" t="s">
        <v>460</v>
      </c>
      <c r="D90" s="37">
        <v>150</v>
      </c>
      <c r="E90" s="84">
        <v>-150</v>
      </c>
    </row>
    <row r="91" spans="1:8">
      <c r="A91" s="96">
        <v>45227</v>
      </c>
      <c r="B91" t="s">
        <v>460</v>
      </c>
      <c r="D91" s="37">
        <v>100</v>
      </c>
      <c r="E91" s="84">
        <v>-100</v>
      </c>
    </row>
    <row r="92" spans="1:8">
      <c r="A92" s="96">
        <v>45227</v>
      </c>
      <c r="B92" t="s">
        <v>457</v>
      </c>
      <c r="D92">
        <v>70</v>
      </c>
      <c r="E92" s="84">
        <v>-70</v>
      </c>
    </row>
    <row r="93" spans="1:8">
      <c r="A93" s="96">
        <v>45229</v>
      </c>
      <c r="B93" t="s">
        <v>460</v>
      </c>
      <c r="D93">
        <v>200</v>
      </c>
      <c r="E93" s="84">
        <v>-200</v>
      </c>
    </row>
    <row r="94" spans="1:8">
      <c r="A94" s="96">
        <v>45229</v>
      </c>
      <c r="B94" t="s">
        <v>737</v>
      </c>
      <c r="D94">
        <v>95.49</v>
      </c>
      <c r="E94" s="84">
        <v>-95.49</v>
      </c>
    </row>
    <row r="95" spans="1:8">
      <c r="A95" s="96">
        <v>45232</v>
      </c>
      <c r="B95" t="s">
        <v>460</v>
      </c>
      <c r="D95">
        <v>250</v>
      </c>
      <c r="E95" s="84">
        <v>-250</v>
      </c>
    </row>
    <row r="96" spans="1:8">
      <c r="A96" s="96">
        <v>45233</v>
      </c>
      <c r="B96" t="s">
        <v>460</v>
      </c>
      <c r="D96">
        <v>180</v>
      </c>
      <c r="E96" s="84">
        <v>-160</v>
      </c>
    </row>
    <row r="97" spans="1:5">
      <c r="A97" s="96">
        <v>45234</v>
      </c>
      <c r="B97" t="s">
        <v>460</v>
      </c>
      <c r="D97">
        <v>320</v>
      </c>
      <c r="E97" s="84">
        <v>-320</v>
      </c>
    </row>
    <row r="98" spans="1:5">
      <c r="A98" s="96">
        <v>45237</v>
      </c>
      <c r="B98" t="s">
        <v>460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738</v>
      </c>
      <c r="E100" s="84">
        <v>-180</v>
      </c>
    </row>
    <row r="101" spans="1:5">
      <c r="A101" s="96">
        <v>45238</v>
      </c>
      <c r="B101" t="s">
        <v>460</v>
      </c>
      <c r="D101">
        <v>160</v>
      </c>
      <c r="E101" s="84">
        <v>-160</v>
      </c>
    </row>
    <row r="102" spans="1:5">
      <c r="A102" s="96">
        <v>45239</v>
      </c>
      <c r="B102" t="s">
        <v>460</v>
      </c>
      <c r="D102">
        <v>250</v>
      </c>
      <c r="E102" s="84">
        <v>-250</v>
      </c>
    </row>
    <row r="103" spans="1:5">
      <c r="A103" s="96">
        <v>45240</v>
      </c>
      <c r="B103" t="s">
        <v>460</v>
      </c>
      <c r="D103">
        <v>160</v>
      </c>
      <c r="E103" s="84">
        <v>-160</v>
      </c>
    </row>
    <row r="104" spans="1:5">
      <c r="A104" s="96">
        <v>45241</v>
      </c>
      <c r="B104" t="s">
        <v>460</v>
      </c>
      <c r="D104">
        <v>250</v>
      </c>
      <c r="E104" s="84">
        <v>-250</v>
      </c>
    </row>
    <row r="105" spans="1:5">
      <c r="A105" s="96">
        <v>45244</v>
      </c>
      <c r="B105" t="s">
        <v>739</v>
      </c>
      <c r="E105" s="84">
        <v>-1144.1099999999999</v>
      </c>
    </row>
    <row r="106" spans="1:5">
      <c r="A106" s="96">
        <v>45245</v>
      </c>
      <c r="B106" t="s">
        <v>740</v>
      </c>
      <c r="E106" s="84">
        <v>-373.92</v>
      </c>
    </row>
    <row r="107" spans="1:5">
      <c r="A107" s="96">
        <v>45253</v>
      </c>
      <c r="B107" t="s">
        <v>460</v>
      </c>
      <c r="D107">
        <v>200</v>
      </c>
      <c r="E107" s="84">
        <v>-200</v>
      </c>
    </row>
    <row r="108" spans="1:5">
      <c r="E108" s="84"/>
    </row>
    <row r="109" spans="1:5">
      <c r="B109" t="s">
        <v>741</v>
      </c>
      <c r="D109">
        <f>SUM(D87:D108)</f>
        <v>2945.49</v>
      </c>
      <c r="E109" s="84"/>
    </row>
    <row r="110" spans="1:5" ht="15">
      <c r="D110" s="108" t="s">
        <v>278</v>
      </c>
    </row>
    <row r="111" spans="1:5">
      <c r="A111" s="76" t="s">
        <v>166</v>
      </c>
      <c r="B111" s="77" t="s">
        <v>167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80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168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169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170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171</v>
      </c>
      <c r="D116" s="2"/>
      <c r="E116" s="13">
        <v>6267.13</v>
      </c>
    </row>
    <row r="117" spans="1:5">
      <c r="A117" s="81">
        <f t="shared" si="2"/>
        <v>45290</v>
      </c>
      <c r="B117" t="s">
        <v>56</v>
      </c>
      <c r="C117" s="2" t="s">
        <v>172</v>
      </c>
      <c r="D117" s="2"/>
      <c r="E117" s="13">
        <v>21088.49</v>
      </c>
    </row>
    <row r="118" spans="1:5">
      <c r="A118" s="81">
        <f t="shared" si="2"/>
        <v>45290</v>
      </c>
      <c r="B118" t="s">
        <v>173</v>
      </c>
      <c r="C118" s="2" t="s">
        <v>174</v>
      </c>
      <c r="D118" s="2"/>
      <c r="E118" s="13">
        <v>5587.73</v>
      </c>
    </row>
    <row r="119" spans="1:5">
      <c r="A119" s="81">
        <f t="shared" si="2"/>
        <v>45290</v>
      </c>
      <c r="B119" t="s">
        <v>175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176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177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178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179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180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181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182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183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90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184</v>
      </c>
      <c r="E129" s="84">
        <f>H33</f>
        <v>-25773.700000000004</v>
      </c>
    </row>
    <row r="130" spans="3:5">
      <c r="D130" s="3"/>
    </row>
    <row r="131" spans="3:5">
      <c r="D131" s="70" t="s">
        <v>185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742</v>
      </c>
      <c r="C2" s="87" t="s">
        <v>187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188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190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191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743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207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208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209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744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744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745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203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205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206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80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168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212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746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213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747</v>
      </c>
      <c r="C22" t="s">
        <v>748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749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750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751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752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753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754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495</v>
      </c>
      <c r="C30" t="s">
        <v>717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497</v>
      </c>
      <c r="C31" t="s">
        <v>717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498</v>
      </c>
      <c r="C32" t="s">
        <v>717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755</v>
      </c>
      <c r="C33" t="s">
        <v>717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216</v>
      </c>
      <c r="E37" s="65"/>
      <c r="G37" s="65"/>
      <c r="H37" s="65"/>
    </row>
    <row r="38" spans="1:8">
      <c r="A38" s="78" t="s">
        <v>217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218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726</v>
      </c>
      <c r="D44">
        <v>628.12</v>
      </c>
      <c r="E44" s="65">
        <v>630</v>
      </c>
      <c r="F44" s="65"/>
      <c r="G44" s="65"/>
    </row>
    <row r="45" spans="1:8">
      <c r="B45" t="s">
        <v>220</v>
      </c>
      <c r="D45">
        <v>1539.74</v>
      </c>
      <c r="E45" s="65">
        <v>1540</v>
      </c>
      <c r="F45" s="65"/>
      <c r="G45" s="65"/>
    </row>
    <row r="46" spans="1:8">
      <c r="B46" t="s">
        <v>221</v>
      </c>
      <c r="D46">
        <v>165.4</v>
      </c>
      <c r="E46">
        <v>165</v>
      </c>
      <c r="F46" s="65"/>
      <c r="G46" s="65"/>
    </row>
    <row r="47" spans="1:8">
      <c r="B47" t="s">
        <v>222</v>
      </c>
      <c r="D47">
        <v>1142.79</v>
      </c>
      <c r="E47">
        <v>1142</v>
      </c>
      <c r="F47" s="65"/>
      <c r="G47" s="65"/>
    </row>
    <row r="48" spans="1:8">
      <c r="B48" t="s">
        <v>223</v>
      </c>
      <c r="D48" s="3">
        <v>379.26</v>
      </c>
      <c r="E48">
        <v>379.26</v>
      </c>
      <c r="F48" s="65"/>
      <c r="G48" s="65"/>
    </row>
    <row r="49" spans="1:8">
      <c r="B49" t="s">
        <v>224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225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579</v>
      </c>
      <c r="C57">
        <v>613.91</v>
      </c>
      <c r="D57" s="37" t="s">
        <v>756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757</v>
      </c>
      <c r="C58" s="94">
        <v>3299</v>
      </c>
      <c r="D58" s="37" t="s">
        <v>758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532</v>
      </c>
      <c r="C59" s="94">
        <v>10764.57</v>
      </c>
      <c r="D59" s="37" t="s">
        <v>483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759</v>
      </c>
      <c r="C60" s="94">
        <v>3123.29</v>
      </c>
      <c r="D60" s="139" t="s">
        <v>758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730</v>
      </c>
      <c r="D61" s="139" t="s">
        <v>271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368</v>
      </c>
      <c r="C62" s="94">
        <v>7648.33</v>
      </c>
      <c r="D62" s="139" t="s">
        <v>415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484</v>
      </c>
      <c r="C63" s="94">
        <v>11128</v>
      </c>
      <c r="D63" s="139" t="s">
        <v>413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277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278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229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760</v>
      </c>
      <c r="C72">
        <v>1140.99</v>
      </c>
      <c r="D72" t="s">
        <v>465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761</v>
      </c>
      <c r="D73" s="37" t="s">
        <v>762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491</v>
      </c>
      <c r="C74" s="94"/>
      <c r="D74" t="s">
        <v>734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243</v>
      </c>
      <c r="C75" s="94"/>
      <c r="D75" s="94"/>
      <c r="E75" s="84">
        <v>-59483.25</v>
      </c>
    </row>
    <row r="76" spans="1:8">
      <c r="A76" s="96">
        <v>45214</v>
      </c>
      <c r="B76" t="s">
        <v>464</v>
      </c>
      <c r="D76" t="s">
        <v>763</v>
      </c>
      <c r="E76" s="84">
        <v>-600</v>
      </c>
      <c r="F76" s="65"/>
    </row>
    <row r="77" spans="1:8">
      <c r="A77" s="96">
        <v>45198</v>
      </c>
      <c r="B77" t="s">
        <v>460</v>
      </c>
      <c r="E77" s="84">
        <v>-160</v>
      </c>
    </row>
    <row r="78" spans="1:8">
      <c r="A78" s="96">
        <v>45201</v>
      </c>
      <c r="B78" t="s">
        <v>764</v>
      </c>
      <c r="E78" s="84">
        <v>-1180</v>
      </c>
    </row>
    <row r="79" spans="1:8">
      <c r="A79" s="96">
        <v>45204</v>
      </c>
      <c r="B79" t="s">
        <v>765</v>
      </c>
      <c r="E79" s="84">
        <v>-713.25</v>
      </c>
    </row>
    <row r="80" spans="1:8">
      <c r="A80" s="96">
        <v>45204</v>
      </c>
      <c r="B80" t="s">
        <v>765</v>
      </c>
      <c r="E80" s="84">
        <v>-713.25</v>
      </c>
    </row>
    <row r="81" spans="1:5">
      <c r="A81" s="96">
        <v>45194</v>
      </c>
      <c r="B81" t="s">
        <v>460</v>
      </c>
      <c r="D81" s="37"/>
      <c r="E81" s="84">
        <v>-200</v>
      </c>
    </row>
    <row r="82" spans="1:5">
      <c r="A82" s="96">
        <v>45225</v>
      </c>
      <c r="B82" t="s">
        <v>460</v>
      </c>
      <c r="D82" s="37"/>
      <c r="E82" s="84">
        <v>-160</v>
      </c>
    </row>
    <row r="83" spans="1:5">
      <c r="A83" s="96">
        <v>45226</v>
      </c>
      <c r="B83" t="s">
        <v>460</v>
      </c>
      <c r="E83" s="84">
        <v>-200</v>
      </c>
    </row>
    <row r="84" spans="1:5">
      <c r="A84" s="96">
        <v>45227</v>
      </c>
      <c r="B84" t="s">
        <v>460</v>
      </c>
      <c r="E84" s="84">
        <v>-200</v>
      </c>
    </row>
    <row r="85" spans="1:5">
      <c r="A85" s="96">
        <v>45227</v>
      </c>
      <c r="B85" t="s">
        <v>347</v>
      </c>
      <c r="E85" s="84">
        <v>-245</v>
      </c>
    </row>
    <row r="86" spans="1:5">
      <c r="A86" s="96">
        <v>45228</v>
      </c>
      <c r="B86" t="s">
        <v>460</v>
      </c>
      <c r="E86" s="84">
        <v>-160</v>
      </c>
    </row>
    <row r="87" spans="1:5">
      <c r="A87" s="96">
        <v>45228</v>
      </c>
      <c r="B87" t="s">
        <v>766</v>
      </c>
      <c r="E87" s="84">
        <v>-33.65</v>
      </c>
    </row>
    <row r="88" spans="1:5">
      <c r="A88" s="96">
        <v>45201</v>
      </c>
      <c r="B88" t="s">
        <v>460</v>
      </c>
      <c r="E88" s="84">
        <v>-160</v>
      </c>
    </row>
    <row r="89" spans="1:5">
      <c r="A89" s="96">
        <v>45201</v>
      </c>
      <c r="B89" t="s">
        <v>277</v>
      </c>
      <c r="C89">
        <v>-16000.55</v>
      </c>
      <c r="E89" s="84"/>
    </row>
    <row r="90" spans="1:5">
      <c r="A90" s="96">
        <v>45202</v>
      </c>
      <c r="B90" t="s">
        <v>460</v>
      </c>
      <c r="E90" s="84">
        <v>-250</v>
      </c>
    </row>
    <row r="91" spans="1:5">
      <c r="A91" s="96">
        <v>45204</v>
      </c>
      <c r="B91" t="s">
        <v>460</v>
      </c>
      <c r="E91" s="84">
        <v>-300</v>
      </c>
    </row>
    <row r="92" spans="1:5">
      <c r="A92" s="96">
        <v>45205</v>
      </c>
      <c r="B92" t="s">
        <v>460</v>
      </c>
      <c r="E92" s="84">
        <v>-250</v>
      </c>
    </row>
    <row r="93" spans="1:5">
      <c r="A93" s="96">
        <v>45206</v>
      </c>
      <c r="B93" t="s">
        <v>460</v>
      </c>
      <c r="E93" s="84">
        <v>-250</v>
      </c>
    </row>
    <row r="94" spans="1:5">
      <c r="A94" s="96">
        <v>45206</v>
      </c>
      <c r="B94" t="s">
        <v>767</v>
      </c>
      <c r="E94" s="84">
        <v>-107.32</v>
      </c>
    </row>
    <row r="95" spans="1:5">
      <c r="A95" s="96">
        <v>45210</v>
      </c>
      <c r="B95" t="s">
        <v>460</v>
      </c>
      <c r="E95" s="84">
        <v>-200</v>
      </c>
    </row>
    <row r="96" spans="1:5">
      <c r="A96" s="96">
        <v>45215</v>
      </c>
      <c r="B96" t="s">
        <v>460</v>
      </c>
      <c r="E96" s="84">
        <v>-160</v>
      </c>
    </row>
    <row r="97" spans="1:5">
      <c r="A97" s="96">
        <v>45216</v>
      </c>
      <c r="B97" t="s">
        <v>460</v>
      </c>
      <c r="E97" s="84">
        <v>-160</v>
      </c>
    </row>
    <row r="98" spans="1:5">
      <c r="A98" s="96">
        <v>45217</v>
      </c>
      <c r="B98" t="s">
        <v>460</v>
      </c>
      <c r="E98" s="84">
        <v>-160</v>
      </c>
    </row>
    <row r="99" spans="1:5">
      <c r="A99" s="96">
        <v>45218</v>
      </c>
      <c r="B99" t="s">
        <v>460</v>
      </c>
      <c r="E99" s="84">
        <v>-200</v>
      </c>
    </row>
    <row r="100" spans="1:5">
      <c r="A100" s="96">
        <v>45219</v>
      </c>
      <c r="B100" t="s">
        <v>460</v>
      </c>
      <c r="E100" s="84">
        <v>-165</v>
      </c>
    </row>
    <row r="101" spans="1:5">
      <c r="A101" s="96">
        <v>45219</v>
      </c>
      <c r="B101" t="s">
        <v>766</v>
      </c>
      <c r="E101" s="84">
        <v>-93.36</v>
      </c>
    </row>
    <row r="102" spans="1:5">
      <c r="A102" s="96">
        <v>45220</v>
      </c>
      <c r="B102" t="s">
        <v>460</v>
      </c>
      <c r="E102" s="84">
        <v>-165</v>
      </c>
    </row>
    <row r="103" spans="1:5">
      <c r="A103" s="96">
        <v>45220</v>
      </c>
      <c r="B103" t="s">
        <v>768</v>
      </c>
      <c r="E103" s="84">
        <v>-80</v>
      </c>
    </row>
    <row r="104" spans="1:5">
      <c r="A104" s="96">
        <v>45221</v>
      </c>
      <c r="B104" t="s">
        <v>769</v>
      </c>
      <c r="E104" s="84">
        <v>-500</v>
      </c>
    </row>
    <row r="105" spans="1:5" ht="15">
      <c r="D105" s="108" t="s">
        <v>278</v>
      </c>
    </row>
    <row r="107" spans="1:5">
      <c r="B107" t="s">
        <v>770</v>
      </c>
      <c r="E107" s="84">
        <v>3707.01</v>
      </c>
    </row>
    <row r="108" spans="1:5">
      <c r="B108" t="s">
        <v>771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772</v>
      </c>
      <c r="B111" s="77" t="s">
        <v>167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80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773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169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170</v>
      </c>
      <c r="C115" s="2"/>
      <c r="D115" s="2"/>
      <c r="E115" s="13">
        <v>64.31</v>
      </c>
    </row>
    <row r="116" spans="1:5">
      <c r="A116" s="81">
        <v>45260</v>
      </c>
      <c r="B116" t="s">
        <v>171</v>
      </c>
      <c r="C116" s="2"/>
      <c r="D116" s="2"/>
      <c r="E116" s="13">
        <v>3242.78</v>
      </c>
    </row>
    <row r="117" spans="1:5">
      <c r="A117" s="81">
        <v>45260</v>
      </c>
      <c r="B117" t="s">
        <v>179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180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774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775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183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90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184</v>
      </c>
      <c r="E123" s="84">
        <f>H33</f>
        <v>-64817.05</v>
      </c>
    </row>
    <row r="124" spans="1:5">
      <c r="D124" s="3"/>
    </row>
    <row r="125" spans="1:5">
      <c r="D125" s="70" t="s">
        <v>185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776</v>
      </c>
      <c r="C2" s="87" t="s">
        <v>187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190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191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777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778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779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207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208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209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780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781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782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203</v>
      </c>
      <c r="C15" s="88" t="s">
        <v>204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205</v>
      </c>
      <c r="C16" s="94" t="s">
        <v>204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206</v>
      </c>
      <c r="C17" s="94" t="s">
        <v>204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80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783</v>
      </c>
      <c r="E19" s="65"/>
      <c r="F19" s="65"/>
      <c r="G19" s="65"/>
      <c r="H19" s="65">
        <f t="shared" si="0"/>
        <v>-36958.17</v>
      </c>
    </row>
    <row r="20" spans="1:8">
      <c r="B20" t="s">
        <v>168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212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213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784</v>
      </c>
      <c r="C24" t="s">
        <v>748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785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786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753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787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788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216</v>
      </c>
      <c r="E33" s="65"/>
      <c r="G33" s="65"/>
      <c r="H33" s="65"/>
    </row>
    <row r="34" spans="1:8">
      <c r="A34" s="78" t="s">
        <v>217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218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726</v>
      </c>
      <c r="D40">
        <v>578.66</v>
      </c>
      <c r="E40" s="65">
        <v>578</v>
      </c>
      <c r="F40" s="65"/>
      <c r="G40" s="65"/>
    </row>
    <row r="41" spans="1:8">
      <c r="B41" t="s">
        <v>220</v>
      </c>
      <c r="D41">
        <v>1237.75</v>
      </c>
      <c r="E41" s="65">
        <v>1237</v>
      </c>
      <c r="F41" s="65"/>
      <c r="G41" s="65"/>
    </row>
    <row r="42" spans="1:8">
      <c r="B42" t="s">
        <v>221</v>
      </c>
      <c r="D42">
        <v>155.32</v>
      </c>
      <c r="E42">
        <v>155</v>
      </c>
      <c r="F42" s="65"/>
      <c r="G42" s="65"/>
    </row>
    <row r="43" spans="1:8">
      <c r="B43" t="s">
        <v>222</v>
      </c>
      <c r="D43">
        <v>1102.24</v>
      </c>
      <c r="E43">
        <v>1102</v>
      </c>
      <c r="F43" s="65"/>
      <c r="G43" s="65"/>
    </row>
    <row r="44" spans="1:8">
      <c r="B44" t="s">
        <v>223</v>
      </c>
      <c r="D44">
        <v>317.68</v>
      </c>
      <c r="E44">
        <v>317</v>
      </c>
      <c r="F44" s="65"/>
      <c r="G44" s="65"/>
    </row>
    <row r="45" spans="1:8">
      <c r="B45" t="s">
        <v>224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225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579</v>
      </c>
      <c r="C52">
        <v>613.91</v>
      </c>
      <c r="D52" s="37" t="s">
        <v>789</v>
      </c>
      <c r="E52" s="84">
        <v>-61.39</v>
      </c>
      <c r="G52" s="65"/>
      <c r="H52" s="65"/>
    </row>
    <row r="53" spans="1:8">
      <c r="A53" s="81">
        <v>45043</v>
      </c>
      <c r="B53" s="94" t="s">
        <v>757</v>
      </c>
      <c r="C53" s="94">
        <v>3299</v>
      </c>
      <c r="D53" s="37" t="s">
        <v>271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532</v>
      </c>
      <c r="C54" s="94">
        <v>10764.57</v>
      </c>
      <c r="D54" s="37" t="s">
        <v>534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759</v>
      </c>
      <c r="C55" s="94">
        <v>3123.29</v>
      </c>
      <c r="D55" s="139" t="s">
        <v>271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730</v>
      </c>
      <c r="D56" s="139" t="s">
        <v>319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286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790</v>
      </c>
      <c r="C58" s="94">
        <v>148.6</v>
      </c>
      <c r="D58" s="139" t="s">
        <v>791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792</v>
      </c>
      <c r="C59" s="94">
        <v>244.8</v>
      </c>
      <c r="D59" s="139" t="s">
        <v>791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793</v>
      </c>
      <c r="C60" s="94">
        <v>1204.5</v>
      </c>
      <c r="D60" s="139" t="s">
        <v>791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794</v>
      </c>
      <c r="C61" s="94">
        <v>532.6</v>
      </c>
      <c r="D61" s="139" t="s">
        <v>791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795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368</v>
      </c>
      <c r="C63" s="94">
        <v>7648.33</v>
      </c>
      <c r="D63" s="139" t="s">
        <v>796</v>
      </c>
      <c r="E63" s="84">
        <v>-849.81</v>
      </c>
      <c r="F63" s="65"/>
    </row>
    <row r="64" spans="1:8">
      <c r="A64" s="81">
        <v>45187</v>
      </c>
      <c r="B64" s="94" t="s">
        <v>797</v>
      </c>
      <c r="C64" s="94">
        <v>11128</v>
      </c>
      <c r="D64" s="139" t="s">
        <v>452</v>
      </c>
      <c r="E64" s="84">
        <v>-1854.67</v>
      </c>
      <c r="F64" s="65"/>
    </row>
    <row r="66" spans="1:9" ht="15">
      <c r="D66" s="108" t="s">
        <v>278</v>
      </c>
    </row>
    <row r="68" spans="1:9">
      <c r="A68" s="78"/>
      <c r="B68" s="77" t="s">
        <v>229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760</v>
      </c>
      <c r="C69">
        <v>1140.99</v>
      </c>
      <c r="D69" t="s">
        <v>493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761</v>
      </c>
      <c r="D70" s="37" t="s">
        <v>798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799</v>
      </c>
      <c r="C71" s="94"/>
      <c r="D71" t="s">
        <v>763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800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801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802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803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804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277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333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805</v>
      </c>
      <c r="E88" s="84">
        <v>-529.98</v>
      </c>
    </row>
    <row r="89" spans="1:8">
      <c r="A89" s="81">
        <v>45179</v>
      </c>
      <c r="B89" t="s">
        <v>805</v>
      </c>
      <c r="E89" s="84">
        <v>-2351.9499999999998</v>
      </c>
    </row>
    <row r="90" spans="1:8">
      <c r="A90" s="81">
        <v>45180</v>
      </c>
      <c r="B90" t="s">
        <v>806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806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807</v>
      </c>
      <c r="E94" s="84">
        <v>-578</v>
      </c>
    </row>
    <row r="95" spans="1:8">
      <c r="A95" s="81">
        <v>45184</v>
      </c>
      <c r="B95" t="s">
        <v>808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809</v>
      </c>
      <c r="E101" s="84">
        <v>-230</v>
      </c>
    </row>
    <row r="102" spans="1:5">
      <c r="A102" s="81">
        <v>45191</v>
      </c>
      <c r="B102" t="s">
        <v>810</v>
      </c>
      <c r="E102" s="84">
        <v>-382</v>
      </c>
    </row>
    <row r="103" spans="1:5">
      <c r="A103" s="81">
        <v>45191</v>
      </c>
      <c r="B103" t="s">
        <v>811</v>
      </c>
      <c r="E103" s="84">
        <v>-699.6</v>
      </c>
    </row>
    <row r="104" spans="1:5">
      <c r="A104" s="81">
        <v>45192</v>
      </c>
      <c r="B104" t="s">
        <v>457</v>
      </c>
      <c r="E104" s="84">
        <v>-160</v>
      </c>
    </row>
    <row r="106" spans="1:5" ht="15">
      <c r="D106" s="108" t="s">
        <v>278</v>
      </c>
    </row>
    <row r="111" spans="1:5">
      <c r="A111" s="76" t="s">
        <v>812</v>
      </c>
      <c r="B111" s="77" t="s">
        <v>167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80</v>
      </c>
      <c r="C112" s="2"/>
      <c r="D112" s="2"/>
      <c r="E112" s="13">
        <v>64000</v>
      </c>
    </row>
    <row r="113" spans="1:5">
      <c r="A113" s="81">
        <v>45230</v>
      </c>
      <c r="B113" t="s">
        <v>813</v>
      </c>
      <c r="C113" s="2"/>
      <c r="D113" s="2"/>
      <c r="E113" s="13">
        <v>73088</v>
      </c>
    </row>
    <row r="114" spans="1:5">
      <c r="A114" s="81">
        <v>45230</v>
      </c>
      <c r="B114" t="s">
        <v>169</v>
      </c>
      <c r="C114" s="2"/>
      <c r="D114" s="2"/>
      <c r="E114" s="13">
        <v>20950.34</v>
      </c>
    </row>
    <row r="115" spans="1:5">
      <c r="A115" s="81">
        <v>45230</v>
      </c>
      <c r="B115" t="s">
        <v>170</v>
      </c>
      <c r="C115" s="2"/>
      <c r="D115" s="2"/>
      <c r="E115" s="13">
        <v>73011.39</v>
      </c>
    </row>
    <row r="116" spans="1:5">
      <c r="A116" s="81">
        <v>45230</v>
      </c>
      <c r="B116" t="s">
        <v>814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815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816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817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183</v>
      </c>
      <c r="C120" s="2"/>
      <c r="D120" s="2"/>
      <c r="E120" s="13">
        <v>60000</v>
      </c>
    </row>
    <row r="121" spans="1:5">
      <c r="A121" s="81">
        <v>45230</v>
      </c>
      <c r="B121" t="s">
        <v>90</v>
      </c>
      <c r="C121" s="2"/>
      <c r="D121" s="2"/>
      <c r="E121" s="13">
        <v>3000</v>
      </c>
    </row>
    <row r="122" spans="1:5">
      <c r="C122" s="3" t="s">
        <v>812</v>
      </c>
      <c r="D122" s="70" t="s">
        <v>184</v>
      </c>
      <c r="E122" s="84">
        <f>H41</f>
        <v>0</v>
      </c>
    </row>
    <row r="123" spans="1:5">
      <c r="D123" s="3"/>
    </row>
    <row r="124" spans="1:5">
      <c r="D124" s="70" t="s">
        <v>185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818</v>
      </c>
      <c r="C2" s="87" t="s">
        <v>187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190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191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819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207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208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209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820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820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821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203</v>
      </c>
      <c r="C13" s="88" t="s">
        <v>204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205</v>
      </c>
      <c r="C14" s="94" t="s">
        <v>204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206</v>
      </c>
      <c r="C15" s="94" t="s">
        <v>204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80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80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168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212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213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214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822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823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249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824</v>
      </c>
      <c r="D26" s="102"/>
      <c r="G26" s="65"/>
      <c r="H26" s="65">
        <f t="shared" si="0"/>
        <v>-18024.010000000002</v>
      </c>
    </row>
    <row r="27" spans="1:8">
      <c r="A27" s="97"/>
      <c r="B27" t="s">
        <v>825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826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827</v>
      </c>
      <c r="G29" s="65"/>
      <c r="H29" s="65">
        <f t="shared" si="0"/>
        <v>67975.989999999991</v>
      </c>
    </row>
    <row r="30" spans="1:8">
      <c r="A30" s="96">
        <v>45171</v>
      </c>
      <c r="B30" t="s">
        <v>828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829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830</v>
      </c>
      <c r="D32" s="102"/>
      <c r="G32" s="65"/>
      <c r="H32" s="65">
        <f t="shared" si="0"/>
        <v>138975.99</v>
      </c>
    </row>
    <row r="33" spans="1:8">
      <c r="A33" s="97"/>
      <c r="B33" t="s">
        <v>831</v>
      </c>
      <c r="D33" s="102"/>
      <c r="G33" s="65"/>
      <c r="H33" s="65">
        <f t="shared" si="0"/>
        <v>138975.99</v>
      </c>
    </row>
    <row r="34" spans="1:8">
      <c r="A34" s="97"/>
      <c r="B34" t="s">
        <v>832</v>
      </c>
      <c r="D34" s="102"/>
      <c r="G34" s="65"/>
      <c r="H34" s="65">
        <f t="shared" si="0"/>
        <v>138975.99</v>
      </c>
    </row>
    <row r="35" spans="1:8">
      <c r="A35" s="97"/>
      <c r="B35" t="s">
        <v>530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833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834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835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216</v>
      </c>
      <c r="E44" s="65"/>
      <c r="G44" s="65"/>
      <c r="H44" s="65"/>
    </row>
    <row r="45" spans="1:8">
      <c r="A45" s="78" t="s">
        <v>217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218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726</v>
      </c>
      <c r="D51">
        <v>673.8</v>
      </c>
      <c r="E51" s="65">
        <v>673.8</v>
      </c>
      <c r="F51" s="65"/>
      <c r="G51" s="65"/>
    </row>
    <row r="52" spans="1:8">
      <c r="B52" t="s">
        <v>220</v>
      </c>
      <c r="D52">
        <v>1165.77</v>
      </c>
      <c r="E52" s="65">
        <v>1165.77</v>
      </c>
      <c r="F52" s="65"/>
      <c r="G52" s="65"/>
    </row>
    <row r="53" spans="1:8">
      <c r="B53" t="s">
        <v>221</v>
      </c>
      <c r="D53">
        <v>106.22</v>
      </c>
      <c r="E53">
        <v>106.22</v>
      </c>
      <c r="F53" s="65"/>
      <c r="G53" s="65"/>
    </row>
    <row r="54" spans="1:8">
      <c r="B54" t="s">
        <v>222</v>
      </c>
      <c r="D54">
        <v>1157.58</v>
      </c>
      <c r="E54">
        <v>1157.58</v>
      </c>
      <c r="F54" s="65"/>
      <c r="G54" s="65"/>
    </row>
    <row r="55" spans="1:8">
      <c r="B55" t="s">
        <v>223</v>
      </c>
      <c r="D55">
        <v>353.65</v>
      </c>
      <c r="E55">
        <v>353.65</v>
      </c>
      <c r="F55" s="65"/>
      <c r="G55" s="65"/>
    </row>
    <row r="56" spans="1:8">
      <c r="B56" t="s">
        <v>224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225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579</v>
      </c>
      <c r="C64">
        <v>613.91</v>
      </c>
      <c r="D64" s="37" t="s">
        <v>836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837</v>
      </c>
      <c r="C65">
        <v>2258.94</v>
      </c>
      <c r="D65" s="37" t="s">
        <v>251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757</v>
      </c>
      <c r="C66" s="94">
        <v>3299</v>
      </c>
      <c r="D66" s="37" t="s">
        <v>319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532</v>
      </c>
      <c r="C67" s="94">
        <v>10764.57</v>
      </c>
      <c r="D67" s="37" t="s">
        <v>578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759</v>
      </c>
      <c r="C68" s="94">
        <v>3123.29</v>
      </c>
      <c r="D68" s="139" t="s">
        <v>319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730</v>
      </c>
      <c r="D69" s="139" t="s">
        <v>732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790</v>
      </c>
      <c r="C70" s="94">
        <v>148.6</v>
      </c>
      <c r="D70" s="139" t="s">
        <v>838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792</v>
      </c>
      <c r="C71" s="94">
        <v>244.8</v>
      </c>
      <c r="D71" s="139" t="s">
        <v>838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793</v>
      </c>
      <c r="C72" s="94">
        <v>1204.5</v>
      </c>
      <c r="D72" s="139" t="s">
        <v>838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794</v>
      </c>
      <c r="C73" s="94">
        <v>532.6</v>
      </c>
      <c r="D73" s="139" t="s">
        <v>838</v>
      </c>
      <c r="E73" s="84">
        <v>-133.15</v>
      </c>
      <c r="F73" s="65"/>
    </row>
    <row r="74" spans="1:8">
      <c r="A74" s="97">
        <v>45139</v>
      </c>
      <c r="B74" s="94" t="s">
        <v>839</v>
      </c>
      <c r="E74" s="84">
        <v>-260.02</v>
      </c>
    </row>
    <row r="75" spans="1:8">
      <c r="A75" s="96">
        <v>45139</v>
      </c>
      <c r="B75" s="94" t="s">
        <v>840</v>
      </c>
      <c r="E75" s="84">
        <v>-116.6</v>
      </c>
    </row>
    <row r="76" spans="1:8">
      <c r="A76" s="96">
        <v>45139</v>
      </c>
      <c r="B76" s="94" t="s">
        <v>840</v>
      </c>
      <c r="E76" s="84">
        <v>-23.75</v>
      </c>
    </row>
    <row r="77" spans="1:8">
      <c r="A77" s="96">
        <v>45140</v>
      </c>
      <c r="B77" s="94" t="s">
        <v>841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842</v>
      </c>
      <c r="E79" s="84">
        <v>-71</v>
      </c>
    </row>
    <row r="80" spans="1:8">
      <c r="A80" s="96">
        <v>45153</v>
      </c>
      <c r="B80" s="94" t="s">
        <v>843</v>
      </c>
      <c r="E80" s="84">
        <v>-1806</v>
      </c>
    </row>
    <row r="81" spans="1:8">
      <c r="A81" s="96">
        <v>45158</v>
      </c>
      <c r="B81" s="94" t="s">
        <v>844</v>
      </c>
      <c r="E81" s="84">
        <v>-160.9</v>
      </c>
    </row>
    <row r="82" spans="1:8">
      <c r="A82" s="96">
        <v>45160</v>
      </c>
      <c r="B82" s="94" t="s">
        <v>845</v>
      </c>
      <c r="D82" s="37"/>
      <c r="E82" s="84">
        <v>-231</v>
      </c>
    </row>
    <row r="83" spans="1:8" ht="15">
      <c r="A83" s="96"/>
      <c r="B83" s="94"/>
      <c r="D83" s="108" t="s">
        <v>278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229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760</v>
      </c>
      <c r="C88">
        <v>1140.99</v>
      </c>
      <c r="D88" t="s">
        <v>536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846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460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847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848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294</v>
      </c>
      <c r="E93" s="84">
        <v>-42.15</v>
      </c>
      <c r="F93" s="65"/>
    </row>
    <row r="94" spans="1:8">
      <c r="A94" s="97">
        <v>45136</v>
      </c>
      <c r="B94" t="s">
        <v>849</v>
      </c>
      <c r="E94">
        <v>-400</v>
      </c>
      <c r="F94" s="65"/>
    </row>
    <row r="95" spans="1:8">
      <c r="A95" s="97">
        <v>45136</v>
      </c>
      <c r="B95" t="s">
        <v>850</v>
      </c>
      <c r="E95">
        <v>-266</v>
      </c>
      <c r="F95" s="65"/>
    </row>
    <row r="96" spans="1:8">
      <c r="A96" s="97">
        <v>45199</v>
      </c>
      <c r="B96" t="s">
        <v>851</v>
      </c>
      <c r="E96">
        <v>-489.97</v>
      </c>
      <c r="F96" s="65"/>
    </row>
    <row r="97" spans="1:6">
      <c r="A97" s="97">
        <v>45139</v>
      </c>
      <c r="B97" t="s">
        <v>277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761</v>
      </c>
      <c r="D99" s="37" t="s">
        <v>852</v>
      </c>
      <c r="E99">
        <v>-181.83</v>
      </c>
    </row>
    <row r="100" spans="1:6">
      <c r="A100" s="96">
        <v>45141</v>
      </c>
      <c r="B100" t="s">
        <v>457</v>
      </c>
      <c r="D100" s="37"/>
      <c r="E100">
        <v>-150</v>
      </c>
    </row>
    <row r="101" spans="1:6">
      <c r="A101" s="96">
        <v>45143</v>
      </c>
      <c r="B101" t="s">
        <v>457</v>
      </c>
      <c r="E101">
        <v>-150</v>
      </c>
    </row>
    <row r="102" spans="1:6">
      <c r="A102" s="96">
        <v>45143</v>
      </c>
      <c r="B102" t="s">
        <v>294</v>
      </c>
      <c r="E102">
        <v>-337.19</v>
      </c>
    </row>
    <row r="103" spans="1:6">
      <c r="A103" s="96">
        <v>45161</v>
      </c>
      <c r="B103" t="s">
        <v>457</v>
      </c>
      <c r="E103">
        <v>-200</v>
      </c>
    </row>
    <row r="104" spans="1:6" ht="15">
      <c r="D104" s="108" t="s">
        <v>278</v>
      </c>
    </row>
    <row r="111" spans="1:6">
      <c r="A111" s="76" t="s">
        <v>853</v>
      </c>
      <c r="B111" s="77" t="s">
        <v>167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80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854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169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170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814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816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817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183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90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184</v>
      </c>
      <c r="E121" s="84">
        <f>H40</f>
        <v>222885.09</v>
      </c>
    </row>
    <row r="122" spans="1:6">
      <c r="D122" s="3"/>
    </row>
    <row r="123" spans="1:6">
      <c r="D123" s="70" t="s">
        <v>185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855</v>
      </c>
      <c r="C2" s="87" t="s">
        <v>187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190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191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856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207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208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209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857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857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858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203</v>
      </c>
      <c r="C13" s="88" t="s">
        <v>204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205</v>
      </c>
      <c r="C14" s="94" t="s">
        <v>204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206</v>
      </c>
      <c r="C15" s="94" t="s">
        <v>204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440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80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168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212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213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214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859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860</v>
      </c>
      <c r="D25" s="102"/>
      <c r="F25" s="65"/>
      <c r="G25" s="65"/>
      <c r="H25" s="65">
        <f t="shared" si="0"/>
        <v>-15085.350000000002</v>
      </c>
    </row>
    <row r="26" spans="1:8">
      <c r="B26" t="s">
        <v>861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862</v>
      </c>
      <c r="D27" s="121">
        <v>70000</v>
      </c>
      <c r="G27" s="65"/>
      <c r="H27" s="65">
        <f t="shared" si="0"/>
        <v>-15085.350000000002</v>
      </c>
    </row>
    <row r="28" spans="1:8">
      <c r="B28" t="s">
        <v>863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216</v>
      </c>
      <c r="E31" s="65"/>
      <c r="G31" s="65"/>
      <c r="H31" s="65"/>
    </row>
    <row r="32" spans="1:8">
      <c r="A32" s="78" t="s">
        <v>217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218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726</v>
      </c>
      <c r="E38" s="65"/>
      <c r="F38" s="65"/>
      <c r="G38" s="65"/>
    </row>
    <row r="39" spans="1:8">
      <c r="B39" t="s">
        <v>220</v>
      </c>
      <c r="E39" s="65"/>
      <c r="F39" s="65"/>
      <c r="G39" s="65"/>
    </row>
    <row r="40" spans="1:8">
      <c r="B40" t="s">
        <v>221</v>
      </c>
      <c r="F40" s="65"/>
      <c r="G40" s="65"/>
    </row>
    <row r="41" spans="1:8">
      <c r="B41" t="s">
        <v>222</v>
      </c>
      <c r="F41" s="65"/>
      <c r="G41" s="65"/>
    </row>
    <row r="42" spans="1:8">
      <c r="B42" t="s">
        <v>223</v>
      </c>
      <c r="F42" s="65"/>
      <c r="G42" s="65"/>
    </row>
    <row r="43" spans="1:8">
      <c r="B43" t="s">
        <v>224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225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864</v>
      </c>
      <c r="C50" s="94"/>
      <c r="D50" s="94" t="s">
        <v>533</v>
      </c>
      <c r="E50" s="84">
        <v>-1111.1199999999999</v>
      </c>
      <c r="G50" s="65"/>
      <c r="H50" s="65"/>
    </row>
    <row r="51" spans="1:8">
      <c r="A51" s="97">
        <v>44995</v>
      </c>
      <c r="B51" t="s">
        <v>579</v>
      </c>
      <c r="C51">
        <v>613.91</v>
      </c>
      <c r="D51" s="37" t="s">
        <v>865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837</v>
      </c>
      <c r="C52">
        <v>2258.94</v>
      </c>
      <c r="D52" s="37" t="s">
        <v>271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757</v>
      </c>
      <c r="C53" s="94">
        <v>3299</v>
      </c>
      <c r="D53" s="37" t="s">
        <v>732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532</v>
      </c>
      <c r="C54" s="94">
        <v>10764.57</v>
      </c>
      <c r="D54" s="37" t="s">
        <v>731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759</v>
      </c>
      <c r="C55" s="94">
        <v>3123.29</v>
      </c>
      <c r="D55" s="139" t="s">
        <v>732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730</v>
      </c>
      <c r="D56" s="139" t="s">
        <v>413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790</v>
      </c>
      <c r="C57" s="94">
        <v>148.6</v>
      </c>
      <c r="D57" s="139" t="s">
        <v>866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792</v>
      </c>
      <c r="C58" s="94">
        <v>244.8</v>
      </c>
      <c r="D58" s="139" t="s">
        <v>866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793</v>
      </c>
      <c r="C59" s="94">
        <v>1204.5</v>
      </c>
      <c r="D59" s="139" t="s">
        <v>866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794</v>
      </c>
      <c r="C60" s="94">
        <v>532.6</v>
      </c>
      <c r="D60" s="139" t="s">
        <v>866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867</v>
      </c>
      <c r="E62" s="84">
        <v>-132.9</v>
      </c>
    </row>
    <row r="63" spans="1:8">
      <c r="A63" s="97"/>
      <c r="D63" s="3" t="s">
        <v>278</v>
      </c>
      <c r="E63" s="84"/>
    </row>
    <row r="65" spans="1:8">
      <c r="D65" s="37"/>
    </row>
    <row r="67" spans="1:8">
      <c r="A67" s="78"/>
      <c r="B67" s="77" t="s">
        <v>229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760</v>
      </c>
      <c r="C68">
        <v>1140.99</v>
      </c>
      <c r="D68" t="s">
        <v>868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869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870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871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872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277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588</v>
      </c>
      <c r="E75">
        <v>-1356.36</v>
      </c>
    </row>
    <row r="76" spans="1:8">
      <c r="A76" s="97">
        <v>45115</v>
      </c>
      <c r="B76" t="s">
        <v>588</v>
      </c>
      <c r="E76">
        <v>-1120</v>
      </c>
    </row>
    <row r="77" spans="1:8">
      <c r="B77" t="s">
        <v>873</v>
      </c>
    </row>
    <row r="78" spans="1:8">
      <c r="A78" s="97">
        <v>45116</v>
      </c>
      <c r="B78" t="s">
        <v>874</v>
      </c>
      <c r="E78">
        <v>-437</v>
      </c>
    </row>
    <row r="79" spans="1:8">
      <c r="A79" s="97">
        <v>45116</v>
      </c>
      <c r="B79" t="s">
        <v>588</v>
      </c>
      <c r="D79" s="37"/>
      <c r="E79">
        <v>-863</v>
      </c>
    </row>
    <row r="80" spans="1:8">
      <c r="A80" s="97">
        <v>45119</v>
      </c>
      <c r="B80" t="s">
        <v>333</v>
      </c>
      <c r="D80" s="37"/>
      <c r="E80">
        <v>-146.88999999999999</v>
      </c>
    </row>
    <row r="81" spans="1:5">
      <c r="A81" s="97">
        <v>45119</v>
      </c>
      <c r="B81" t="s">
        <v>460</v>
      </c>
      <c r="E81">
        <v>-150</v>
      </c>
    </row>
    <row r="82" spans="1:5">
      <c r="A82" s="97">
        <v>45120</v>
      </c>
      <c r="B82" t="s">
        <v>460</v>
      </c>
      <c r="E82">
        <v>-150</v>
      </c>
    </row>
    <row r="83" spans="1:5">
      <c r="A83" s="97">
        <v>45121</v>
      </c>
      <c r="B83" t="s">
        <v>460</v>
      </c>
      <c r="E83">
        <v>-150</v>
      </c>
    </row>
    <row r="84" spans="1:5">
      <c r="A84" s="97">
        <v>45124</v>
      </c>
      <c r="B84" t="s">
        <v>460</v>
      </c>
      <c r="E84">
        <v>-150</v>
      </c>
    </row>
    <row r="85" spans="1:5">
      <c r="A85" s="97">
        <v>45125</v>
      </c>
      <c r="B85" t="s">
        <v>460</v>
      </c>
      <c r="E85">
        <v>-160</v>
      </c>
    </row>
    <row r="86" spans="1:5">
      <c r="A86" s="97">
        <v>45129</v>
      </c>
      <c r="B86" t="s">
        <v>333</v>
      </c>
      <c r="E86">
        <v>-20.059999999999999</v>
      </c>
    </row>
    <row r="87" spans="1:5">
      <c r="A87" s="97">
        <v>45130</v>
      </c>
      <c r="B87" t="s">
        <v>875</v>
      </c>
      <c r="E87">
        <v>-275.54000000000002</v>
      </c>
    </row>
    <row r="88" spans="1:5">
      <c r="A88" s="97">
        <v>45130</v>
      </c>
      <c r="B88" t="s">
        <v>767</v>
      </c>
      <c r="E88">
        <v>-212.45</v>
      </c>
    </row>
    <row r="89" spans="1:5">
      <c r="A89" s="97">
        <v>45131</v>
      </c>
      <c r="B89" t="s">
        <v>349</v>
      </c>
      <c r="E89">
        <v>-4.57</v>
      </c>
    </row>
    <row r="90" spans="1:5">
      <c r="A90" s="97">
        <v>45131</v>
      </c>
      <c r="B90" t="s">
        <v>876</v>
      </c>
      <c r="E90">
        <v>-4.57</v>
      </c>
    </row>
    <row r="91" spans="1:5">
      <c r="A91" s="97">
        <v>45131</v>
      </c>
      <c r="B91" t="s">
        <v>351</v>
      </c>
      <c r="E91">
        <v>-30.44</v>
      </c>
    </row>
    <row r="92" spans="1:5">
      <c r="D92" s="3" t="s">
        <v>278</v>
      </c>
    </row>
    <row r="111" spans="1:5">
      <c r="A111" s="76" t="s">
        <v>877</v>
      </c>
      <c r="B111" s="77" t="s">
        <v>167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80</v>
      </c>
      <c r="C112" s="2"/>
      <c r="D112" s="2"/>
      <c r="E112" s="13">
        <v>64000</v>
      </c>
    </row>
    <row r="113" spans="1:5">
      <c r="A113" s="97">
        <v>45169</v>
      </c>
      <c r="B113" t="s">
        <v>878</v>
      </c>
      <c r="C113" s="2"/>
      <c r="D113" s="2"/>
      <c r="E113" s="13">
        <v>53088</v>
      </c>
    </row>
    <row r="114" spans="1:5">
      <c r="A114" s="97">
        <v>45169</v>
      </c>
      <c r="B114" t="s">
        <v>169</v>
      </c>
      <c r="C114" s="2"/>
      <c r="D114" s="2"/>
      <c r="E114" s="13">
        <v>28245.88</v>
      </c>
    </row>
    <row r="115" spans="1:5">
      <c r="A115" s="97">
        <v>45169</v>
      </c>
      <c r="B115" t="s">
        <v>170</v>
      </c>
      <c r="C115" s="2"/>
      <c r="D115" s="2"/>
      <c r="E115" s="13">
        <v>450.49</v>
      </c>
    </row>
    <row r="116" spans="1:5">
      <c r="A116" s="97">
        <v>45169</v>
      </c>
      <c r="B116" t="s">
        <v>814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879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880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183</v>
      </c>
      <c r="C119" s="2"/>
      <c r="D119" s="2"/>
      <c r="E119" s="13">
        <v>50850</v>
      </c>
    </row>
    <row r="120" spans="1:5">
      <c r="A120" s="97"/>
      <c r="B120" t="s">
        <v>90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184</v>
      </c>
      <c r="E121" s="65">
        <f>H13</f>
        <v>-21230.350000000002</v>
      </c>
    </row>
    <row r="122" spans="1:5">
      <c r="D122" s="3"/>
    </row>
    <row r="123" spans="1:5">
      <c r="D123" s="70" t="s">
        <v>185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116</v>
      </c>
      <c r="G1" s="124" t="s">
        <v>117</v>
      </c>
      <c r="H1" s="124" t="s">
        <v>3</v>
      </c>
    </row>
    <row r="2" spans="1:9">
      <c r="A2" s="3" t="s">
        <v>881</v>
      </c>
      <c r="C2" s="87" t="s">
        <v>187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190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191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882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883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884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207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208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209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885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886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887</v>
      </c>
      <c r="C14" s="88" t="s">
        <v>888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887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889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203</v>
      </c>
      <c r="C17" s="88" t="s">
        <v>204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205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206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80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168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212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890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891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213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892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893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216</v>
      </c>
      <c r="E35" s="65"/>
      <c r="G35" s="65"/>
      <c r="H35" s="65"/>
    </row>
    <row r="36" spans="1:8">
      <c r="A36" s="78" t="s">
        <v>217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218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726</v>
      </c>
      <c r="D42">
        <v>547.27</v>
      </c>
      <c r="E42" s="65"/>
      <c r="F42" s="65"/>
      <c r="G42" s="65"/>
    </row>
    <row r="43" spans="1:8">
      <c r="B43" t="s">
        <v>220</v>
      </c>
      <c r="D43">
        <v>990.96</v>
      </c>
      <c r="E43" s="65">
        <v>990</v>
      </c>
      <c r="F43" s="65"/>
      <c r="G43" s="65"/>
    </row>
    <row r="44" spans="1:8">
      <c r="B44" t="s">
        <v>221</v>
      </c>
      <c r="D44">
        <v>112.16</v>
      </c>
      <c r="F44" s="65"/>
      <c r="G44" s="65"/>
    </row>
    <row r="45" spans="1:8">
      <c r="B45" t="s">
        <v>222</v>
      </c>
      <c r="D45">
        <v>1115.05</v>
      </c>
      <c r="F45" s="65"/>
      <c r="G45" s="65"/>
    </row>
    <row r="46" spans="1:8">
      <c r="B46" t="s">
        <v>223</v>
      </c>
      <c r="D46">
        <v>322.29000000000002</v>
      </c>
      <c r="E46">
        <v>322</v>
      </c>
      <c r="F46" s="65"/>
      <c r="G46" s="65"/>
    </row>
    <row r="47" spans="1:8">
      <c r="B47" t="s">
        <v>224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225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864</v>
      </c>
      <c r="C54" s="94"/>
      <c r="D54" s="94" t="s">
        <v>240</v>
      </c>
      <c r="E54" s="84">
        <v>-1111.1099999999999</v>
      </c>
      <c r="G54" s="65"/>
      <c r="H54" s="65"/>
    </row>
    <row r="55" spans="1:8">
      <c r="A55" s="97">
        <v>44995</v>
      </c>
      <c r="B55" t="s">
        <v>579</v>
      </c>
      <c r="C55">
        <v>613.91</v>
      </c>
      <c r="D55" s="37" t="s">
        <v>894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837</v>
      </c>
      <c r="C56">
        <v>2258.94</v>
      </c>
      <c r="D56" s="37" t="s">
        <v>319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757</v>
      </c>
      <c r="C57" s="94">
        <v>3299</v>
      </c>
      <c r="D57" s="37" t="s">
        <v>413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532</v>
      </c>
      <c r="C58" s="94">
        <v>10764.57</v>
      </c>
      <c r="D58" s="37" t="s">
        <v>415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759</v>
      </c>
      <c r="C59" s="94">
        <v>3123.29</v>
      </c>
      <c r="D59" s="139" t="s">
        <v>413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790</v>
      </c>
      <c r="C60" s="94">
        <v>148.6</v>
      </c>
      <c r="D60" s="139" t="s">
        <v>895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792</v>
      </c>
      <c r="C61" s="94">
        <v>244.8</v>
      </c>
      <c r="D61" s="139" t="s">
        <v>895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793</v>
      </c>
      <c r="C62" s="94">
        <v>1204.5</v>
      </c>
      <c r="D62" s="139" t="s">
        <v>895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794</v>
      </c>
      <c r="C63" s="94">
        <v>532.6</v>
      </c>
      <c r="D63" s="139" t="s">
        <v>895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730</v>
      </c>
      <c r="D64" s="139" t="s">
        <v>452</v>
      </c>
      <c r="E64" s="84">
        <v>-666.67</v>
      </c>
      <c r="F64" s="65"/>
    </row>
    <row r="65" spans="1:8">
      <c r="A65" s="97">
        <v>45091</v>
      </c>
      <c r="B65" s="94" t="s">
        <v>896</v>
      </c>
      <c r="E65" s="84">
        <v>-1129</v>
      </c>
      <c r="F65" s="65"/>
    </row>
    <row r="66" spans="1:8">
      <c r="A66" s="97"/>
      <c r="B66" s="94"/>
      <c r="D66" s="3" t="s">
        <v>278</v>
      </c>
      <c r="E66" s="84"/>
      <c r="F66" s="65"/>
    </row>
    <row r="67" spans="1:8">
      <c r="D67" s="37"/>
    </row>
    <row r="69" spans="1:8">
      <c r="A69" s="78"/>
      <c r="B69" s="77" t="s">
        <v>229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760</v>
      </c>
      <c r="C70">
        <v>1140.99</v>
      </c>
      <c r="D70" t="s">
        <v>734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897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898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899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899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899</v>
      </c>
      <c r="E75" s="84">
        <v>-225</v>
      </c>
    </row>
    <row r="76" spans="1:8">
      <c r="B76" s="94" t="s">
        <v>93</v>
      </c>
      <c r="C76">
        <v>-1207</v>
      </c>
    </row>
    <row r="77" spans="1:8">
      <c r="A77" s="96">
        <v>45080</v>
      </c>
      <c r="B77" s="94" t="s">
        <v>899</v>
      </c>
      <c r="E77" s="84">
        <v>-180</v>
      </c>
    </row>
    <row r="78" spans="1:8">
      <c r="A78" s="96">
        <v>45080</v>
      </c>
      <c r="B78" s="94" t="s">
        <v>900</v>
      </c>
      <c r="E78" s="84">
        <v>-850</v>
      </c>
    </row>
    <row r="79" spans="1:8">
      <c r="A79" s="96">
        <v>45082</v>
      </c>
      <c r="B79" s="94" t="s">
        <v>901</v>
      </c>
      <c r="E79" s="84">
        <v>-112.11</v>
      </c>
    </row>
    <row r="80" spans="1:8">
      <c r="A80" s="96">
        <v>45082</v>
      </c>
      <c r="B80" s="94" t="s">
        <v>899</v>
      </c>
      <c r="E80" s="84">
        <v>-150</v>
      </c>
    </row>
    <row r="81" spans="1:5">
      <c r="A81" s="96">
        <v>45084</v>
      </c>
      <c r="B81" s="94" t="s">
        <v>899</v>
      </c>
      <c r="D81" s="37"/>
      <c r="E81" s="84">
        <v>-250</v>
      </c>
    </row>
    <row r="82" spans="1:5">
      <c r="A82" s="96">
        <v>45085</v>
      </c>
      <c r="B82" s="94" t="s">
        <v>899</v>
      </c>
      <c r="D82" s="37"/>
      <c r="E82" s="84">
        <v>-250</v>
      </c>
    </row>
    <row r="83" spans="1:5">
      <c r="A83" s="96">
        <v>45086</v>
      </c>
      <c r="B83" t="s">
        <v>902</v>
      </c>
      <c r="E83" s="84">
        <v>-1420</v>
      </c>
    </row>
    <row r="84" spans="1:5">
      <c r="A84" s="96">
        <v>45087</v>
      </c>
      <c r="B84" t="s">
        <v>903</v>
      </c>
      <c r="E84" s="84">
        <v>-242.56</v>
      </c>
    </row>
    <row r="85" spans="1:5">
      <c r="A85" s="96">
        <v>45089</v>
      </c>
      <c r="B85" t="s">
        <v>904</v>
      </c>
      <c r="E85" s="84">
        <v>-167.19</v>
      </c>
    </row>
    <row r="86" spans="1:5">
      <c r="A86" s="96">
        <v>45091</v>
      </c>
      <c r="B86" t="s">
        <v>899</v>
      </c>
      <c r="E86" s="84">
        <v>-200</v>
      </c>
    </row>
    <row r="87" spans="1:5">
      <c r="A87" s="96">
        <v>45091</v>
      </c>
      <c r="B87" t="s">
        <v>901</v>
      </c>
      <c r="E87" s="84">
        <v>-61.41</v>
      </c>
    </row>
    <row r="88" spans="1:5">
      <c r="A88" s="96">
        <v>45092</v>
      </c>
      <c r="B88" t="s">
        <v>899</v>
      </c>
      <c r="E88" s="84">
        <v>-200</v>
      </c>
    </row>
    <row r="89" spans="1:5">
      <c r="A89" s="97">
        <v>45095</v>
      </c>
      <c r="B89" t="s">
        <v>905</v>
      </c>
      <c r="E89" s="84">
        <v>-257</v>
      </c>
    </row>
    <row r="90" spans="1:5">
      <c r="A90" s="97">
        <v>45096</v>
      </c>
      <c r="B90" t="s">
        <v>460</v>
      </c>
      <c r="E90" s="84">
        <v>-250</v>
      </c>
    </row>
    <row r="91" spans="1:5">
      <c r="A91" s="97">
        <v>45097</v>
      </c>
      <c r="B91" t="s">
        <v>906</v>
      </c>
      <c r="E91" s="84">
        <v>-110</v>
      </c>
    </row>
    <row r="92" spans="1:5">
      <c r="A92" s="97">
        <v>45098</v>
      </c>
      <c r="B92" t="s">
        <v>907</v>
      </c>
      <c r="E92" s="84">
        <v>-405</v>
      </c>
    </row>
    <row r="93" spans="1:5">
      <c r="A93" s="97">
        <v>45099</v>
      </c>
      <c r="B93" t="s">
        <v>908</v>
      </c>
      <c r="E93" s="84">
        <v>-820</v>
      </c>
    </row>
    <row r="94" spans="1:5">
      <c r="A94" s="97">
        <v>45099</v>
      </c>
      <c r="B94" t="s">
        <v>909</v>
      </c>
      <c r="E94" s="84">
        <v>-599</v>
      </c>
    </row>
    <row r="95" spans="1:5">
      <c r="A95" s="97">
        <v>45099</v>
      </c>
      <c r="B95" t="s">
        <v>910</v>
      </c>
      <c r="E95" s="84">
        <v>-8</v>
      </c>
    </row>
    <row r="96" spans="1:5">
      <c r="A96" s="97">
        <v>45099</v>
      </c>
      <c r="B96" t="s">
        <v>910</v>
      </c>
      <c r="E96" s="84">
        <v>-1197.3800000000001</v>
      </c>
    </row>
    <row r="97" spans="1:5">
      <c r="A97" s="97">
        <v>45100</v>
      </c>
      <c r="B97" t="s">
        <v>911</v>
      </c>
      <c r="E97" s="84">
        <v>-418.5</v>
      </c>
    </row>
    <row r="98" spans="1:5">
      <c r="D98" s="3" t="s">
        <v>278</v>
      </c>
    </row>
    <row r="110" spans="1:5">
      <c r="D110" s="37"/>
    </row>
    <row r="111" spans="1:5">
      <c r="A111" s="76" t="s">
        <v>912</v>
      </c>
      <c r="B111" s="77" t="s">
        <v>167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80</v>
      </c>
      <c r="C112" s="2"/>
      <c r="D112" s="2"/>
      <c r="E112" s="13">
        <v>64000</v>
      </c>
    </row>
    <row r="113" spans="1:5">
      <c r="A113" s="97">
        <v>45077</v>
      </c>
      <c r="B113" t="s">
        <v>878</v>
      </c>
      <c r="C113" s="2"/>
      <c r="D113" s="2"/>
      <c r="E113" s="13">
        <v>53088</v>
      </c>
    </row>
    <row r="114" spans="1:5">
      <c r="A114" s="97">
        <v>45077</v>
      </c>
      <c r="B114" t="s">
        <v>169</v>
      </c>
      <c r="C114" s="2"/>
      <c r="D114" s="2"/>
      <c r="E114" s="13">
        <v>12372.88</v>
      </c>
    </row>
    <row r="115" spans="1:5">
      <c r="A115" s="97">
        <v>45077</v>
      </c>
      <c r="B115" t="s">
        <v>170</v>
      </c>
      <c r="C115" s="2"/>
      <c r="D115" s="2"/>
      <c r="E115" s="13">
        <v>26868.21</v>
      </c>
    </row>
    <row r="116" spans="1:5">
      <c r="A116" s="97">
        <v>45077</v>
      </c>
      <c r="B116" t="s">
        <v>814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913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914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183</v>
      </c>
      <c r="C119" s="2"/>
      <c r="D119" s="2"/>
      <c r="E119" s="13">
        <v>67500</v>
      </c>
    </row>
    <row r="120" spans="1:5">
      <c r="A120" s="97"/>
      <c r="B120" t="s">
        <v>90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184</v>
      </c>
      <c r="E121" s="65">
        <f>H13</f>
        <v>-23354.9</v>
      </c>
    </row>
    <row r="122" spans="1:5">
      <c r="D122" s="3"/>
    </row>
    <row r="123" spans="1:5">
      <c r="D123" s="70" t="s">
        <v>185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915</v>
      </c>
      <c r="C2" s="87" t="s">
        <v>187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190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191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916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207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208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209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363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917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918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361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203</v>
      </c>
      <c r="C14" s="88" t="s">
        <v>204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205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206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80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168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212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213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919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214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920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921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922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923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924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925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216</v>
      </c>
      <c r="E31" s="65"/>
      <c r="G31" s="65"/>
      <c r="H31" s="65"/>
    </row>
    <row r="32" spans="1:8">
      <c r="A32" s="78" t="s">
        <v>217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218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726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220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221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222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223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224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225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864</v>
      </c>
      <c r="C50" s="94"/>
      <c r="D50" s="94" t="s">
        <v>245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926</v>
      </c>
      <c r="C51">
        <v>659.93</v>
      </c>
      <c r="D51" s="37" t="s">
        <v>791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579</v>
      </c>
      <c r="C52">
        <v>613.91</v>
      </c>
      <c r="D52" s="37" t="s">
        <v>927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928</v>
      </c>
      <c r="C53">
        <v>720.19</v>
      </c>
      <c r="D53" s="255" t="s">
        <v>929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837</v>
      </c>
      <c r="C54">
        <v>2258.94</v>
      </c>
      <c r="D54" s="37" t="s">
        <v>930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532</v>
      </c>
      <c r="C57" s="94">
        <v>10764.57</v>
      </c>
      <c r="D57" s="37" t="s">
        <v>796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757</v>
      </c>
      <c r="C58" s="94">
        <v>3299</v>
      </c>
      <c r="D58" s="37" t="s">
        <v>452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759</v>
      </c>
      <c r="C60" s="94">
        <v>3123.29</v>
      </c>
      <c r="D60" s="139" t="s">
        <v>452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931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932</v>
      </c>
      <c r="E63" s="84">
        <v>-496</v>
      </c>
    </row>
    <row r="64" spans="1:8">
      <c r="A64" s="97">
        <v>45043</v>
      </c>
      <c r="B64" s="94" t="s">
        <v>933</v>
      </c>
      <c r="C64" s="94"/>
      <c r="D64" s="94"/>
      <c r="E64" s="84">
        <v>-120</v>
      </c>
    </row>
    <row r="65" spans="1:6">
      <c r="A65" s="97">
        <v>45044</v>
      </c>
      <c r="B65" t="s">
        <v>934</v>
      </c>
      <c r="E65" s="84">
        <v>-321</v>
      </c>
      <c r="F65" s="65"/>
    </row>
    <row r="66" spans="1:6">
      <c r="A66" s="97">
        <v>45044</v>
      </c>
      <c r="B66" t="s">
        <v>935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936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936</v>
      </c>
      <c r="C69">
        <v>225</v>
      </c>
      <c r="E69" s="84"/>
    </row>
    <row r="70" spans="1:6">
      <c r="A70" s="97">
        <v>45062</v>
      </c>
      <c r="B70" t="s">
        <v>936</v>
      </c>
      <c r="C70">
        <v>500</v>
      </c>
      <c r="E70" s="84"/>
    </row>
    <row r="71" spans="1:6">
      <c r="A71" s="97">
        <v>45066</v>
      </c>
      <c r="B71" t="s">
        <v>937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278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229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938</v>
      </c>
      <c r="C85" s="94"/>
      <c r="D85" s="94"/>
      <c r="E85" s="84">
        <v>-140</v>
      </c>
      <c r="F85" s="65" t="s">
        <v>939</v>
      </c>
      <c r="G85" s="65"/>
      <c r="H85" s="65"/>
    </row>
    <row r="86" spans="1:8">
      <c r="A86" s="97">
        <v>45044</v>
      </c>
      <c r="B86" s="94" t="s">
        <v>940</v>
      </c>
      <c r="C86" s="94"/>
      <c r="D86" s="94"/>
      <c r="E86" s="84">
        <v>-35.78</v>
      </c>
      <c r="F86" s="65" t="s">
        <v>939</v>
      </c>
      <c r="G86" s="65"/>
      <c r="H86" s="65"/>
    </row>
    <row r="87" spans="1:8">
      <c r="A87" s="97">
        <v>45045</v>
      </c>
      <c r="B87" s="94" t="s">
        <v>93</v>
      </c>
      <c r="C87" s="94">
        <v>-221.54</v>
      </c>
      <c r="D87" s="94"/>
      <c r="E87" s="84"/>
      <c r="F87" s="65" t="s">
        <v>939</v>
      </c>
      <c r="G87" s="65"/>
      <c r="H87" s="65"/>
    </row>
    <row r="88" spans="1:8">
      <c r="A88" s="97">
        <v>45023</v>
      </c>
      <c r="B88" s="94" t="s">
        <v>294</v>
      </c>
      <c r="C88" s="94"/>
      <c r="D88" s="94"/>
      <c r="E88" s="84">
        <v>-39.950000000000003</v>
      </c>
      <c r="F88" s="65" t="s">
        <v>939</v>
      </c>
      <c r="G88" s="65"/>
      <c r="H88" s="65"/>
    </row>
    <row r="89" spans="1:8">
      <c r="A89" s="97">
        <v>45023</v>
      </c>
      <c r="B89" s="94" t="s">
        <v>294</v>
      </c>
      <c r="C89" s="94"/>
      <c r="D89" s="94"/>
      <c r="E89" s="84">
        <v>-154.44999999999999</v>
      </c>
      <c r="F89" s="65" t="s">
        <v>939</v>
      </c>
      <c r="G89" s="65"/>
      <c r="H89" s="65"/>
    </row>
    <row r="90" spans="1:8">
      <c r="A90" s="97">
        <v>45023</v>
      </c>
      <c r="B90" s="103" t="s">
        <v>294</v>
      </c>
      <c r="E90" s="84">
        <v>-260</v>
      </c>
      <c r="F90" s="65" t="s">
        <v>939</v>
      </c>
    </row>
    <row r="91" spans="1:8">
      <c r="A91" s="97">
        <v>45026</v>
      </c>
      <c r="B91" t="s">
        <v>941</v>
      </c>
      <c r="E91" s="84">
        <v>-140</v>
      </c>
      <c r="F91" s="65" t="s">
        <v>939</v>
      </c>
    </row>
    <row r="92" spans="1:8">
      <c r="A92" s="97">
        <v>45026</v>
      </c>
      <c r="B92" t="s">
        <v>940</v>
      </c>
      <c r="E92" s="84">
        <v>-57.07</v>
      </c>
      <c r="F92" s="65" t="s">
        <v>939</v>
      </c>
    </row>
    <row r="93" spans="1:8">
      <c r="A93" s="97">
        <v>45026</v>
      </c>
      <c r="B93" t="s">
        <v>760</v>
      </c>
      <c r="C93">
        <v>1140.99</v>
      </c>
      <c r="D93" t="s">
        <v>763</v>
      </c>
      <c r="E93" s="84">
        <v>-190.17</v>
      </c>
      <c r="F93" t="s">
        <v>939</v>
      </c>
    </row>
    <row r="94" spans="1:8">
      <c r="A94" s="97">
        <v>45061</v>
      </c>
      <c r="B94" t="s">
        <v>942</v>
      </c>
      <c r="E94" s="84">
        <v>-190</v>
      </c>
      <c r="F94" s="65" t="s">
        <v>939</v>
      </c>
    </row>
    <row r="95" spans="1:8">
      <c r="E95" t="s">
        <v>278</v>
      </c>
    </row>
    <row r="96" spans="1:8">
      <c r="D96" s="37"/>
    </row>
    <row r="97" spans="1:5">
      <c r="D97" s="37"/>
    </row>
    <row r="111" spans="1:5">
      <c r="A111" s="76" t="s">
        <v>943</v>
      </c>
      <c r="B111" s="77" t="s">
        <v>944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80</v>
      </c>
      <c r="C112" s="2"/>
      <c r="D112" s="2"/>
      <c r="E112" s="13">
        <v>64000</v>
      </c>
    </row>
    <row r="113" spans="1:5">
      <c r="A113" s="97">
        <v>45077</v>
      </c>
      <c r="B113" t="s">
        <v>878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169</v>
      </c>
      <c r="C114" s="2"/>
      <c r="D114" s="2"/>
      <c r="E114" s="13">
        <v>28049.84</v>
      </c>
    </row>
    <row r="115" spans="1:5">
      <c r="A115" s="97">
        <v>45077</v>
      </c>
      <c r="B115" t="s">
        <v>170</v>
      </c>
      <c r="C115" s="2"/>
      <c r="D115" s="2"/>
      <c r="E115" s="13">
        <v>6000.59</v>
      </c>
    </row>
    <row r="116" spans="1:5">
      <c r="A116" s="97">
        <v>45077</v>
      </c>
      <c r="B116" t="s">
        <v>814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913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914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183</v>
      </c>
      <c r="C119" s="2"/>
      <c r="D119" s="2"/>
      <c r="E119" s="13">
        <v>42600</v>
      </c>
    </row>
    <row r="120" spans="1:5">
      <c r="A120" s="97"/>
      <c r="B120" t="s">
        <v>90</v>
      </c>
      <c r="C120" s="2"/>
      <c r="D120" s="2"/>
      <c r="E120" s="13">
        <v>1700</v>
      </c>
    </row>
    <row r="121" spans="1:5">
      <c r="D121" s="70" t="s">
        <v>945</v>
      </c>
      <c r="E121" s="65">
        <f>H8</f>
        <v>-5855.47</v>
      </c>
    </row>
    <row r="122" spans="1:5">
      <c r="D122" s="3"/>
    </row>
    <row r="123" spans="1:5">
      <c r="D123" s="70" t="s">
        <v>185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946</v>
      </c>
      <c r="C2" s="87" t="s">
        <v>187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190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191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207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208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209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947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411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410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948</v>
      </c>
      <c r="C12" s="88" t="s">
        <v>204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205</v>
      </c>
      <c r="C13" s="94" t="s">
        <v>204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206</v>
      </c>
      <c r="C14" s="94" t="s">
        <v>204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80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168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212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213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214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949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950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925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951</v>
      </c>
      <c r="C28" s="88"/>
      <c r="D28" s="88"/>
      <c r="E28" s="84"/>
      <c r="H28" s="65"/>
    </row>
    <row r="29" spans="1:8">
      <c r="A29" s="97"/>
      <c r="B29" s="88" t="s">
        <v>952</v>
      </c>
      <c r="C29" s="88"/>
      <c r="D29" s="88"/>
      <c r="E29" s="84"/>
      <c r="H29" s="65"/>
    </row>
    <row r="30" spans="1:8">
      <c r="A30" s="97"/>
      <c r="B30" s="88" t="s">
        <v>953</v>
      </c>
      <c r="C30" s="88"/>
      <c r="D30" s="88"/>
      <c r="E30" s="84"/>
      <c r="H30" s="65"/>
    </row>
    <row r="31" spans="1:8">
      <c r="A31" s="97"/>
      <c r="B31" s="88" t="s">
        <v>202</v>
      </c>
      <c r="C31" s="88"/>
      <c r="D31" s="88"/>
      <c r="E31" s="84"/>
      <c r="H31" s="65"/>
    </row>
    <row r="32" spans="1:8">
      <c r="A32" s="97"/>
      <c r="B32" s="88" t="s">
        <v>954</v>
      </c>
      <c r="C32" s="88" t="s">
        <v>955</v>
      </c>
      <c r="D32" s="88"/>
      <c r="E32" s="84"/>
      <c r="H32" s="65"/>
    </row>
    <row r="33" spans="1:8">
      <c r="A33" s="97"/>
      <c r="B33" t="s">
        <v>956</v>
      </c>
      <c r="C33" s="88"/>
      <c r="D33" s="88"/>
      <c r="E33" s="84"/>
      <c r="H33" s="65"/>
    </row>
    <row r="34" spans="1:8">
      <c r="A34" s="97"/>
      <c r="B34" t="s">
        <v>957</v>
      </c>
      <c r="C34" s="88"/>
      <c r="D34" s="88"/>
      <c r="E34" s="84"/>
      <c r="H34" s="65"/>
    </row>
    <row r="35" spans="1:8">
      <c r="A35" s="97"/>
      <c r="B35" s="88" t="s">
        <v>958</v>
      </c>
      <c r="C35" s="88"/>
      <c r="D35" s="88"/>
      <c r="E35" s="84"/>
      <c r="H35" s="65"/>
    </row>
    <row r="36" spans="1:8">
      <c r="A36" s="97"/>
      <c r="B36" s="88" t="s">
        <v>959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216</v>
      </c>
      <c r="E41" s="65"/>
      <c r="G41" s="65"/>
      <c r="H41" s="65"/>
    </row>
    <row r="42" spans="1:8">
      <c r="A42" s="78" t="s">
        <v>217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218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726</v>
      </c>
      <c r="D48">
        <v>509.04</v>
      </c>
      <c r="E48" s="65">
        <v>510</v>
      </c>
      <c r="F48" s="65"/>
      <c r="G48" s="65"/>
    </row>
    <row r="49" spans="1:8">
      <c r="B49" t="s">
        <v>220</v>
      </c>
      <c r="D49">
        <v>938.46</v>
      </c>
      <c r="E49" s="65">
        <v>938.5</v>
      </c>
      <c r="F49" s="65"/>
      <c r="G49" s="65"/>
    </row>
    <row r="50" spans="1:8">
      <c r="B50" t="s">
        <v>221</v>
      </c>
      <c r="D50">
        <v>126.34</v>
      </c>
      <c r="E50">
        <v>126</v>
      </c>
      <c r="F50" s="65"/>
      <c r="G50" s="65"/>
    </row>
    <row r="51" spans="1:8">
      <c r="B51" t="s">
        <v>222</v>
      </c>
      <c r="D51">
        <v>934.05</v>
      </c>
      <c r="E51">
        <v>935</v>
      </c>
      <c r="F51" s="65"/>
      <c r="G51" s="65"/>
    </row>
    <row r="52" spans="1:8">
      <c r="B52" t="s">
        <v>223</v>
      </c>
      <c r="D52">
        <v>220.12</v>
      </c>
      <c r="E52">
        <v>220</v>
      </c>
      <c r="F52" s="65"/>
      <c r="G52" s="65"/>
    </row>
    <row r="53" spans="1:8">
      <c r="B53" t="s">
        <v>224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225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864</v>
      </c>
      <c r="C60" s="94"/>
      <c r="D60" s="94" t="s">
        <v>483</v>
      </c>
      <c r="E60" s="84">
        <v>-1111.1099999999999</v>
      </c>
      <c r="G60" s="65"/>
      <c r="H60" s="65"/>
    </row>
    <row r="61" spans="1:8">
      <c r="A61" s="97">
        <v>45016</v>
      </c>
      <c r="B61" t="s">
        <v>622</v>
      </c>
      <c r="C61">
        <v>437.97</v>
      </c>
      <c r="D61" s="37" t="s">
        <v>929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623</v>
      </c>
      <c r="C62">
        <v>404.23</v>
      </c>
      <c r="D62" s="37" t="s">
        <v>929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624</v>
      </c>
      <c r="C63">
        <v>1135</v>
      </c>
      <c r="D63" s="37" t="s">
        <v>929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926</v>
      </c>
      <c r="C64">
        <v>659.93</v>
      </c>
      <c r="D64" s="37" t="s">
        <v>838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928</v>
      </c>
      <c r="C65">
        <v>720.19</v>
      </c>
      <c r="D65" s="255" t="s">
        <v>960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579</v>
      </c>
      <c r="C66">
        <v>613.91</v>
      </c>
      <c r="D66" s="37" t="s">
        <v>961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837</v>
      </c>
      <c r="C67">
        <v>2258.94</v>
      </c>
      <c r="D67" s="37" t="s">
        <v>413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962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963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964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291</v>
      </c>
      <c r="E72" s="84">
        <v>-158.63999999999999</v>
      </c>
    </row>
    <row r="73" spans="1:8">
      <c r="A73" s="97">
        <v>45037</v>
      </c>
      <c r="B73" t="s">
        <v>867</v>
      </c>
      <c r="D73" s="37"/>
      <c r="E73" s="84">
        <v>-100</v>
      </c>
    </row>
    <row r="74" spans="1:8">
      <c r="A74" s="97">
        <v>45037</v>
      </c>
      <c r="B74" t="s">
        <v>867</v>
      </c>
      <c r="E74" s="84">
        <v>-15</v>
      </c>
    </row>
    <row r="75" spans="1:8">
      <c r="A75" s="97">
        <v>45039</v>
      </c>
      <c r="B75" t="s">
        <v>965</v>
      </c>
      <c r="E75" s="84">
        <v>-430</v>
      </c>
    </row>
    <row r="76" spans="1:8">
      <c r="A76" s="97">
        <v>45040</v>
      </c>
      <c r="B76" t="s">
        <v>966</v>
      </c>
      <c r="E76" s="84">
        <v>-69.739999999999995</v>
      </c>
    </row>
    <row r="77" spans="1:8">
      <c r="A77" s="97">
        <v>45040</v>
      </c>
      <c r="B77" t="s">
        <v>967</v>
      </c>
      <c r="E77" s="84">
        <v>-125</v>
      </c>
    </row>
    <row r="78" spans="1:8">
      <c r="A78" s="97"/>
      <c r="E78" s="84" t="s">
        <v>968</v>
      </c>
    </row>
    <row r="80" spans="1:8">
      <c r="A80" s="78"/>
      <c r="B80" s="77" t="s">
        <v>229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969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968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970</v>
      </c>
      <c r="B111" s="77" t="s">
        <v>944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80</v>
      </c>
      <c r="C112" s="2"/>
      <c r="D112" s="2"/>
      <c r="E112" s="13">
        <v>64000</v>
      </c>
    </row>
    <row r="113" spans="1:5">
      <c r="A113" s="97">
        <v>45077</v>
      </c>
      <c r="B113" t="s">
        <v>878</v>
      </c>
      <c r="C113" s="2"/>
      <c r="D113" s="2"/>
      <c r="E113" s="13">
        <v>53088</v>
      </c>
    </row>
    <row r="114" spans="1:5">
      <c r="A114" s="97">
        <v>45077</v>
      </c>
      <c r="B114" t="s">
        <v>169</v>
      </c>
      <c r="C114" s="2"/>
      <c r="D114" s="2"/>
      <c r="E114" s="13">
        <v>28049.84</v>
      </c>
    </row>
    <row r="115" spans="1:5">
      <c r="A115" s="97">
        <v>45077</v>
      </c>
      <c r="B115" t="s">
        <v>170</v>
      </c>
      <c r="C115" s="2"/>
      <c r="D115" s="2"/>
      <c r="E115" s="13">
        <v>6000.59</v>
      </c>
    </row>
    <row r="116" spans="1:5">
      <c r="A116" s="97">
        <v>45077</v>
      </c>
      <c r="B116" t="s">
        <v>814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913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914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183</v>
      </c>
      <c r="C119" s="2"/>
      <c r="D119" s="2"/>
      <c r="E119" s="13">
        <v>42600</v>
      </c>
    </row>
    <row r="120" spans="1:5">
      <c r="A120" s="97"/>
      <c r="B120" t="s">
        <v>90</v>
      </c>
      <c r="C120" s="2"/>
      <c r="D120" s="2"/>
      <c r="E120" s="13">
        <v>1700</v>
      </c>
    </row>
    <row r="121" spans="1:5">
      <c r="D121" s="70" t="s">
        <v>945</v>
      </c>
      <c r="E121" s="65">
        <f>H3</f>
        <v>0</v>
      </c>
    </row>
    <row r="122" spans="1:5">
      <c r="D122" s="3"/>
    </row>
    <row r="123" spans="1:5">
      <c r="D123" s="70" t="s">
        <v>185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971</v>
      </c>
      <c r="C2" s="87" t="s">
        <v>187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190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191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439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433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972</v>
      </c>
      <c r="B8" s="88" t="s">
        <v>203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205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206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207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208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209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80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884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168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883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212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213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973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214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974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975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976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977</v>
      </c>
      <c r="D26" s="102"/>
      <c r="H26" s="65">
        <f t="shared" si="0"/>
        <v>-18317.020000000004</v>
      </c>
    </row>
    <row r="27" spans="1:8">
      <c r="A27" s="97">
        <v>45042</v>
      </c>
      <c r="B27" t="s">
        <v>978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979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980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981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216</v>
      </c>
      <c r="E36" s="65"/>
      <c r="G36" s="65"/>
      <c r="H36" s="65"/>
    </row>
    <row r="37" spans="1:8">
      <c r="A37" s="78" t="s">
        <v>217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218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726</v>
      </c>
      <c r="D43">
        <v>835.27</v>
      </c>
      <c r="E43" s="65">
        <v>835</v>
      </c>
      <c r="F43" s="65"/>
      <c r="G43" s="65"/>
    </row>
    <row r="44" spans="1:8">
      <c r="B44" t="s">
        <v>220</v>
      </c>
      <c r="D44">
        <v>1240.45</v>
      </c>
      <c r="E44" s="65">
        <v>1240</v>
      </c>
      <c r="F44" s="65"/>
      <c r="G44" s="65"/>
    </row>
    <row r="45" spans="1:8">
      <c r="B45" t="s">
        <v>221</v>
      </c>
      <c r="D45">
        <v>195.7</v>
      </c>
      <c r="E45">
        <v>195</v>
      </c>
      <c r="F45" s="65"/>
      <c r="G45" s="65"/>
    </row>
    <row r="46" spans="1:8">
      <c r="B46" t="s">
        <v>222</v>
      </c>
      <c r="D46">
        <v>1448.09</v>
      </c>
      <c r="E46">
        <v>1450</v>
      </c>
      <c r="F46" s="65"/>
      <c r="G46" s="65"/>
    </row>
    <row r="47" spans="1:8">
      <c r="B47" t="s">
        <v>223</v>
      </c>
      <c r="D47">
        <v>335.29</v>
      </c>
      <c r="E47">
        <v>335</v>
      </c>
      <c r="F47" s="65"/>
      <c r="G47" s="65"/>
    </row>
    <row r="48" spans="1:8">
      <c r="B48" t="s">
        <v>224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225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982</v>
      </c>
      <c r="C55" s="94"/>
      <c r="D55" s="94" t="s">
        <v>534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983</v>
      </c>
      <c r="C56" s="94"/>
      <c r="D56" s="94" t="s">
        <v>791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984</v>
      </c>
      <c r="C57" s="94"/>
      <c r="D57" s="94" t="s">
        <v>791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985</v>
      </c>
      <c r="C58" s="94"/>
      <c r="D58" s="94" t="s">
        <v>791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986</v>
      </c>
      <c r="C59" s="94"/>
      <c r="D59" s="94" t="s">
        <v>791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622</v>
      </c>
      <c r="C60">
        <v>437.97</v>
      </c>
      <c r="D60" s="37" t="s">
        <v>960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623</v>
      </c>
      <c r="C61">
        <v>404.23</v>
      </c>
      <c r="D61" s="37" t="s">
        <v>960</v>
      </c>
      <c r="E61" s="84">
        <v>-134.74</v>
      </c>
      <c r="F61" s="65"/>
    </row>
    <row r="62" spans="1:8">
      <c r="A62" s="97">
        <v>44985</v>
      </c>
      <c r="B62" t="s">
        <v>624</v>
      </c>
      <c r="C62">
        <v>1135</v>
      </c>
      <c r="D62" s="37" t="s">
        <v>960</v>
      </c>
      <c r="E62" s="84">
        <v>-378.33</v>
      </c>
      <c r="F62" s="65"/>
    </row>
    <row r="63" spans="1:8">
      <c r="A63" s="97">
        <v>44982</v>
      </c>
      <c r="B63" t="s">
        <v>987</v>
      </c>
      <c r="C63">
        <v>659.93</v>
      </c>
      <c r="D63" s="37" t="s">
        <v>866</v>
      </c>
      <c r="E63" s="84">
        <v>-164.98</v>
      </c>
      <c r="F63" s="65"/>
    </row>
    <row r="64" spans="1:8">
      <c r="A64" s="97">
        <v>44995</v>
      </c>
      <c r="B64" t="s">
        <v>928</v>
      </c>
      <c r="C64">
        <v>720.19</v>
      </c>
      <c r="D64" s="255" t="s">
        <v>988</v>
      </c>
      <c r="E64" s="84">
        <v>-240.06</v>
      </c>
      <c r="F64" s="65"/>
    </row>
    <row r="65" spans="1:8">
      <c r="A65" s="97">
        <v>44995</v>
      </c>
      <c r="B65" t="s">
        <v>579</v>
      </c>
      <c r="C65">
        <v>613.91</v>
      </c>
      <c r="D65" s="37" t="s">
        <v>989</v>
      </c>
      <c r="E65" s="84">
        <v>-61.39</v>
      </c>
      <c r="F65" s="65"/>
    </row>
    <row r="66" spans="1:8">
      <c r="A66" s="97">
        <v>44995</v>
      </c>
      <c r="B66" t="s">
        <v>837</v>
      </c>
      <c r="C66">
        <v>2258.94</v>
      </c>
      <c r="D66" s="37" t="s">
        <v>452</v>
      </c>
      <c r="E66" s="84">
        <v>-376.49</v>
      </c>
      <c r="F66" s="65"/>
    </row>
    <row r="67" spans="1:8">
      <c r="A67" s="97">
        <v>44985</v>
      </c>
      <c r="B67" t="s">
        <v>990</v>
      </c>
      <c r="D67" s="37"/>
      <c r="E67" s="84">
        <v>-161.31</v>
      </c>
      <c r="F67" s="65"/>
    </row>
    <row r="68" spans="1:8">
      <c r="A68" s="97">
        <v>44986</v>
      </c>
      <c r="B68" t="s">
        <v>990</v>
      </c>
      <c r="D68" s="37"/>
      <c r="E68" s="84">
        <v>-137.93</v>
      </c>
      <c r="F68" s="65"/>
    </row>
    <row r="69" spans="1:8">
      <c r="A69" s="97">
        <v>44987</v>
      </c>
      <c r="B69" t="s">
        <v>990</v>
      </c>
      <c r="D69" s="37"/>
      <c r="E69" s="84">
        <v>-121.99</v>
      </c>
      <c r="F69" s="65"/>
    </row>
    <row r="70" spans="1:8">
      <c r="A70" s="97">
        <v>45004</v>
      </c>
      <c r="B70" t="s">
        <v>991</v>
      </c>
      <c r="D70" s="37"/>
      <c r="E70" s="84">
        <v>-94.85</v>
      </c>
      <c r="F70" s="65"/>
    </row>
    <row r="71" spans="1:8">
      <c r="A71" s="97">
        <v>45005</v>
      </c>
      <c r="B71" t="s">
        <v>992</v>
      </c>
      <c r="D71" s="37"/>
      <c r="E71" s="84">
        <v>-456.1</v>
      </c>
      <c r="F71" s="65"/>
    </row>
    <row r="72" spans="1:8">
      <c r="A72" s="97">
        <v>45005</v>
      </c>
      <c r="B72" t="s">
        <v>993</v>
      </c>
      <c r="E72" s="84">
        <v>-110</v>
      </c>
    </row>
    <row r="73" spans="1:8">
      <c r="A73" s="97">
        <v>45007</v>
      </c>
      <c r="B73" t="s">
        <v>994</v>
      </c>
      <c r="D73" s="37"/>
      <c r="E73" s="84">
        <v>-554.11</v>
      </c>
    </row>
    <row r="74" spans="1:8">
      <c r="A74" s="97">
        <v>45010</v>
      </c>
      <c r="B74" t="s">
        <v>995</v>
      </c>
      <c r="D74" s="37"/>
      <c r="E74" s="84">
        <v>-530.54999999999995</v>
      </c>
    </row>
    <row r="75" spans="1:8">
      <c r="A75" s="97">
        <v>45010</v>
      </c>
      <c r="B75" t="s">
        <v>996</v>
      </c>
      <c r="D75" s="37"/>
      <c r="E75" s="84">
        <v>-26.53</v>
      </c>
    </row>
    <row r="76" spans="1:8">
      <c r="A76" s="97"/>
      <c r="D76" s="37"/>
      <c r="E76" s="84" t="s">
        <v>968</v>
      </c>
    </row>
    <row r="78" spans="1:8">
      <c r="A78" s="78"/>
      <c r="B78" s="77" t="s">
        <v>229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243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460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459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460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997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968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998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80</v>
      </c>
      <c r="C112" s="2"/>
      <c r="D112" s="2"/>
      <c r="E112" s="13">
        <v>64000</v>
      </c>
    </row>
    <row r="113" spans="1:5">
      <c r="A113" s="97">
        <v>45016</v>
      </c>
      <c r="B113" t="s">
        <v>878</v>
      </c>
      <c r="C113" s="2"/>
      <c r="D113" s="2"/>
      <c r="E113" s="13">
        <v>53088</v>
      </c>
    </row>
    <row r="114" spans="1:5">
      <c r="A114" s="97">
        <v>45016</v>
      </c>
      <c r="B114" t="s">
        <v>169</v>
      </c>
      <c r="C114" s="2"/>
      <c r="D114" s="2"/>
      <c r="E114" s="13">
        <v>44063.82</v>
      </c>
    </row>
    <row r="115" spans="1:5">
      <c r="A115" s="97">
        <v>45016</v>
      </c>
      <c r="B115" t="s">
        <v>170</v>
      </c>
      <c r="C115" s="2"/>
      <c r="D115" s="2"/>
      <c r="E115" s="13">
        <v>6000.59</v>
      </c>
    </row>
    <row r="116" spans="1:5">
      <c r="A116" s="97">
        <v>45016</v>
      </c>
      <c r="B116" t="s">
        <v>814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913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914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183</v>
      </c>
      <c r="C119" s="2"/>
      <c r="D119" s="2"/>
      <c r="E119" s="13">
        <v>40000</v>
      </c>
    </row>
    <row r="120" spans="1:5">
      <c r="A120" s="97"/>
      <c r="B120" t="s">
        <v>90</v>
      </c>
      <c r="C120" s="2"/>
      <c r="D120" s="2"/>
      <c r="E120" s="13">
        <v>1200</v>
      </c>
    </row>
    <row r="121" spans="1:5">
      <c r="D121" s="70" t="s">
        <v>999</v>
      </c>
      <c r="E121" s="65">
        <f>H2</f>
        <v>14297.21</v>
      </c>
    </row>
    <row r="122" spans="1:5">
      <c r="D122" s="3"/>
    </row>
    <row r="123" spans="1:5">
      <c r="D123" s="70" t="s">
        <v>185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1000</v>
      </c>
      <c r="C2" s="87" t="s">
        <v>187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1001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190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191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477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474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203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205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206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207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208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209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80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1002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212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1003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1004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213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214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1005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1006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1007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1008</v>
      </c>
      <c r="D25" s="102"/>
      <c r="F25" s="65"/>
      <c r="G25" s="65"/>
      <c r="H25" s="65">
        <f t="shared" si="0"/>
        <v>-270.29999999999927</v>
      </c>
    </row>
    <row r="26" spans="1:8">
      <c r="B26" t="s">
        <v>1009</v>
      </c>
      <c r="D26" s="102"/>
      <c r="F26" s="65"/>
      <c r="G26" s="65"/>
      <c r="H26" s="65">
        <f t="shared" si="0"/>
        <v>-270.29999999999927</v>
      </c>
    </row>
    <row r="27" spans="1:8">
      <c r="B27" t="s">
        <v>1010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460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1011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1012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573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1013</v>
      </c>
      <c r="D35" t="s">
        <v>888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1014</v>
      </c>
      <c r="D36" t="s">
        <v>888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1015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1016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1017</v>
      </c>
      <c r="G39" s="65"/>
      <c r="H39" s="65"/>
    </row>
    <row r="40" spans="1:8">
      <c r="B40" t="s">
        <v>216</v>
      </c>
      <c r="E40" s="65"/>
      <c r="G40" s="65"/>
      <c r="H40" s="65"/>
    </row>
    <row r="41" spans="1:8">
      <c r="A41" s="78" t="s">
        <v>217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218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1018</v>
      </c>
      <c r="D47">
        <v>933.16</v>
      </c>
      <c r="E47" s="65">
        <v>933.16</v>
      </c>
      <c r="F47" s="65"/>
      <c r="G47" s="65"/>
    </row>
    <row r="48" spans="1:8">
      <c r="B48" t="s">
        <v>220</v>
      </c>
      <c r="D48">
        <v>996.81</v>
      </c>
      <c r="E48" s="65">
        <v>996.81</v>
      </c>
      <c r="F48" s="65"/>
      <c r="G48" s="65"/>
    </row>
    <row r="49" spans="1:8">
      <c r="B49" t="s">
        <v>221</v>
      </c>
      <c r="D49">
        <v>233.14</v>
      </c>
      <c r="E49">
        <v>233.14</v>
      </c>
      <c r="F49" s="65"/>
      <c r="G49" s="65"/>
    </row>
    <row r="50" spans="1:8">
      <c r="B50" t="s">
        <v>1019</v>
      </c>
      <c r="D50">
        <v>200</v>
      </c>
      <c r="F50" s="65"/>
      <c r="G50" s="65"/>
    </row>
    <row r="51" spans="1:8">
      <c r="B51" t="s">
        <v>1020</v>
      </c>
      <c r="D51">
        <v>1128.6300000000001</v>
      </c>
      <c r="E51">
        <v>1128.6300000000001</v>
      </c>
      <c r="F51" s="65"/>
      <c r="G51" s="65"/>
    </row>
    <row r="52" spans="1:8">
      <c r="B52" t="s">
        <v>223</v>
      </c>
      <c r="C52" s="94"/>
      <c r="D52" s="94">
        <v>342.4</v>
      </c>
      <c r="E52">
        <v>342.4</v>
      </c>
      <c r="F52" s="65"/>
      <c r="G52" s="65"/>
    </row>
    <row r="53" spans="1:8">
      <c r="B53" t="s">
        <v>224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225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1021</v>
      </c>
      <c r="C60" s="94"/>
      <c r="D60" s="94" t="s">
        <v>251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1022</v>
      </c>
      <c r="C61" s="94"/>
      <c r="D61" s="94" t="s">
        <v>251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1023</v>
      </c>
      <c r="C62" s="94"/>
      <c r="D62" s="94" t="s">
        <v>578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983</v>
      </c>
      <c r="C63" s="94"/>
      <c r="D63" s="94" t="s">
        <v>838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984</v>
      </c>
      <c r="C64" s="94"/>
      <c r="D64" s="94" t="s">
        <v>838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985</v>
      </c>
      <c r="C65" s="94"/>
      <c r="D65" s="94" t="s">
        <v>838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986</v>
      </c>
      <c r="C66" s="94"/>
      <c r="D66" s="94" t="s">
        <v>838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1024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1025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1026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1027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1028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621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621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622</v>
      </c>
      <c r="C74">
        <v>437.97</v>
      </c>
      <c r="D74" s="37" t="s">
        <v>988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623</v>
      </c>
      <c r="C75">
        <v>404.23</v>
      </c>
      <c r="D75" s="37" t="s">
        <v>988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624</v>
      </c>
      <c r="C76">
        <v>1135</v>
      </c>
      <c r="D76" s="37" t="s">
        <v>988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1029</v>
      </c>
      <c r="E77" s="84">
        <v>-880.22</v>
      </c>
      <c r="G77" s="65"/>
    </row>
    <row r="78" spans="1:8">
      <c r="A78" s="97">
        <v>44958</v>
      </c>
      <c r="B78" t="s">
        <v>1030</v>
      </c>
      <c r="E78" s="84">
        <v>-218.24</v>
      </c>
      <c r="G78" s="65"/>
    </row>
    <row r="79" spans="1:8">
      <c r="A79" s="97">
        <v>44960</v>
      </c>
      <c r="B79" t="s">
        <v>1031</v>
      </c>
      <c r="E79" s="84">
        <v>-120.45</v>
      </c>
      <c r="G79" s="65"/>
    </row>
    <row r="80" spans="1:8">
      <c r="A80" s="97">
        <v>44963</v>
      </c>
      <c r="B80" t="s">
        <v>1032</v>
      </c>
      <c r="D80" s="37"/>
      <c r="E80" s="84">
        <v>-130.56</v>
      </c>
      <c r="G80" s="65"/>
    </row>
    <row r="81" spans="1:8">
      <c r="A81" s="97">
        <v>44969</v>
      </c>
      <c r="B81" t="s">
        <v>1033</v>
      </c>
      <c r="D81" s="37"/>
      <c r="E81" s="84">
        <v>-51.99</v>
      </c>
      <c r="G81" s="65"/>
    </row>
    <row r="82" spans="1:8">
      <c r="A82" s="97">
        <v>44970</v>
      </c>
      <c r="B82" t="s">
        <v>330</v>
      </c>
      <c r="D82" s="37"/>
      <c r="E82" s="84">
        <v>-379</v>
      </c>
      <c r="G82" s="65"/>
    </row>
    <row r="83" spans="1:8">
      <c r="A83" s="97">
        <v>44970</v>
      </c>
      <c r="B83" t="s">
        <v>330</v>
      </c>
      <c r="D83" s="37"/>
      <c r="E83" s="84">
        <v>-510</v>
      </c>
      <c r="G83" s="65"/>
    </row>
    <row r="84" spans="1:8">
      <c r="A84" s="97">
        <v>44971</v>
      </c>
      <c r="B84" t="s">
        <v>1033</v>
      </c>
      <c r="D84" s="37"/>
      <c r="E84" s="84">
        <v>-51.99</v>
      </c>
      <c r="G84" s="65"/>
    </row>
    <row r="85" spans="1:8">
      <c r="A85" s="97">
        <v>44972</v>
      </c>
      <c r="B85" t="s">
        <v>1034</v>
      </c>
      <c r="D85" s="37"/>
      <c r="E85" s="84">
        <v>-54.77</v>
      </c>
      <c r="G85" s="65"/>
    </row>
    <row r="86" spans="1:8">
      <c r="A86" s="97">
        <v>44972</v>
      </c>
      <c r="B86" t="s">
        <v>1035</v>
      </c>
      <c r="D86" s="37"/>
      <c r="E86" s="84">
        <v>-459</v>
      </c>
      <c r="G86" s="65"/>
    </row>
    <row r="87" spans="1:8">
      <c r="A87" s="97">
        <v>44972</v>
      </c>
      <c r="B87" t="s">
        <v>1036</v>
      </c>
      <c r="D87" s="37"/>
      <c r="E87" s="84">
        <v>-211</v>
      </c>
      <c r="G87" s="65"/>
    </row>
    <row r="88" spans="1:8">
      <c r="A88" s="97">
        <v>44977</v>
      </c>
      <c r="B88" t="s">
        <v>1037</v>
      </c>
      <c r="D88" s="37"/>
      <c r="E88" s="84">
        <v>-100</v>
      </c>
      <c r="G88" s="65"/>
    </row>
    <row r="89" spans="1:8">
      <c r="A89" s="97">
        <v>44977</v>
      </c>
      <c r="B89" t="s">
        <v>1037</v>
      </c>
      <c r="D89" s="37"/>
      <c r="E89" s="84">
        <v>-10</v>
      </c>
      <c r="G89" s="65"/>
    </row>
    <row r="90" spans="1:8">
      <c r="A90" s="97">
        <v>44981</v>
      </c>
      <c r="B90" t="s">
        <v>457</v>
      </c>
      <c r="D90" s="37"/>
      <c r="E90" s="84">
        <v>-132.77000000000001</v>
      </c>
      <c r="G90" s="65"/>
    </row>
    <row r="91" spans="1:8">
      <c r="A91" s="97">
        <v>44982</v>
      </c>
      <c r="B91" t="s">
        <v>457</v>
      </c>
      <c r="D91" s="37"/>
      <c r="E91" s="84">
        <v>-186.34</v>
      </c>
      <c r="G91" s="65"/>
    </row>
    <row r="92" spans="1:8">
      <c r="A92" s="97">
        <v>44982</v>
      </c>
      <c r="B92" t="s">
        <v>926</v>
      </c>
      <c r="C92">
        <v>659.93</v>
      </c>
      <c r="D92" s="37" t="s">
        <v>895</v>
      </c>
      <c r="E92" s="84">
        <v>-164.98</v>
      </c>
      <c r="G92" s="65"/>
    </row>
    <row r="93" spans="1:8">
      <c r="A93" s="257">
        <v>44982</v>
      </c>
      <c r="D93" s="37"/>
      <c r="E93" s="258" t="s">
        <v>968</v>
      </c>
      <c r="G93" s="65"/>
    </row>
    <row r="94" spans="1:8">
      <c r="G94" s="65"/>
    </row>
    <row r="95" spans="1:8">
      <c r="A95" s="78"/>
      <c r="B95" s="77" t="s">
        <v>229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1038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1039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966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966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966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968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1040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80</v>
      </c>
      <c r="C112" s="2"/>
      <c r="D112" s="2"/>
      <c r="E112" s="13">
        <v>64000</v>
      </c>
    </row>
    <row r="113" spans="1:5">
      <c r="A113" s="97">
        <v>45016</v>
      </c>
      <c r="B113" t="s">
        <v>1041</v>
      </c>
      <c r="C113" s="2"/>
      <c r="D113" s="2"/>
      <c r="E113" s="13">
        <v>53088</v>
      </c>
    </row>
    <row r="114" spans="1:5">
      <c r="A114" s="97">
        <v>45016</v>
      </c>
      <c r="B114" t="s">
        <v>169</v>
      </c>
      <c r="C114" s="2"/>
      <c r="D114" s="2"/>
      <c r="E114" s="13">
        <v>17383.580000000002</v>
      </c>
    </row>
    <row r="115" spans="1:5">
      <c r="A115" s="97">
        <v>45016</v>
      </c>
      <c r="B115" t="s">
        <v>170</v>
      </c>
      <c r="C115" s="2"/>
      <c r="D115" s="2"/>
      <c r="E115" s="13">
        <v>0.59</v>
      </c>
    </row>
    <row r="116" spans="1:5">
      <c r="A116" s="97">
        <v>45016</v>
      </c>
      <c r="B116" t="s">
        <v>814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913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914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183</v>
      </c>
      <c r="C119" s="2"/>
      <c r="D119" s="2"/>
      <c r="E119" s="13">
        <v>26300</v>
      </c>
    </row>
    <row r="120" spans="1:5">
      <c r="A120" s="97"/>
      <c r="B120" t="s">
        <v>90</v>
      </c>
      <c r="C120" s="2"/>
      <c r="D120" s="2"/>
      <c r="E120" s="13">
        <v>1200</v>
      </c>
    </row>
    <row r="121" spans="1:5">
      <c r="D121" s="70" t="s">
        <v>1042</v>
      </c>
      <c r="E121" s="65">
        <f>H2</f>
        <v>-10144.200000000001</v>
      </c>
    </row>
    <row r="122" spans="1:5">
      <c r="D122" s="3"/>
    </row>
    <row r="123" spans="1:5">
      <c r="D123" s="70" t="s">
        <v>185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116</v>
      </c>
      <c r="G1" s="124" t="s">
        <v>117</v>
      </c>
      <c r="H1" s="124" t="s">
        <v>3</v>
      </c>
    </row>
    <row r="2" spans="1:8">
      <c r="A2" s="3" t="s">
        <v>881</v>
      </c>
      <c r="C2" s="87" t="s">
        <v>187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190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191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209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1043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1044</v>
      </c>
      <c r="C8" s="259" t="s">
        <v>888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208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1045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524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211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203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1046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207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1047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1048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205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206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1049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80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1050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168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212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1051</v>
      </c>
      <c r="F27" s="65"/>
      <c r="G27" s="65">
        <v>-5040</v>
      </c>
      <c r="H27" s="65">
        <f t="shared" si="0"/>
        <v>-18663.48</v>
      </c>
    </row>
    <row r="28" spans="1:8">
      <c r="B28" t="s">
        <v>1003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1052</v>
      </c>
      <c r="F29" s="65">
        <v>2000</v>
      </c>
      <c r="G29" s="65"/>
      <c r="H29" s="65">
        <f t="shared" si="0"/>
        <v>-16663.48</v>
      </c>
    </row>
    <row r="30" spans="1:8">
      <c r="B30" t="s">
        <v>1053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1054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1055</v>
      </c>
      <c r="D32" s="263">
        <v>1000</v>
      </c>
      <c r="H32" s="65">
        <f t="shared" si="0"/>
        <v>-10163.48</v>
      </c>
    </row>
    <row r="33" spans="1:8">
      <c r="B33" s="27" t="s">
        <v>1056</v>
      </c>
      <c r="D33" s="102"/>
      <c r="G33" s="65"/>
      <c r="H33" s="65">
        <f t="shared" si="0"/>
        <v>-10163.48</v>
      </c>
    </row>
    <row r="34" spans="1:8">
      <c r="A34" s="97"/>
      <c r="B34" s="246" t="s">
        <v>1057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1058</v>
      </c>
      <c r="C38" t="s">
        <v>888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1059</v>
      </c>
      <c r="C39" t="s">
        <v>888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1060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216</v>
      </c>
      <c r="G44" s="65"/>
      <c r="H44" s="65"/>
    </row>
    <row r="45" spans="1:8">
      <c r="A45" s="78" t="s">
        <v>217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1061</v>
      </c>
      <c r="C46" s="246"/>
      <c r="D46" s="246" t="s">
        <v>1062</v>
      </c>
      <c r="H46" s="65"/>
    </row>
    <row r="47" spans="1:8">
      <c r="A47" s="251">
        <v>44844</v>
      </c>
      <c r="B47" s="246" t="s">
        <v>1063</v>
      </c>
      <c r="C47" s="248"/>
      <c r="D47" s="246" t="s">
        <v>1064</v>
      </c>
      <c r="H47" s="65"/>
    </row>
    <row r="48" spans="1:8">
      <c r="A48" s="251"/>
      <c r="B48" s="246" t="s">
        <v>1065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218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1018</v>
      </c>
      <c r="D51">
        <v>1245.19</v>
      </c>
      <c r="E51" s="84">
        <v>1245</v>
      </c>
      <c r="F51" s="65"/>
      <c r="G51" s="65"/>
    </row>
    <row r="52" spans="1:8">
      <c r="B52" t="s">
        <v>220</v>
      </c>
      <c r="D52">
        <v>914.78</v>
      </c>
      <c r="E52" s="84">
        <v>915</v>
      </c>
      <c r="F52" s="65"/>
      <c r="G52" s="65"/>
    </row>
    <row r="53" spans="1:8">
      <c r="B53" t="s">
        <v>221</v>
      </c>
      <c r="D53">
        <v>295.54000000000002</v>
      </c>
      <c r="E53" s="84">
        <v>295</v>
      </c>
      <c r="F53" s="65"/>
      <c r="G53" s="65"/>
    </row>
    <row r="54" spans="1:8">
      <c r="B54" t="s">
        <v>1066</v>
      </c>
      <c r="D54">
        <v>200</v>
      </c>
      <c r="F54" s="65"/>
      <c r="G54" s="65"/>
    </row>
    <row r="55" spans="1:8">
      <c r="B55" t="s">
        <v>1067</v>
      </c>
      <c r="D55">
        <v>1367.33</v>
      </c>
      <c r="E55" s="84">
        <v>1368</v>
      </c>
      <c r="F55" s="65"/>
      <c r="G55" s="65"/>
    </row>
    <row r="56" spans="1:8">
      <c r="B56" t="s">
        <v>223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1068</v>
      </c>
      <c r="C57" s="94"/>
      <c r="D57" s="264">
        <v>200</v>
      </c>
      <c r="F57" s="65"/>
      <c r="G57" s="65"/>
    </row>
    <row r="58" spans="1:8">
      <c r="B58" t="s">
        <v>72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225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1021</v>
      </c>
      <c r="C64" s="94"/>
      <c r="D64" s="94" t="s">
        <v>271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1022</v>
      </c>
      <c r="C65" s="94"/>
      <c r="D65" s="94" t="s">
        <v>271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1069</v>
      </c>
      <c r="C66" s="94"/>
      <c r="D66" s="94" t="s">
        <v>731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1070</v>
      </c>
      <c r="C67" s="94"/>
      <c r="D67" s="88" t="s">
        <v>929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983</v>
      </c>
      <c r="C68" s="94"/>
      <c r="D68" s="94" t="s">
        <v>866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984</v>
      </c>
      <c r="C69" s="94"/>
      <c r="D69" s="94" t="s">
        <v>866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985</v>
      </c>
      <c r="C70" s="94"/>
      <c r="D70" s="94" t="s">
        <v>866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986</v>
      </c>
      <c r="C71" s="94"/>
      <c r="D71" s="94" t="s">
        <v>866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552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1071</v>
      </c>
      <c r="D73" t="s">
        <v>1072</v>
      </c>
    </row>
    <row r="74" spans="1:8">
      <c r="A74" s="97">
        <v>44925</v>
      </c>
      <c r="B74" t="s">
        <v>1073</v>
      </c>
      <c r="E74" s="84">
        <v>-47.8</v>
      </c>
    </row>
    <row r="75" spans="1:8">
      <c r="A75" s="97">
        <v>44934</v>
      </c>
      <c r="B75" t="s">
        <v>1074</v>
      </c>
      <c r="E75" s="84">
        <v>-556.07000000000005</v>
      </c>
    </row>
    <row r="76" spans="1:8">
      <c r="A76" s="97">
        <v>44936</v>
      </c>
      <c r="B76" t="s">
        <v>1075</v>
      </c>
      <c r="E76" s="84">
        <v>-79.34</v>
      </c>
    </row>
    <row r="77" spans="1:8">
      <c r="A77" s="97">
        <v>44937</v>
      </c>
      <c r="B77" t="s">
        <v>1025</v>
      </c>
      <c r="E77" s="84">
        <v>-123.45</v>
      </c>
    </row>
    <row r="78" spans="1:8">
      <c r="A78" s="97">
        <v>44938</v>
      </c>
      <c r="B78" t="s">
        <v>1026</v>
      </c>
      <c r="E78" s="84">
        <v>-113.57</v>
      </c>
    </row>
    <row r="79" spans="1:8">
      <c r="A79" s="97">
        <v>44939</v>
      </c>
      <c r="B79" t="s">
        <v>1027</v>
      </c>
      <c r="E79" s="84">
        <v>-118.62</v>
      </c>
    </row>
    <row r="80" spans="1:8">
      <c r="A80" s="97">
        <v>44940</v>
      </c>
      <c r="B80" t="s">
        <v>1028</v>
      </c>
      <c r="E80" s="84">
        <v>-123.85</v>
      </c>
    </row>
    <row r="81" spans="1:8">
      <c r="A81" s="97">
        <v>44942</v>
      </c>
      <c r="B81" t="s">
        <v>1031</v>
      </c>
      <c r="E81" s="84">
        <v>-177.33</v>
      </c>
    </row>
    <row r="82" spans="1:8">
      <c r="A82" s="97">
        <v>44947</v>
      </c>
      <c r="B82" t="s">
        <v>867</v>
      </c>
      <c r="E82" s="84">
        <v>-100</v>
      </c>
    </row>
    <row r="83" spans="1:8">
      <c r="A83" s="97">
        <v>44949</v>
      </c>
      <c r="B83" t="s">
        <v>1032</v>
      </c>
      <c r="E83" s="84">
        <v>-111.1</v>
      </c>
    </row>
    <row r="84" spans="1:8">
      <c r="A84" s="97">
        <v>44950</v>
      </c>
      <c r="B84" t="s">
        <v>1076</v>
      </c>
      <c r="E84" s="84">
        <v>-99.87</v>
      </c>
    </row>
    <row r="85" spans="1:8">
      <c r="A85" s="97">
        <v>44951</v>
      </c>
      <c r="B85" t="s">
        <v>1077</v>
      </c>
      <c r="E85" s="84">
        <v>-125.66</v>
      </c>
    </row>
    <row r="87" spans="1:8">
      <c r="A87" s="78"/>
      <c r="B87" s="77" t="s">
        <v>229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1078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1079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1080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1081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1082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347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1083</v>
      </c>
      <c r="E94" s="84">
        <v>-164.8</v>
      </c>
    </row>
    <row r="95" spans="1:8">
      <c r="A95" s="97">
        <v>44930</v>
      </c>
      <c r="B95" s="103" t="s">
        <v>1084</v>
      </c>
      <c r="E95" s="84">
        <v>-139.33000000000001</v>
      </c>
    </row>
    <row r="96" spans="1:8">
      <c r="A96" s="97">
        <v>44931</v>
      </c>
      <c r="B96" s="103" t="s">
        <v>1085</v>
      </c>
      <c r="E96" s="84">
        <v>-143.19999999999999</v>
      </c>
    </row>
    <row r="97" spans="1:7">
      <c r="A97" s="97">
        <v>44934</v>
      </c>
      <c r="B97" t="s">
        <v>1086</v>
      </c>
      <c r="E97" s="84">
        <v>-297.38</v>
      </c>
    </row>
    <row r="98" spans="1:7">
      <c r="A98" s="97">
        <v>44944</v>
      </c>
      <c r="B98" t="s">
        <v>1087</v>
      </c>
      <c r="E98" s="84">
        <v>-286.02999999999997</v>
      </c>
    </row>
    <row r="99" spans="1:7">
      <c r="A99" s="97">
        <v>44944</v>
      </c>
      <c r="B99" t="s">
        <v>1087</v>
      </c>
      <c r="E99" s="84">
        <v>-423.18</v>
      </c>
    </row>
    <row r="100" spans="1:7">
      <c r="A100" s="97">
        <v>44950</v>
      </c>
      <c r="B100" t="s">
        <v>1088</v>
      </c>
      <c r="D100" s="37"/>
      <c r="E100" s="84">
        <v>-31.35</v>
      </c>
    </row>
    <row r="101" spans="1:7">
      <c r="B101" t="s">
        <v>1089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1090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80</v>
      </c>
      <c r="E112" s="84">
        <v>64000</v>
      </c>
    </row>
    <row r="113" spans="1:5">
      <c r="A113" s="97">
        <v>45291</v>
      </c>
      <c r="B113" t="s">
        <v>168</v>
      </c>
      <c r="E113" s="84">
        <v>48288</v>
      </c>
    </row>
    <row r="114" spans="1:5">
      <c r="A114" s="97">
        <v>45291</v>
      </c>
      <c r="B114" t="s">
        <v>169</v>
      </c>
      <c r="E114" s="84">
        <v>44567</v>
      </c>
    </row>
    <row r="115" spans="1:5">
      <c r="A115" s="97">
        <v>45291</v>
      </c>
      <c r="B115" t="s">
        <v>170</v>
      </c>
      <c r="E115" s="84">
        <v>5590</v>
      </c>
    </row>
    <row r="116" spans="1:5">
      <c r="A116" s="97">
        <v>45291</v>
      </c>
      <c r="B116" t="s">
        <v>230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231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232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233</v>
      </c>
      <c r="E119" s="84">
        <v>34000</v>
      </c>
    </row>
    <row r="120" spans="1:5">
      <c r="A120" s="97"/>
    </row>
    <row r="121" spans="1:5">
      <c r="D121" t="s">
        <v>1091</v>
      </c>
      <c r="E121" s="65">
        <f>H2</f>
        <v>-50451.479999999989</v>
      </c>
    </row>
    <row r="123" spans="1:5">
      <c r="D123" s="70" t="s">
        <v>185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1092</v>
      </c>
      <c r="C2" s="87" t="s">
        <v>187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190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191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561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562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203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206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205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207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208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1093</v>
      </c>
      <c r="E14" s="2"/>
      <c r="H14" s="65">
        <f t="shared" si="0"/>
        <v>-14944.619999999999</v>
      </c>
    </row>
    <row r="15" spans="1:8">
      <c r="B15" t="s">
        <v>80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168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212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1094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620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213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1053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1095</v>
      </c>
      <c r="B22" t="s">
        <v>1044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1095</v>
      </c>
      <c r="B23" t="s">
        <v>1096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1097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216</v>
      </c>
      <c r="E29" s="65"/>
      <c r="G29" s="65"/>
      <c r="H29" s="65"/>
    </row>
    <row r="30" spans="1:8">
      <c r="A30" s="78" t="s">
        <v>217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1061</v>
      </c>
      <c r="C31" s="246"/>
      <c r="D31" s="246" t="s">
        <v>1098</v>
      </c>
      <c r="E31" s="247"/>
      <c r="H31" s="65"/>
    </row>
    <row r="32" spans="1:8">
      <c r="A32" s="251">
        <v>44844</v>
      </c>
      <c r="B32" s="246" t="s">
        <v>1063</v>
      </c>
      <c r="C32" s="248"/>
      <c r="D32" s="246" t="s">
        <v>1064</v>
      </c>
      <c r="E32" s="246"/>
      <c r="H32" s="65"/>
    </row>
    <row r="33" spans="1:8">
      <c r="A33" s="251"/>
      <c r="B33" s="246" t="s">
        <v>1099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218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219</v>
      </c>
      <c r="D36" s="2">
        <v>1221.74</v>
      </c>
      <c r="E36" s="65">
        <v>1222</v>
      </c>
      <c r="H36" s="65"/>
    </row>
    <row r="37" spans="1:8">
      <c r="B37" t="s">
        <v>220</v>
      </c>
      <c r="D37" s="2">
        <v>1264.8699999999999</v>
      </c>
      <c r="E37" s="65">
        <v>1265</v>
      </c>
      <c r="F37" s="65"/>
      <c r="G37" s="65"/>
    </row>
    <row r="38" spans="1:8">
      <c r="B38" t="s">
        <v>221</v>
      </c>
      <c r="D38" s="2">
        <v>366.02</v>
      </c>
      <c r="E38" s="65">
        <v>366</v>
      </c>
      <c r="F38" s="65"/>
      <c r="G38" s="65"/>
    </row>
    <row r="39" spans="1:8">
      <c r="B39" t="s">
        <v>1100</v>
      </c>
      <c r="D39" s="13">
        <v>200</v>
      </c>
      <c r="F39" s="65"/>
      <c r="G39" s="65"/>
    </row>
    <row r="40" spans="1:8">
      <c r="B40" t="s">
        <v>1101</v>
      </c>
      <c r="D40" s="2">
        <v>1479.95</v>
      </c>
      <c r="E40">
        <v>1480</v>
      </c>
      <c r="F40" s="65"/>
      <c r="G40" s="65"/>
    </row>
    <row r="41" spans="1:8">
      <c r="B41" t="s">
        <v>1102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1103</v>
      </c>
      <c r="C42" s="94"/>
      <c r="D42" s="267">
        <v>200</v>
      </c>
      <c r="E42">
        <v>200</v>
      </c>
      <c r="F42" s="65"/>
      <c r="G42" s="65"/>
    </row>
    <row r="43" spans="1:8">
      <c r="B43" t="s">
        <v>224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225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1104</v>
      </c>
      <c r="C50" s="94"/>
      <c r="D50" s="94" t="s">
        <v>319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1105</v>
      </c>
      <c r="C51" s="94"/>
      <c r="D51" s="94" t="s">
        <v>319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1106</v>
      </c>
      <c r="C52" s="94"/>
      <c r="D52" s="94" t="s">
        <v>415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1107</v>
      </c>
      <c r="C53" s="94"/>
      <c r="D53" s="88" t="s">
        <v>960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983</v>
      </c>
      <c r="C54" s="94"/>
      <c r="D54" s="94" t="s">
        <v>895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984</v>
      </c>
      <c r="C55" s="94"/>
      <c r="D55" s="94" t="s">
        <v>895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985</v>
      </c>
      <c r="C56" s="94"/>
      <c r="D56" s="94" t="s">
        <v>895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986</v>
      </c>
      <c r="C57" s="94"/>
      <c r="D57" s="94" t="s">
        <v>895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1108</v>
      </c>
      <c r="E58" s="65">
        <v>-182.4</v>
      </c>
      <c r="F58" s="65"/>
      <c r="G58" s="65"/>
      <c r="H58" s="65"/>
    </row>
    <row r="59" spans="1:8">
      <c r="A59" s="97"/>
      <c r="B59" t="s">
        <v>1109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1110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1111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333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1112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1113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1114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1115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1116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1117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1118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1119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1120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1121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1122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588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1123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1124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1125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1126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1127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1128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1129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1130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80</v>
      </c>
      <c r="E112">
        <v>32000</v>
      </c>
    </row>
    <row r="113" spans="1:5">
      <c r="A113" s="97">
        <v>45291</v>
      </c>
      <c r="B113" t="s">
        <v>168</v>
      </c>
      <c r="E113">
        <v>40000</v>
      </c>
    </row>
    <row r="114" spans="1:5">
      <c r="A114" s="97">
        <v>45291</v>
      </c>
      <c r="B114" t="s">
        <v>169</v>
      </c>
      <c r="E114">
        <v>40162.18</v>
      </c>
    </row>
    <row r="115" spans="1:5">
      <c r="A115" s="97">
        <v>45291</v>
      </c>
      <c r="B115" t="s">
        <v>170</v>
      </c>
      <c r="E115">
        <v>44912.09</v>
      </c>
    </row>
    <row r="116" spans="1:5">
      <c r="A116" s="97">
        <v>45291</v>
      </c>
      <c r="B116" t="s">
        <v>230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231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232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233</v>
      </c>
      <c r="E119">
        <v>60000</v>
      </c>
    </row>
    <row r="120" spans="1:5">
      <c r="B120" t="s">
        <v>234</v>
      </c>
      <c r="E120" s="65">
        <f>H2</f>
        <v>-14998.419999999998</v>
      </c>
    </row>
    <row r="122" spans="1:5">
      <c r="D122" s="70" t="s">
        <v>185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111</v>
      </c>
      <c r="D1" s="24"/>
      <c r="E1" s="25"/>
      <c r="F1" s="23" t="s">
        <v>112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114</v>
      </c>
    </row>
    <row r="2" spans="1:14" ht="15.75">
      <c r="A2" s="21">
        <v>-2022</v>
      </c>
      <c r="B2" s="25" t="s">
        <v>116</v>
      </c>
      <c r="C2" s="30" t="s">
        <v>117</v>
      </c>
      <c r="D2" s="24" t="s">
        <v>118</v>
      </c>
      <c r="E2" s="25" t="s">
        <v>116</v>
      </c>
      <c r="F2" s="30" t="s">
        <v>117</v>
      </c>
      <c r="G2" s="24" t="s">
        <v>3</v>
      </c>
      <c r="H2" s="26"/>
      <c r="I2" s="27"/>
      <c r="J2" s="28" t="s">
        <v>119</v>
      </c>
      <c r="K2" s="269" t="s">
        <v>606</v>
      </c>
      <c r="L2" s="269" t="s">
        <v>607</v>
      </c>
      <c r="M2" s="269" t="s">
        <v>120</v>
      </c>
      <c r="N2" s="28" t="s">
        <v>1131</v>
      </c>
    </row>
    <row r="3" spans="1:14">
      <c r="A3" t="s">
        <v>121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122</v>
      </c>
      <c r="J3">
        <v>36</v>
      </c>
      <c r="M3" s="2">
        <v>36</v>
      </c>
    </row>
    <row r="4" spans="1:14">
      <c r="A4" t="s">
        <v>123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126</v>
      </c>
      <c r="J4">
        <v>19.8</v>
      </c>
      <c r="M4" s="2">
        <v>19.8</v>
      </c>
    </row>
    <row r="5" spans="1:14">
      <c r="A5" t="s">
        <v>125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213</v>
      </c>
      <c r="N5" s="2">
        <v>46.1</v>
      </c>
    </row>
    <row r="6" spans="1:14">
      <c r="A6" t="s">
        <v>127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136</v>
      </c>
      <c r="J6">
        <v>60</v>
      </c>
      <c r="M6" s="2">
        <v>6.5</v>
      </c>
    </row>
    <row r="7" spans="1:14">
      <c r="A7" t="s">
        <v>129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1132</v>
      </c>
      <c r="J7">
        <v>95</v>
      </c>
      <c r="M7" s="2">
        <v>23.75</v>
      </c>
    </row>
    <row r="8" spans="1:14">
      <c r="A8" t="s">
        <v>1133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1134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140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1135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144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137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142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139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134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141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124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143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138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187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116</v>
      </c>
      <c r="G1" s="277" t="s">
        <v>117</v>
      </c>
      <c r="H1" s="124" t="s">
        <v>3</v>
      </c>
    </row>
    <row r="2" spans="1:8">
      <c r="A2" s="3" t="s">
        <v>1136</v>
      </c>
      <c r="C2" s="87" t="s">
        <v>187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1137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1138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1139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1140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1141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220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221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1142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222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223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1143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224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1144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1145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1146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1147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1148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1149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1150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1151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1152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1153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1154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1155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1155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1156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1157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1158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1159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1160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1161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1162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1163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1164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1165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1166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1167</v>
      </c>
      <c r="C46" s="94" t="s">
        <v>1168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1169</v>
      </c>
      <c r="C47" s="94" t="s">
        <v>1168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1170</v>
      </c>
      <c r="C48" s="94" t="s">
        <v>1171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1172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80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168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212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213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214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1173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1174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1175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1176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1177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1178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1179</v>
      </c>
      <c r="C69" s="211"/>
      <c r="D69" s="260">
        <v>200</v>
      </c>
      <c r="E69" s="65" t="s">
        <v>1180</v>
      </c>
      <c r="H69" s="65"/>
    </row>
    <row r="70" spans="1:8">
      <c r="A70" s="279">
        <v>44839</v>
      </c>
      <c r="B70" s="211" t="s">
        <v>1181</v>
      </c>
      <c r="C70" s="211"/>
      <c r="D70" s="260">
        <v>200</v>
      </c>
      <c r="E70" s="65" t="s">
        <v>1180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1061</v>
      </c>
      <c r="C72" s="211">
        <v>3</v>
      </c>
      <c r="D72" t="s">
        <v>1182</v>
      </c>
      <c r="E72" s="65"/>
    </row>
    <row r="73" spans="1:8">
      <c r="A73" s="279">
        <v>44844</v>
      </c>
      <c r="B73" s="211" t="s">
        <v>1063</v>
      </c>
      <c r="C73" s="98"/>
      <c r="D73" t="s">
        <v>1064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1183</v>
      </c>
      <c r="C2" s="87" t="s">
        <v>187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220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221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1179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222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223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1184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224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1144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1185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1137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1138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1186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1187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1188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1189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1190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1191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1192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1193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1194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1195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1037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1196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1197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1198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1199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1200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1201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80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168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212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213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214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1202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1203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1204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1205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1206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1207</v>
      </c>
      <c r="H54" s="65">
        <f t="shared" si="1"/>
        <v>159986.79999999999</v>
      </c>
    </row>
    <row r="56" spans="1:8">
      <c r="A56" s="97">
        <v>44844</v>
      </c>
      <c r="B56" s="283" t="s">
        <v>1063</v>
      </c>
      <c r="C56" s="283"/>
      <c r="D56" s="284">
        <v>2000</v>
      </c>
    </row>
    <row r="57" spans="1:8">
      <c r="A57" s="97">
        <v>44839</v>
      </c>
      <c r="B57" s="283" t="s">
        <v>1181</v>
      </c>
      <c r="C57" s="283"/>
      <c r="D57" s="284">
        <v>200</v>
      </c>
    </row>
    <row r="59" spans="1:8">
      <c r="A59" s="279">
        <v>44803</v>
      </c>
      <c r="B59" s="211" t="s">
        <v>1061</v>
      </c>
      <c r="C59" s="211"/>
      <c r="D59" s="280"/>
    </row>
    <row r="60" spans="1:8">
      <c r="A60" s="279">
        <v>44772</v>
      </c>
      <c r="B60" s="211" t="s">
        <v>1208</v>
      </c>
      <c r="C60" s="211"/>
      <c r="D60" s="280"/>
    </row>
    <row r="61" spans="1:8">
      <c r="A61" s="279">
        <v>44742</v>
      </c>
      <c r="B61" s="211" t="s">
        <v>1209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1210</v>
      </c>
      <c r="C2" s="87" t="s">
        <v>187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1211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220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221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1181</v>
      </c>
      <c r="D8" s="13">
        <v>200</v>
      </c>
      <c r="E8" s="65"/>
      <c r="F8" s="65"/>
      <c r="G8" s="65"/>
      <c r="H8" s="65"/>
    </row>
    <row r="9" spans="1:8">
      <c r="B9" t="s">
        <v>222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223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223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224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1144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1137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1138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1212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1213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1214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1215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1216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1217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1218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1219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1220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419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419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1221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419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1222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330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1223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1224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419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419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1225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1226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1227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1228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1229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419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1221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1230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1231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1220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1232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1233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1234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1235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1236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1237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1238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243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1239</v>
      </c>
      <c r="G56" s="65"/>
      <c r="H56" s="65">
        <f t="shared" si="1"/>
        <v>-42104.91</v>
      </c>
    </row>
    <row r="57" spans="1:8">
      <c r="A57" s="97"/>
      <c r="B57" t="s">
        <v>1240</v>
      </c>
      <c r="G57" s="65"/>
      <c r="H57" s="65">
        <f t="shared" si="1"/>
        <v>-42104.91</v>
      </c>
    </row>
    <row r="58" spans="1:8">
      <c r="A58" s="97">
        <v>44844</v>
      </c>
      <c r="B58" t="s">
        <v>1241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1241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1242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1063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1243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1244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1245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80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168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212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213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214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1246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1247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1248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1207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1249</v>
      </c>
      <c r="H82" s="65">
        <f t="shared" si="2"/>
        <v>-11205.910000000003</v>
      </c>
    </row>
    <row r="83" spans="1:8">
      <c r="B83" s="285" t="s">
        <v>1250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1251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1061</v>
      </c>
      <c r="C87" s="211"/>
      <c r="D87" s="287">
        <v>4000</v>
      </c>
      <c r="H87" s="65"/>
    </row>
    <row r="88" spans="1:8">
      <c r="A88" s="279">
        <v>44772</v>
      </c>
      <c r="B88" s="211" t="s">
        <v>1208</v>
      </c>
      <c r="C88" s="211"/>
      <c r="D88" s="287">
        <v>4000</v>
      </c>
      <c r="H88" s="65"/>
    </row>
    <row r="89" spans="1:8">
      <c r="A89" s="279">
        <v>44742</v>
      </c>
      <c r="B89" s="211" t="s">
        <v>1209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1252</v>
      </c>
      <c r="C2" s="87" t="s">
        <v>187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220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1253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224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1144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1137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1138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1254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1255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1256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1244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1257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1258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1259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1260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1261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1262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1263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1264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1265</v>
      </c>
      <c r="C27" s="94" t="s">
        <v>1266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80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243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168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1267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1268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213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214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1269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1270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1271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1250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1061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1208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1209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1272</v>
      </c>
      <c r="C2" s="87" t="s">
        <v>187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220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1273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1253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224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1144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1137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1138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1274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1275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1276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1244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1257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1277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1278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1264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1279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80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168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212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1280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1281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1282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1283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1284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1285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1286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1287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1288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1289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1290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1291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1291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1292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1293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1294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213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214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1295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1250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1061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1296</v>
      </c>
      <c r="H54" s="65">
        <f t="shared" si="1"/>
        <v>61721.7</v>
      </c>
    </row>
    <row r="55" spans="1:8">
      <c r="B55" s="259" t="s">
        <v>1297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1298</v>
      </c>
      <c r="C56" s="293" t="s">
        <v>1299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1300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1209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1208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1301</v>
      </c>
      <c r="C2" s="87" t="s">
        <v>187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220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1273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224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1144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1137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1138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1302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1303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1304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1305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1306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1244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1257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1307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1308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1033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1309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1310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1311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1312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1313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1314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1037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1264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1315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80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884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168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883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212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1316</v>
      </c>
      <c r="C41" t="s">
        <v>1299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1317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213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1318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1319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1297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1320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1208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1321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1209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1322</v>
      </c>
      <c r="C2" s="87" t="s">
        <v>187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1323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220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1273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224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1144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1137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1138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1324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1325</v>
      </c>
      <c r="C15" t="s">
        <v>1299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1326</v>
      </c>
      <c r="C16" t="s">
        <v>1327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1328</v>
      </c>
      <c r="E18" s="65"/>
      <c r="F18" s="65"/>
      <c r="G18" s="65"/>
      <c r="H18" s="65">
        <f t="shared" si="0"/>
        <v>-5596.51</v>
      </c>
    </row>
    <row r="19" spans="1:8">
      <c r="B19" t="s">
        <v>1329</v>
      </c>
      <c r="E19" s="65"/>
      <c r="F19" s="65"/>
      <c r="G19" s="65"/>
      <c r="H19" s="65">
        <f t="shared" si="0"/>
        <v>-5596.51</v>
      </c>
    </row>
    <row r="20" spans="1:8">
      <c r="B20" t="s">
        <v>1330</v>
      </c>
      <c r="E20" s="65"/>
      <c r="F20" s="65"/>
      <c r="G20" s="65"/>
      <c r="H20" s="65">
        <f t="shared" si="0"/>
        <v>-5596.51</v>
      </c>
    </row>
    <row r="21" spans="1:8">
      <c r="B21" t="s">
        <v>1331</v>
      </c>
      <c r="C21" t="s">
        <v>1299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1332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1333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1312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1334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1335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1336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1337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867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1264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1338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1244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1257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80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168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1339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213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1340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1341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1342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1343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1209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1344</v>
      </c>
      <c r="B1" s="43">
        <v>2.98</v>
      </c>
      <c r="F1" s="124" t="s">
        <v>116</v>
      </c>
      <c r="G1" s="124" t="s">
        <v>117</v>
      </c>
      <c r="H1" s="124" t="s">
        <v>3</v>
      </c>
    </row>
    <row r="2" spans="1:8">
      <c r="A2" s="3" t="s">
        <v>1345</v>
      </c>
      <c r="C2" s="87" t="s">
        <v>187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1323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220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1346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1253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224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1144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1137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1138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1244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1257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588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1347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1347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588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1159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1348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1349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1264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80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168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212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213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214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1350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1343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1351</v>
      </c>
      <c r="C2" s="87" t="s">
        <v>187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1323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220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1273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224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1144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1137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1138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1244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1257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1352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1353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1354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1355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1356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1357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1264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80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168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1358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212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213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1359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1360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1361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1362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1363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116</v>
      </c>
      <c r="G1" s="124" t="s">
        <v>117</v>
      </c>
      <c r="H1" s="124" t="s">
        <v>3</v>
      </c>
    </row>
    <row r="2" spans="1:9">
      <c r="A2" s="3" t="s">
        <v>1364</v>
      </c>
      <c r="C2" s="87" t="s">
        <v>187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1323</v>
      </c>
      <c r="C5" t="s">
        <v>1365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220</v>
      </c>
      <c r="C6" t="s">
        <v>1365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1273</v>
      </c>
      <c r="C7" t="s">
        <v>1365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224</v>
      </c>
      <c r="C8" t="s">
        <v>1365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1144</v>
      </c>
      <c r="C9" s="94" t="s">
        <v>1366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1137</v>
      </c>
      <c r="C10" s="88" t="s">
        <v>1366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1138</v>
      </c>
      <c r="C11" s="88" t="s">
        <v>1366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1244</v>
      </c>
      <c r="C13" s="94" t="s">
        <v>1366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1257</v>
      </c>
      <c r="C14" s="94" t="s">
        <v>1366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1367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1368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1369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1264</v>
      </c>
      <c r="C19" s="316" t="s">
        <v>1366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80</v>
      </c>
      <c r="C21" t="s">
        <v>1366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168</v>
      </c>
      <c r="C22" t="s">
        <v>1366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1370</v>
      </c>
      <c r="C23" t="s">
        <v>1366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212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213</v>
      </c>
      <c r="C26" t="s">
        <v>1366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214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1371</v>
      </c>
      <c r="C28" s="65" t="s">
        <v>1365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1372</v>
      </c>
      <c r="C30" s="65" t="s">
        <v>1365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1373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1374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1375</v>
      </c>
      <c r="C2" s="87" t="s">
        <v>187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1323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220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1273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224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1144</v>
      </c>
      <c r="C9" s="94" t="s">
        <v>1366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1137</v>
      </c>
      <c r="C10" s="88" t="s">
        <v>1366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1138</v>
      </c>
      <c r="C11" s="88" t="s">
        <v>1366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1244</v>
      </c>
      <c r="C13" s="94" t="s">
        <v>1366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1257</v>
      </c>
      <c r="C14" s="94" t="s">
        <v>1366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1264</v>
      </c>
      <c r="C16" s="316" t="s">
        <v>1366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1367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1376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1377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80</v>
      </c>
      <c r="C21" t="s">
        <v>1299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1378</v>
      </c>
      <c r="C22" t="s">
        <v>1379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168</v>
      </c>
      <c r="C23" t="s">
        <v>1299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1380</v>
      </c>
      <c r="C24" t="s">
        <v>1299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212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213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1381</v>
      </c>
      <c r="C28" t="s">
        <v>1366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1381</v>
      </c>
      <c r="C29" t="s">
        <v>1366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1382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180" t="s">
        <v>1383</v>
      </c>
      <c r="C2" s="87" t="s">
        <v>187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1384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1323</v>
      </c>
      <c r="C5" t="s">
        <v>1365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220</v>
      </c>
      <c r="C6" t="s">
        <v>1365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1273</v>
      </c>
      <c r="C7" t="s">
        <v>1365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224</v>
      </c>
      <c r="C8" t="s">
        <v>1365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1144</v>
      </c>
      <c r="C9" s="94" t="s">
        <v>1366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1137</v>
      </c>
      <c r="C10" s="88" t="s">
        <v>1366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1138</v>
      </c>
      <c r="C11" s="88" t="s">
        <v>1366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1244</v>
      </c>
      <c r="C13" s="94" t="s">
        <v>1366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1257</v>
      </c>
      <c r="C14" s="94" t="s">
        <v>1366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1367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1264</v>
      </c>
      <c r="C17" s="316" t="s">
        <v>1366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80</v>
      </c>
      <c r="C19" t="s">
        <v>1299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168</v>
      </c>
      <c r="C20" t="s">
        <v>1299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212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213</v>
      </c>
      <c r="C23" t="s">
        <v>1366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214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1385</v>
      </c>
      <c r="C25" t="s">
        <v>1365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1386</v>
      </c>
    </row>
    <row r="3" spans="1:14">
      <c r="A3" t="s">
        <v>1387</v>
      </c>
      <c r="C3" t="s">
        <v>1388</v>
      </c>
      <c r="D3" t="s">
        <v>1389</v>
      </c>
    </row>
    <row r="4" spans="1:14">
      <c r="A4" t="s">
        <v>1390</v>
      </c>
      <c r="C4" t="s">
        <v>1391</v>
      </c>
      <c r="D4" t="s">
        <v>1392</v>
      </c>
    </row>
    <row r="5" spans="1:14">
      <c r="A5" t="s">
        <v>1393</v>
      </c>
      <c r="C5" t="s">
        <v>1391</v>
      </c>
      <c r="D5" t="s">
        <v>1394</v>
      </c>
    </row>
    <row r="10" spans="1:14" ht="15.75">
      <c r="A10" s="21"/>
      <c r="B10" s="22"/>
      <c r="C10" s="23" t="s">
        <v>111</v>
      </c>
      <c r="D10" s="24"/>
      <c r="E10" s="25"/>
      <c r="F10" s="23" t="s">
        <v>112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114</v>
      </c>
    </row>
    <row r="11" spans="1:14" ht="15.75">
      <c r="A11" s="21">
        <v>-2022</v>
      </c>
      <c r="B11" s="25" t="s">
        <v>116</v>
      </c>
      <c r="C11" s="30" t="s">
        <v>117</v>
      </c>
      <c r="D11" s="24" t="s">
        <v>118</v>
      </c>
      <c r="E11" s="25" t="s">
        <v>116</v>
      </c>
      <c r="F11" s="30" t="s">
        <v>117</v>
      </c>
      <c r="G11" s="24" t="s">
        <v>3</v>
      </c>
      <c r="H11" s="26"/>
      <c r="I11" s="27"/>
      <c r="J11" s="28" t="s">
        <v>119</v>
      </c>
      <c r="K11" s="269" t="s">
        <v>606</v>
      </c>
      <c r="L11" s="269" t="s">
        <v>607</v>
      </c>
      <c r="M11" s="269" t="s">
        <v>120</v>
      </c>
      <c r="N11" s="28" t="s">
        <v>1131</v>
      </c>
    </row>
    <row r="12" spans="1:14">
      <c r="A12" t="s">
        <v>121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122</v>
      </c>
      <c r="J12">
        <v>36</v>
      </c>
      <c r="K12" s="2"/>
      <c r="M12" s="2">
        <v>36</v>
      </c>
    </row>
    <row r="13" spans="1:14">
      <c r="A13" t="s">
        <v>123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126</v>
      </c>
      <c r="J13">
        <v>19.8</v>
      </c>
      <c r="K13" s="2"/>
      <c r="M13" s="2">
        <v>19.8</v>
      </c>
    </row>
    <row r="14" spans="1:14">
      <c r="A14" t="s">
        <v>125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213</v>
      </c>
      <c r="N14" s="2">
        <v>46.1</v>
      </c>
    </row>
    <row r="15" spans="1:14">
      <c r="A15" t="s">
        <v>127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136</v>
      </c>
      <c r="J15">
        <v>60</v>
      </c>
      <c r="K15" s="2"/>
      <c r="M15" s="2">
        <v>6.5</v>
      </c>
    </row>
    <row r="16" spans="1:14">
      <c r="A16" t="s">
        <v>129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1132</v>
      </c>
      <c r="J16">
        <v>95</v>
      </c>
      <c r="K16" s="2"/>
      <c r="M16" s="2">
        <v>23.75</v>
      </c>
    </row>
    <row r="17" spans="1:14">
      <c r="A17" t="s">
        <v>1133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1134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140</v>
      </c>
      <c r="J18">
        <v>42</v>
      </c>
      <c r="K18" s="2">
        <v>9.8578200000000002</v>
      </c>
      <c r="L18" s="2">
        <v>32.142180000000003</v>
      </c>
    </row>
    <row r="19" spans="1:14">
      <c r="A19" t="s">
        <v>1135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144</v>
      </c>
      <c r="J19">
        <v>84</v>
      </c>
      <c r="K19" s="2">
        <v>19.71564</v>
      </c>
      <c r="L19" s="2">
        <v>64.284360000000007</v>
      </c>
    </row>
    <row r="20" spans="1:14">
      <c r="A20" t="s">
        <v>137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142</v>
      </c>
      <c r="J20">
        <v>84</v>
      </c>
      <c r="K20" s="2">
        <v>19.71564</v>
      </c>
      <c r="L20" s="2">
        <v>64.284360000000007</v>
      </c>
    </row>
    <row r="21" spans="1:14">
      <c r="A21" t="s">
        <v>139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134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141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124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143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138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187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270</cp:revision>
  <cp:lastPrinted>2023-12-11T05:55:06Z</cp:lastPrinted>
  <dcterms:created xsi:type="dcterms:W3CDTF">2022-03-04T11:30:59Z</dcterms:created>
  <dcterms:modified xsi:type="dcterms:W3CDTF">2024-12-23T21:30:15Z</dcterms:modified>
  <dc:language>tr-TR</dc:language>
</cp:coreProperties>
</file>