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2937935-E8B5-40A4-B460-6BDDC3324CB4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" i="6" l="1"/>
  <c r="H17" i="6" s="1"/>
  <c r="H18" i="6" s="1"/>
  <c r="H19" i="6" s="1"/>
  <c r="H20" i="6" s="1"/>
  <c r="H21" i="6" s="1"/>
  <c r="H22" i="6" s="1"/>
  <c r="H23" i="6" s="1"/>
  <c r="H24" i="6" s="1"/>
  <c r="H25" i="6" s="1"/>
  <c r="E66" i="6"/>
  <c r="C105" i="6"/>
  <c r="H13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C25" i="3"/>
  <c r="E19" i="3"/>
  <c r="M7" i="3" s="1"/>
  <c r="F58" i="1"/>
  <c r="F59" i="1" s="1"/>
  <c r="F60" i="1" s="1"/>
  <c r="F61" i="1" s="1"/>
  <c r="F62" i="1" s="1"/>
  <c r="F63" i="1" s="1"/>
  <c r="F64" i="1" s="1"/>
  <c r="F65" i="1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H2" i="40" s="1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H2" i="39" s="1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D2" i="38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2" i="37"/>
  <c r="E10" i="32" s="1"/>
  <c r="E2" i="37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F10" i="32"/>
  <c r="C10" i="32"/>
  <c r="K9" i="32"/>
  <c r="C9" i="32"/>
  <c r="B9" i="32"/>
  <c r="F8" i="32"/>
  <c r="B8" i="32"/>
  <c r="F7" i="32"/>
  <c r="C7" i="32"/>
  <c r="B7" i="32"/>
  <c r="B6" i="32"/>
  <c r="E5" i="32"/>
  <c r="C5" i="32"/>
  <c r="B5" i="32"/>
  <c r="F4" i="32"/>
  <c r="E4" i="32"/>
  <c r="B4" i="32"/>
  <c r="F3" i="32"/>
  <c r="E3" i="32"/>
  <c r="C3" i="32"/>
  <c r="B3" i="32"/>
  <c r="L1" i="32"/>
  <c r="E118" i="31"/>
  <c r="E117" i="31"/>
  <c r="E116" i="31"/>
  <c r="E111" i="31" s="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D2" i="31"/>
  <c r="E118" i="30"/>
  <c r="E117" i="30"/>
  <c r="E116" i="30"/>
  <c r="E87" i="30"/>
  <c r="E6" i="30" s="1"/>
  <c r="E2" i="30" s="1"/>
  <c r="C4" i="16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F2" i="30"/>
  <c r="H2" i="30" s="1"/>
  <c r="E121" i="30" s="1"/>
  <c r="D2" i="30"/>
  <c r="E118" i="29"/>
  <c r="E117" i="29"/>
  <c r="E116" i="29"/>
  <c r="E95" i="29"/>
  <c r="E58" i="29"/>
  <c r="E13" i="29" s="1"/>
  <c r="E46" i="29"/>
  <c r="D46" i="29"/>
  <c r="E14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1" i="26" s="1"/>
  <c r="N8" i="16" s="1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5" i="24"/>
  <c r="H6" i="24" s="1"/>
  <c r="H4" i="24"/>
  <c r="G2" i="24"/>
  <c r="C121" i="23"/>
  <c r="E118" i="23"/>
  <c r="E117" i="23"/>
  <c r="E116" i="23"/>
  <c r="E87" i="23"/>
  <c r="E9" i="23" s="1"/>
  <c r="E2" i="23" s="1"/>
  <c r="C11" i="16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2" i="23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4" i="20"/>
  <c r="A115" i="20" s="1"/>
  <c r="A113" i="20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H7" i="20" s="1"/>
  <c r="H8" i="20" s="1"/>
  <c r="H9" i="20" s="1"/>
  <c r="H10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G60" i="17" s="1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L12" i="16"/>
  <c r="K12" i="16"/>
  <c r="E12" i="16"/>
  <c r="B12" i="16"/>
  <c r="K11" i="16"/>
  <c r="L11" i="16" s="1"/>
  <c r="F11" i="16"/>
  <c r="E11" i="16"/>
  <c r="B11" i="16"/>
  <c r="F10" i="16"/>
  <c r="K9" i="16"/>
  <c r="L9" i="16" s="1"/>
  <c r="E9" i="16"/>
  <c r="M8" i="16"/>
  <c r="F8" i="16"/>
  <c r="E8" i="16"/>
  <c r="B8" i="16"/>
  <c r="M7" i="16"/>
  <c r="F7" i="16"/>
  <c r="E7" i="16"/>
  <c r="B7" i="16"/>
  <c r="F6" i="16"/>
  <c r="E6" i="16"/>
  <c r="B6" i="16"/>
  <c r="F5" i="16"/>
  <c r="E5" i="16"/>
  <c r="B5" i="16"/>
  <c r="K4" i="16"/>
  <c r="F4" i="16"/>
  <c r="E4" i="16"/>
  <c r="B4" i="16"/>
  <c r="N3" i="16"/>
  <c r="M3" i="16"/>
  <c r="F3" i="16"/>
  <c r="E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6" i="14"/>
  <c r="H7" i="14" s="1"/>
  <c r="H8" i="14" s="1"/>
  <c r="H4" i="14"/>
  <c r="H5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H7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H6" i="7" s="1"/>
  <c r="H7" i="7" s="1"/>
  <c r="H8" i="7" s="1"/>
  <c r="H9" i="7" s="1"/>
  <c r="H10" i="7" s="1"/>
  <c r="H11" i="7" s="1"/>
  <c r="H12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E2" i="6" l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H2" i="27"/>
  <c r="E107" i="5"/>
  <c r="H2" i="5"/>
  <c r="E116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H8" i="13"/>
  <c r="M14" i="4"/>
  <c r="N8" i="4" s="1"/>
  <c r="N9" i="4" s="1"/>
  <c r="N10" i="4" s="1"/>
  <c r="N11" i="4" s="1"/>
  <c r="N12" i="4" s="1"/>
  <c r="N13" i="4" s="1"/>
  <c r="G2" i="10"/>
  <c r="F8" i="3" s="1"/>
  <c r="H8" i="2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F26" i="16"/>
  <c r="N2" i="16" s="1"/>
  <c r="F27" i="19"/>
  <c r="H2" i="31"/>
  <c r="E120" i="31" s="1"/>
  <c r="E122" i="31" s="1"/>
  <c r="E6" i="32"/>
  <c r="E15" i="32" s="1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18" i="5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28" i="4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E121" i="25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35" i="19" s="1"/>
  <c r="E123" i="25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7" l="1"/>
  <c r="E124" i="7" s="1"/>
  <c r="D6" i="16"/>
  <c r="N16" i="16"/>
  <c r="J64" i="2"/>
  <c r="G10" i="16"/>
  <c r="G11" i="16" s="1"/>
  <c r="G12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G13" i="16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F66" i="1" s="1"/>
  <c r="F67" i="1" s="1"/>
  <c r="F68" i="1" s="1"/>
  <c r="F69" i="1" s="1"/>
  <c r="G14" i="16"/>
  <c r="F15" i="16"/>
  <c r="F16" i="3"/>
  <c r="G15" i="3"/>
  <c r="G16" i="3" s="1"/>
  <c r="D43" i="18"/>
  <c r="D44" i="18" s="1"/>
  <c r="D49" i="18"/>
  <c r="F49" i="18" s="1"/>
  <c r="E44" i="18"/>
  <c r="F70" i="1" l="1"/>
  <c r="F71" i="1" s="1"/>
  <c r="F16" i="16"/>
  <c r="G15" i="16"/>
  <c r="G16" i="16" s="1"/>
</calcChain>
</file>

<file path=xl/sharedStrings.xml><?xml version="1.0" encoding="utf-8"?>
<sst xmlns="http://schemas.openxmlformats.org/spreadsheetml/2006/main" count="3780" uniqueCount="1489">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</sst>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4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77" fontId="0" fillId="0" borderId="0" xfId="0" applyNumberFormat="1" applyFont="1"/>
    <xf numFmtId="187" fontId="0" fillId="0" borderId="0" xfId="0" applyNumberFormat="1"/>
    <xf numFmtId="180" fontId="45" fillId="0" borderId="0" xfId="2" applyNumberForma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84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1405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1422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1467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1466</v>
      </c>
      <c r="E59" s="2">
        <v>6000</v>
      </c>
      <c r="F59" s="2">
        <f t="shared" si="0"/>
        <v>365500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335500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329000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292500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256000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219500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183000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146500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110000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73500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37000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500</v>
      </c>
    </row>
    <row r="71" spans="1:6">
      <c r="F71" s="2">
        <f t="shared" si="0"/>
        <v>500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1414</v>
      </c>
      <c r="C85" s="291" t="s">
        <v>1415</v>
      </c>
      <c r="D85" s="317"/>
      <c r="E85" s="318" t="s">
        <v>1416</v>
      </c>
      <c r="F85" s="318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1427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1426</v>
      </c>
      <c r="E102" s="326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0" t="s">
        <v>118</v>
      </c>
      <c r="M1" s="340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-81346.3</v>
      </c>
      <c r="D11" s="35">
        <f t="shared" si="0"/>
        <v>73078.566306999972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-126233.26999999999</v>
      </c>
      <c r="D12" s="35">
        <f t="shared" si="0"/>
        <v>-25170.553693000023</v>
      </c>
      <c r="E12" s="34">
        <f>'10_24'!F2</f>
        <v>0</v>
      </c>
      <c r="F12" s="34">
        <f>'10_24'!G2</f>
        <v>-1513.12</v>
      </c>
      <c r="G12" s="35">
        <f t="shared" si="1"/>
        <v>-24838.07369299998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78483.616306999989</v>
      </c>
      <c r="E13" s="34">
        <f>'11_24'!F2</f>
        <v>0</v>
      </c>
      <c r="F13" s="34">
        <f>'11_24'!G2</f>
        <v>0</v>
      </c>
      <c r="G13" s="35">
        <f t="shared" si="1"/>
        <v>-24838.07369299998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51907.746306999987</v>
      </c>
      <c r="E14" s="34">
        <f>'12_24'!F2</f>
        <v>0</v>
      </c>
      <c r="F14" s="34">
        <f>'12_24'!G2</f>
        <v>0</v>
      </c>
      <c r="G14" s="35">
        <f t="shared" si="1"/>
        <v>-24838.07369299998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-1036077.603693</v>
      </c>
      <c r="D15" s="35">
        <f>B15+C15</f>
        <v>51907.746307000052</v>
      </c>
      <c r="E15" s="35">
        <f>SUM(E3:E14)</f>
        <v>724402.4800000001</v>
      </c>
      <c r="F15" s="35">
        <f>SUM(F3:F14)</f>
        <v>-749240.55369299999</v>
      </c>
      <c r="G15" s="35">
        <f>E15+F15</f>
        <v>-24838.073692999897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-86339.800307750003</v>
      </c>
      <c r="D16" s="57"/>
      <c r="E16" s="57">
        <f>E15/A16</f>
        <v>60366.873333333344</v>
      </c>
      <c r="F16" s="57">
        <f>F15/A16</f>
        <v>-62436.712807750002</v>
      </c>
      <c r="G16" s="57">
        <f>G15/A16</f>
        <v>-2069.839474416658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1">
        <f>L15+M15</f>
        <v>1181.49614</v>
      </c>
      <c r="M17" s="341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'07_24'!F30+'08_24'!F24+'09_24'!F19+'10_24'!F25+'11_24'!F24+'12_24'!F29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9">
        <f>(D27/D24)-1</f>
        <v>0.24730089883567064</v>
      </c>
    </row>
    <row r="26" spans="2:13">
      <c r="C26" t="s">
        <v>1464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8">
        <v>45655</v>
      </c>
      <c r="B39" t="s">
        <v>1451</v>
      </c>
      <c r="C39" t="s">
        <v>1454</v>
      </c>
      <c r="E39" s="85">
        <v>-1380</v>
      </c>
    </row>
    <row r="40" spans="1:8">
      <c r="A40" s="338">
        <v>45686</v>
      </c>
      <c r="B40" t="s">
        <v>1451</v>
      </c>
      <c r="C40" t="s">
        <v>1453</v>
      </c>
      <c r="E40" s="85">
        <v>-1380</v>
      </c>
    </row>
    <row r="41" spans="1:8">
      <c r="A41" s="338">
        <v>45716</v>
      </c>
      <c r="B41" t="s">
        <v>1451</v>
      </c>
      <c r="C41" t="s">
        <v>1455</v>
      </c>
      <c r="E41" s="85">
        <v>-1380</v>
      </c>
    </row>
    <row r="42" spans="1:8">
      <c r="A42" s="338">
        <v>45745</v>
      </c>
      <c r="B42" t="s">
        <v>1451</v>
      </c>
      <c r="C42" t="s">
        <v>1456</v>
      </c>
      <c r="E42" s="85">
        <v>-1380</v>
      </c>
    </row>
    <row r="43" spans="1:8">
      <c r="A43" s="338">
        <v>45776</v>
      </c>
      <c r="B43" t="s">
        <v>1451</v>
      </c>
      <c r="C43" t="s">
        <v>1457</v>
      </c>
      <c r="E43" s="85">
        <v>-1380</v>
      </c>
    </row>
    <row r="44" spans="1:8">
      <c r="A44" s="338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topLeftCell="A12" zoomScale="170" zoomScaleNormal="170" workbookViewId="0">
      <selection activeCell="E70" sqref="E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5">
        <v>45625</v>
      </c>
      <c r="B21" t="s">
        <v>1451</v>
      </c>
      <c r="C21" t="s">
        <v>1458</v>
      </c>
      <c r="E21" s="85">
        <v>-1380</v>
      </c>
      <c r="H21" s="85">
        <f t="shared" si="0"/>
        <v>0</v>
      </c>
    </row>
    <row r="22" spans="1:8">
      <c r="A22" s="335">
        <v>45626</v>
      </c>
      <c r="B22" s="88" t="s">
        <v>1460</v>
      </c>
      <c r="E22" s="85">
        <v>-1415</v>
      </c>
    </row>
    <row r="23" spans="1:8">
      <c r="A23" s="335">
        <v>45626</v>
      </c>
      <c r="B23" s="88" t="s">
        <v>1461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2"/>
  <sheetViews>
    <sheetView tabSelected="1" zoomScale="170" zoomScaleNormal="170" workbookViewId="0">
      <selection activeCell="E2" sqref="E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SUM(D4:D35)</f>
        <v>27984.149999999994</v>
      </c>
      <c r="E2" s="85">
        <f>SUM(E4:E35)</f>
        <v>-126233.26999999999</v>
      </c>
      <c r="F2" s="85">
        <f>SUM(F4:F35)</f>
        <v>0</v>
      </c>
      <c r="G2" s="85">
        <f>SUM(G4:G35)</f>
        <v>-1513.12</v>
      </c>
      <c r="H2" s="85">
        <f>F2+G2</f>
        <v>-1513.12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E5" s="337">
        <v>-250</v>
      </c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E6" s="337">
        <v>-1500</v>
      </c>
      <c r="G6" s="85">
        <v>-1513.12</v>
      </c>
      <c r="H6" s="85">
        <f t="shared" si="0"/>
        <v>-1513.12</v>
      </c>
    </row>
    <row r="7" spans="1:8">
      <c r="A7" s="96">
        <v>45569</v>
      </c>
      <c r="B7" s="95" t="s">
        <v>214</v>
      </c>
      <c r="E7" s="85">
        <f>E66</f>
        <v>-71389.3</v>
      </c>
      <c r="H7" s="85">
        <f t="shared" si="0"/>
        <v>-1513.12</v>
      </c>
    </row>
    <row r="8" spans="1:8">
      <c r="A8" s="335">
        <v>45572</v>
      </c>
      <c r="B8" s="95" t="s">
        <v>213</v>
      </c>
      <c r="E8" s="85">
        <f>E51</f>
        <v>-3066.5699999999997</v>
      </c>
      <c r="H8" s="85">
        <f t="shared" si="0"/>
        <v>-1513.12</v>
      </c>
    </row>
    <row r="9" spans="1:8">
      <c r="B9" s="95" t="s">
        <v>212</v>
      </c>
      <c r="E9" s="85">
        <f>E46*-1</f>
        <v>0</v>
      </c>
      <c r="H9" s="85">
        <f t="shared" si="0"/>
        <v>-1513.12</v>
      </c>
    </row>
    <row r="10" spans="1:8">
      <c r="B10" s="88" t="s">
        <v>249</v>
      </c>
      <c r="C10" s="88"/>
      <c r="E10" s="85">
        <v>-17500</v>
      </c>
      <c r="H10" s="85">
        <f t="shared" si="0"/>
        <v>-1513.12</v>
      </c>
    </row>
    <row r="11" spans="1:8">
      <c r="B11" s="88"/>
      <c r="C11" s="88"/>
      <c r="E11" s="337"/>
      <c r="H11" s="85">
        <f t="shared" si="0"/>
        <v>-1513.12</v>
      </c>
    </row>
    <row r="12" spans="1:8">
      <c r="B12" s="88"/>
      <c r="C12" s="88"/>
      <c r="E12" s="337"/>
      <c r="H12" s="85">
        <f t="shared" si="0"/>
        <v>-1513.12</v>
      </c>
    </row>
    <row r="13" spans="1:8">
      <c r="B13" s="88"/>
      <c r="C13" s="88"/>
      <c r="E13" s="337"/>
      <c r="H13" s="85">
        <f t="shared" si="0"/>
        <v>-1513.12</v>
      </c>
    </row>
    <row r="14" spans="1:8">
      <c r="B14" s="88"/>
      <c r="C14" s="88"/>
      <c r="E14" s="337"/>
      <c r="H14" s="85">
        <f t="shared" si="0"/>
        <v>-1513.12</v>
      </c>
    </row>
    <row r="15" spans="1:8">
      <c r="B15" s="88" t="s">
        <v>194</v>
      </c>
      <c r="C15" s="88"/>
      <c r="E15" s="85">
        <v>-400</v>
      </c>
      <c r="H15" s="85">
        <f t="shared" si="0"/>
        <v>-1513.12</v>
      </c>
    </row>
    <row r="16" spans="1:8">
      <c r="B16" s="88" t="s">
        <v>195</v>
      </c>
      <c r="C16" s="88"/>
      <c r="E16" s="85">
        <v>-500</v>
      </c>
      <c r="H16" s="85">
        <f t="shared" si="0"/>
        <v>-1513.12</v>
      </c>
    </row>
    <row r="17" spans="1:8">
      <c r="H17" s="85">
        <f t="shared" si="0"/>
        <v>-1513.12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-1513.12</v>
      </c>
    </row>
    <row r="19" spans="1:8">
      <c r="B19" s="94" t="s">
        <v>210</v>
      </c>
      <c r="C19" s="94" t="s">
        <v>209</v>
      </c>
      <c r="E19" s="85">
        <v>-300</v>
      </c>
      <c r="H19" s="85">
        <f t="shared" si="0"/>
        <v>-1513.12</v>
      </c>
    </row>
    <row r="20" spans="1:8">
      <c r="B20" s="94" t="s">
        <v>211</v>
      </c>
      <c r="C20" s="94" t="s">
        <v>209</v>
      </c>
      <c r="E20" s="85">
        <v>-100</v>
      </c>
      <c r="H20" s="85">
        <f t="shared" si="0"/>
        <v>-1513.12</v>
      </c>
    </row>
    <row r="21" spans="1:8">
      <c r="B21" s="88"/>
      <c r="C21" s="88"/>
      <c r="H21" s="85">
        <f t="shared" si="0"/>
        <v>-1513.12</v>
      </c>
    </row>
    <row r="22" spans="1:8">
      <c r="B22" t="s">
        <v>1465</v>
      </c>
      <c r="D22" s="337">
        <v>-120000</v>
      </c>
      <c r="H22" s="85">
        <f t="shared" si="0"/>
        <v>-1513.12</v>
      </c>
    </row>
    <row r="23" spans="1:8">
      <c r="A23" s="335">
        <v>45594</v>
      </c>
      <c r="B23" t="s">
        <v>1451</v>
      </c>
      <c r="C23" t="s">
        <v>1459</v>
      </c>
      <c r="E23" s="85">
        <v>-1380</v>
      </c>
      <c r="H23" s="85">
        <f t="shared" si="0"/>
        <v>-1513.12</v>
      </c>
    </row>
    <row r="24" spans="1:8">
      <c r="A24" s="335">
        <v>45595</v>
      </c>
      <c r="B24" t="s">
        <v>1136</v>
      </c>
      <c r="E24" s="85">
        <v>-197.4</v>
      </c>
      <c r="H24" s="85">
        <f t="shared" si="0"/>
        <v>-1513.12</v>
      </c>
    </row>
    <row r="25" spans="1:8">
      <c r="B25" t="s">
        <v>84</v>
      </c>
      <c r="E25" s="85">
        <v>-6500</v>
      </c>
      <c r="H25" s="85">
        <f t="shared" si="0"/>
        <v>-1513.12</v>
      </c>
    </row>
    <row r="26" spans="1:8">
      <c r="B26" t="s">
        <v>172</v>
      </c>
      <c r="E26" s="85">
        <v>-6500</v>
      </c>
      <c r="H26" s="85">
        <f t="shared" ref="H19:H33" si="1">H25+F26+G26</f>
        <v>-1513.12</v>
      </c>
    </row>
    <row r="27" spans="1:8">
      <c r="B27" t="s">
        <v>217</v>
      </c>
      <c r="E27" s="85">
        <v>-6500</v>
      </c>
      <c r="H27" s="85">
        <f t="shared" si="1"/>
        <v>-1513.12</v>
      </c>
    </row>
    <row r="28" spans="1:8">
      <c r="H28" s="85">
        <f t="shared" si="1"/>
        <v>-1513.12</v>
      </c>
    </row>
    <row r="29" spans="1:8">
      <c r="B29" t="s">
        <v>218</v>
      </c>
      <c r="D29" s="86">
        <v>12984.15</v>
      </c>
      <c r="H29" s="85">
        <f t="shared" si="1"/>
        <v>-1513.12</v>
      </c>
    </row>
    <row r="30" spans="1:8">
      <c r="A30" s="97"/>
      <c r="H30" s="85">
        <f t="shared" si="1"/>
        <v>-1513.12</v>
      </c>
    </row>
    <row r="31" spans="1:8">
      <c r="A31" s="97"/>
      <c r="B31" t="s">
        <v>251</v>
      </c>
      <c r="D31" s="85">
        <v>15000</v>
      </c>
      <c r="H31" s="85">
        <f t="shared" si="1"/>
        <v>-1513.12</v>
      </c>
    </row>
    <row r="32" spans="1:8">
      <c r="A32" s="97"/>
      <c r="H32" s="85">
        <f t="shared" si="1"/>
        <v>-1513.12</v>
      </c>
    </row>
    <row r="33" spans="1:8">
      <c r="B33" t="s">
        <v>252</v>
      </c>
      <c r="C33" s="98">
        <v>0.234011</v>
      </c>
      <c r="D33" s="85">
        <v>120000</v>
      </c>
      <c r="H33" s="85">
        <f t="shared" si="1"/>
        <v>-1513.12</v>
      </c>
    </row>
    <row r="34" spans="1:8">
      <c r="B34" t="s">
        <v>193</v>
      </c>
      <c r="E34" s="85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253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253</v>
      </c>
      <c r="E54" s="85">
        <v>-666.56</v>
      </c>
    </row>
    <row r="55" spans="1:5">
      <c r="A55" s="20"/>
      <c r="B55" t="s">
        <v>1469</v>
      </c>
      <c r="E55" s="85">
        <v>-363.83</v>
      </c>
    </row>
    <row r="56" spans="1:5">
      <c r="B56" t="s">
        <v>1470</v>
      </c>
      <c r="E56" s="85">
        <v>-905.47</v>
      </c>
    </row>
    <row r="57" spans="1:5">
      <c r="B57" t="s">
        <v>285</v>
      </c>
      <c r="C57">
        <v>8037.9</v>
      </c>
    </row>
    <row r="58" spans="1:5" ht="15">
      <c r="A58" s="97"/>
      <c r="B58" s="94"/>
      <c r="C58" s="94"/>
      <c r="D58" s="108" t="s">
        <v>286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1471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1474</v>
      </c>
      <c r="C72" s="94"/>
      <c r="E72" s="85">
        <v>-1500</v>
      </c>
    </row>
    <row r="73" spans="1:5">
      <c r="A73" s="97"/>
      <c r="B73" s="3" t="s">
        <v>1473</v>
      </c>
      <c r="C73" s="94"/>
      <c r="E73" s="85">
        <v>-385</v>
      </c>
    </row>
    <row r="74" spans="1:5">
      <c r="A74" s="97"/>
      <c r="B74" s="3" t="s">
        <v>1472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1475</v>
      </c>
      <c r="C76" s="94"/>
      <c r="E76" s="85">
        <v>-1865</v>
      </c>
    </row>
    <row r="77" spans="1:5">
      <c r="A77" s="97"/>
      <c r="B77" s="3" t="s">
        <v>1476</v>
      </c>
      <c r="C77" s="94"/>
      <c r="E77" s="85">
        <v>-80</v>
      </c>
    </row>
    <row r="78" spans="1:5">
      <c r="A78" s="97"/>
      <c r="B78" s="3" t="s">
        <v>1477</v>
      </c>
      <c r="C78" s="94"/>
      <c r="E78" s="85">
        <v>-19.5</v>
      </c>
    </row>
    <row r="79" spans="1:5">
      <c r="A79" s="97"/>
      <c r="B79" s="3" t="s">
        <v>1478</v>
      </c>
      <c r="C79" s="94"/>
      <c r="E79" s="85">
        <v>-706.97</v>
      </c>
    </row>
    <row r="80" spans="1:5">
      <c r="A80" s="97"/>
      <c r="B80" s="3" t="s">
        <v>813</v>
      </c>
      <c r="C80" s="94"/>
      <c r="E80" s="85">
        <v>-299.99</v>
      </c>
    </row>
    <row r="81" spans="1:5">
      <c r="A81" s="97"/>
      <c r="B81" s="3" t="s">
        <v>1479</v>
      </c>
      <c r="C81" s="94"/>
      <c r="E81" s="85">
        <v>-1620</v>
      </c>
    </row>
    <row r="82" spans="1:5">
      <c r="A82" s="97"/>
      <c r="B82" s="3" t="s">
        <v>1480</v>
      </c>
      <c r="C82" s="94"/>
      <c r="E82" s="85">
        <v>-66.7</v>
      </c>
    </row>
    <row r="83" spans="1:5">
      <c r="A83" s="97"/>
      <c r="B83" s="3" t="s">
        <v>1481</v>
      </c>
      <c r="C83" s="94"/>
      <c r="E83" s="85">
        <v>-45</v>
      </c>
    </row>
    <row r="84" spans="1:5">
      <c r="A84" s="97"/>
      <c r="B84" s="3" t="s">
        <v>341</v>
      </c>
      <c r="C84" s="94">
        <v>69</v>
      </c>
      <c r="E84" s="85">
        <v>-69.66</v>
      </c>
    </row>
    <row r="85" spans="1:5">
      <c r="A85" s="97"/>
      <c r="B85" s="3" t="s">
        <v>1482</v>
      </c>
      <c r="C85" s="94">
        <v>250</v>
      </c>
      <c r="E85" s="85">
        <v>-250</v>
      </c>
    </row>
    <row r="86" spans="1:5">
      <c r="A86" s="97"/>
      <c r="B86" s="3" t="s">
        <v>1483</v>
      </c>
      <c r="C86" s="94">
        <v>145</v>
      </c>
      <c r="E86" s="85">
        <v>-145</v>
      </c>
    </row>
    <row r="87" spans="1:5">
      <c r="A87" s="97"/>
      <c r="B87" s="3" t="s">
        <v>341</v>
      </c>
      <c r="C87" s="94">
        <v>80</v>
      </c>
      <c r="E87" s="85">
        <v>-79.58</v>
      </c>
    </row>
    <row r="88" spans="1:5">
      <c r="A88" s="97"/>
      <c r="B88" s="3" t="s">
        <v>1482</v>
      </c>
      <c r="C88" s="94">
        <v>300</v>
      </c>
      <c r="E88" s="85">
        <v>-300</v>
      </c>
    </row>
    <row r="89" spans="1:5">
      <c r="A89" s="97"/>
      <c r="B89" s="3" t="s">
        <v>285</v>
      </c>
      <c r="C89" s="94"/>
      <c r="D89" s="85">
        <v>21576.400000000001</v>
      </c>
    </row>
    <row r="90" spans="1:5">
      <c r="A90" s="97"/>
      <c r="B90" s="3" t="s">
        <v>341</v>
      </c>
      <c r="C90" s="94">
        <v>50</v>
      </c>
      <c r="E90" s="85">
        <v>-49.3</v>
      </c>
    </row>
    <row r="91" spans="1:5">
      <c r="A91" s="97"/>
      <c r="B91" s="3" t="s">
        <v>1484</v>
      </c>
      <c r="C91" s="94"/>
      <c r="E91" s="85">
        <v>-190</v>
      </c>
    </row>
    <row r="92" spans="1:5">
      <c r="A92" s="97"/>
      <c r="B92" s="3" t="s">
        <v>341</v>
      </c>
      <c r="C92" s="94"/>
      <c r="E92" s="85">
        <v>-375.55</v>
      </c>
    </row>
    <row r="93" spans="1:5">
      <c r="A93" s="97"/>
      <c r="B93" s="3" t="s">
        <v>1482</v>
      </c>
      <c r="C93" s="94">
        <v>260</v>
      </c>
      <c r="E93" s="85">
        <v>-260</v>
      </c>
    </row>
    <row r="94" spans="1:5">
      <c r="A94" s="97"/>
      <c r="B94" s="3" t="s">
        <v>341</v>
      </c>
      <c r="C94" s="94">
        <v>65.790000000000006</v>
      </c>
      <c r="E94" s="85">
        <v>-65.790000000000006</v>
      </c>
    </row>
    <row r="95" spans="1:5">
      <c r="A95" s="97"/>
      <c r="B95" s="3" t="s">
        <v>1482</v>
      </c>
      <c r="C95" s="94">
        <v>330</v>
      </c>
      <c r="E95" s="85">
        <v>-330</v>
      </c>
    </row>
    <row r="96" spans="1:5">
      <c r="A96" s="97"/>
      <c r="B96" s="3" t="s">
        <v>1483</v>
      </c>
      <c r="C96" s="94">
        <v>225</v>
      </c>
      <c r="E96" s="85">
        <v>-225</v>
      </c>
    </row>
    <row r="97" spans="1:5">
      <c r="A97" s="97"/>
      <c r="B97" s="3" t="s">
        <v>1485</v>
      </c>
      <c r="C97" s="94"/>
      <c r="E97" s="85">
        <v>-410</v>
      </c>
    </row>
    <row r="98" spans="1:5">
      <c r="B98" s="3" t="s">
        <v>299</v>
      </c>
      <c r="E98" s="85">
        <v>-27.25</v>
      </c>
    </row>
    <row r="99" spans="1:5">
      <c r="B99" s="3" t="s">
        <v>1486</v>
      </c>
      <c r="E99" s="85">
        <v>-70</v>
      </c>
    </row>
    <row r="100" spans="1:5">
      <c r="B100" s="3" t="s">
        <v>1487</v>
      </c>
      <c r="E100" s="85">
        <v>-350</v>
      </c>
    </row>
    <row r="101" spans="1:5">
      <c r="B101" s="3" t="s">
        <v>1484</v>
      </c>
      <c r="E101" s="85">
        <v>-420</v>
      </c>
    </row>
    <row r="102" spans="1:5">
      <c r="B102" s="3" t="s">
        <v>1488</v>
      </c>
      <c r="E102" s="85">
        <v>-154.5</v>
      </c>
    </row>
    <row r="103" spans="1:5">
      <c r="B103" s="3" t="s">
        <v>1484</v>
      </c>
      <c r="E103" s="85">
        <v>-290</v>
      </c>
    </row>
    <row r="104" spans="1:5">
      <c r="B104" s="3" t="s">
        <v>1482</v>
      </c>
      <c r="C104">
        <v>415</v>
      </c>
      <c r="E104" s="85">
        <v>-415</v>
      </c>
    </row>
    <row r="105" spans="1:5">
      <c r="B105" s="37" t="s">
        <v>360</v>
      </c>
      <c r="C105">
        <f>SUM(C81:C104)</f>
        <v>2189.79</v>
      </c>
    </row>
    <row r="106" spans="1:5" ht="15">
      <c r="D106" s="108" t="s">
        <v>286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-1513.12</v>
      </c>
    </row>
    <row r="122" spans="1:5">
      <c r="D122" s="85" t="s">
        <v>189</v>
      </c>
      <c r="E122" s="85">
        <f>SUM(E112:E121)</f>
        <v>-1513.12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24"/>
  <sheetViews>
    <sheetView topLeftCell="A5" zoomScale="145" zoomScaleNormal="145" workbookViewId="0">
      <selection activeCell="B26" sqref="B26:E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SUM(D4:D27)</f>
        <v>36484.15</v>
      </c>
      <c r="E2" s="85">
        <f>SUM(E4:E27)</f>
        <v>-81346.3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337">
        <v>-1500</v>
      </c>
      <c r="F8" s="337"/>
      <c r="G8" s="337">
        <v>-1514.73</v>
      </c>
      <c r="H8" s="85">
        <f t="shared" si="0"/>
        <v>-31291.140000000003</v>
      </c>
    </row>
    <row r="9" spans="1:8">
      <c r="A9" s="335"/>
      <c r="B9" s="88" t="s">
        <v>255</v>
      </c>
      <c r="C9" s="88"/>
      <c r="E9" s="337">
        <v>-17500</v>
      </c>
      <c r="F9" s="337"/>
      <c r="G9" s="337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337">
        <v>-300</v>
      </c>
      <c r="F12" s="337"/>
      <c r="G12" s="337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337">
        <v>-100</v>
      </c>
      <c r="F13" s="337"/>
      <c r="G13" s="337">
        <v>-34</v>
      </c>
      <c r="H13" s="85">
        <f t="shared" si="0"/>
        <v>-33906.14</v>
      </c>
    </row>
    <row r="14" spans="1:8">
      <c r="A14" s="335">
        <v>45552</v>
      </c>
      <c r="B14" t="s">
        <v>1462</v>
      </c>
      <c r="F14" s="337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337">
        <v>-6500</v>
      </c>
      <c r="F16" s="337"/>
      <c r="G16" s="337">
        <v>-6500</v>
      </c>
      <c r="H16" s="85">
        <f t="shared" si="0"/>
        <v>-6406.1399999999994</v>
      </c>
    </row>
    <row r="17" spans="1:8">
      <c r="B17" t="s">
        <v>172</v>
      </c>
      <c r="E17" s="337">
        <v>-6500</v>
      </c>
      <c r="F17" s="337"/>
      <c r="G17" s="337">
        <v>-6500</v>
      </c>
      <c r="H17" s="85">
        <f t="shared" si="0"/>
        <v>-12906.14</v>
      </c>
    </row>
    <row r="18" spans="1:8">
      <c r="B18" t="s">
        <v>217</v>
      </c>
      <c r="E18" s="337">
        <v>-6500</v>
      </c>
      <c r="F18" s="337"/>
      <c r="G18" s="337">
        <v>-6500</v>
      </c>
      <c r="H18" s="85">
        <f t="shared" si="0"/>
        <v>-19406.14</v>
      </c>
    </row>
    <row r="19" spans="1:8">
      <c r="B19" t="s">
        <v>218</v>
      </c>
      <c r="D19" s="337">
        <v>12984.15</v>
      </c>
      <c r="E19" s="337"/>
      <c r="F19" s="337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337">
        <v>-400</v>
      </c>
      <c r="F20" s="337"/>
      <c r="G20" s="337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337">
        <v>-500</v>
      </c>
      <c r="F21" s="337"/>
      <c r="G21" s="337">
        <v>-805</v>
      </c>
      <c r="H21" s="85">
        <f t="shared" si="0"/>
        <v>-7659.76</v>
      </c>
    </row>
    <row r="22" spans="1:8">
      <c r="A22" s="335">
        <v>45564</v>
      </c>
      <c r="B22" t="s">
        <v>1451</v>
      </c>
      <c r="C22" t="s">
        <v>1452</v>
      </c>
      <c r="E22" s="85">
        <v>-1380</v>
      </c>
      <c r="H22" s="85">
        <f t="shared" si="0"/>
        <v>-7659.76</v>
      </c>
    </row>
    <row r="23" spans="1:8">
      <c r="A23" s="335">
        <v>45565</v>
      </c>
      <c r="B23" t="s">
        <v>1468</v>
      </c>
      <c r="G23" s="337">
        <v>-197.4</v>
      </c>
      <c r="H23" s="85">
        <f t="shared" si="0"/>
        <v>-7857.16</v>
      </c>
    </row>
    <row r="24" spans="1:8">
      <c r="B24" s="105" t="s">
        <v>271</v>
      </c>
      <c r="C24" s="105"/>
      <c r="D24" s="106">
        <v>8500</v>
      </c>
      <c r="H24" s="85">
        <f t="shared" si="0"/>
        <v>-7857.16</v>
      </c>
    </row>
    <row r="25" spans="1:8">
      <c r="B25" s="342" t="s">
        <v>256</v>
      </c>
      <c r="C25" s="342"/>
      <c r="D25" s="343">
        <v>15000</v>
      </c>
      <c r="H25" s="85">
        <f t="shared" si="0"/>
        <v>-7857.16</v>
      </c>
    </row>
    <row r="26" spans="1:8">
      <c r="B26" s="342" t="s">
        <v>193</v>
      </c>
      <c r="C26" s="342"/>
      <c r="D26" s="343"/>
      <c r="E26" s="343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B28" s="103" t="s">
        <v>1463</v>
      </c>
      <c r="G28" s="85">
        <v>-10000</v>
      </c>
      <c r="H28" s="85">
        <f t="shared" si="0"/>
        <v>-17857.16</v>
      </c>
    </row>
    <row r="29" spans="1:8">
      <c r="B29" t="s">
        <v>257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258</v>
      </c>
      <c r="C47">
        <v>1406</v>
      </c>
      <c r="D47" s="85" t="s">
        <v>259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260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260</v>
      </c>
      <c r="E49" s="85">
        <v>-666.56</v>
      </c>
    </row>
    <row r="50" spans="1:5">
      <c r="A50" s="20">
        <v>45358</v>
      </c>
      <c r="B50" t="s">
        <v>261</v>
      </c>
      <c r="C50">
        <v>2273</v>
      </c>
      <c r="D50" s="85" t="s">
        <v>259</v>
      </c>
      <c r="E50" s="85">
        <v>-378.87</v>
      </c>
    </row>
    <row r="51" spans="1:5">
      <c r="A51" s="20">
        <v>45371</v>
      </c>
      <c r="B51" t="s">
        <v>262</v>
      </c>
      <c r="D51" s="85" t="s">
        <v>259</v>
      </c>
      <c r="E51" s="85">
        <v>101.79</v>
      </c>
    </row>
    <row r="52" spans="1:5">
      <c r="A52" s="97">
        <v>45456</v>
      </c>
      <c r="B52" s="103" t="s">
        <v>263</v>
      </c>
      <c r="C52" s="94"/>
      <c r="D52" s="85" t="s">
        <v>264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285</v>
      </c>
      <c r="C54" s="94">
        <v>8154.2</v>
      </c>
    </row>
    <row r="55" spans="1:5">
      <c r="A55" s="97"/>
      <c r="B55" s="103" t="s">
        <v>848</v>
      </c>
      <c r="C55" s="94"/>
      <c r="E55" s="85">
        <v>-1805.86</v>
      </c>
    </row>
    <row r="56" spans="1:5" ht="15">
      <c r="A56" s="97"/>
      <c r="B56" s="103"/>
      <c r="C56" s="108" t="s">
        <v>286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286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1439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310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1440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1446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1447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1448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1449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1450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316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1441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1444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1445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1443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1442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H149"/>
  <sheetViews>
    <sheetView topLeftCell="A25" zoomScale="145" zoomScaleNormal="145" workbookViewId="0">
      <selection activeCell="D47" sqref="D4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1434</v>
      </c>
      <c r="C34" s="85" t="s">
        <v>1432</v>
      </c>
      <c r="D34" s="86" t="s">
        <v>1438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1435</v>
      </c>
      <c r="C35" s="85" t="s">
        <v>1432</v>
      </c>
      <c r="D35" s="86" t="s">
        <v>1438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1436</v>
      </c>
      <c r="C36" s="85" t="s">
        <v>1432</v>
      </c>
      <c r="D36" s="86" t="s">
        <v>1438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1437</v>
      </c>
      <c r="C37" s="85" t="s">
        <v>1432</v>
      </c>
      <c r="D37" s="86" t="s">
        <v>1438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42" t="s">
        <v>270</v>
      </c>
      <c r="C41" s="342"/>
      <c r="D41" s="346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B43" s="342" t="s">
        <v>193</v>
      </c>
      <c r="C43" s="342"/>
      <c r="D43" s="343"/>
      <c r="E43" s="343">
        <v>-10000</v>
      </c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C100" s="94"/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13" zoomScale="170" zoomScaleNormal="170" workbookViewId="0">
      <selection activeCell="D26" sqref="D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345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23" zoomScale="170" zoomScaleNormal="170" workbookViewId="0">
      <selection activeCell="E32" sqref="E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42" t="s">
        <v>322</v>
      </c>
      <c r="C32" s="342"/>
      <c r="D32" s="344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8" t="s">
        <v>360</v>
      </c>
      <c r="D114" s="119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/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/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458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0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0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0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0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538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39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39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538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614</v>
      </c>
      <c r="L2" s="147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616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667</v>
      </c>
      <c r="E61" s="176" t="s">
        <v>668</v>
      </c>
      <c r="F61" s="176" t="s">
        <v>669</v>
      </c>
      <c r="G61" s="177" t="s">
        <v>669</v>
      </c>
    </row>
    <row r="62" spans="2:7">
      <c r="D62" s="175" t="s">
        <v>670</v>
      </c>
      <c r="E62" s="176" t="s">
        <v>671</v>
      </c>
      <c r="F62" s="176" t="s">
        <v>97</v>
      </c>
      <c r="G62" s="178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673</v>
      </c>
    </row>
    <row r="3" spans="2:9">
      <c r="D3" s="181" t="s">
        <v>674</v>
      </c>
      <c r="E3" s="110" t="s">
        <v>675</v>
      </c>
      <c r="F3" s="181" t="s">
        <v>676</v>
      </c>
      <c r="G3" s="182"/>
      <c r="I3" s="181" t="s">
        <v>677</v>
      </c>
    </row>
    <row r="4" spans="2:9">
      <c r="D4" s="181" t="s">
        <v>678</v>
      </c>
      <c r="E4" s="110" t="s">
        <v>679</v>
      </c>
      <c r="F4" s="181" t="s">
        <v>678</v>
      </c>
      <c r="G4" s="182"/>
      <c r="I4" s="181" t="s">
        <v>679</v>
      </c>
    </row>
    <row r="5" spans="2:9" ht="14.25">
      <c r="E5" s="183">
        <v>119305.95</v>
      </c>
      <c r="F5" s="183"/>
      <c r="G5" s="184"/>
      <c r="H5" s="185" t="s">
        <v>680</v>
      </c>
      <c r="I5" s="186">
        <f>NZN_23!I8*-1</f>
        <v>119305.95484700002</v>
      </c>
    </row>
    <row r="6" spans="2:9" ht="14.25">
      <c r="H6" s="187" t="s">
        <v>681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683</v>
      </c>
      <c r="I8" s="191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2" t="s">
        <v>684</v>
      </c>
      <c r="E21" s="193">
        <v>0.2351</v>
      </c>
      <c r="F21" s="193">
        <f>1-E21</f>
        <v>0.76490000000000002</v>
      </c>
    </row>
    <row r="22" spans="2:11">
      <c r="B22" s="194" t="s">
        <v>685</v>
      </c>
      <c r="C22" s="194" t="s">
        <v>686</v>
      </c>
      <c r="D22" s="195" t="s">
        <v>687</v>
      </c>
      <c r="E22" s="196" t="s">
        <v>688</v>
      </c>
      <c r="F22" s="195" t="s">
        <v>689</v>
      </c>
      <c r="G22" s="197" t="s">
        <v>690</v>
      </c>
      <c r="H22" s="195" t="s">
        <v>691</v>
      </c>
      <c r="I22" s="195" t="s">
        <v>692</v>
      </c>
    </row>
    <row r="23" spans="2:11">
      <c r="B23" s="194"/>
      <c r="C23" s="198" t="s">
        <v>693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694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695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696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697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698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698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581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5"/>
      <c r="I40" s="215"/>
      <c r="J40" s="216"/>
    </row>
    <row r="41" spans="2:11" ht="15.75">
      <c r="C41" t="s">
        <v>702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703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706</v>
      </c>
      <c r="E47" s="181" t="s">
        <v>707</v>
      </c>
      <c r="F47" s="181" t="s">
        <v>708</v>
      </c>
      <c r="K47" s="65"/>
    </row>
    <row r="48" spans="2:11">
      <c r="E48" s="187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684</v>
      </c>
      <c r="E5" s="222">
        <v>0.2351</v>
      </c>
      <c r="F5" s="222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0" t="s">
        <v>688</v>
      </c>
      <c r="F6" s="37" t="s">
        <v>689</v>
      </c>
      <c r="G6" s="223" t="s">
        <v>690</v>
      </c>
      <c r="H6" s="37" t="s">
        <v>691</v>
      </c>
      <c r="I6" s="224" t="s">
        <v>692</v>
      </c>
    </row>
    <row r="7" spans="2:11">
      <c r="K7" s="201"/>
    </row>
    <row r="8" spans="2:11" ht="15.75">
      <c r="B8" s="202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709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710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711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712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713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713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713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696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714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715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716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696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696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717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718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719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720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7"/>
      <c r="I31" s="237"/>
      <c r="J31" s="216"/>
    </row>
    <row r="32" spans="2:10" ht="15.75">
      <c r="C32" t="s">
        <v>702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703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724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39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39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39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750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39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39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39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784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39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39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39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39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39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39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39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39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826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39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39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39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39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39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39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863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1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39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39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39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39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39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39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889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894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39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39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39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39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39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39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923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5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954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5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979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5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1008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7">
        <v>44982</v>
      </c>
      <c r="D93" s="37"/>
      <c r="E93" s="258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889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1051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1052</v>
      </c>
      <c r="C8" s="259" t="s">
        <v>896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3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6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1069</v>
      </c>
      <c r="C46" s="246"/>
      <c r="D46" s="246" t="s">
        <v>1070</v>
      </c>
      <c r="H46" s="65"/>
    </row>
    <row r="47" spans="1:8">
      <c r="A47" s="251">
        <v>44844</v>
      </c>
      <c r="B47" s="246" t="s">
        <v>1071</v>
      </c>
      <c r="C47" s="248"/>
      <c r="D47" s="246" t="s">
        <v>1072</v>
      </c>
      <c r="H47" s="65"/>
    </row>
    <row r="48" spans="1:8">
      <c r="A48" s="251"/>
      <c r="B48" s="246" t="s">
        <v>1073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1100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1105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1069</v>
      </c>
      <c r="C31" s="246"/>
      <c r="D31" s="246" t="s">
        <v>1106</v>
      </c>
      <c r="E31" s="247"/>
      <c r="H31" s="65"/>
    </row>
    <row r="32" spans="1:8">
      <c r="A32" s="251">
        <v>44844</v>
      </c>
      <c r="B32" s="246" t="s">
        <v>1071</v>
      </c>
      <c r="C32" s="248"/>
      <c r="D32" s="246" t="s">
        <v>1072</v>
      </c>
      <c r="E32" s="246"/>
      <c r="H32" s="65"/>
    </row>
    <row r="33" spans="1:8">
      <c r="A33" s="251"/>
      <c r="B33" s="246" t="s">
        <v>1107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614</v>
      </c>
      <c r="L2" s="269" t="s">
        <v>615</v>
      </c>
      <c r="M2" s="269" t="s">
        <v>124</v>
      </c>
      <c r="N2" s="28" t="s">
        <v>1139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1142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1144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1187</v>
      </c>
      <c r="C69" s="211"/>
      <c r="D69" s="260">
        <v>200</v>
      </c>
      <c r="E69" s="65" t="s">
        <v>1188</v>
      </c>
      <c r="H69" s="65"/>
    </row>
    <row r="70" spans="1:8">
      <c r="A70" s="279">
        <v>44839</v>
      </c>
      <c r="B70" s="211" t="s">
        <v>1189</v>
      </c>
      <c r="C70" s="211"/>
      <c r="D70" s="260">
        <v>200</v>
      </c>
      <c r="E70" s="65" t="s">
        <v>1188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1069</v>
      </c>
      <c r="C72" s="211">
        <v>3</v>
      </c>
      <c r="D72" t="s">
        <v>1190</v>
      </c>
      <c r="E72" s="65"/>
    </row>
    <row r="73" spans="1:8">
      <c r="A73" s="279">
        <v>44844</v>
      </c>
      <c r="B73" s="211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1191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1192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1205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1206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1212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1213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1214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3" t="s">
        <v>1071</v>
      </c>
      <c r="C56" s="283"/>
      <c r="D56" s="284">
        <v>2000</v>
      </c>
    </row>
    <row r="57" spans="1:8">
      <c r="A57" s="97">
        <v>44839</v>
      </c>
      <c r="B57" s="283" t="s">
        <v>1189</v>
      </c>
      <c r="C57" s="283"/>
      <c r="D57" s="284">
        <v>200</v>
      </c>
    </row>
    <row r="59" spans="1:8">
      <c r="A59" s="279">
        <v>44803</v>
      </c>
      <c r="B59" s="211" t="s">
        <v>1069</v>
      </c>
      <c r="C59" s="211"/>
      <c r="D59" s="280"/>
    </row>
    <row r="60" spans="1:8">
      <c r="A60" s="279">
        <v>44772</v>
      </c>
      <c r="B60" s="211" t="s">
        <v>1216</v>
      </c>
      <c r="C60" s="211"/>
      <c r="D60" s="280"/>
    </row>
    <row r="61" spans="1:8">
      <c r="A61" s="279">
        <v>44742</v>
      </c>
      <c r="B61" s="211" t="s">
        <v>1217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1218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5" t="s">
        <v>1258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1259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1069</v>
      </c>
      <c r="C87" s="211"/>
      <c r="D87" s="287">
        <v>4000</v>
      </c>
      <c r="H87" s="65"/>
    </row>
    <row r="88" spans="1:8">
      <c r="A88" s="279">
        <v>44772</v>
      </c>
      <c r="B88" s="211" t="s">
        <v>1216</v>
      </c>
      <c r="C88" s="211"/>
      <c r="D88" s="287">
        <v>4000</v>
      </c>
      <c r="H88" s="65"/>
    </row>
    <row r="89" spans="1:8">
      <c r="A89" s="279">
        <v>44742</v>
      </c>
      <c r="B89" s="211" t="s">
        <v>1217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1260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1258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1069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1216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1217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1280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1304</v>
      </c>
      <c r="H54" s="65">
        <f t="shared" si="1"/>
        <v>61721.7</v>
      </c>
    </row>
    <row r="55" spans="1:8">
      <c r="B55" s="259" t="s">
        <v>1305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1306</v>
      </c>
      <c r="C56" s="293" t="s">
        <v>1307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1308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1217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1216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1309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1327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1305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1329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1217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1330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1331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1152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1341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1272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1349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1351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1217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1353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596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1272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1351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1359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1360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1272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1369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1372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1272</v>
      </c>
      <c r="C19" s="316" t="s">
        <v>1374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1383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1272</v>
      </c>
      <c r="C16" s="316" t="s">
        <v>1374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1391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1272</v>
      </c>
      <c r="C17" s="316" t="s">
        <v>1374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614</v>
      </c>
      <c r="L11" s="269" t="s">
        <v>615</v>
      </c>
      <c r="M11" s="269" t="s">
        <v>124</v>
      </c>
      <c r="N11" s="28" t="s">
        <v>1139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1142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2024-10-03T03:07:53Z</dcterms:modified>
  <dc:language>tr-TR</dc:language>
</cp:coreProperties>
</file>