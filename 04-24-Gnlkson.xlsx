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mprg\aagitme\tdy\"/>
    </mc:Choice>
  </mc:AlternateContent>
  <xr:revisionPtr revIDLastSave="0" documentId="13_ncr:1_{CC7A8C3D-E9CD-4759-B3A0-425FFF6FA32D}" xr6:coauthVersionLast="47" xr6:coauthVersionMax="47" xr10:uidLastSave="{00000000-0000-0000-0000-000000000000}"/>
  <bookViews>
    <workbookView xWindow="-120" yWindow="-120" windowWidth="20730" windowHeight="11160" tabRatio="851" firstSheet="3" activeTab="17" xr2:uid="{00000000-000D-0000-FFFF-FFFF00000000}"/>
  </bookViews>
  <sheets>
    <sheet name="PERI_24" sheetId="1" r:id="rId1"/>
    <sheet name="cross" sheetId="2" r:id="rId2"/>
    <sheet name="GNLK-_2024" sheetId="3" r:id="rId3"/>
    <sheet name="12_24" sheetId="4" r:id="rId4"/>
    <sheet name="11_24" sheetId="5" r:id="rId5"/>
    <sheet name="10_24" sheetId="6" r:id="rId6"/>
    <sheet name="09_24" sheetId="7" r:id="rId7"/>
    <sheet name="08_24" sheetId="8" r:id="rId8"/>
    <sheet name="07_24" sheetId="9" r:id="rId9"/>
    <sheet name="06_24" sheetId="10" r:id="rId10"/>
    <sheet name="05_24" sheetId="11" r:id="rId11"/>
    <sheet name="04_24" sheetId="12" r:id="rId12"/>
    <sheet name="03_24" sheetId="13" r:id="rId13"/>
    <sheet name="02_24" sheetId="14" r:id="rId14"/>
    <sheet name="01_24" sheetId="15" r:id="rId15"/>
    <sheet name="GNLK-_2023" sheetId="16" r:id="rId16"/>
    <sheet name="PERI_23" sheetId="17" r:id="rId17"/>
    <sheet name="NZN_24" sheetId="18" r:id="rId18"/>
    <sheet name="NZN_23" sheetId="19" r:id="rId19"/>
    <sheet name="12_23" sheetId="20" r:id="rId20"/>
    <sheet name="11_23" sheetId="21" r:id="rId21"/>
    <sheet name="10_23" sheetId="22" r:id="rId22"/>
    <sheet name="09_23" sheetId="23" r:id="rId23"/>
    <sheet name="08_23" sheetId="24" r:id="rId24"/>
    <sheet name="07_23" sheetId="25" r:id="rId25"/>
    <sheet name="06_23" sheetId="26" r:id="rId26"/>
    <sheet name="05_23" sheetId="27" r:id="rId27"/>
    <sheet name="04_23" sheetId="28" r:id="rId28"/>
    <sheet name="03_23" sheetId="29" r:id="rId29"/>
    <sheet name="02_23" sheetId="30" r:id="rId30"/>
    <sheet name="01_23" sheetId="31" r:id="rId31"/>
    <sheet name="GNLK-_2022" sheetId="32" r:id="rId32"/>
    <sheet name="22_12" sheetId="33" r:id="rId33"/>
    <sheet name="11" sheetId="34" r:id="rId34"/>
    <sheet name="10" sheetId="35" r:id="rId35"/>
    <sheet name="09" sheetId="36" r:id="rId36"/>
    <sheet name="08" sheetId="37" r:id="rId37"/>
    <sheet name="07" sheetId="38" r:id="rId38"/>
    <sheet name="06" sheetId="39" r:id="rId39"/>
    <sheet name="05" sheetId="40" r:id="rId40"/>
    <sheet name="04" sheetId="41" r:id="rId41"/>
    <sheet name="03" sheetId="42" r:id="rId42"/>
    <sheet name="22_2" sheetId="43" r:id="rId43"/>
    <sheet name="22_1" sheetId="44" r:id="rId44"/>
    <sheet name="PROCESS" sheetId="45" r:id="rId45"/>
  </sheet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4" i="5" l="1"/>
  <c r="H25" i="5" s="1"/>
  <c r="H26" i="5" s="1"/>
  <c r="H27" i="5" s="1"/>
  <c r="H28" i="5" s="1"/>
  <c r="H29" i="5" s="1"/>
  <c r="H21" i="5"/>
  <c r="H22" i="5"/>
  <c r="H23" i="5"/>
  <c r="C103" i="5"/>
  <c r="E70" i="5"/>
  <c r="C117" i="8"/>
  <c r="C81" i="11"/>
  <c r="E66" i="6"/>
  <c r="C105" i="6"/>
  <c r="E19" i="3"/>
  <c r="M7" i="3" s="1"/>
  <c r="E115" i="7"/>
  <c r="E114" i="7"/>
  <c r="E113" i="7"/>
  <c r="C124" i="7"/>
  <c r="E118" i="7"/>
  <c r="E112" i="7"/>
  <c r="N11" i="3" s="1"/>
  <c r="E111" i="7"/>
  <c r="E109" i="7"/>
  <c r="E108" i="7"/>
  <c r="E107" i="7"/>
  <c r="E106" i="7"/>
  <c r="A102" i="7"/>
  <c r="A103" i="7" s="1"/>
  <c r="A105" i="7" s="1"/>
  <c r="G32" i="8"/>
  <c r="G31" i="8"/>
  <c r="G30" i="8"/>
  <c r="G29" i="8"/>
  <c r="G28" i="8"/>
  <c r="G27" i="8"/>
  <c r="F121" i="1"/>
  <c r="F122" i="1" s="1"/>
  <c r="F123" i="1" s="1"/>
  <c r="F124" i="1" s="1"/>
  <c r="F125" i="1" s="1"/>
  <c r="F126" i="1" s="1"/>
  <c r="E88" i="1"/>
  <c r="E94" i="1" s="1"/>
  <c r="F35" i="1"/>
  <c r="H3" i="44"/>
  <c r="H4" i="44" s="1"/>
  <c r="H5" i="44" s="1"/>
  <c r="H6" i="44" s="1"/>
  <c r="H7" i="44" s="1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G2" i="44"/>
  <c r="F3" i="32" s="1"/>
  <c r="F2" i="44"/>
  <c r="H2" i="44" s="1"/>
  <c r="E2" i="44"/>
  <c r="D2" i="44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G2" i="43"/>
  <c r="F2" i="43"/>
  <c r="E2" i="43"/>
  <c r="C4" i="32" s="1"/>
  <c r="D2" i="43"/>
  <c r="B4" i="32" s="1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H31" i="42" s="1"/>
  <c r="H32" i="42" s="1"/>
  <c r="G2" i="42"/>
  <c r="F5" i="32" s="1"/>
  <c r="F2" i="42"/>
  <c r="E2" i="42"/>
  <c r="D2" i="42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H33" i="41" s="1"/>
  <c r="H34" i="41" s="1"/>
  <c r="H35" i="41" s="1"/>
  <c r="H36" i="41" s="1"/>
  <c r="G2" i="41"/>
  <c r="F6" i="32" s="1"/>
  <c r="F2" i="41"/>
  <c r="E2" i="41"/>
  <c r="C6" i="32" s="1"/>
  <c r="D2" i="41"/>
  <c r="H4" i="40"/>
  <c r="H5" i="40" s="1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G2" i="40"/>
  <c r="F2" i="40"/>
  <c r="E2" i="40"/>
  <c r="D2" i="40"/>
  <c r="B7" i="32" s="1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H35" i="39" s="1"/>
  <c r="H36" i="39" s="1"/>
  <c r="H37" i="39" s="1"/>
  <c r="H38" i="39" s="1"/>
  <c r="H39" i="39" s="1"/>
  <c r="H40" i="39" s="1"/>
  <c r="H41" i="39" s="1"/>
  <c r="H42" i="39" s="1"/>
  <c r="H43" i="39" s="1"/>
  <c r="H44" i="39" s="1"/>
  <c r="H45" i="39" s="1"/>
  <c r="H46" i="39" s="1"/>
  <c r="H47" i="39" s="1"/>
  <c r="G2" i="39"/>
  <c r="F2" i="39"/>
  <c r="E2" i="39"/>
  <c r="C8" i="32" s="1"/>
  <c r="D2" i="39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H48" i="38" s="1"/>
  <c r="H49" i="38" s="1"/>
  <c r="H50" i="38" s="1"/>
  <c r="H51" i="38" s="1"/>
  <c r="H52" i="38" s="1"/>
  <c r="H53" i="38" s="1"/>
  <c r="H54" i="38" s="1"/>
  <c r="H55" i="38" s="1"/>
  <c r="G2" i="38"/>
  <c r="F9" i="32" s="1"/>
  <c r="F2" i="38"/>
  <c r="E9" i="32" s="1"/>
  <c r="E2" i="38"/>
  <c r="C9" i="32" s="1"/>
  <c r="D2" i="38"/>
  <c r="B9" i="32" s="1"/>
  <c r="D59" i="37"/>
  <c r="H4" i="37"/>
  <c r="H5" i="37" s="1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56" i="37" s="1"/>
  <c r="H57" i="37" s="1"/>
  <c r="H58" i="37" s="1"/>
  <c r="H59" i="37" s="1"/>
  <c r="H60" i="37" s="1"/>
  <c r="G2" i="37"/>
  <c r="F10" i="32" s="1"/>
  <c r="F2" i="37"/>
  <c r="E10" i="32" s="1"/>
  <c r="E2" i="37"/>
  <c r="C10" i="32" s="1"/>
  <c r="D2" i="37"/>
  <c r="B10" i="32" s="1"/>
  <c r="H47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G2" i="36"/>
  <c r="F11" i="32" s="1"/>
  <c r="F2" i="36"/>
  <c r="E2" i="36"/>
  <c r="C11" i="32" s="1"/>
  <c r="D2" i="36"/>
  <c r="B11" i="32" s="1"/>
  <c r="H4" i="35"/>
  <c r="H5" i="35" s="1"/>
  <c r="H6" i="35" s="1"/>
  <c r="H7" i="35" s="1"/>
  <c r="H9" i="35" s="1"/>
  <c r="H10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47" i="35" s="1"/>
  <c r="H48" i="35" s="1"/>
  <c r="H49" i="35" s="1"/>
  <c r="H50" i="35" s="1"/>
  <c r="H51" i="35" s="1"/>
  <c r="H52" i="35" s="1"/>
  <c r="H53" i="35" s="1"/>
  <c r="H54" i="35" s="1"/>
  <c r="H55" i="35" s="1"/>
  <c r="H56" i="35" s="1"/>
  <c r="H57" i="35" s="1"/>
  <c r="H58" i="35" s="1"/>
  <c r="H59" i="35" s="1"/>
  <c r="H60" i="35" s="1"/>
  <c r="H61" i="35" s="1"/>
  <c r="H62" i="35" s="1"/>
  <c r="H63" i="35" s="1"/>
  <c r="H64" i="35" s="1"/>
  <c r="H65" i="35" s="1"/>
  <c r="H66" i="35" s="1"/>
  <c r="H67" i="35" s="1"/>
  <c r="H68" i="35" s="1"/>
  <c r="H69" i="35" s="1"/>
  <c r="H70" i="35" s="1"/>
  <c r="H71" i="35" s="1"/>
  <c r="H72" i="35" s="1"/>
  <c r="H73" i="35" s="1"/>
  <c r="H74" i="35" s="1"/>
  <c r="H75" i="35" s="1"/>
  <c r="H76" i="35" s="1"/>
  <c r="H77" i="35" s="1"/>
  <c r="H78" i="35" s="1"/>
  <c r="H79" i="35" s="1"/>
  <c r="H80" i="35" s="1"/>
  <c r="H81" i="35" s="1"/>
  <c r="H82" i="35" s="1"/>
  <c r="H83" i="35" s="1"/>
  <c r="H84" i="35" s="1"/>
  <c r="G2" i="35"/>
  <c r="F12" i="32" s="1"/>
  <c r="F2" i="35"/>
  <c r="E2" i="35"/>
  <c r="C12" i="32" s="1"/>
  <c r="D2" i="35"/>
  <c r="B12" i="32" s="1"/>
  <c r="H4" i="34"/>
  <c r="H5" i="34" s="1"/>
  <c r="H6" i="34" s="1"/>
  <c r="H7" i="34" s="1"/>
  <c r="H8" i="34" s="1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G2" i="34"/>
  <c r="F13" i="32" s="1"/>
  <c r="F2" i="34"/>
  <c r="E13" i="32" s="1"/>
  <c r="E2" i="34"/>
  <c r="C13" i="32" s="1"/>
  <c r="D2" i="34"/>
  <c r="B13" i="32" s="1"/>
  <c r="E35" i="33"/>
  <c r="H4" i="33"/>
  <c r="H5" i="33" s="1"/>
  <c r="H6" i="33" s="1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55" i="33" s="1"/>
  <c r="H56" i="33" s="1"/>
  <c r="H57" i="33" s="1"/>
  <c r="H58" i="33" s="1"/>
  <c r="H59" i="33" s="1"/>
  <c r="H60" i="33" s="1"/>
  <c r="H61" i="33" s="1"/>
  <c r="H62" i="33" s="1"/>
  <c r="H63" i="33" s="1"/>
  <c r="H64" i="33" s="1"/>
  <c r="H65" i="33" s="1"/>
  <c r="G2" i="33"/>
  <c r="F2" i="33"/>
  <c r="E2" i="33"/>
  <c r="C14" i="32" s="1"/>
  <c r="D2" i="33"/>
  <c r="B14" i="32" s="1"/>
  <c r="N15" i="32"/>
  <c r="N16" i="32" s="1"/>
  <c r="M15" i="32"/>
  <c r="M16" i="32" s="1"/>
  <c r="J15" i="32"/>
  <c r="J16" i="32" s="1"/>
  <c r="K14" i="32"/>
  <c r="L14" i="32" s="1"/>
  <c r="F14" i="32"/>
  <c r="K13" i="32"/>
  <c r="L13" i="32" s="1"/>
  <c r="K12" i="32"/>
  <c r="L12" i="32" s="1"/>
  <c r="E12" i="32"/>
  <c r="K11" i="32"/>
  <c r="L11" i="32" s="1"/>
  <c r="E11" i="32"/>
  <c r="K10" i="32"/>
  <c r="L10" i="32" s="1"/>
  <c r="K9" i="32"/>
  <c r="F8" i="32"/>
  <c r="B8" i="32"/>
  <c r="F7" i="32"/>
  <c r="C7" i="32"/>
  <c r="B6" i="32"/>
  <c r="E5" i="32"/>
  <c r="C5" i="32"/>
  <c r="B5" i="32"/>
  <c r="F4" i="32"/>
  <c r="E4" i="32"/>
  <c r="E3" i="32"/>
  <c r="C3" i="32"/>
  <c r="B3" i="32"/>
  <c r="L1" i="32"/>
  <c r="E118" i="31"/>
  <c r="E117" i="31"/>
  <c r="E116" i="31"/>
  <c r="E48" i="31"/>
  <c r="E13" i="31" s="1"/>
  <c r="E2" i="31" s="1"/>
  <c r="E35" i="31"/>
  <c r="D35" i="31"/>
  <c r="H5" i="31"/>
  <c r="H6" i="31" s="1"/>
  <c r="H7" i="31" s="1"/>
  <c r="H8" i="31" s="1"/>
  <c r="H9" i="31" s="1"/>
  <c r="H10" i="31" s="1"/>
  <c r="H11" i="31" s="1"/>
  <c r="H12" i="31" s="1"/>
  <c r="H13" i="31" s="1"/>
  <c r="H14" i="31" s="1"/>
  <c r="H15" i="31" s="1"/>
  <c r="H16" i="31" s="1"/>
  <c r="H17" i="31" s="1"/>
  <c r="H18" i="31" s="1"/>
  <c r="H19" i="31" s="1"/>
  <c r="H20" i="31" s="1"/>
  <c r="H21" i="31" s="1"/>
  <c r="H22" i="31" s="1"/>
  <c r="H23" i="31" s="1"/>
  <c r="H24" i="31" s="1"/>
  <c r="G2" i="31"/>
  <c r="F2" i="31"/>
  <c r="E3" i="16" s="1"/>
  <c r="D2" i="31"/>
  <c r="E118" i="30"/>
  <c r="E117" i="30"/>
  <c r="E116" i="30"/>
  <c r="E87" i="30"/>
  <c r="E6" i="30" s="1"/>
  <c r="E62" i="30"/>
  <c r="E9" i="30" s="1"/>
  <c r="E50" i="30"/>
  <c r="D50" i="30"/>
  <c r="G15" i="30"/>
  <c r="G2" i="30" s="1"/>
  <c r="E15" i="30"/>
  <c r="H4" i="30"/>
  <c r="H5" i="30" s="1"/>
  <c r="H6" i="30" s="1"/>
  <c r="H7" i="30" s="1"/>
  <c r="H8" i="30" s="1"/>
  <c r="H9" i="30" s="1"/>
  <c r="H10" i="30" s="1"/>
  <c r="H11" i="30" s="1"/>
  <c r="H12" i="30" s="1"/>
  <c r="H13" i="30" s="1"/>
  <c r="H14" i="30" s="1"/>
  <c r="F2" i="30"/>
  <c r="D2" i="30"/>
  <c r="E118" i="29"/>
  <c r="E117" i="29"/>
  <c r="E116" i="29"/>
  <c r="E95" i="29"/>
  <c r="E14" i="29" s="1"/>
  <c r="E58" i="29"/>
  <c r="E13" i="29" s="1"/>
  <c r="E46" i="29"/>
  <c r="D46" i="29"/>
  <c r="E12" i="29"/>
  <c r="H3" i="29"/>
  <c r="H4" i="29" s="1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G2" i="29"/>
  <c r="F2" i="29"/>
  <c r="D2" i="29"/>
  <c r="E118" i="28"/>
  <c r="E117" i="28"/>
  <c r="E116" i="28"/>
  <c r="E111" i="28" s="1"/>
  <c r="N6" i="16" s="1"/>
  <c r="E78" i="28"/>
  <c r="E13" i="28" s="1"/>
  <c r="E54" i="28"/>
  <c r="E12" i="28" s="1"/>
  <c r="E42" i="28"/>
  <c r="D42" i="28"/>
  <c r="E11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2" i="28"/>
  <c r="F2" i="28"/>
  <c r="E6" i="16" s="1"/>
  <c r="D2" i="28"/>
  <c r="E121" i="27"/>
  <c r="E118" i="27"/>
  <c r="E117" i="27"/>
  <c r="E116" i="27"/>
  <c r="E80" i="27"/>
  <c r="E8" i="27" s="1"/>
  <c r="E59" i="27"/>
  <c r="E7" i="27" s="1"/>
  <c r="E47" i="27"/>
  <c r="D47" i="27"/>
  <c r="E6" i="27"/>
  <c r="H4" i="27"/>
  <c r="H5" i="27" s="1"/>
  <c r="H6" i="27" s="1"/>
  <c r="H7" i="27" s="1"/>
  <c r="H8" i="27" s="1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G2" i="27"/>
  <c r="F2" i="27"/>
  <c r="D2" i="27"/>
  <c r="E118" i="26"/>
  <c r="E117" i="26"/>
  <c r="E116" i="26"/>
  <c r="E84" i="26"/>
  <c r="E9" i="26" s="1"/>
  <c r="E49" i="26"/>
  <c r="E8" i="26" s="1"/>
  <c r="E37" i="26"/>
  <c r="D37" i="26"/>
  <c r="H4" i="26"/>
  <c r="H5" i="26" s="1"/>
  <c r="H6" i="26" s="1"/>
  <c r="H7" i="26" s="1"/>
  <c r="H8" i="26" s="1"/>
  <c r="G2" i="26"/>
  <c r="F2" i="26"/>
  <c r="H2" i="26" s="1"/>
  <c r="D2" i="26"/>
  <c r="C121" i="25"/>
  <c r="E118" i="25"/>
  <c r="E117" i="25"/>
  <c r="E116" i="25"/>
  <c r="E69" i="25"/>
  <c r="E11" i="25" s="1"/>
  <c r="E53" i="25"/>
  <c r="E10" i="25" s="1"/>
  <c r="E41" i="25"/>
  <c r="D41" i="25"/>
  <c r="E9" i="25"/>
  <c r="G9" i="25" s="1"/>
  <c r="G2" i="25" s="1"/>
  <c r="F9" i="16" s="1"/>
  <c r="H4" i="25"/>
  <c r="H5" i="25" s="1"/>
  <c r="H6" i="25" s="1"/>
  <c r="H7" i="25" s="1"/>
  <c r="H8" i="25" s="1"/>
  <c r="F2" i="25"/>
  <c r="D2" i="25"/>
  <c r="B9" i="16" s="1"/>
  <c r="C121" i="24"/>
  <c r="E118" i="24"/>
  <c r="E117" i="24"/>
  <c r="E116" i="24"/>
  <c r="C74" i="24"/>
  <c r="E67" i="24"/>
  <c r="E9" i="24" s="1"/>
  <c r="E49" i="24"/>
  <c r="E8" i="24" s="1"/>
  <c r="E37" i="24"/>
  <c r="F7" i="24" s="1"/>
  <c r="F2" i="24" s="1"/>
  <c r="D37" i="24"/>
  <c r="D7" i="24" s="1"/>
  <c r="D2" i="24" s="1"/>
  <c r="B10" i="16" s="1"/>
  <c r="H4" i="24"/>
  <c r="H5" i="24" s="1"/>
  <c r="H6" i="24" s="1"/>
  <c r="G2" i="24"/>
  <c r="F10" i="16" s="1"/>
  <c r="C121" i="23"/>
  <c r="E118" i="23"/>
  <c r="E117" i="23"/>
  <c r="E116" i="23"/>
  <c r="E87" i="23"/>
  <c r="E9" i="23" s="1"/>
  <c r="E62" i="23"/>
  <c r="E8" i="23" s="1"/>
  <c r="E50" i="23"/>
  <c r="D50" i="23"/>
  <c r="G7" i="23"/>
  <c r="E7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H39" i="23" s="1"/>
  <c r="H40" i="23" s="1"/>
  <c r="E121" i="23" s="1"/>
  <c r="G2" i="23"/>
  <c r="F11" i="16" s="1"/>
  <c r="F2" i="23"/>
  <c r="E11" i="16" s="1"/>
  <c r="D2" i="23"/>
  <c r="E122" i="22"/>
  <c r="E119" i="22"/>
  <c r="E118" i="22"/>
  <c r="E117" i="22"/>
  <c r="E116" i="22"/>
  <c r="E68" i="22"/>
  <c r="E11" i="22" s="1"/>
  <c r="E51" i="22"/>
  <c r="E10" i="22" s="1"/>
  <c r="E39" i="22"/>
  <c r="D39" i="22"/>
  <c r="E9" i="22"/>
  <c r="G9" i="22" s="1"/>
  <c r="G2" i="22" s="1"/>
  <c r="F12" i="16" s="1"/>
  <c r="H4" i="22"/>
  <c r="H5" i="22" s="1"/>
  <c r="H6" i="22" s="1"/>
  <c r="H7" i="22" s="1"/>
  <c r="H8" i="22" s="1"/>
  <c r="F2" i="22"/>
  <c r="D2" i="22"/>
  <c r="C123" i="21"/>
  <c r="E120" i="21"/>
  <c r="E119" i="21"/>
  <c r="E118" i="21"/>
  <c r="A113" i="21"/>
  <c r="A114" i="21" s="1"/>
  <c r="A115" i="21" s="1"/>
  <c r="A118" i="21" s="1"/>
  <c r="A119" i="21" s="1"/>
  <c r="A120" i="21" s="1"/>
  <c r="A121" i="21" s="1"/>
  <c r="A122" i="21" s="1"/>
  <c r="E109" i="21"/>
  <c r="E71" i="21"/>
  <c r="E10" i="21" s="1"/>
  <c r="G10" i="21" s="1"/>
  <c r="E55" i="21"/>
  <c r="E9" i="21" s="1"/>
  <c r="G9" i="21" s="1"/>
  <c r="E43" i="21"/>
  <c r="D43" i="21"/>
  <c r="E8" i="21"/>
  <c r="H4" i="21"/>
  <c r="H5" i="21" s="1"/>
  <c r="H6" i="21" s="1"/>
  <c r="H7" i="21" s="1"/>
  <c r="F2" i="21"/>
  <c r="D2" i="21"/>
  <c r="C129" i="20"/>
  <c r="E126" i="20"/>
  <c r="E125" i="20"/>
  <c r="E124" i="20"/>
  <c r="A113" i="20"/>
  <c r="A114" i="20" s="1"/>
  <c r="A115" i="20" s="1"/>
  <c r="D109" i="20"/>
  <c r="F81" i="20"/>
  <c r="E81" i="20"/>
  <c r="E13" i="20" s="1"/>
  <c r="G13" i="20" s="1"/>
  <c r="F58" i="20"/>
  <c r="E58" i="20"/>
  <c r="E12" i="20" s="1"/>
  <c r="E46" i="20"/>
  <c r="D46" i="20"/>
  <c r="G16" i="20"/>
  <c r="G15" i="20"/>
  <c r="G14" i="20"/>
  <c r="E11" i="20"/>
  <c r="G11" i="20" s="1"/>
  <c r="G7" i="20"/>
  <c r="H4" i="20"/>
  <c r="H5" i="20" s="1"/>
  <c r="H6" i="20" s="1"/>
  <c r="F2" i="20"/>
  <c r="D2" i="20"/>
  <c r="E32" i="19"/>
  <c r="D27" i="19"/>
  <c r="F33" i="19" s="1"/>
  <c r="H25" i="19"/>
  <c r="I25" i="19" s="1"/>
  <c r="I24" i="19" s="1"/>
  <c r="I23" i="19" s="1"/>
  <c r="I22" i="19" s="1"/>
  <c r="I21" i="19" s="1"/>
  <c r="I20" i="19" s="1"/>
  <c r="I19" i="19" s="1"/>
  <c r="I18" i="19" s="1"/>
  <c r="I17" i="19" s="1"/>
  <c r="I16" i="19" s="1"/>
  <c r="I15" i="19" s="1"/>
  <c r="I14" i="19" s="1"/>
  <c r="I13" i="19" s="1"/>
  <c r="I12" i="19" s="1"/>
  <c r="I11" i="19" s="1"/>
  <c r="I10" i="19" s="1"/>
  <c r="I9" i="19" s="1"/>
  <c r="I8" i="19" s="1"/>
  <c r="I5" i="18" s="1"/>
  <c r="F25" i="19"/>
  <c r="E25" i="19"/>
  <c r="H24" i="19"/>
  <c r="F24" i="19"/>
  <c r="E24" i="19"/>
  <c r="H23" i="19"/>
  <c r="F23" i="19"/>
  <c r="E23" i="19"/>
  <c r="H22" i="19"/>
  <c r="F22" i="19"/>
  <c r="E22" i="19"/>
  <c r="H21" i="19"/>
  <c r="F21" i="19"/>
  <c r="E21" i="19"/>
  <c r="H20" i="19"/>
  <c r="F20" i="19"/>
  <c r="E20" i="19"/>
  <c r="H19" i="19"/>
  <c r="F19" i="19"/>
  <c r="E19" i="19"/>
  <c r="H18" i="19"/>
  <c r="F18" i="19"/>
  <c r="E18" i="19"/>
  <c r="H17" i="19"/>
  <c r="F17" i="19"/>
  <c r="E17" i="19"/>
  <c r="H16" i="19"/>
  <c r="F16" i="19"/>
  <c r="E16" i="19"/>
  <c r="H15" i="19"/>
  <c r="F15" i="19"/>
  <c r="E15" i="19"/>
  <c r="H14" i="19"/>
  <c r="F14" i="19"/>
  <c r="E14" i="19"/>
  <c r="H13" i="19"/>
  <c r="F13" i="19"/>
  <c r="E13" i="19"/>
  <c r="H12" i="19"/>
  <c r="F12" i="19"/>
  <c r="E12" i="19"/>
  <c r="H11" i="19"/>
  <c r="F11" i="19"/>
  <c r="E11" i="19"/>
  <c r="H10" i="19"/>
  <c r="F10" i="19"/>
  <c r="E10" i="19"/>
  <c r="H9" i="19"/>
  <c r="F9" i="19"/>
  <c r="E9" i="19"/>
  <c r="H8" i="19"/>
  <c r="H27" i="19" s="1"/>
  <c r="F34" i="19" s="1"/>
  <c r="F8" i="19"/>
  <c r="E8" i="19"/>
  <c r="E28" i="19" s="1"/>
  <c r="F5" i="19"/>
  <c r="F41" i="18"/>
  <c r="E41" i="18" s="1"/>
  <c r="H37" i="18"/>
  <c r="I37" i="18" s="1"/>
  <c r="F37" i="18"/>
  <c r="E37" i="18"/>
  <c r="H36" i="18"/>
  <c r="F36" i="18"/>
  <c r="E36" i="18"/>
  <c r="H35" i="18"/>
  <c r="F35" i="18"/>
  <c r="E35" i="18"/>
  <c r="H34" i="18"/>
  <c r="F34" i="18"/>
  <c r="E34" i="18"/>
  <c r="H33" i="18"/>
  <c r="F33" i="18"/>
  <c r="E33" i="18"/>
  <c r="H32" i="18"/>
  <c r="F32" i="18"/>
  <c r="E32" i="18"/>
  <c r="H31" i="18"/>
  <c r="F31" i="18"/>
  <c r="E31" i="18"/>
  <c r="H30" i="18"/>
  <c r="F30" i="18"/>
  <c r="E30" i="18"/>
  <c r="H29" i="18"/>
  <c r="F29" i="18"/>
  <c r="E29" i="18"/>
  <c r="H28" i="18"/>
  <c r="F28" i="18"/>
  <c r="E28" i="18"/>
  <c r="H27" i="18"/>
  <c r="F27" i="18"/>
  <c r="E27" i="18"/>
  <c r="H26" i="18"/>
  <c r="F26" i="18"/>
  <c r="E26" i="18"/>
  <c r="H25" i="18"/>
  <c r="H23" i="18" s="1"/>
  <c r="F25" i="18"/>
  <c r="E25" i="18"/>
  <c r="H24" i="18"/>
  <c r="F24" i="18"/>
  <c r="E24" i="18"/>
  <c r="D23" i="18"/>
  <c r="D42" i="18" s="1"/>
  <c r="F21" i="18"/>
  <c r="F60" i="17"/>
  <c r="E60" i="17"/>
  <c r="D60" i="17"/>
  <c r="F39" i="17"/>
  <c r="E39" i="17"/>
  <c r="G4" i="17"/>
  <c r="G5" i="17" s="1"/>
  <c r="G6" i="17" s="1"/>
  <c r="G7" i="17" s="1"/>
  <c r="G8" i="17" s="1"/>
  <c r="G9" i="17" s="1"/>
  <c r="G10" i="17" s="1"/>
  <c r="G11" i="17" s="1"/>
  <c r="G12" i="17" s="1"/>
  <c r="G13" i="17" s="1"/>
  <c r="G14" i="17" s="1"/>
  <c r="G15" i="17" s="1"/>
  <c r="G16" i="17" s="1"/>
  <c r="G17" i="17" s="1"/>
  <c r="G18" i="17" s="1"/>
  <c r="G19" i="17" s="1"/>
  <c r="G20" i="17" s="1"/>
  <c r="G21" i="17" s="1"/>
  <c r="G22" i="17" s="1"/>
  <c r="G23" i="17" s="1"/>
  <c r="G24" i="17" s="1"/>
  <c r="G25" i="17" s="1"/>
  <c r="G26" i="17" s="1"/>
  <c r="G27" i="17" s="1"/>
  <c r="G28" i="17" s="1"/>
  <c r="G29" i="17" s="1"/>
  <c r="G30" i="17" s="1"/>
  <c r="G31" i="17" s="1"/>
  <c r="G32" i="17" s="1"/>
  <c r="G33" i="17" s="1"/>
  <c r="G34" i="17" s="1"/>
  <c r="G35" i="17" s="1"/>
  <c r="G36" i="17" s="1"/>
  <c r="G37" i="17" s="1"/>
  <c r="G3" i="17"/>
  <c r="F33" i="16"/>
  <c r="F32" i="16"/>
  <c r="F31" i="16"/>
  <c r="F19" i="16"/>
  <c r="F21" i="16" s="1"/>
  <c r="E19" i="16"/>
  <c r="E18" i="16"/>
  <c r="M6" i="16" s="1"/>
  <c r="J15" i="16"/>
  <c r="J16" i="16" s="1"/>
  <c r="N14" i="16"/>
  <c r="K14" i="16"/>
  <c r="L14" i="16" s="1"/>
  <c r="E14" i="16"/>
  <c r="B14" i="16"/>
  <c r="K13" i="16"/>
  <c r="L13" i="16" s="1"/>
  <c r="E13" i="16"/>
  <c r="B13" i="16"/>
  <c r="K12" i="16"/>
  <c r="L12" i="16" s="1"/>
  <c r="E12" i="16"/>
  <c r="B12" i="16"/>
  <c r="K11" i="16"/>
  <c r="L11" i="16" s="1"/>
  <c r="B11" i="16"/>
  <c r="K9" i="16"/>
  <c r="L9" i="16" s="1"/>
  <c r="E9" i="16"/>
  <c r="M8" i="16"/>
  <c r="F8" i="16"/>
  <c r="E8" i="16"/>
  <c r="B8" i="16"/>
  <c r="M7" i="16"/>
  <c r="F7" i="16"/>
  <c r="E7" i="16"/>
  <c r="B7" i="16"/>
  <c r="F6" i="16"/>
  <c r="B6" i="16"/>
  <c r="F5" i="16"/>
  <c r="E5" i="16"/>
  <c r="B5" i="16"/>
  <c r="K4" i="16"/>
  <c r="F4" i="16"/>
  <c r="B4" i="16"/>
  <c r="M3" i="16"/>
  <c r="F3" i="16"/>
  <c r="C3" i="16"/>
  <c r="B3" i="16"/>
  <c r="L1" i="16"/>
  <c r="C149" i="15"/>
  <c r="D147" i="15"/>
  <c r="E144" i="15"/>
  <c r="D144" i="15"/>
  <c r="C136" i="15"/>
  <c r="E133" i="15"/>
  <c r="E132" i="15"/>
  <c r="E131" i="15"/>
  <c r="A131" i="15"/>
  <c r="E130" i="15"/>
  <c r="A128" i="15"/>
  <c r="A126" i="15"/>
  <c r="A120" i="15"/>
  <c r="A121" i="15" s="1"/>
  <c r="A122" i="15" s="1"/>
  <c r="A123" i="15" s="1"/>
  <c r="A124" i="15" s="1"/>
  <c r="C112" i="15"/>
  <c r="C111" i="15"/>
  <c r="C110" i="15"/>
  <c r="C109" i="15"/>
  <c r="C107" i="15"/>
  <c r="C106" i="15"/>
  <c r="C102" i="15"/>
  <c r="C100" i="15"/>
  <c r="C97" i="15"/>
  <c r="C95" i="15"/>
  <c r="C93" i="15"/>
  <c r="C92" i="15"/>
  <c r="C90" i="15"/>
  <c r="C89" i="15"/>
  <c r="E77" i="15"/>
  <c r="E14" i="15" s="1"/>
  <c r="E60" i="15"/>
  <c r="E13" i="15" s="1"/>
  <c r="G13" i="15" s="1"/>
  <c r="E49" i="15"/>
  <c r="D49" i="15"/>
  <c r="G16" i="15"/>
  <c r="G15" i="15"/>
  <c r="E12" i="15"/>
  <c r="H4" i="15"/>
  <c r="H5" i="15" s="1"/>
  <c r="H6" i="15" s="1"/>
  <c r="H7" i="15" s="1"/>
  <c r="H8" i="15" s="1"/>
  <c r="H9" i="15" s="1"/>
  <c r="H10" i="15" s="1"/>
  <c r="H11" i="15" s="1"/>
  <c r="F2" i="15"/>
  <c r="E3" i="3" s="1"/>
  <c r="D2" i="15"/>
  <c r="C134" i="14"/>
  <c r="F130" i="14"/>
  <c r="F129" i="14"/>
  <c r="E128" i="14"/>
  <c r="E127" i="14"/>
  <c r="E126" i="14"/>
  <c r="E125" i="14"/>
  <c r="F124" i="14"/>
  <c r="F121" i="14"/>
  <c r="F120" i="14"/>
  <c r="F118" i="14"/>
  <c r="F114" i="14"/>
  <c r="A113" i="14"/>
  <c r="A114" i="14" s="1"/>
  <c r="A115" i="14" s="1"/>
  <c r="A116" i="14" s="1"/>
  <c r="A117" i="14" s="1"/>
  <c r="A118" i="14" s="1"/>
  <c r="A119" i="14" s="1"/>
  <c r="A120" i="14" s="1"/>
  <c r="A121" i="14" s="1"/>
  <c r="A122" i="14" s="1"/>
  <c r="A123" i="14" s="1"/>
  <c r="A124" i="14" s="1"/>
  <c r="A125" i="14" s="1"/>
  <c r="A126" i="14" s="1"/>
  <c r="A127" i="14" s="1"/>
  <c r="A128" i="14" s="1"/>
  <c r="A129" i="14" s="1"/>
  <c r="A130" i="14" s="1"/>
  <c r="D103" i="14"/>
  <c r="E64" i="14"/>
  <c r="E10" i="14" s="1"/>
  <c r="E47" i="14"/>
  <c r="E9" i="14" s="1"/>
  <c r="G9" i="14" s="1"/>
  <c r="C40" i="14"/>
  <c r="E36" i="14"/>
  <c r="D36" i="14"/>
  <c r="E19" i="14"/>
  <c r="G19" i="14" s="1"/>
  <c r="G15" i="14"/>
  <c r="G13" i="14"/>
  <c r="G12" i="14"/>
  <c r="H4" i="14"/>
  <c r="H5" i="14" s="1"/>
  <c r="H6" i="14" s="1"/>
  <c r="H7" i="14" s="1"/>
  <c r="H8" i="14" s="1"/>
  <c r="F2" i="14"/>
  <c r="E4" i="3" s="1"/>
  <c r="D2" i="14"/>
  <c r="B4" i="3" s="1"/>
  <c r="C131" i="13"/>
  <c r="E125" i="13"/>
  <c r="E124" i="13"/>
  <c r="E123" i="13"/>
  <c r="E122" i="13"/>
  <c r="A110" i="13"/>
  <c r="A111" i="13" s="1"/>
  <c r="A112" i="13" s="1"/>
  <c r="A113" i="13" s="1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E65" i="13"/>
  <c r="E8" i="13" s="1"/>
  <c r="G8" i="13" s="1"/>
  <c r="E46" i="13"/>
  <c r="E35" i="13"/>
  <c r="D35" i="13"/>
  <c r="G16" i="13"/>
  <c r="E16" i="13"/>
  <c r="G13" i="13"/>
  <c r="G12" i="13"/>
  <c r="E9" i="13"/>
  <c r="G7" i="13"/>
  <c r="H4" i="13"/>
  <c r="H5" i="13" s="1"/>
  <c r="H6" i="13" s="1"/>
  <c r="F2" i="13"/>
  <c r="D2" i="13"/>
  <c r="B5" i="3" s="1"/>
  <c r="C130" i="12"/>
  <c r="E124" i="12"/>
  <c r="C123" i="12"/>
  <c r="E123" i="12" s="1"/>
  <c r="E122" i="12"/>
  <c r="E121" i="12"/>
  <c r="A113" i="12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E97" i="12"/>
  <c r="C86" i="12"/>
  <c r="C82" i="12"/>
  <c r="C80" i="12"/>
  <c r="C76" i="12"/>
  <c r="E65" i="12"/>
  <c r="E13" i="12" s="1"/>
  <c r="G13" i="12" s="1"/>
  <c r="E60" i="12"/>
  <c r="E19" i="12" s="1"/>
  <c r="G19" i="12" s="1"/>
  <c r="D54" i="12"/>
  <c r="G18" i="12"/>
  <c r="G17" i="12"/>
  <c r="G16" i="12"/>
  <c r="E12" i="12"/>
  <c r="H5" i="12"/>
  <c r="H6" i="12" s="1"/>
  <c r="H7" i="12" s="1"/>
  <c r="H8" i="12" s="1"/>
  <c r="H9" i="12" s="1"/>
  <c r="H10" i="12" s="1"/>
  <c r="H11" i="12" s="1"/>
  <c r="F2" i="12"/>
  <c r="E6" i="3" s="1"/>
  <c r="D2" i="12"/>
  <c r="B6" i="3" s="1"/>
  <c r="C122" i="11"/>
  <c r="E116" i="11"/>
  <c r="C115" i="11"/>
  <c r="E115" i="11" s="1"/>
  <c r="E114" i="11"/>
  <c r="E113" i="11"/>
  <c r="E112" i="11"/>
  <c r="E110" i="11"/>
  <c r="E109" i="11"/>
  <c r="A103" i="11"/>
  <c r="A104" i="11" s="1"/>
  <c r="A105" i="11" s="1"/>
  <c r="A106" i="11" s="1"/>
  <c r="A107" i="11" s="1"/>
  <c r="A108" i="11" s="1"/>
  <c r="A109" i="11" s="1"/>
  <c r="A111" i="11" s="1"/>
  <c r="E57" i="11"/>
  <c r="E11" i="11" s="1"/>
  <c r="E41" i="11"/>
  <c r="E10" i="11" s="1"/>
  <c r="E30" i="11"/>
  <c r="D30" i="11"/>
  <c r="E18" i="11"/>
  <c r="G18" i="11" s="1"/>
  <c r="G2" i="11" s="1"/>
  <c r="F7" i="3" s="1"/>
  <c r="H4" i="11"/>
  <c r="H5" i="11" s="1"/>
  <c r="H6" i="11" s="1"/>
  <c r="H7" i="11" s="1"/>
  <c r="H8" i="11" s="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F2" i="11"/>
  <c r="E7" i="3" s="1"/>
  <c r="D2" i="11"/>
  <c r="C139" i="10"/>
  <c r="E133" i="10"/>
  <c r="C132" i="10"/>
  <c r="E132" i="10" s="1"/>
  <c r="E131" i="10"/>
  <c r="E130" i="10"/>
  <c r="E129" i="10"/>
  <c r="E127" i="10"/>
  <c r="E126" i="10"/>
  <c r="A120" i="10"/>
  <c r="A121" i="10" s="1"/>
  <c r="A122" i="10" s="1"/>
  <c r="A123" i="10" s="1"/>
  <c r="A124" i="10" s="1"/>
  <c r="A125" i="10" s="1"/>
  <c r="A126" i="10" s="1"/>
  <c r="A128" i="10" s="1"/>
  <c r="D112" i="10"/>
  <c r="D92" i="10"/>
  <c r="D91" i="10"/>
  <c r="D80" i="10"/>
  <c r="E65" i="10"/>
  <c r="F65" i="10" s="1"/>
  <c r="E50" i="10"/>
  <c r="E10" i="10" s="1"/>
  <c r="E41" i="10"/>
  <c r="D41" i="10"/>
  <c r="E20" i="10"/>
  <c r="G16" i="10"/>
  <c r="G15" i="10"/>
  <c r="G14" i="10"/>
  <c r="G11" i="10"/>
  <c r="E11" i="10"/>
  <c r="G5" i="10"/>
  <c r="H4" i="10"/>
  <c r="F2" i="10"/>
  <c r="D2" i="10"/>
  <c r="B8" i="3" s="1"/>
  <c r="C158" i="9"/>
  <c r="E152" i="9"/>
  <c r="C151" i="9"/>
  <c r="E151" i="9" s="1"/>
  <c r="E150" i="9"/>
  <c r="E149" i="9"/>
  <c r="E148" i="9"/>
  <c r="E147" i="9"/>
  <c r="E146" i="9"/>
  <c r="E145" i="9"/>
  <c r="E144" i="9"/>
  <c r="E143" i="9"/>
  <c r="E142" i="9"/>
  <c r="E141" i="9"/>
  <c r="E140" i="9"/>
  <c r="A135" i="9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C131" i="9"/>
  <c r="E72" i="9"/>
  <c r="E10" i="9" s="1"/>
  <c r="G10" i="9" s="1"/>
  <c r="E55" i="9"/>
  <c r="E9" i="9" s="1"/>
  <c r="G9" i="9" s="1"/>
  <c r="E44" i="9"/>
  <c r="D44" i="9"/>
  <c r="E22" i="9"/>
  <c r="H4" i="9"/>
  <c r="H5" i="9" s="1"/>
  <c r="H6" i="9" s="1"/>
  <c r="H7" i="9" s="1"/>
  <c r="H8" i="9" s="1"/>
  <c r="F2" i="9"/>
  <c r="D2" i="9"/>
  <c r="B9" i="3" s="1"/>
  <c r="C149" i="8"/>
  <c r="E143" i="8"/>
  <c r="C142" i="8"/>
  <c r="E142" i="8" s="1"/>
  <c r="E141" i="8"/>
  <c r="E140" i="8"/>
  <c r="E139" i="8"/>
  <c r="E138" i="8"/>
  <c r="E137" i="8"/>
  <c r="E136" i="8"/>
  <c r="E135" i="8"/>
  <c r="E134" i="8"/>
  <c r="E133" i="8"/>
  <c r="E132" i="8"/>
  <c r="E131" i="8"/>
  <c r="A126" i="8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E77" i="8"/>
  <c r="E8" i="8" s="1"/>
  <c r="E62" i="8"/>
  <c r="E7" i="8" s="1"/>
  <c r="E51" i="8"/>
  <c r="D51" i="8"/>
  <c r="E12" i="8"/>
  <c r="H4" i="8"/>
  <c r="H5" i="8" s="1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F2" i="8"/>
  <c r="D2" i="8"/>
  <c r="B10" i="3" s="1"/>
  <c r="E60" i="7"/>
  <c r="E6" i="7" s="1"/>
  <c r="G6" i="7" s="1"/>
  <c r="E45" i="7"/>
  <c r="E7" i="7" s="1"/>
  <c r="G7" i="7" s="1"/>
  <c r="E34" i="7"/>
  <c r="D34" i="7"/>
  <c r="E10" i="7"/>
  <c r="H4" i="7"/>
  <c r="H5" i="7" s="1"/>
  <c r="F2" i="7"/>
  <c r="E11" i="3" s="1"/>
  <c r="D2" i="7"/>
  <c r="B11" i="3" s="1"/>
  <c r="E118" i="6"/>
  <c r="E117" i="6"/>
  <c r="E116" i="6"/>
  <c r="E7" i="6"/>
  <c r="E51" i="6"/>
  <c r="E8" i="6" s="1"/>
  <c r="E40" i="6"/>
  <c r="D40" i="6"/>
  <c r="E9" i="6"/>
  <c r="H4" i="6"/>
  <c r="H5" i="6" s="1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G2" i="6"/>
  <c r="F12" i="3" s="1"/>
  <c r="F2" i="6"/>
  <c r="D2" i="6"/>
  <c r="B12" i="3" s="1"/>
  <c r="E117" i="5"/>
  <c r="E116" i="5"/>
  <c r="E115" i="5"/>
  <c r="E7" i="5"/>
  <c r="E55" i="5"/>
  <c r="E9" i="5" s="1"/>
  <c r="E44" i="5"/>
  <c r="D44" i="5"/>
  <c r="E10" i="5"/>
  <c r="H4" i="5"/>
  <c r="H5" i="5" s="1"/>
  <c r="H6" i="5" s="1"/>
  <c r="H7" i="5" s="1"/>
  <c r="H8" i="5" s="1"/>
  <c r="H9" i="5" s="1"/>
  <c r="H10" i="5" s="1"/>
  <c r="H11" i="5" s="1"/>
  <c r="H12" i="5" s="1"/>
  <c r="H13" i="5" s="1"/>
  <c r="H14" i="5" s="1"/>
  <c r="G2" i="5"/>
  <c r="F13" i="3" s="1"/>
  <c r="F2" i="5"/>
  <c r="E13" i="3" s="1"/>
  <c r="D2" i="5"/>
  <c r="B13" i="3" s="1"/>
  <c r="E124" i="4"/>
  <c r="E123" i="4"/>
  <c r="E122" i="4"/>
  <c r="E77" i="4"/>
  <c r="E21" i="4" s="1"/>
  <c r="E62" i="4"/>
  <c r="E20" i="4" s="1"/>
  <c r="E51" i="4"/>
  <c r="D51" i="4"/>
  <c r="E19" i="4"/>
  <c r="M13" i="4"/>
  <c r="M12" i="4"/>
  <c r="M11" i="4"/>
  <c r="M10" i="4"/>
  <c r="M9" i="4"/>
  <c r="H4" i="4"/>
  <c r="H6" i="4" s="1"/>
  <c r="H7" i="4" s="1"/>
  <c r="H8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H33" i="4" s="1"/>
  <c r="H34" i="4" s="1"/>
  <c r="H35" i="4" s="1"/>
  <c r="H36" i="4" s="1"/>
  <c r="H37" i="4" s="1"/>
  <c r="G2" i="4"/>
  <c r="F14" i="3" s="1"/>
  <c r="F2" i="4"/>
  <c r="D2" i="4"/>
  <c r="B14" i="3" s="1"/>
  <c r="F133" i="3"/>
  <c r="D133" i="3"/>
  <c r="F130" i="3"/>
  <c r="F129" i="3"/>
  <c r="F128" i="3"/>
  <c r="B117" i="3"/>
  <c r="B118" i="3" s="1"/>
  <c r="B119" i="3" s="1"/>
  <c r="B120" i="3" s="1"/>
  <c r="B24" i="3"/>
  <c r="D23" i="3"/>
  <c r="D24" i="3" s="1"/>
  <c r="C25" i="3" s="1"/>
  <c r="B23" i="3"/>
  <c r="E18" i="3"/>
  <c r="J15" i="3"/>
  <c r="J16" i="3" s="1"/>
  <c r="N14" i="3"/>
  <c r="K14" i="3"/>
  <c r="L14" i="3" s="1"/>
  <c r="N13" i="3"/>
  <c r="K13" i="3"/>
  <c r="L13" i="3" s="1"/>
  <c r="N12" i="3"/>
  <c r="K12" i="3"/>
  <c r="L12" i="3" s="1"/>
  <c r="K11" i="3"/>
  <c r="L11" i="3" s="1"/>
  <c r="N10" i="3"/>
  <c r="M10" i="3"/>
  <c r="K9" i="3"/>
  <c r="L9" i="3" s="1"/>
  <c r="E9" i="3"/>
  <c r="M8" i="3"/>
  <c r="E8" i="3"/>
  <c r="B7" i="3"/>
  <c r="M5" i="3"/>
  <c r="E5" i="3"/>
  <c r="K4" i="3"/>
  <c r="L4" i="3" s="1"/>
  <c r="M3" i="3"/>
  <c r="B3" i="3"/>
  <c r="L2" i="3"/>
  <c r="F74" i="2"/>
  <c r="H69" i="2"/>
  <c r="H70" i="2" s="1"/>
  <c r="H71" i="2" s="1"/>
  <c r="H72" i="2" s="1"/>
  <c r="H73" i="2" s="1"/>
  <c r="F60" i="2"/>
  <c r="F58" i="2"/>
  <c r="F57" i="2"/>
  <c r="F55" i="2"/>
  <c r="H55" i="2" s="1"/>
  <c r="H56" i="2" s="1"/>
  <c r="J50" i="2"/>
  <c r="J46" i="2"/>
  <c r="H44" i="2"/>
  <c r="H45" i="2" s="1"/>
  <c r="H46" i="2" s="1"/>
  <c r="H47" i="2" s="1"/>
  <c r="H48" i="2" s="1"/>
  <c r="H49" i="2" s="1"/>
  <c r="H50" i="2" s="1"/>
  <c r="G33" i="2"/>
  <c r="E31" i="2"/>
  <c r="F31" i="2" s="1"/>
  <c r="F30" i="2"/>
  <c r="F29" i="2"/>
  <c r="F28" i="2"/>
  <c r="E27" i="2"/>
  <c r="F27" i="2" s="1"/>
  <c r="E25" i="2"/>
  <c r="F25" i="2" s="1"/>
  <c r="F24" i="2"/>
  <c r="E23" i="2"/>
  <c r="F23" i="2" s="1"/>
  <c r="E22" i="2"/>
  <c r="F22" i="2" s="1"/>
  <c r="E21" i="2"/>
  <c r="F21" i="2" s="1"/>
  <c r="F20" i="2"/>
  <c r="E18" i="2"/>
  <c r="F18" i="2" s="1"/>
  <c r="E17" i="2"/>
  <c r="F17" i="2" s="1"/>
  <c r="F16" i="2"/>
  <c r="E15" i="2"/>
  <c r="F15" i="2" s="1"/>
  <c r="E14" i="2"/>
  <c r="F14" i="2" s="1"/>
  <c r="F11" i="2"/>
  <c r="G11" i="2" s="1"/>
  <c r="H11" i="2" s="1"/>
  <c r="H14" i="2" s="1"/>
  <c r="F78" i="1"/>
  <c r="F79" i="1" s="1"/>
  <c r="F80" i="1" s="1"/>
  <c r="F81" i="1" s="1"/>
  <c r="F82" i="1" s="1"/>
  <c r="F83" i="1" s="1"/>
  <c r="F86" i="1" s="1"/>
  <c r="F87" i="1" s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H2" i="30" l="1"/>
  <c r="E121" i="30" s="1"/>
  <c r="E4" i="16"/>
  <c r="G60" i="17"/>
  <c r="H15" i="30"/>
  <c r="H16" i="30" s="1"/>
  <c r="H17" i="30" s="1"/>
  <c r="H18" i="30" s="1"/>
  <c r="H19" i="30" s="1"/>
  <c r="H20" i="30" s="1"/>
  <c r="H21" i="30" s="1"/>
  <c r="H22" i="30" s="1"/>
  <c r="H23" i="30" s="1"/>
  <c r="H24" i="30" s="1"/>
  <c r="H25" i="30" s="1"/>
  <c r="H26" i="30" s="1"/>
  <c r="H27" i="30" s="1"/>
  <c r="H28" i="30" s="1"/>
  <c r="H29" i="30" s="1"/>
  <c r="H30" i="30" s="1"/>
  <c r="H31" i="30" s="1"/>
  <c r="H32" i="30" s="1"/>
  <c r="H33" i="30" s="1"/>
  <c r="H34" i="30" s="1"/>
  <c r="H35" i="30" s="1"/>
  <c r="H36" i="30" s="1"/>
  <c r="H37" i="30" s="1"/>
  <c r="H38" i="30" s="1"/>
  <c r="H39" i="30" s="1"/>
  <c r="H40" i="30" s="1"/>
  <c r="H41" i="30" s="1"/>
  <c r="E2" i="30"/>
  <c r="C4" i="16" s="1"/>
  <c r="H6" i="7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7" i="13"/>
  <c r="H8" i="13" s="1"/>
  <c r="E111" i="26"/>
  <c r="N8" i="16" s="1"/>
  <c r="H7" i="20"/>
  <c r="H8" i="20" s="1"/>
  <c r="H9" i="20" s="1"/>
  <c r="H10" i="20" s="1"/>
  <c r="E2" i="23"/>
  <c r="C11" i="16" s="1"/>
  <c r="H2" i="39"/>
  <c r="E111" i="31"/>
  <c r="N3" i="16" s="1"/>
  <c r="H2" i="40"/>
  <c r="E2" i="6"/>
  <c r="H26" i="6"/>
  <c r="H27" i="6" s="1"/>
  <c r="H28" i="6" s="1"/>
  <c r="H29" i="6" s="1"/>
  <c r="H30" i="6" s="1"/>
  <c r="H31" i="6" s="1"/>
  <c r="H32" i="6" s="1"/>
  <c r="H33" i="6" s="1"/>
  <c r="G2" i="7"/>
  <c r="F11" i="3" s="1"/>
  <c r="E2" i="25"/>
  <c r="C9" i="16" s="1"/>
  <c r="E2" i="5"/>
  <c r="C13" i="3" s="1"/>
  <c r="H2" i="4"/>
  <c r="E126" i="4" s="1"/>
  <c r="E128" i="4" s="1"/>
  <c r="E125" i="21"/>
  <c r="E7" i="32"/>
  <c r="H2" i="33"/>
  <c r="H15" i="2"/>
  <c r="H16" i="2" s="1"/>
  <c r="H17" i="2" s="1"/>
  <c r="H18" i="2" s="1"/>
  <c r="H20" i="2" s="1"/>
  <c r="H22" i="2" s="1"/>
  <c r="H23" i="2" s="1"/>
  <c r="H25" i="2" s="1"/>
  <c r="H27" i="2" s="1"/>
  <c r="H28" i="2" s="1"/>
  <c r="H29" i="2" s="1"/>
  <c r="H30" i="2" s="1"/>
  <c r="H32" i="2" s="1"/>
  <c r="H33" i="2" s="1"/>
  <c r="H34" i="2" s="1"/>
  <c r="E111" i="23"/>
  <c r="N11" i="16" s="1"/>
  <c r="E2" i="29"/>
  <c r="C5" i="16" s="1"/>
  <c r="I36" i="18"/>
  <c r="I35" i="18" s="1"/>
  <c r="I34" i="18" s="1"/>
  <c r="I33" i="18" s="1"/>
  <c r="I32" i="18" s="1"/>
  <c r="I31" i="18" s="1"/>
  <c r="I30" i="18" s="1"/>
  <c r="I29" i="18" s="1"/>
  <c r="I28" i="18" s="1"/>
  <c r="I27" i="18" s="1"/>
  <c r="I26" i="18" s="1"/>
  <c r="I25" i="18" s="1"/>
  <c r="I24" i="18" s="1"/>
  <c r="I23" i="18" s="1"/>
  <c r="E7" i="10"/>
  <c r="G7" i="10" s="1"/>
  <c r="C15" i="32"/>
  <c r="C16" i="32" s="1"/>
  <c r="H74" i="2"/>
  <c r="H75" i="2" s="1"/>
  <c r="H76" i="2" s="1"/>
  <c r="H77" i="2" s="1"/>
  <c r="H78" i="2" s="1"/>
  <c r="H79" i="2" s="1"/>
  <c r="H80" i="2" s="1"/>
  <c r="H81" i="2" s="1"/>
  <c r="H82" i="2" s="1"/>
  <c r="E2" i="4"/>
  <c r="C14" i="3" s="1"/>
  <c r="E2" i="22"/>
  <c r="C12" i="16" s="1"/>
  <c r="D149" i="15"/>
  <c r="E54" i="12"/>
  <c r="H2" i="28"/>
  <c r="E121" i="28" s="1"/>
  <c r="E123" i="28" s="1"/>
  <c r="F131" i="14"/>
  <c r="E111" i="24"/>
  <c r="N10" i="16" s="1"/>
  <c r="F135" i="3"/>
  <c r="E130" i="13"/>
  <c r="E111" i="12"/>
  <c r="N6" i="3" s="1"/>
  <c r="E111" i="30"/>
  <c r="N4" i="16" s="1"/>
  <c r="H9" i="25"/>
  <c r="H10" i="25" s="1"/>
  <c r="H11" i="25" s="1"/>
  <c r="H12" i="25" s="1"/>
  <c r="H13" i="25" s="1"/>
  <c r="E121" i="25" s="1"/>
  <c r="E123" i="25" s="1"/>
  <c r="H2" i="27"/>
  <c r="E110" i="5"/>
  <c r="H2" i="5"/>
  <c r="E119" i="5" s="1"/>
  <c r="E121" i="5" s="1"/>
  <c r="F36" i="1"/>
  <c r="F37" i="1" s="1"/>
  <c r="F38" i="1" s="1"/>
  <c r="F39" i="1" s="1"/>
  <c r="A104" i="7"/>
  <c r="A106" i="7" s="1"/>
  <c r="A107" i="7" s="1"/>
  <c r="A108" i="7" s="1"/>
  <c r="A109" i="7" s="1"/>
  <c r="A110" i="7" s="1"/>
  <c r="A111" i="7" s="1"/>
  <c r="A112" i="7" s="1"/>
  <c r="A113" i="7" s="1"/>
  <c r="E123" i="7"/>
  <c r="E100" i="7"/>
  <c r="H17" i="8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G2" i="8"/>
  <c r="F10" i="3" s="1"/>
  <c r="D127" i="1"/>
  <c r="F127" i="1" s="1"/>
  <c r="F128" i="1" s="1"/>
  <c r="F88" i="1"/>
  <c r="F89" i="1" s="1"/>
  <c r="F90" i="1" s="1"/>
  <c r="F91" i="1" s="1"/>
  <c r="F92" i="1" s="1"/>
  <c r="F93" i="1" s="1"/>
  <c r="F96" i="1" s="1"/>
  <c r="F97" i="1" s="1"/>
  <c r="F98" i="1" s="1"/>
  <c r="E40" i="1"/>
  <c r="E99" i="1"/>
  <c r="H2" i="24"/>
  <c r="E10" i="16"/>
  <c r="E15" i="16" s="1"/>
  <c r="E121" i="26"/>
  <c r="E123" i="26" s="1"/>
  <c r="H9" i="26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E2" i="28"/>
  <c r="C6" i="16" s="1"/>
  <c r="E111" i="14"/>
  <c r="N4" i="3" s="1"/>
  <c r="D3" i="16"/>
  <c r="D4" i="16" s="1"/>
  <c r="D5" i="16" s="1"/>
  <c r="G39" i="17"/>
  <c r="G41" i="17" s="1"/>
  <c r="G42" i="17" s="1"/>
  <c r="G43" i="17" s="1"/>
  <c r="G44" i="17" s="1"/>
  <c r="G45" i="17" s="1"/>
  <c r="G46" i="17" s="1"/>
  <c r="G47" i="17" s="1"/>
  <c r="G48" i="17" s="1"/>
  <c r="G49" i="17" s="1"/>
  <c r="G50" i="17" s="1"/>
  <c r="G51" i="17" s="1"/>
  <c r="G52" i="17" s="1"/>
  <c r="G53" i="17" s="1"/>
  <c r="G54" i="17" s="1"/>
  <c r="G55" i="17" s="1"/>
  <c r="G56" i="17" s="1"/>
  <c r="G57" i="17" s="1"/>
  <c r="G58" i="17" s="1"/>
  <c r="E2" i="26"/>
  <c r="C8" i="16" s="1"/>
  <c r="H2" i="29"/>
  <c r="E121" i="29" s="1"/>
  <c r="E123" i="29" s="1"/>
  <c r="E14" i="32"/>
  <c r="H9" i="9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33" i="9" s="1"/>
  <c r="H34" i="9" s="1"/>
  <c r="H35" i="9" s="1"/>
  <c r="H36" i="9" s="1"/>
  <c r="H37" i="9" s="1"/>
  <c r="H38" i="9" s="1"/>
  <c r="H9" i="14"/>
  <c r="E111" i="21"/>
  <c r="N13" i="16" s="1"/>
  <c r="H2" i="23"/>
  <c r="E108" i="13"/>
  <c r="N5" i="3" s="1"/>
  <c r="E23" i="18"/>
  <c r="E2" i="24"/>
  <c r="C10" i="16" s="1"/>
  <c r="E123" i="27"/>
  <c r="E8" i="32"/>
  <c r="H2" i="35"/>
  <c r="H2" i="43"/>
  <c r="M14" i="4"/>
  <c r="N8" i="4" s="1"/>
  <c r="N9" i="4" s="1"/>
  <c r="N10" i="4" s="1"/>
  <c r="N11" i="4" s="1"/>
  <c r="N12" i="4" s="1"/>
  <c r="N13" i="4" s="1"/>
  <c r="G2" i="10"/>
  <c r="F8" i="3" s="1"/>
  <c r="H2" i="41"/>
  <c r="B128" i="3"/>
  <c r="B129" i="3" s="1"/>
  <c r="B130" i="3" s="1"/>
  <c r="B131" i="3" s="1"/>
  <c r="B132" i="3" s="1"/>
  <c r="E118" i="10"/>
  <c r="N8" i="3" s="1"/>
  <c r="E138" i="15"/>
  <c r="E2" i="21"/>
  <c r="C13" i="16" s="1"/>
  <c r="E2" i="13"/>
  <c r="C5" i="3" s="1"/>
  <c r="H11" i="20"/>
  <c r="G8" i="2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H31" i="21" s="1"/>
  <c r="H32" i="21" s="1"/>
  <c r="H33" i="21" s="1"/>
  <c r="E123" i="21" s="1"/>
  <c r="F26" i="16"/>
  <c r="N2" i="16" s="1"/>
  <c r="F27" i="19"/>
  <c r="H2" i="31"/>
  <c r="E120" i="31" s="1"/>
  <c r="E122" i="31" s="1"/>
  <c r="E6" i="32"/>
  <c r="E2" i="7"/>
  <c r="C11" i="3" s="1"/>
  <c r="E129" i="12"/>
  <c r="G31" i="2"/>
  <c r="C12" i="3"/>
  <c r="F42" i="18"/>
  <c r="H7" i="24"/>
  <c r="H8" i="24" s="1"/>
  <c r="H9" i="24" s="1"/>
  <c r="H10" i="24" s="1"/>
  <c r="H11" i="24" s="1"/>
  <c r="H12" i="24" s="1"/>
  <c r="H13" i="24" s="1"/>
  <c r="E121" i="24" s="1"/>
  <c r="E123" i="24" s="1"/>
  <c r="F15" i="32"/>
  <c r="F16" i="32" s="1"/>
  <c r="H2" i="36"/>
  <c r="H57" i="2"/>
  <c r="H58" i="2" s="1"/>
  <c r="H59" i="2" s="1"/>
  <c r="H60" i="2" s="1"/>
  <c r="H61" i="2" s="1"/>
  <c r="H62" i="2" s="1"/>
  <c r="E101" i="11"/>
  <c r="N7" i="3" s="1"/>
  <c r="E133" i="14"/>
  <c r="C114" i="15"/>
  <c r="F23" i="18"/>
  <c r="E111" i="20"/>
  <c r="H2" i="22"/>
  <c r="K15" i="16"/>
  <c r="K16" i="16" s="1"/>
  <c r="H2" i="25"/>
  <c r="E2" i="8"/>
  <c r="C10" i="3" s="1"/>
  <c r="B121" i="3"/>
  <c r="B122" i="3" s="1"/>
  <c r="B123" i="3" s="1"/>
  <c r="B124" i="3" s="1"/>
  <c r="B125" i="3" s="1"/>
  <c r="B126" i="3" s="1"/>
  <c r="B127" i="3"/>
  <c r="E14" i="3"/>
  <c r="G10" i="14"/>
  <c r="G2" i="14" s="1"/>
  <c r="E2" i="14"/>
  <c r="C4" i="3" s="1"/>
  <c r="K15" i="3"/>
  <c r="K16" i="3" s="1"/>
  <c r="M6" i="3"/>
  <c r="M15" i="3" s="1"/>
  <c r="M16" i="3" s="1"/>
  <c r="E20" i="3"/>
  <c r="E2" i="12"/>
  <c r="C6" i="3" s="1"/>
  <c r="G12" i="12"/>
  <c r="G2" i="12" s="1"/>
  <c r="L4" i="16"/>
  <c r="L15" i="16" s="1"/>
  <c r="L15" i="3"/>
  <c r="E12" i="3"/>
  <c r="H2" i="6"/>
  <c r="E120" i="6" s="1"/>
  <c r="E122" i="6" s="1"/>
  <c r="A130" i="10"/>
  <c r="A131" i="10" s="1"/>
  <c r="A132" i="10" s="1"/>
  <c r="A133" i="10" s="1"/>
  <c r="A134" i="10" s="1"/>
  <c r="A135" i="10" s="1"/>
  <c r="A129" i="10"/>
  <c r="H2" i="11"/>
  <c r="E122" i="11" s="1"/>
  <c r="A133" i="15"/>
  <c r="A134" i="15" s="1"/>
  <c r="A135" i="15" s="1"/>
  <c r="A132" i="15"/>
  <c r="E138" i="10"/>
  <c r="E2" i="15"/>
  <c r="C3" i="3" s="1"/>
  <c r="G12" i="15"/>
  <c r="G2" i="15" s="1"/>
  <c r="E117" i="4"/>
  <c r="A127" i="10"/>
  <c r="G9" i="13"/>
  <c r="G2" i="13" s="1"/>
  <c r="E118" i="15"/>
  <c r="N3" i="3" s="1"/>
  <c r="E10" i="3"/>
  <c r="E2" i="9"/>
  <c r="C9" i="3" s="1"/>
  <c r="J51" i="2"/>
  <c r="J63" i="2" s="1"/>
  <c r="F115" i="3"/>
  <c r="N2" i="3" s="1"/>
  <c r="E133" i="9"/>
  <c r="N9" i="3" s="1"/>
  <c r="E157" i="9"/>
  <c r="A113" i="11"/>
  <c r="A114" i="11" s="1"/>
  <c r="A115" i="11" s="1"/>
  <c r="A116" i="11" s="1"/>
  <c r="A117" i="11" s="1"/>
  <c r="A118" i="11" s="1"/>
  <c r="A112" i="11"/>
  <c r="G25" i="2"/>
  <c r="B15" i="3"/>
  <c r="G18" i="2"/>
  <c r="E124" i="8"/>
  <c r="E148" i="8"/>
  <c r="A110" i="11"/>
  <c r="B15" i="16"/>
  <c r="E2" i="11"/>
  <c r="C7" i="3" s="1"/>
  <c r="E21" i="16"/>
  <c r="F35" i="19"/>
  <c r="G2" i="9"/>
  <c r="G3" i="16"/>
  <c r="G4" i="16" s="1"/>
  <c r="G5" i="16" s="1"/>
  <c r="G6" i="16" s="1"/>
  <c r="G7" i="16" s="1"/>
  <c r="G8" i="16" s="1"/>
  <c r="G9" i="16" s="1"/>
  <c r="E34" i="19"/>
  <c r="D39" i="19"/>
  <c r="F39" i="19" s="1"/>
  <c r="G12" i="20"/>
  <c r="H12" i="20" s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2" i="20"/>
  <c r="C14" i="16" s="1"/>
  <c r="M15" i="16"/>
  <c r="M16" i="16" s="1"/>
  <c r="H5" i="10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H34" i="10" s="1"/>
  <c r="D114" i="10"/>
  <c r="G2" i="21"/>
  <c r="F13" i="16" s="1"/>
  <c r="E111" i="6"/>
  <c r="E2" i="10"/>
  <c r="C8" i="3" s="1"/>
  <c r="E27" i="19"/>
  <c r="E29" i="19" s="1"/>
  <c r="A124" i="20"/>
  <c r="A125" i="20" s="1"/>
  <c r="A126" i="20" s="1"/>
  <c r="A127" i="20" s="1"/>
  <c r="A128" i="20" s="1"/>
  <c r="A116" i="20"/>
  <c r="E121" i="11"/>
  <c r="G3" i="32"/>
  <c r="G4" i="32" s="1"/>
  <c r="G5" i="32" s="1"/>
  <c r="K15" i="32"/>
  <c r="K16" i="32" s="1"/>
  <c r="D33" i="19"/>
  <c r="E123" i="30"/>
  <c r="H2" i="38"/>
  <c r="H2" i="42"/>
  <c r="E33" i="19"/>
  <c r="E2" i="27"/>
  <c r="C7" i="16" s="1"/>
  <c r="E111" i="29"/>
  <c r="N5" i="16" s="1"/>
  <c r="E131" i="20"/>
  <c r="E42" i="18"/>
  <c r="H9" i="22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E111" i="22"/>
  <c r="N12" i="16" s="1"/>
  <c r="E124" i="22"/>
  <c r="B15" i="32"/>
  <c r="E123" i="23"/>
  <c r="E111" i="27"/>
  <c r="N7" i="16" s="1"/>
  <c r="L9" i="32"/>
  <c r="L15" i="32" s="1"/>
  <c r="E111" i="25"/>
  <c r="N9" i="16" s="1"/>
  <c r="H2" i="37"/>
  <c r="H2" i="34"/>
  <c r="D3" i="32"/>
  <c r="D4" i="32" s="1"/>
  <c r="D5" i="32" s="1"/>
  <c r="D6" i="32" s="1"/>
  <c r="D7" i="32" s="1"/>
  <c r="D8" i="32" s="1"/>
  <c r="D9" i="32" s="1"/>
  <c r="D10" i="32" s="1"/>
  <c r="D11" i="32" s="1"/>
  <c r="D12" i="32" s="1"/>
  <c r="D13" i="32" s="1"/>
  <c r="D14" i="32" s="1"/>
  <c r="H15" i="5" l="1"/>
  <c r="H16" i="5" s="1"/>
  <c r="H17" i="5" s="1"/>
  <c r="H18" i="5" s="1"/>
  <c r="H19" i="5" s="1"/>
  <c r="H20" i="5" s="1"/>
  <c r="H30" i="5" s="1"/>
  <c r="H31" i="5" s="1"/>
  <c r="H32" i="5" s="1"/>
  <c r="H33" i="5" s="1"/>
  <c r="H34" i="5" s="1"/>
  <c r="H35" i="5" s="1"/>
  <c r="H36" i="5" s="1"/>
  <c r="H37" i="5" s="1"/>
  <c r="E15" i="32"/>
  <c r="H14" i="25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H30" i="25" s="1"/>
  <c r="E35" i="19"/>
  <c r="H2" i="7"/>
  <c r="E124" i="7" s="1"/>
  <c r="D6" i="16"/>
  <c r="N16" i="16"/>
  <c r="J64" i="2"/>
  <c r="G10" i="16"/>
  <c r="G11" i="16" s="1"/>
  <c r="G12" i="16" s="1"/>
  <c r="G13" i="16" s="1"/>
  <c r="D7" i="16"/>
  <c r="D8" i="16" s="1"/>
  <c r="D9" i="16" s="1"/>
  <c r="D10" i="16" s="1"/>
  <c r="D11" i="16" s="1"/>
  <c r="D12" i="16" s="1"/>
  <c r="D13" i="16" s="1"/>
  <c r="H32" i="8"/>
  <c r="H33" i="8" s="1"/>
  <c r="H34" i="8" s="1"/>
  <c r="H35" i="8" s="1"/>
  <c r="H36" i="8" s="1"/>
  <c r="H37" i="8" s="1"/>
  <c r="H38" i="8" s="1"/>
  <c r="H39" i="8" s="1"/>
  <c r="H40" i="8" s="1"/>
  <c r="H41" i="8" s="1"/>
  <c r="H42" i="8" s="1"/>
  <c r="H43" i="8" s="1"/>
  <c r="H44" i="8" s="1"/>
  <c r="H45" i="8" s="1"/>
  <c r="H46" i="8" s="1"/>
  <c r="G6" i="32"/>
  <c r="G7" i="32" s="1"/>
  <c r="G8" i="32" s="1"/>
  <c r="G9" i="32" s="1"/>
  <c r="G10" i="32" s="1"/>
  <c r="G11" i="32" s="1"/>
  <c r="G12" i="32" s="1"/>
  <c r="G13" i="32" s="1"/>
  <c r="G14" i="32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E15" i="3"/>
  <c r="E16" i="3" s="1"/>
  <c r="A117" i="7"/>
  <c r="A118" i="7" s="1"/>
  <c r="A114" i="7"/>
  <c r="A115" i="7" s="1"/>
  <c r="A116" i="7" s="1"/>
  <c r="A119" i="7"/>
  <c r="A120" i="7" s="1"/>
  <c r="H2" i="8"/>
  <c r="E149" i="8" s="1"/>
  <c r="E102" i="1"/>
  <c r="F99" i="1"/>
  <c r="F100" i="1" s="1"/>
  <c r="F101" i="1" s="1"/>
  <c r="F40" i="1"/>
  <c r="F41" i="1" s="1"/>
  <c r="F42" i="1" s="1"/>
  <c r="F43" i="1" s="1"/>
  <c r="F44" i="1" s="1"/>
  <c r="H2" i="21"/>
  <c r="N16" i="3"/>
  <c r="C15" i="3"/>
  <c r="C16" i="3" s="1"/>
  <c r="H2" i="10"/>
  <c r="E139" i="10" s="1"/>
  <c r="F5" i="3"/>
  <c r="H2" i="13"/>
  <c r="E131" i="13" s="1"/>
  <c r="E129" i="20"/>
  <c r="H34" i="20"/>
  <c r="H35" i="20" s="1"/>
  <c r="F3" i="3"/>
  <c r="H2" i="15"/>
  <c r="E136" i="15" s="1"/>
  <c r="L17" i="3"/>
  <c r="M18" i="3" s="1"/>
  <c r="L16" i="3"/>
  <c r="F43" i="18"/>
  <c r="I6" i="18"/>
  <c r="I7" i="18" s="1"/>
  <c r="A123" i="20"/>
  <c r="A117" i="20"/>
  <c r="A118" i="20" s="1"/>
  <c r="A119" i="20" s="1"/>
  <c r="A120" i="20" s="1"/>
  <c r="A121" i="20" s="1"/>
  <c r="A122" i="20" s="1"/>
  <c r="G15" i="32"/>
  <c r="G16" i="32" s="1"/>
  <c r="E16" i="32"/>
  <c r="D14" i="16"/>
  <c r="H2" i="14"/>
  <c r="E134" i="14" s="1"/>
  <c r="F4" i="3"/>
  <c r="D3" i="3"/>
  <c r="D4" i="3" s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L16" i="16"/>
  <c r="M17" i="16"/>
  <c r="M18" i="16" s="1"/>
  <c r="H9" i="13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C15" i="16"/>
  <c r="C16" i="16" s="1"/>
  <c r="H2" i="9"/>
  <c r="E158" i="9" s="1"/>
  <c r="F9" i="3"/>
  <c r="B16" i="3"/>
  <c r="H12" i="15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F6" i="3"/>
  <c r="H2" i="12"/>
  <c r="E130" i="12" s="1"/>
  <c r="H12" i="12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38" i="12" s="1"/>
  <c r="H39" i="12" s="1"/>
  <c r="H40" i="12" s="1"/>
  <c r="H41" i="12" s="1"/>
  <c r="H42" i="12" s="1"/>
  <c r="H43" i="12" s="1"/>
  <c r="H44" i="12" s="1"/>
  <c r="H45" i="12" s="1"/>
  <c r="E16" i="16"/>
  <c r="L16" i="32"/>
  <c r="N12" i="32"/>
  <c r="N13" i="32" s="1"/>
  <c r="D15" i="32"/>
  <c r="B16" i="32"/>
  <c r="G2" i="20"/>
  <c r="B16" i="16"/>
  <c r="D34" i="19"/>
  <c r="D35" i="19" s="1"/>
  <c r="D40" i="19"/>
  <c r="F40" i="19" s="1"/>
  <c r="H10" i="14"/>
  <c r="H11" i="14" s="1"/>
  <c r="H12" i="14" s="1"/>
  <c r="H13" i="14" s="1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D15" i="16" l="1"/>
  <c r="D15" i="3"/>
  <c r="F45" i="1"/>
  <c r="F46" i="1" s="1"/>
  <c r="F47" i="1" s="1"/>
  <c r="F48" i="1" s="1"/>
  <c r="F49" i="1" s="1"/>
  <c r="F50" i="1" s="1"/>
  <c r="F51" i="1" s="1"/>
  <c r="F52" i="1" s="1"/>
  <c r="F53" i="1" s="1"/>
  <c r="F54" i="1" s="1"/>
  <c r="E43" i="18"/>
  <c r="F44" i="18"/>
  <c r="F15" i="3"/>
  <c r="G3" i="3"/>
  <c r="I8" i="18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E8" i="18"/>
  <c r="E9" i="18" s="1"/>
  <c r="E10" i="18" s="1"/>
  <c r="E11" i="18" s="1"/>
  <c r="E12" i="18" s="1"/>
  <c r="E13" i="18" s="1"/>
  <c r="E14" i="18" s="1"/>
  <c r="E15" i="18" s="1"/>
  <c r="E16" i="18" s="1"/>
  <c r="E17" i="18" s="1"/>
  <c r="E18" i="18" s="1"/>
  <c r="E19" i="18" s="1"/>
  <c r="F14" i="16"/>
  <c r="H2" i="20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F55" i="1" l="1"/>
  <c r="F56" i="1" s="1"/>
  <c r="F57" i="1" s="1"/>
  <c r="G14" i="16"/>
  <c r="F15" i="16"/>
  <c r="F16" i="3"/>
  <c r="G15" i="3"/>
  <c r="G16" i="3" s="1"/>
  <c r="D43" i="18"/>
  <c r="D44" i="18" s="1"/>
  <c r="D49" i="18"/>
  <c r="F49" i="18" s="1"/>
  <c r="E44" i="18"/>
  <c r="F58" i="1" l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16" i="16"/>
  <c r="G15" i="16"/>
  <c r="G16" i="16" s="1"/>
</calcChain>
</file>

<file path=xl/sharedStrings.xml><?xml version="1.0" encoding="utf-8"?>
<sst xmlns="http://schemas.openxmlformats.org/spreadsheetml/2006/main" count="3829" uniqueCount="1513">
  <si>
    <t>hesaba yazılmayan</t>
  </si>
  <si>
    <t>hacı ödeme</t>
  </si>
  <si>
    <t>peri 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</si>
  <si>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</si>
  <si>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</si>
  <si>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</si>
  <si>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</si>
  <si>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</si>
  <si>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</si>
  <si>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</si>
  <si>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</si>
  <si>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</si>
  <si>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</si>
  <si>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</si>
  <si>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</si>
  <si>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</si>
  <si>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</si>
  <si>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</si>
  <si>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</si>
  <si>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</si>
  <si>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</si>
  <si>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</si>
  <si>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</si>
  <si>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</si>
  <si>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</si>
  <si>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</si>
  <si>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</si>
  <si>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</si>
  <si>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</si>
  <si>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</si>
  <si>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pervin   6 ad çeyrek *4100</t>
  </si>
  <si>
    <t>pervin   1 ad tam *16200</t>
  </si>
  <si>
    <t xml:space="preserve">pervin   1 ad gram *2500 </t>
  </si>
  <si>
    <t>pervin   10 ad çeyrek *4100</t>
  </si>
  <si>
    <t>PERVİNDEN HAVALE taksit 1/12</t>
  </si>
  <si>
    <t>TRAFİK SİGORTASI</t>
  </si>
  <si>
    <t>Taksit 1/12 kalan</t>
  </si>
  <si>
    <t>Taksit 2/12</t>
  </si>
  <si>
    <t>Taksit 3/12</t>
  </si>
  <si>
    <t>Taksit 4/12</t>
  </si>
  <si>
    <t>Taksit 5/12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</si>
  <si>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</si>
  <si>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</si>
  <si>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</si>
  <si>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</si>
  <si>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</si>
  <si>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</si>
  <si>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</si>
  <si>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TCROSS</t>
  </si>
  <si>
    <t>KASKO SİGORTASI</t>
  </si>
  <si>
    <t>T-CROSS TOPLAM MALİYET</t>
  </si>
  <si>
    <t xml:space="preserve">ATİLA </t>
  </si>
  <si>
    <t>AUDİ HESAPTAN</t>
  </si>
  <si>
    <t>PERVİN ALTIN</t>
  </si>
  <si>
    <t>YASEMİN KAPORA</t>
  </si>
  <si>
    <t>YASEMİN UMUTTAN OKUL PARASINDAN</t>
  </si>
  <si>
    <t>YASEMİN OKUL PARASINDAN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</si>
  <si>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</si>
  <si>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</si>
  <si>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</si>
  <si>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</si>
  <si>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</si>
  <si>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</si>
  <si>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</si>
  <si>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</si>
  <si>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</si>
  <si>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</si>
  <si>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</si>
  <si>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</si>
  <si>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</si>
  <si>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</si>
  <si>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</si>
  <si>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</si>
  <si>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</si>
  <si>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</si>
  <si>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</si>
  <si>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hacı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</si>
  <si>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</si>
  <si>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</si>
  <si>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</si>
  <si>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</si>
  <si>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</si>
  <si>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</si>
  <si>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</si>
  <si>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yasemin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</si>
  <si>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</si>
  <si>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</si>
  <si>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</si>
  <si>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</si>
  <si>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</si>
  <si>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</si>
  <si>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</si>
  <si>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</si>
  <si>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Atila</t>
  </si>
  <si>
    <t>nakit</t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</si>
  <si>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</si>
  <si>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</si>
  <si>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</si>
  <si>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</si>
  <si>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</si>
  <si>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</si>
  <si>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</si>
  <si>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>ÖDENDİ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</si>
  <si>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</si>
  <si>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</si>
  <si>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</si>
  <si>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</si>
  <si>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</si>
  <si>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</si>
  <si>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</si>
  <si>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</si>
  <si>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</si>
  <si>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YASEMİN OKUL PARASI</t>
  </si>
  <si>
    <t>yasemin s1 den gelecek</t>
  </si>
  <si>
    <t>s1 hacı   PERŞEMBE SATILDI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</si>
  <si>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</si>
  <si>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</si>
  <si>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</si>
  <si>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</si>
  <si>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</si>
  <si>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</si>
  <si>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</si>
  <si>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</si>
  <si>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</si>
  <si>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</si>
  <si>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</si>
  <si>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</si>
  <si>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</si>
  <si>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</si>
  <si>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</si>
  <si>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</si>
  <si>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</si>
  <si>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</si>
  <si>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</si>
  <si>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</si>
  <si>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</si>
  <si>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</si>
  <si>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</si>
  <si>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</si>
  <si>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</si>
  <si>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</si>
  <si>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</si>
  <si>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</si>
  <si>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</si>
  <si>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</si>
  <si>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</si>
  <si>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</si>
  <si>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</si>
  <si>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</si>
  <si>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</si>
  <si>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</si>
  <si>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</si>
  <si>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</si>
  <si>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</si>
  <si>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</si>
  <si>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</si>
  <si>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</si>
  <si>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</si>
  <si>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</si>
  <si>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</si>
  <si>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</si>
  <si>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</si>
  <si>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</si>
  <si>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</si>
  <si>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</si>
  <si>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</si>
  <si>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</si>
  <si>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</si>
  <si>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</si>
  <si>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</si>
  <si>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</si>
  <si>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</si>
  <si>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umut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</si>
  <si>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</si>
  <si>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</si>
  <si>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</si>
  <si>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</si>
  <si>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</si>
  <si>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</si>
  <si>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</si>
  <si>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</si>
  <si>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</si>
  <si>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</si>
  <si>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</si>
  <si>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</si>
  <si>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</si>
  <si>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</si>
  <si>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</si>
  <si>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</si>
  <si>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</si>
  <si>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</si>
  <si>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</si>
  <si>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</si>
  <si>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</si>
  <si>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</si>
  <si>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</si>
  <si>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</si>
  <si>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</si>
  <si>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</si>
  <si>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2023 aylık ödendi</t>
  </si>
  <si>
    <t>TUSDATA 2024    9/30 – 20/30   12*250 = 3000     ÖDENDİ + 250 TL fazla ödeme yapıldı</t>
  </si>
  <si>
    <t>TUSDATA 2024 aylık ödendi</t>
  </si>
  <si>
    <t>TUSDATA 2025    21/30   1*8595 = 8595</t>
  </si>
  <si>
    <t>TUSDATA 2024 Toplu ödendi</t>
  </si>
  <si>
    <t>TUSDATA 2025    22/30-30/30   9*8845 = 79605</t>
  </si>
  <si>
    <t>TUSDATA 2025</t>
  </si>
  <si>
    <t>ÖDENECEK</t>
  </si>
  <si>
    <t>TUSDATA  TOPLAM                         93450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</si>
  <si>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</si>
  <si>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</si>
  <si>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</si>
  <si>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</si>
  <si>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</si>
  <si>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</si>
  <si>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</si>
  <si>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7/12 Mrmr Ryl A Blok 82  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</si>
  <si>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</si>
  <si>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</si>
  <si>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</si>
  <si>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</si>
  <si>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</si>
  <si>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</si>
  <si>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</si>
  <si>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</si>
  <si>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</si>
  <si>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</si>
  <si>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</si>
  <si>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</si>
  <si>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</si>
  <si>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</si>
  <si>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</si>
  <si>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</si>
  <si>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</si>
  <si>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</si>
  <si>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</si>
  <si>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</si>
  <si>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</si>
  <si>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</si>
  <si>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</si>
  <si>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</si>
  <si>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</si>
  <si>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</si>
  <si>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</si>
  <si>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 xml:space="preserve">Kira Adem Özen 6/12 Mrmr Ryl A Blok 82  </t>
  </si>
  <si>
    <t>Doğuş Kira 4/12-2025-26</t>
  </si>
  <si>
    <t>snyCD</t>
  </si>
  <si>
    <t xml:space="preserve">  8– 9</t>
  </si>
  <si>
    <t xml:space="preserve"> 8 – 9</t>
  </si>
  <si>
    <t>TUSDATA 18/30</t>
  </si>
  <si>
    <t xml:space="preserve">Kira Adem Özen 5/12 Mrmr Ryl A Blok 82  </t>
  </si>
  <si>
    <t>yasemin okul</t>
  </si>
  <si>
    <t>Doğuş Kira 3/12-2025-26</t>
  </si>
  <si>
    <t xml:space="preserve"> 7 – 9</t>
  </si>
  <si>
    <t>TUSDATA 17/30</t>
  </si>
  <si>
    <t xml:space="preserve">Kira Adem Özen 4/12 Mrmr Ryl A Blok 82  </t>
  </si>
  <si>
    <t>Doğuş Kira 2/12-2025-26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</si>
  <si>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</si>
  <si>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</si>
  <si>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</si>
  <si>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</si>
  <si>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</si>
  <si>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</si>
  <si>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</si>
  <si>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</si>
  <si>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</si>
  <si>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</si>
  <si>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</si>
  <si>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</si>
  <si>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</si>
  <si>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Doğuş Kira 1/12-2025-26</t>
  </si>
  <si>
    <t>Doğuş Kira 7/12-2024-25 15000 - 6500 (07/03) 29-Şubattan</t>
  </si>
  <si>
    <t>3074 usulsuzluk 2024071001FCp0000016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</si>
  <si>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</si>
  <si>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</si>
  <si>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</si>
  <si>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</si>
  <si>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</si>
  <si>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</si>
  <si>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</si>
  <si>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</si>
  <si>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</si>
  <si>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</si>
  <si>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</si>
  <si>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</si>
  <si>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t>ödeme</t>
  </si>
  <si>
    <t>HESAP KESİM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</si>
  <si>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</si>
  <si>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</si>
  <si>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</si>
  <si>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</si>
  <si>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</si>
  <si>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</si>
  <si>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</si>
  <si>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</si>
  <si>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</si>
  <si>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</si>
  <si>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</si>
  <si>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</si>
  <si>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a101</t>
  </si>
  <si>
    <t>petrol</t>
  </si>
  <si>
    <t>mercmk</t>
  </si>
  <si>
    <t>mrkt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</si>
  <si>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</si>
  <si>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</si>
  <si>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</si>
  <si>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</si>
  <si>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</si>
  <si>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</si>
  <si>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</si>
  <si>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 xml:space="preserve">umut   </t>
  </si>
  <si>
    <t>iş sny umut-ortak 156</t>
  </si>
  <si>
    <t>iş TTE</t>
  </si>
  <si>
    <t xml:space="preserve">iş RNSGY </t>
  </si>
  <si>
    <t>iş KOTON</t>
  </si>
  <si>
    <t>iş LILAK</t>
  </si>
  <si>
    <t>iş ALTIN.S1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</si>
  <si>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</si>
  <si>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</si>
  <si>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</si>
  <si>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</si>
  <si>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</si>
  <si>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</si>
  <si>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</si>
  <si>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</si>
  <si>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</si>
  <si>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</si>
  <si>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</si>
  <si>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</si>
  <si>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</si>
  <si>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</si>
  <si>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</si>
  <si>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</si>
  <si>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</si>
  <si>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</si>
  <si>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</si>
  <si>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</si>
  <si>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</si>
  <si>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</si>
  <si>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</si>
  <si>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</si>
  <si>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erenler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</si>
  <si>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</si>
  <si>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</si>
  <si>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</si>
  <si>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</si>
  <si>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</si>
  <si>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</si>
  <si>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</si>
  <si>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</si>
  <si>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</si>
  <si>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</si>
  <si>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</si>
  <si>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</si>
  <si>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</si>
  <si>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</si>
  <si>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</si>
  <si>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</si>
  <si>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</si>
  <si>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</si>
  <si>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selanik pide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</si>
  <si>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</si>
  <si>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</si>
  <si>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</si>
  <si>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</si>
  <si>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</si>
  <si>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</si>
  <si>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</si>
  <si>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</si>
  <si>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</si>
  <si>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</si>
  <si>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</si>
  <si>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</si>
  <si>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</si>
  <si>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</si>
  <si>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</si>
  <si>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</si>
  <si>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</si>
  <si>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</si>
  <si>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</si>
  <si>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</si>
  <si>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</si>
  <si>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</si>
  <si>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</si>
  <si>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</si>
  <si>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</si>
  <si>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</si>
  <si>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</si>
  <si>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</si>
  <si>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</si>
  <si>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</si>
  <si>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</si>
  <si>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</si>
  <si>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</si>
  <si>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</si>
  <si>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</si>
  <si>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</si>
  <si>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</si>
  <si>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</si>
  <si>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</si>
  <si>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</si>
  <si>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</si>
  <si>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</si>
  <si>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</si>
  <si>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</si>
  <si>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</si>
  <si>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</si>
  <si>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</si>
  <si>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</si>
  <si>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</si>
  <si>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</si>
  <si>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</si>
  <si>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</si>
  <si>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</si>
  <si>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</si>
  <si>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</si>
  <si>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</si>
  <si>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</si>
  <si>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</si>
  <si>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</si>
  <si>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</si>
  <si>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</si>
  <si>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</si>
  <si>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</si>
  <si>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</si>
  <si>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</si>
  <si>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</si>
  <si>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</si>
  <si>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</si>
  <si>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</si>
  <si>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</si>
  <si>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</si>
  <si>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</si>
  <si>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</si>
  <si>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</si>
  <si>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</si>
  <si>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</si>
  <si>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</si>
  <si>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</si>
  <si>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</si>
  <si>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</si>
  <si>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</si>
  <si>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</si>
  <si>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</si>
  <si>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</si>
  <si>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</si>
  <si>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</si>
  <si>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</si>
  <si>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</si>
  <si>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</si>
  <si>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</si>
  <si>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</si>
  <si>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</si>
  <si>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</si>
  <si>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</si>
  <si>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</si>
  <si>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</si>
  <si>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</si>
  <si>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</si>
  <si>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</si>
  <si>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</si>
  <si>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</si>
  <si>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</si>
  <si>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</si>
  <si>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</si>
  <si>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</si>
  <si>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</si>
  <si>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</si>
  <si>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</si>
  <si>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</si>
  <si>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</si>
  <si>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</si>
  <si>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</si>
  <si>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</si>
  <si>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</si>
  <si>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</si>
  <si>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</si>
  <si>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</si>
  <si>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</si>
  <si>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</si>
  <si>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</si>
  <si>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</si>
  <si>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</si>
  <si>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</si>
  <si>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</si>
  <si>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</si>
  <si>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</si>
  <si>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</si>
  <si>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</si>
  <si>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</si>
  <si>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</si>
  <si>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</si>
  <si>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</si>
  <si>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</si>
  <si>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</si>
  <si>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</si>
  <si>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</si>
  <si>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</si>
  <si>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</si>
  <si>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</si>
  <si>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</si>
  <si>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</si>
  <si>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</si>
  <si>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</si>
  <si>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</si>
  <si>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</si>
  <si>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</si>
  <si>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</si>
  <si>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</si>
  <si>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</si>
  <si>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</si>
  <si>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</si>
  <si>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</si>
  <si>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</si>
  <si>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</si>
  <si>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</si>
  <si>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</si>
  <si>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</si>
  <si>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</si>
  <si>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</si>
  <si>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</si>
  <si>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</si>
  <si>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</si>
  <si>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</si>
  <si>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</si>
  <si>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</si>
  <si>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</si>
  <si>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</si>
  <si>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</si>
  <si>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</si>
  <si>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</si>
  <si>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</si>
  <si>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</si>
  <si>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</si>
  <si>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</si>
  <si>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</si>
  <si>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</si>
  <si>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</si>
  <si>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</si>
  <si>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</si>
  <si>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</si>
  <si>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</si>
  <si>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</si>
  <si>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</si>
  <si>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</si>
  <si>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</si>
  <si>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</si>
  <si>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</si>
  <si>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</si>
  <si>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</si>
  <si>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</si>
  <si>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</si>
  <si>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</si>
  <si>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</si>
  <si>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</si>
  <si>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</si>
  <si>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</si>
  <si>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</si>
  <si>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</si>
  <si>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</si>
  <si>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</si>
  <si>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</si>
  <si>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</si>
  <si>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</si>
  <si>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</si>
  <si>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</si>
  <si>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</si>
  <si>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</si>
  <si>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</si>
  <si>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</si>
  <si>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</si>
  <si>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</si>
  <si>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</si>
  <si>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</si>
  <si>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</si>
  <si>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</si>
  <si>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</si>
  <si>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</si>
  <si>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</si>
  <si>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</si>
  <si>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</si>
  <si>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</si>
  <si>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</si>
  <si>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</si>
  <si>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</si>
  <si>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</si>
  <si>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</si>
  <si>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</si>
  <si>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</si>
  <si>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</si>
  <si>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</si>
  <si>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</si>
  <si>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</si>
  <si>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</si>
  <si>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</si>
  <si>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</si>
  <si>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</si>
  <si>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</si>
  <si>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</si>
  <si>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</si>
  <si>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</si>
  <si>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</si>
  <si>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</si>
  <si>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</si>
  <si>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</si>
  <si>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</si>
  <si>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</si>
  <si>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</si>
  <si>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</si>
  <si>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</si>
  <si>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</si>
  <si>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</si>
  <si>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</si>
  <si>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</si>
  <si>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</si>
  <si>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</si>
  <si>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</si>
  <si>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</si>
  <si>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</si>
  <si>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</si>
  <si>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</si>
  <si>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</si>
  <si>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</si>
  <si>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</si>
  <si>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</si>
  <si>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</si>
  <si>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</si>
  <si>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</si>
  <si>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</si>
  <si>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</si>
  <si>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</si>
  <si>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</si>
  <si>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</si>
  <si>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</si>
  <si>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</si>
  <si>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</si>
  <si>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</si>
  <si>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</si>
  <si>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</si>
  <si>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</si>
  <si>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</si>
  <si>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</si>
  <si>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</si>
  <si>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</si>
  <si>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</si>
  <si>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</si>
  <si>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</si>
  <si>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</si>
  <si>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</si>
  <si>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</si>
  <si>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</si>
  <si>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</si>
  <si>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</si>
  <si>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</si>
  <si>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</si>
  <si>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</si>
  <si>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</si>
  <si>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</si>
  <si>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</si>
  <si>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</si>
  <si>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</si>
  <si>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</si>
  <si>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</si>
  <si>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</si>
  <si>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</si>
  <si>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</si>
  <si>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</si>
  <si>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</si>
  <si>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</si>
  <si>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</si>
  <si>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</si>
  <si>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</si>
  <si>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</si>
  <si>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</si>
  <si>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</si>
  <si>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</si>
  <si>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</si>
  <si>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</si>
  <si>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</si>
  <si>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</si>
  <si>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</si>
  <si>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</si>
  <si>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</si>
  <si>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</si>
  <si>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</si>
  <si>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</si>
  <si>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</si>
  <si>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</si>
  <si>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</si>
  <si>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</si>
  <si>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</si>
  <si>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</si>
  <si>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</si>
  <si>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</si>
  <si>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</si>
  <si>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</si>
  <si>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</si>
  <si>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</si>
  <si>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</si>
  <si>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</si>
  <si>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</si>
  <si>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</si>
  <si>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</si>
  <si>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</si>
  <si>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</si>
  <si>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</si>
  <si>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</si>
  <si>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</si>
  <si>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</si>
  <si>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</si>
  <si>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</si>
  <si>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</si>
  <si>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</si>
  <si>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</si>
  <si>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</si>
  <si>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</si>
  <si>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</si>
  <si>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</si>
  <si>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</si>
  <si>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</si>
  <si>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</si>
  <si>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</si>
  <si>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</si>
  <si>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</si>
  <si>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</si>
  <si>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</si>
  <si>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</si>
  <si>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</si>
  <si>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</si>
  <si>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</si>
  <si>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</si>
  <si>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</si>
  <si>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</si>
  <si>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</si>
  <si>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</si>
  <si>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</si>
  <si>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</si>
  <si>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</si>
  <si>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</si>
  <si>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</si>
  <si>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</si>
  <si>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</si>
  <si>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</si>
  <si>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</si>
  <si>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</si>
  <si>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</si>
  <si>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</si>
  <si>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</si>
  <si>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</si>
  <si>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</si>
  <si>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</si>
  <si>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</si>
  <si>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</si>
  <si>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</si>
  <si>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</si>
  <si>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</si>
  <si>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</si>
  <si>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</si>
  <si>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</si>
  <si>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</si>
  <si>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</si>
  <si>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</si>
  <si>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</si>
  <si>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</si>
  <si>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</si>
  <si>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</si>
  <si>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</si>
  <si>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</si>
  <si>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</si>
  <si>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</si>
  <si>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</si>
  <si>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</si>
  <si>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</si>
  <si>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</si>
  <si>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</si>
  <si>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</si>
  <si>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</si>
  <si>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</si>
  <si>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</si>
  <si>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</si>
  <si>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</si>
  <si>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</si>
  <si>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</si>
  <si>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</si>
  <si>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</si>
  <si>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</si>
  <si>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</si>
  <si>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</si>
  <si>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</si>
  <si>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</si>
  <si>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</si>
  <si>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</si>
  <si>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</si>
  <si>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</si>
  <si>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</si>
  <si>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</si>
  <si>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</si>
  <si>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</si>
  <si>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</si>
  <si>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</si>
  <si>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</si>
  <si>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</si>
  <si>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</si>
  <si>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</si>
  <si>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</si>
  <si>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</si>
  <si>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</si>
  <si>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</si>
  <si>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</si>
  <si>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</si>
  <si>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</si>
  <si>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</si>
  <si>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</si>
  <si>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</si>
  <si>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</si>
  <si>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</si>
  <si>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</si>
  <si>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</si>
  <si>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</si>
  <si>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</si>
  <si>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</si>
  <si>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</si>
  <si>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</si>
  <si>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</si>
  <si>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</si>
  <si>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</si>
  <si>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</si>
  <si>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</si>
  <si>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</si>
  <si>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</si>
  <si>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</si>
  <si>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</si>
  <si>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</si>
  <si>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</si>
  <si>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</si>
  <si>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</si>
  <si>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</si>
  <si>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</si>
  <si>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</si>
  <si>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</si>
  <si>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</si>
  <si>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</si>
  <si>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</si>
  <si>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</si>
  <si>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</si>
  <si>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</si>
  <si>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</si>
  <si>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</si>
  <si>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</si>
  <si>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</si>
  <si>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</si>
  <si>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</si>
  <si>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</si>
  <si>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</si>
  <si>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</si>
  <si>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</si>
  <si>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</si>
  <si>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</si>
  <si>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</si>
  <si>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</si>
  <si>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</si>
  <si>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</si>
  <si>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</si>
  <si>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</si>
  <si>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</si>
  <si>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</si>
  <si>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</si>
  <si>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</si>
  <si>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</si>
  <si>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</si>
  <si>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</si>
  <si>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</si>
  <si>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</si>
  <si>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</si>
  <si>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</si>
  <si>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</si>
  <si>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</si>
  <si>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</si>
  <si>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</si>
  <si>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</si>
  <si>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</si>
  <si>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</si>
  <si>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</si>
  <si>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</si>
  <si>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</si>
  <si>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</si>
  <si>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</si>
  <si>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</si>
  <si>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</si>
  <si>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</si>
  <si>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</si>
  <si>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</si>
  <si>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</si>
  <si>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</si>
  <si>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</si>
  <si>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</si>
  <si>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</si>
  <si>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</si>
  <si>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</si>
  <si>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</si>
  <si>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</si>
  <si>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</si>
  <si>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</si>
  <si>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</si>
  <si>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</si>
  <si>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</si>
  <si>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</si>
  <si>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</si>
  <si>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</si>
  <si>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</si>
  <si>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</si>
  <si>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</si>
  <si>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</si>
  <si>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</si>
  <si>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</si>
  <si>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</si>
  <si>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</si>
  <si>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</si>
  <si>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</si>
  <si>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</si>
  <si>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</si>
  <si>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</si>
  <si>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</si>
  <si>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</si>
  <si>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</si>
  <si>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</si>
  <si>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</si>
  <si>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</si>
  <si>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</si>
  <si>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</si>
  <si>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</si>
  <si>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</si>
  <si>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</si>
  <si>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</si>
  <si>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</si>
  <si>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</si>
  <si>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</si>
  <si>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</si>
  <si>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</si>
  <si>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</si>
  <si>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</si>
  <si>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</si>
  <si>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</si>
  <si>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</si>
  <si>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</si>
  <si>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</si>
  <si>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</si>
  <si>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</si>
  <si>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</si>
  <si>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</si>
  <si>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</si>
  <si>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</si>
  <si>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</si>
  <si>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</si>
  <si>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</si>
  <si>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</si>
  <si>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</si>
  <si>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</si>
  <si>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</si>
  <si>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</si>
  <si>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</si>
  <si>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</si>
  <si>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</si>
  <si>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</si>
  <si>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</si>
  <si>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</si>
  <si>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</si>
  <si>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</si>
  <si>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</si>
  <si>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</si>
  <si>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</si>
  <si>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</si>
  <si>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</si>
  <si>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</si>
  <si>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</si>
  <si>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</si>
  <si>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</si>
  <si>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</si>
  <si>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</si>
  <si>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</si>
  <si>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</si>
  <si>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</si>
  <si>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</si>
  <si>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</si>
  <si>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</si>
  <si>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</si>
  <si>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</si>
  <si>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</si>
  <si>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</si>
  <si>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</si>
  <si>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</si>
  <si>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</si>
  <si>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</si>
  <si>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</si>
  <si>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</si>
  <si>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</si>
  <si>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</si>
  <si>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</si>
  <si>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</si>
  <si>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</si>
  <si>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</si>
  <si>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</si>
  <si>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</si>
  <si>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</si>
  <si>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</si>
  <si>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</si>
  <si>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</si>
  <si>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</si>
  <si>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</si>
  <si>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</si>
  <si>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</si>
  <si>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</si>
  <si>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</si>
  <si>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</si>
  <si>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</si>
  <si>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</si>
  <si>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</si>
  <si>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</si>
  <si>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</si>
  <si>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</si>
  <si>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</si>
  <si>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</si>
  <si>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</si>
  <si>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</si>
  <si>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</si>
  <si>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</si>
  <si>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</si>
  <si>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</si>
  <si>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</si>
  <si>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</si>
  <si>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</si>
  <si>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</si>
  <si>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</si>
  <si>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</si>
  <si>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</si>
  <si>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</si>
  <si>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</si>
  <si>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</si>
  <si>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</si>
  <si>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</si>
  <si>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</si>
  <si>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</si>
  <si>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</si>
  <si>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</si>
  <si>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</si>
  <si>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</si>
  <si>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</si>
  <si>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</si>
  <si>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</si>
  <si>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</si>
  <si>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</si>
  <si>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</si>
  <si>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</si>
  <si>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</si>
  <si>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</si>
  <si>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</si>
  <si>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</si>
  <si>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</si>
  <si>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</si>
  <si>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</si>
  <si>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</si>
  <si>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</si>
  <si>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</si>
  <si>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</si>
  <si>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</si>
  <si>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</si>
  <si>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</si>
  <si>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</si>
  <si>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</si>
  <si>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</si>
  <si>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</si>
  <si>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</si>
  <si>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</si>
  <si>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</si>
  <si>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</si>
  <si>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</si>
  <si>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</si>
  <si>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</si>
  <si>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</si>
  <si>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</si>
  <si>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</si>
  <si>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</si>
  <si>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</si>
  <si>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</si>
  <si>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</si>
  <si>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</si>
  <si>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</si>
  <si>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</si>
  <si>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</si>
  <si>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</si>
  <si>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</si>
  <si>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</si>
  <si>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</si>
  <si>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</si>
  <si>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</si>
  <si>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</si>
  <si>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</si>
  <si>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</si>
  <si>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</si>
  <si>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</si>
  <si>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</si>
  <si>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</si>
  <si>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</si>
  <si>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</si>
  <si>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</si>
  <si>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</si>
  <si>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</si>
  <si>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</si>
  <si>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</si>
  <si>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</si>
  <si>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</si>
  <si>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</si>
  <si>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</si>
  <si>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</si>
  <si>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</si>
  <si>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</si>
  <si>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</si>
  <si>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</si>
  <si>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</si>
  <si>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</si>
  <si>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</si>
  <si>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</si>
  <si>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</si>
  <si>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</si>
  <si>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</si>
  <si>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</si>
  <si>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</si>
  <si>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</si>
  <si>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</si>
  <si>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</si>
  <si>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</si>
  <si>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</si>
  <si>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</si>
  <si>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</si>
  <si>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</si>
  <si>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</si>
  <si>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</si>
  <si>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</si>
  <si>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</si>
  <si>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</si>
  <si>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</si>
  <si>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</si>
  <si>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</si>
  <si>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</si>
  <si>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</si>
  <si>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</si>
  <si>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</si>
  <si>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</si>
  <si>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</si>
  <si>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</si>
  <si>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</si>
  <si>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</si>
  <si>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</si>
  <si>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</si>
  <si>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</si>
  <si>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</si>
  <si>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</si>
  <si>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</si>
  <si>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</si>
  <si>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</si>
  <si>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</si>
  <si>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</si>
  <si>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</si>
  <si>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</si>
  <si>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</si>
  <si>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</si>
  <si>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</si>
  <si>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</si>
  <si>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</si>
  <si>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</si>
  <si>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</si>
  <si>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</si>
  <si>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</si>
  <si>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</si>
  <si>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</si>
  <si>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</si>
  <si>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</si>
  <si>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</si>
  <si>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</si>
  <si>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</si>
  <si>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</si>
  <si>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</si>
  <si>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</si>
  <si>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</si>
  <si>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</si>
  <si>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</si>
  <si>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</si>
  <si>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</si>
  <si>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</si>
  <si>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</si>
  <si>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</si>
  <si>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</si>
  <si>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</si>
  <si>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</si>
  <si>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</si>
  <si>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</si>
  <si>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</si>
  <si>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</si>
  <si>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</si>
  <si>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</si>
  <si>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</si>
  <si>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</si>
  <si>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</si>
  <si>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</si>
  <si>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</si>
  <si>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</si>
  <si>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</si>
  <si>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</si>
  <si>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</si>
  <si>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</si>
  <si>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</si>
  <si>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</si>
  <si>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</si>
  <si>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</si>
  <si>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</si>
  <si>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</si>
  <si>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</si>
  <si>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</si>
  <si>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</si>
  <si>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</si>
  <si>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</si>
  <si>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</si>
  <si>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</si>
  <si>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</si>
  <si>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</si>
  <si>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</si>
  <si>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</si>
  <si>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</si>
  <si>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</si>
  <si>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</si>
  <si>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</si>
  <si>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</si>
  <si>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</si>
  <si>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</si>
  <si>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</si>
  <si>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</si>
  <si>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</si>
  <si>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</si>
  <si>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</si>
  <si>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</si>
  <si>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</si>
  <si>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</si>
  <si>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</si>
  <si>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</si>
  <si>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</si>
  <si>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</si>
  <si>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</si>
  <si>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</si>
  <si>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</si>
  <si>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</si>
  <si>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</si>
  <si>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</si>
  <si>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</si>
  <si>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</si>
  <si>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</si>
  <si>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</si>
  <si>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</si>
  <si>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</si>
  <si>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</si>
  <si>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</si>
  <si>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</si>
  <si>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</si>
  <si>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</si>
  <si>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</si>
  <si>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</si>
  <si>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</si>
  <si>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</si>
  <si>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</si>
  <si>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</si>
  <si>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</si>
  <si>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</si>
  <si>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</si>
  <si>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</si>
  <si>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</si>
  <si>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</si>
  <si>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</si>
  <si>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</si>
  <si>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</si>
  <si>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</si>
  <si>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</si>
  <si>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</si>
  <si>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</si>
  <si>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</si>
  <si>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</si>
  <si>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</si>
  <si>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</si>
  <si>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</si>
  <si>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</si>
  <si>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</si>
  <si>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</si>
  <si>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</si>
  <si>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</si>
  <si>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</si>
  <si>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</si>
  <si>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</si>
  <si>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</si>
  <si>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</si>
  <si>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</si>
  <si>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</si>
  <si>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</si>
  <si>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</si>
  <si>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</si>
  <si>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</si>
  <si>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</si>
  <si>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</si>
  <si>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</si>
  <si>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</si>
  <si>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</si>
  <si>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</si>
  <si>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</si>
  <si>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</si>
  <si>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</si>
  <si>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</si>
  <si>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</si>
  <si>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</si>
  <si>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</si>
  <si>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</si>
  <si>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</si>
  <si>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</si>
  <si>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</si>
  <si>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</si>
  <si>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</si>
  <si>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</si>
  <si>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</si>
  <si>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</si>
  <si>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</si>
  <si>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</si>
  <si>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</si>
  <si>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</si>
  <si>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</si>
  <si>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</si>
  <si>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</si>
  <si>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</si>
  <si>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</si>
  <si>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</si>
  <si>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</si>
  <si>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</si>
  <si>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</si>
  <si>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</si>
  <si>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</si>
  <si>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</si>
  <si>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</si>
  <si>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</si>
  <si>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</si>
  <si>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</si>
  <si>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</si>
  <si>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</si>
  <si>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</si>
  <si>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</si>
  <si>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</si>
  <si>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</si>
  <si>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</si>
  <si>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</si>
  <si>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</si>
  <si>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</si>
  <si>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</si>
  <si>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</si>
  <si>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</si>
  <si>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</si>
  <si>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</si>
  <si>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</si>
  <si>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</si>
  <si>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</si>
  <si>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</si>
  <si>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</si>
  <si>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</si>
  <si>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</si>
  <si>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</si>
  <si>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</si>
  <si>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</si>
  <si>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</si>
  <si>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</si>
  <si>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</si>
  <si>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</si>
  <si>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</si>
  <si>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</si>
  <si>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</si>
  <si>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</si>
  <si>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</si>
  <si>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</si>
  <si>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</si>
  <si>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</si>
  <si>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</si>
  <si>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</si>
  <si>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</si>
  <si>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</si>
  <si>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</si>
  <si>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</si>
  <si>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</si>
  <si>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</si>
  <si>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</si>
  <si>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</si>
  <si>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</si>
  <si>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</si>
  <si>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</si>
  <si>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</si>
  <si>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</si>
  <si>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</si>
  <si>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</si>
  <si>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</si>
  <si>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</si>
  <si>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</si>
  <si>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</si>
  <si>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ÖDENECK</t>
  </si>
  <si>
    <t>ATİLADAN geri alınan EMANET ALTIN</t>
  </si>
  <si>
    <t>tcross 12-8-2024</t>
  </si>
  <si>
    <t>atiladan yasemine araba için</t>
  </si>
  <si>
    <t>Yasemin + dersanedwn</t>
  </si>
  <si>
    <t>KASKO 9 taksitte ödenecek peri kk</t>
  </si>
  <si>
    <t>ziraat kredi 68000 TL aliden nakit alındı ziraate 22 taksitte ödenecek</t>
  </si>
  <si>
    <t>panter testere 4/9 -9/9 6 taksit</t>
  </si>
  <si>
    <t xml:space="preserve">ARACI ALMADAN ÖNCE HACI BORÇ TOPLAMI </t>
  </si>
  <si>
    <t>sigorta</t>
  </si>
  <si>
    <t>kasko</t>
  </si>
  <si>
    <t>ÖDEMELER</t>
  </si>
  <si>
    <t>Ödeyen</t>
  </si>
  <si>
    <t>Miktar</t>
  </si>
  <si>
    <t>ZİRAAT KREDİ</t>
  </si>
  <si>
    <t>Pervin</t>
  </si>
  <si>
    <t>ALTIN</t>
  </si>
  <si>
    <t>Yasemin</t>
  </si>
  <si>
    <t>ARAÇ ÖNCESİ HESAP</t>
  </si>
  <si>
    <t>ARAÇ TOPLAM MALİYET</t>
  </si>
  <si>
    <t>Yasemin maaştan ödeyecek</t>
  </si>
  <si>
    <t xml:space="preserve">Yasemin </t>
  </si>
  <si>
    <t>12*36500 taksit ödemesi</t>
  </si>
  <si>
    <t>Pervin Toplam Ödeme</t>
  </si>
  <si>
    <t>Yasemin Atila Hacı Toplam Ödeme</t>
  </si>
  <si>
    <t>YASEMİN ARAÇ HESABI</t>
  </si>
  <si>
    <t>TOPLAM  YASEMİNİN ARAÇ ÖDEMESİ</t>
  </si>
  <si>
    <t>DERSANE+ ÖDEME</t>
  </si>
  <si>
    <t>MAAŞTAN ÖDENECEK (okul parasından artan)</t>
  </si>
  <si>
    <t>ali balcı</t>
  </si>
  <si>
    <t>havale</t>
  </si>
  <si>
    <t>3074 DV 2024071001FCp0000022</t>
  </si>
  <si>
    <t>3074 DV 2024071001FCp0000023</t>
  </si>
  <si>
    <t>3074 DV 2024071001FCp0000024</t>
  </si>
  <si>
    <t>3074 DV 2024071901FCp0000005</t>
  </si>
  <si>
    <t>19-09 ödeme</t>
  </si>
  <si>
    <t>EYLÜLe</t>
  </si>
  <si>
    <t>İş 1626748</t>
  </si>
  <si>
    <t>xau iş alış                           2867,2</t>
  </si>
  <si>
    <t>eur iş alış                           39,3164</t>
  </si>
  <si>
    <t>USD iş alış                           35,4713</t>
  </si>
  <si>
    <t>xau çeyrek</t>
  </si>
  <si>
    <t>xau tam</t>
  </si>
  <si>
    <t>İş ytrm 1626748 801</t>
  </si>
  <si>
    <t>iş ytrm 382789 TTE</t>
  </si>
  <si>
    <t xml:space="preserve">iş ytrm 382789 RGYAS </t>
  </si>
  <si>
    <t>iş ytrm 382789 KOTON</t>
  </si>
  <si>
    <t>iş ytrm 382789 LILAK</t>
  </si>
  <si>
    <t>SANAYI BELEDIYE SAYC UCRETI</t>
  </si>
  <si>
    <t xml:space="preserve"> 2024 / 2</t>
  </si>
  <si>
    <t xml:space="preserve"> 2024 / 6</t>
  </si>
  <si>
    <t xml:space="preserve"> 2024 / 5</t>
  </si>
  <si>
    <t xml:space="preserve"> 2024 / 7</t>
  </si>
  <si>
    <t xml:space="preserve"> 2024 / 8</t>
  </si>
  <si>
    <t xml:space="preserve"> 2024 / 9</t>
  </si>
  <si>
    <t xml:space="preserve"> 2024 / 4</t>
  </si>
  <si>
    <t xml:space="preserve"> 2024 / 3</t>
  </si>
  <si>
    <t>BİNA VERGİSİ</t>
  </si>
  <si>
    <t>KÜLTÜR VERGİSİ</t>
  </si>
  <si>
    <t>yasemin 2 maaş 17000*2</t>
  </si>
  <si>
    <t>t-cross kurban sinana</t>
  </si>
  <si>
    <t>temmuz artış</t>
  </si>
  <si>
    <t>500 noksan ÖDENDİ</t>
  </si>
  <si>
    <t>istanbul tokat topçam bilet</t>
  </si>
  <si>
    <t>2240 vodafone</t>
  </si>
  <si>
    <t>pazarama umut cam teli</t>
  </si>
  <si>
    <t>mtv yb 1397</t>
  </si>
  <si>
    <t>belediye</t>
  </si>
  <si>
    <t>fucicort</t>
  </si>
  <si>
    <t>kanlıca yğrt</t>
  </si>
  <si>
    <t>shell tcross</t>
  </si>
  <si>
    <t>şile yemek</t>
  </si>
  <si>
    <t>park</t>
  </si>
  <si>
    <t>şok</t>
  </si>
  <si>
    <t>migros farilya</t>
  </si>
  <si>
    <t>opet tcross</t>
  </si>
  <si>
    <t>migros emaar</t>
  </si>
  <si>
    <t>yedigöller</t>
  </si>
  <si>
    <t>kasap</t>
  </si>
  <si>
    <t>tat pide</t>
  </si>
  <si>
    <t>vedat</t>
  </si>
  <si>
    <t>Pazar döner</t>
  </si>
  <si>
    <t>2 ad metal kesme</t>
  </si>
  <si>
    <t>2 tr çimento tzg</t>
  </si>
  <si>
    <t>adıgüzeller</t>
  </si>
  <si>
    <t>ali demirel keşif için avukata denizbank havale</t>
  </si>
  <si>
    <t xml:space="preserve"> - ARALIK 2024</t>
  </si>
  <si>
    <t xml:space="preserve"> - KASIM 2024</t>
  </si>
  <si>
    <t xml:space="preserve"> - EKİM 2024</t>
  </si>
  <si>
    <t xml:space="preserve"> - EYLÜL 2024</t>
  </si>
  <si>
    <t xml:space="preserve"> - AĞUSTOS 2024</t>
  </si>
  <si>
    <t xml:space="preserve"> - TEMMUZ 2024</t>
  </si>
  <si>
    <t>selanik yemek</t>
  </si>
  <si>
    <t>Elektrik 8758480300 BAHÇE</t>
  </si>
  <si>
    <t>2240 VODAFONE fatura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</si>
  <si>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</si>
  <si>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</si>
  <si>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</si>
  <si>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</si>
  <si>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</si>
  <si>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</si>
  <si>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</si>
  <si>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</si>
  <si>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</si>
  <si>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</si>
  <si>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</si>
  <si>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</si>
  <si>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yasemin okul kk denizbnk -120000</t>
  </si>
  <si>
    <t>snyA 120000</t>
  </si>
  <si>
    <t>kk</t>
  </si>
  <si>
    <t>KALAN BAKİYE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</si>
</sst>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164" formatCode="dd\.mm\.yy;@"/>
    <numFmt numFmtId="165" formatCode="_-* #,##0.00_-;\-* #,##0.00_-;_-* \-??_-;_-@_-"/>
    <numFmt numFmtId="166" formatCode="#,##0.00;[Red]#,##0.00"/>
    <numFmt numFmtId="167" formatCode="dd/mmm"/>
    <numFmt numFmtId="168" formatCode="#,##0.00\ _T_L;[Red]\-#,##0.00\ _T_L"/>
    <numFmt numFmtId="169" formatCode="%0"/>
    <numFmt numFmtId="170" formatCode="#,##0.00_ ;[Red]\-#,##0.00\ "/>
    <numFmt numFmtId="171" formatCode="&quot;Tpl / &quot;General"/>
    <numFmt numFmtId="172" formatCode="0.0000%"/>
    <numFmt numFmtId="173" formatCode="%0.0000"/>
    <numFmt numFmtId="174" formatCode="d\.mm\.yyyy"/>
    <numFmt numFmtId="175" formatCode="#,##0.00\ ;[Red]\-#,##0.00\ "/>
    <numFmt numFmtId="176" formatCode="#,##0.000"/>
    <numFmt numFmtId="177" formatCode="0.00_ ;[Red]\-0.00\ "/>
    <numFmt numFmtId="178" formatCode="dd\.mm\.yyyy"/>
    <numFmt numFmtId="179" formatCode="d\.mmm"/>
    <numFmt numFmtId="180" formatCode="%0.00"/>
    <numFmt numFmtId="181" formatCode="[$₺-41F]#,##0.00;[Red]\-[$₺-41F]#,##0.00"/>
    <numFmt numFmtId="182" formatCode="#,##0.000000"/>
    <numFmt numFmtId="183" formatCode="dd/mm/yyyy"/>
    <numFmt numFmtId="184" formatCode="0_ ;[Red]\-0\ "/>
    <numFmt numFmtId="185" formatCode="#,##0.000000000;[Red]\-#,##0.000000000"/>
    <numFmt numFmtId="186" formatCode="#,##0.0000"/>
    <numFmt numFmtId="187" formatCode="dd/mm/yy;@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12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3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</fills>
  <borders count="3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4">
    <xf numFmtId="0" fontId="0" fillId="0" borderId="0"/>
    <xf numFmtId="165" fontId="45" fillId="0" borderId="0" applyBorder="0" applyProtection="0"/>
    <xf numFmtId="169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20" fillId="9" borderId="0" applyBorder="0" applyProtection="0"/>
    <xf numFmtId="0" fontId="21" fillId="10" borderId="0" applyBorder="0" applyProtection="0"/>
    <xf numFmtId="0" fontId="28" fillId="11" borderId="0" applyBorder="0" applyProtection="0"/>
  </cellStyleXfs>
  <cellXfs count="353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4" fontId="15" fillId="0" borderId="0" xfId="0" applyNumberFormat="1" applyFont="1"/>
    <xf numFmtId="0" fontId="15" fillId="0" borderId="0" xfId="0" applyFont="1"/>
    <xf numFmtId="0" fontId="0" fillId="0" borderId="2" xfId="0" applyBorder="1"/>
    <xf numFmtId="4" fontId="0" fillId="0" borderId="2" xfId="0" applyNumberFormat="1" applyBorder="1"/>
    <xf numFmtId="4" fontId="2" fillId="0" borderId="0" xfId="0" applyNumberFormat="1" applyFont="1"/>
    <xf numFmtId="4" fontId="14" fillId="0" borderId="0" xfId="0" applyNumberFormat="1" applyFont="1"/>
    <xf numFmtId="0" fontId="14" fillId="0" borderId="0" xfId="0" applyFont="1" applyAlignment="1">
      <alignment horizontal="right"/>
    </xf>
    <xf numFmtId="0" fontId="16" fillId="0" borderId="0" xfId="0" applyFont="1"/>
    <xf numFmtId="165" fontId="45" fillId="0" borderId="0" xfId="1" applyBorder="1" applyProtection="1"/>
    <xf numFmtId="166" fontId="17" fillId="0" borderId="0" xfId="1" applyNumberFormat="1" applyFont="1" applyBorder="1" applyProtection="1"/>
    <xf numFmtId="0" fontId="0" fillId="12" borderId="0" xfId="0" applyFill="1"/>
    <xf numFmtId="167" fontId="0" fillId="0" borderId="0" xfId="0" applyNumberFormat="1"/>
    <xf numFmtId="0" fontId="18" fillId="13" borderId="0" xfId="0" applyFont="1" applyFill="1" applyAlignment="1">
      <alignment horizontal="left"/>
    </xf>
    <xf numFmtId="168" fontId="15" fillId="13" borderId="3" xfId="0" applyNumberFormat="1" applyFont="1" applyFill="1" applyBorder="1" applyAlignment="1">
      <alignment horizontal="center"/>
    </xf>
    <xf numFmtId="168" fontId="15" fillId="13" borderId="4" xfId="0" applyNumberFormat="1" applyFont="1" applyFill="1" applyBorder="1" applyAlignment="1">
      <alignment horizontal="center"/>
    </xf>
    <xf numFmtId="168" fontId="15" fillId="13" borderId="5" xfId="0" applyNumberFormat="1" applyFont="1" applyFill="1" applyBorder="1" applyAlignment="1">
      <alignment horizontal="right"/>
    </xf>
    <xf numFmtId="168" fontId="15" fillId="13" borderId="3" xfId="0" applyNumberFormat="1" applyFont="1" applyFill="1" applyBorder="1" applyAlignment="1">
      <alignment horizontal="right"/>
    </xf>
    <xf numFmtId="168" fontId="15" fillId="14" borderId="5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9" fontId="19" fillId="15" borderId="6" xfId="0" applyNumberFormat="1" applyFont="1" applyFill="1" applyBorder="1" applyAlignment="1">
      <alignment horizontal="center" vertical="center"/>
    </xf>
    <xf numFmtId="168" fontId="15" fillId="13" borderId="4" xfId="0" applyNumberFormat="1" applyFont="1" applyFill="1" applyBorder="1" applyAlignment="1">
      <alignment horizontal="right"/>
    </xf>
    <xf numFmtId="169" fontId="0" fillId="15" borderId="7" xfId="0" applyNumberFormat="1" applyFill="1" applyBorder="1" applyAlignment="1">
      <alignment horizontal="center" vertical="center"/>
    </xf>
    <xf numFmtId="169" fontId="0" fillId="16" borderId="8" xfId="0" applyNumberFormat="1" applyFill="1" applyBorder="1" applyAlignment="1">
      <alignment horizontal="center" vertical="center"/>
    </xf>
    <xf numFmtId="4" fontId="0" fillId="16" borderId="9" xfId="0" applyNumberFormat="1" applyFill="1" applyBorder="1" applyAlignment="1">
      <alignment horizontal="center" vertical="center"/>
    </xf>
    <xf numFmtId="170" fontId="0" fillId="17" borderId="0" xfId="0" applyNumberFormat="1" applyFill="1"/>
    <xf numFmtId="170" fontId="0" fillId="18" borderId="0" xfId="0" applyNumberFormat="1" applyFill="1"/>
    <xf numFmtId="168" fontId="0" fillId="14" borderId="10" xfId="0" applyNumberFormat="1" applyFill="1" applyBorder="1"/>
    <xf numFmtId="0" fontId="0" fillId="0" borderId="0" xfId="0" applyAlignment="1">
      <alignment horizontal="right"/>
    </xf>
    <xf numFmtId="4" fontId="0" fillId="15" borderId="7" xfId="0" applyNumberFormat="1" applyFill="1" applyBorder="1"/>
    <xf numFmtId="0" fontId="0" fillId="16" borderId="8" xfId="0" applyFill="1" applyBorder="1"/>
    <xf numFmtId="0" fontId="0" fillId="16" borderId="9" xfId="0" applyFill="1" applyBorder="1"/>
    <xf numFmtId="1" fontId="0" fillId="15" borderId="7" xfId="0" applyNumberFormat="1" applyFill="1" applyBorder="1"/>
    <xf numFmtId="4" fontId="0" fillId="16" borderId="8" xfId="0" applyNumberFormat="1" applyFill="1" applyBorder="1"/>
    <xf numFmtId="0" fontId="0" fillId="0" borderId="0" xfId="0" applyAlignment="1">
      <alignment horizontal="left"/>
    </xf>
    <xf numFmtId="3" fontId="0" fillId="16" borderId="9" xfId="0" applyNumberFormat="1" applyFill="1" applyBorder="1"/>
    <xf numFmtId="4" fontId="0" fillId="16" borderId="9" xfId="0" applyNumberFormat="1" applyFill="1" applyBorder="1"/>
    <xf numFmtId="0" fontId="0" fillId="16" borderId="0" xfId="0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8" fontId="0" fillId="14" borderId="0" xfId="0" applyNumberFormat="1" applyFill="1"/>
    <xf numFmtId="0" fontId="0" fillId="19" borderId="11" xfId="0" applyFill="1" applyBorder="1"/>
    <xf numFmtId="0" fontId="0" fillId="19" borderId="12" xfId="0" applyFill="1" applyBorder="1"/>
    <xf numFmtId="1" fontId="2" fillId="15" borderId="6" xfId="0" applyNumberFormat="1" applyFont="1" applyFill="1" applyBorder="1"/>
    <xf numFmtId="4" fontId="2" fillId="16" borderId="11" xfId="0" applyNumberFormat="1" applyFont="1" applyFill="1" applyBorder="1"/>
    <xf numFmtId="3" fontId="2" fillId="16" borderId="13" xfId="0" applyNumberFormat="1" applyFont="1" applyFill="1" applyBorder="1"/>
    <xf numFmtId="171" fontId="19" fillId="0" borderId="14" xfId="0" applyNumberFormat="1" applyFont="1" applyBorder="1"/>
    <xf numFmtId="4" fontId="19" fillId="0" borderId="15" xfId="0" applyNumberFormat="1" applyFont="1" applyBorder="1"/>
    <xf numFmtId="4" fontId="19" fillId="0" borderId="14" xfId="0" applyNumberFormat="1" applyFont="1" applyBorder="1"/>
    <xf numFmtId="4" fontId="0" fillId="14" borderId="14" xfId="0" applyNumberFormat="1" applyFill="1" applyBorder="1"/>
    <xf numFmtId="0" fontId="0" fillId="0" borderId="16" xfId="0" applyBorder="1"/>
    <xf numFmtId="4" fontId="19" fillId="0" borderId="17" xfId="0" applyNumberFormat="1" applyFont="1" applyBorder="1"/>
    <xf numFmtId="1" fontId="19" fillId="15" borderId="18" xfId="0" applyNumberFormat="1" applyFont="1" applyFill="1" applyBorder="1"/>
    <xf numFmtId="4" fontId="19" fillId="16" borderId="16" xfId="0" applyNumberFormat="1" applyFont="1" applyFill="1" applyBorder="1"/>
    <xf numFmtId="4" fontId="19" fillId="16" borderId="19" xfId="0" applyNumberFormat="1" applyFont="1" applyFill="1" applyBorder="1"/>
    <xf numFmtId="4" fontId="19" fillId="0" borderId="0" xfId="0" applyNumberFormat="1" applyFont="1"/>
    <xf numFmtId="168" fontId="0" fillId="0" borderId="0" xfId="0" applyNumberFormat="1"/>
    <xf numFmtId="168" fontId="2" fillId="0" borderId="0" xfId="0" applyNumberFormat="1" applyFont="1" applyAlignment="1">
      <alignment horizontal="right"/>
    </xf>
    <xf numFmtId="4" fontId="0" fillId="16" borderId="20" xfId="0" applyNumberFormat="1" applyFill="1" applyBorder="1"/>
    <xf numFmtId="4" fontId="0" fillId="16" borderId="21" xfId="0" applyNumberFormat="1" applyFill="1" applyBorder="1"/>
    <xf numFmtId="168" fontId="14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72" fontId="20" fillId="9" borderId="0" xfId="2" applyNumberFormat="1" applyFont="1" applyFill="1" applyBorder="1" applyProtection="1"/>
    <xf numFmtId="173" fontId="45" fillId="0" borderId="0" xfId="2" applyNumberFormat="1" applyBorder="1" applyProtection="1"/>
    <xf numFmtId="0" fontId="20" fillId="9" borderId="0" xfId="21" applyBorder="1" applyProtection="1"/>
    <xf numFmtId="4" fontId="22" fillId="10" borderId="0" xfId="22" applyNumberFormat="1" applyFont="1" applyBorder="1" applyProtection="1"/>
    <xf numFmtId="0" fontId="22" fillId="10" borderId="0" xfId="22" applyFont="1" applyBorder="1" applyProtection="1"/>
    <xf numFmtId="0" fontId="2" fillId="20" borderId="0" xfId="0" applyFont="1" applyFill="1"/>
    <xf numFmtId="0" fontId="23" fillId="20" borderId="0" xfId="0" applyFont="1" applyFill="1"/>
    <xf numFmtId="0" fontId="0" fillId="20" borderId="0" xfId="0" applyFill="1"/>
    <xf numFmtId="168" fontId="0" fillId="20" borderId="0" xfId="0" applyNumberFormat="1" applyFill="1"/>
    <xf numFmtId="0" fontId="14" fillId="20" borderId="0" xfId="0" applyFont="1" applyFill="1"/>
    <xf numFmtId="174" fontId="0" fillId="0" borderId="0" xfId="0" applyNumberFormat="1"/>
    <xf numFmtId="175" fontId="0" fillId="0" borderId="0" xfId="0" applyNumberFormat="1"/>
    <xf numFmtId="176" fontId="0" fillId="0" borderId="0" xfId="0" applyNumberFormat="1"/>
    <xf numFmtId="168" fontId="2" fillId="0" borderId="0" xfId="0" applyNumberFormat="1" applyFont="1"/>
    <xf numFmtId="177" fontId="2" fillId="0" borderId="0" xfId="0" applyNumberFormat="1" applyFont="1"/>
    <xf numFmtId="177" fontId="0" fillId="0" borderId="0" xfId="0" applyNumberFormat="1"/>
    <xf numFmtId="168" fontId="0" fillId="0" borderId="15" xfId="0" applyNumberFormat="1" applyBorder="1" applyAlignment="1">
      <alignment horizontal="right"/>
    </xf>
    <xf numFmtId="178" fontId="24" fillId="0" borderId="0" xfId="0" applyNumberFormat="1" applyFont="1"/>
    <xf numFmtId="178" fontId="25" fillId="0" borderId="0" xfId="0" applyNumberFormat="1" applyFont="1"/>
    <xf numFmtId="177" fontId="25" fillId="0" borderId="0" xfId="0" applyNumberFormat="1" applyFont="1"/>
    <xf numFmtId="177" fontId="24" fillId="0" borderId="0" xfId="0" applyNumberFormat="1" applyFont="1"/>
    <xf numFmtId="177" fontId="24" fillId="0" borderId="2" xfId="0" applyNumberFormat="1" applyFont="1" applyBorder="1"/>
    <xf numFmtId="177" fontId="0" fillId="0" borderId="2" xfId="0" applyNumberFormat="1" applyBorder="1"/>
    <xf numFmtId="0" fontId="24" fillId="0" borderId="0" xfId="0" applyFont="1"/>
    <xf numFmtId="0" fontId="26" fillId="0" borderId="0" xfId="0" applyFont="1"/>
    <xf numFmtId="179" fontId="0" fillId="0" borderId="0" xfId="0" applyNumberFormat="1"/>
    <xf numFmtId="178" fontId="0" fillId="0" borderId="0" xfId="0" applyNumberFormat="1"/>
    <xf numFmtId="180" fontId="0" fillId="0" borderId="0" xfId="0" applyNumberFormat="1"/>
    <xf numFmtId="0" fontId="18" fillId="0" borderId="0" xfId="0" applyFont="1"/>
    <xf numFmtId="178" fontId="0" fillId="20" borderId="0" xfId="0" applyNumberFormat="1" applyFill="1"/>
    <xf numFmtId="0" fontId="25" fillId="20" borderId="0" xfId="0" applyFont="1" applyFill="1"/>
    <xf numFmtId="181" fontId="2" fillId="0" borderId="0" xfId="0" applyNumberFormat="1" applyFont="1"/>
    <xf numFmtId="0" fontId="25" fillId="0" borderId="0" xfId="0" applyFont="1"/>
    <xf numFmtId="0" fontId="27" fillId="0" borderId="0" xfId="0" applyFont="1"/>
    <xf numFmtId="0" fontId="0" fillId="21" borderId="0" xfId="0" applyFill="1"/>
    <xf numFmtId="181" fontId="2" fillId="21" borderId="0" xfId="0" applyNumberFormat="1" applyFont="1" applyFill="1"/>
    <xf numFmtId="167" fontId="25" fillId="0" borderId="0" xfId="0" applyNumberFormat="1" applyFont="1"/>
    <xf numFmtId="0" fontId="28" fillId="11" borderId="0" xfId="23" applyBorder="1" applyProtection="1"/>
    <xf numFmtId="0" fontId="28" fillId="0" borderId="0" xfId="23" applyFill="1" applyBorder="1" applyProtection="1"/>
    <xf numFmtId="170" fontId="2" fillId="0" borderId="0" xfId="0" applyNumberFormat="1" applyFont="1"/>
    <xf numFmtId="182" fontId="0" fillId="0" borderId="0" xfId="0" applyNumberFormat="1"/>
    <xf numFmtId="3" fontId="0" fillId="0" borderId="0" xfId="0" applyNumberFormat="1"/>
    <xf numFmtId="170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81" fontId="0" fillId="21" borderId="0" xfId="0" applyNumberFormat="1" applyFill="1"/>
    <xf numFmtId="0" fontId="0" fillId="0" borderId="2" xfId="0" applyBorder="1" applyAlignment="1">
      <alignment horizontal="right"/>
    </xf>
    <xf numFmtId="177" fontId="2" fillId="0" borderId="2" xfId="0" applyNumberFormat="1" applyFont="1" applyBorder="1"/>
    <xf numFmtId="183" fontId="0" fillId="0" borderId="0" xfId="0" applyNumberFormat="1"/>
    <xf numFmtId="181" fontId="0" fillId="0" borderId="0" xfId="0" applyNumberFormat="1"/>
    <xf numFmtId="167" fontId="0" fillId="13" borderId="0" xfId="0" applyNumberFormat="1" applyFill="1"/>
    <xf numFmtId="170" fontId="2" fillId="13" borderId="0" xfId="0" applyNumberFormat="1" applyFont="1" applyFill="1"/>
    <xf numFmtId="168" fontId="15" fillId="0" borderId="0" xfId="0" applyNumberFormat="1" applyFont="1" applyAlignment="1">
      <alignment horizontal="right"/>
    </xf>
    <xf numFmtId="178" fontId="0" fillId="12" borderId="0" xfId="0" applyNumberFormat="1" applyFill="1"/>
    <xf numFmtId="177" fontId="17" fillId="0" borderId="0" xfId="0" applyNumberFormat="1" applyFont="1"/>
    <xf numFmtId="178" fontId="0" fillId="21" borderId="0" xfId="0" applyNumberFormat="1" applyFill="1"/>
    <xf numFmtId="177" fontId="2" fillId="12" borderId="0" xfId="0" applyNumberFormat="1" applyFont="1" applyFill="1"/>
    <xf numFmtId="177" fontId="14" fillId="22" borderId="0" xfId="0" applyNumberFormat="1" applyFont="1" applyFill="1"/>
    <xf numFmtId="181" fontId="2" fillId="0" borderId="0" xfId="0" applyNumberFormat="1" applyFont="1" applyAlignment="1">
      <alignment horizontal="center"/>
    </xf>
    <xf numFmtId="170" fontId="15" fillId="0" borderId="0" xfId="0" applyNumberFormat="1" applyFont="1" applyAlignment="1">
      <alignment horizontal="right"/>
    </xf>
    <xf numFmtId="167" fontId="16" fillId="0" borderId="0" xfId="0" applyNumberFormat="1" applyFont="1"/>
    <xf numFmtId="178" fontId="30" fillId="0" borderId="0" xfId="0" applyNumberFormat="1" applyFont="1"/>
    <xf numFmtId="170" fontId="2" fillId="21" borderId="0" xfId="0" applyNumberFormat="1" applyFont="1" applyFill="1"/>
    <xf numFmtId="170" fontId="0" fillId="20" borderId="0" xfId="0" applyNumberFormat="1" applyFill="1"/>
    <xf numFmtId="168" fontId="14" fillId="20" borderId="0" xfId="0" applyNumberFormat="1" applyFont="1" applyFill="1"/>
    <xf numFmtId="170" fontId="14" fillId="20" borderId="0" xfId="0" applyNumberFormat="1" applyFont="1" applyFill="1"/>
    <xf numFmtId="170" fontId="24" fillId="0" borderId="0" xfId="0" applyNumberFormat="1" applyFont="1"/>
    <xf numFmtId="0" fontId="24" fillId="0" borderId="0" xfId="0" applyFont="1" applyAlignment="1">
      <alignment horizontal="right"/>
    </xf>
    <xf numFmtId="170" fontId="14" fillId="0" borderId="0" xfId="0" applyNumberFormat="1" applyFont="1"/>
    <xf numFmtId="0" fontId="25" fillId="0" borderId="0" xfId="0" applyFont="1" applyAlignment="1">
      <alignment horizontal="right"/>
    </xf>
    <xf numFmtId="170" fontId="0" fillId="21" borderId="0" xfId="0" applyNumberFormat="1" applyFill="1"/>
    <xf numFmtId="180" fontId="19" fillId="23" borderId="6" xfId="0" applyNumberFormat="1" applyFont="1" applyFill="1" applyBorder="1" applyAlignment="1">
      <alignment horizontal="center" vertical="center"/>
    </xf>
    <xf numFmtId="180" fontId="19" fillId="16" borderId="11" xfId="0" applyNumberFormat="1" applyFont="1" applyFill="1" applyBorder="1" applyAlignment="1">
      <alignment horizontal="center" vertical="center"/>
    </xf>
    <xf numFmtId="4" fontId="0" fillId="16" borderId="13" xfId="0" applyNumberFormat="1" applyFill="1" applyBorder="1" applyAlignment="1">
      <alignment horizontal="center" vertical="center"/>
    </xf>
    <xf numFmtId="4" fontId="0" fillId="23" borderId="7" xfId="0" applyNumberFormat="1" applyFill="1" applyBorder="1" applyAlignment="1">
      <alignment horizontal="center" vertical="center"/>
    </xf>
    <xf numFmtId="4" fontId="0" fillId="16" borderId="8" xfId="0" applyNumberFormat="1" applyFill="1" applyBorder="1" applyAlignment="1">
      <alignment horizontal="center" vertical="center"/>
    </xf>
    <xf numFmtId="168" fontId="0" fillId="17" borderId="22" xfId="0" applyNumberFormat="1" applyFill="1" applyBorder="1"/>
    <xf numFmtId="168" fontId="0" fillId="17" borderId="0" xfId="0" applyNumberFormat="1" applyFill="1"/>
    <xf numFmtId="168" fontId="0" fillId="24" borderId="10" xfId="0" applyNumberFormat="1" applyFill="1" applyBorder="1"/>
    <xf numFmtId="168" fontId="0" fillId="13" borderId="10" xfId="0" applyNumberFormat="1" applyFill="1" applyBorder="1"/>
    <xf numFmtId="4" fontId="0" fillId="23" borderId="7" xfId="0" applyNumberFormat="1" applyFill="1" applyBorder="1"/>
    <xf numFmtId="0" fontId="0" fillId="23" borderId="7" xfId="0" applyFill="1" applyBorder="1"/>
    <xf numFmtId="168" fontId="0" fillId="19" borderId="22" xfId="0" applyNumberFormat="1" applyFill="1" applyBorder="1"/>
    <xf numFmtId="168" fontId="0" fillId="19" borderId="0" xfId="0" applyNumberFormat="1" applyFill="1"/>
    <xf numFmtId="168" fontId="2" fillId="19" borderId="10" xfId="0" applyNumberFormat="1" applyFont="1" applyFill="1" applyBorder="1"/>
    <xf numFmtId="0" fontId="0" fillId="19" borderId="0" xfId="0" applyFill="1"/>
    <xf numFmtId="4" fontId="2" fillId="23" borderId="6" xfId="0" applyNumberFormat="1" applyFont="1" applyFill="1" applyBorder="1"/>
    <xf numFmtId="0" fontId="0" fillId="0" borderId="14" xfId="0" applyBorder="1"/>
    <xf numFmtId="4" fontId="19" fillId="23" borderId="18" xfId="0" applyNumberFormat="1" applyFont="1" applyFill="1" applyBorder="1"/>
    <xf numFmtId="4" fontId="19" fillId="15" borderId="16" xfId="0" applyNumberFormat="1" applyFont="1" applyFill="1" applyBorder="1"/>
    <xf numFmtId="4" fontId="19" fillId="15" borderId="19" xfId="0" applyNumberFormat="1" applyFont="1" applyFill="1" applyBorder="1"/>
    <xf numFmtId="177" fontId="19" fillId="0" borderId="0" xfId="0" applyNumberFormat="1" applyFont="1"/>
    <xf numFmtId="4" fontId="0" fillId="15" borderId="8" xfId="0" applyNumberFormat="1" applyFill="1" applyBorder="1"/>
    <xf numFmtId="4" fontId="0" fillId="15" borderId="23" xfId="0" applyNumberFormat="1" applyFill="1" applyBorder="1"/>
    <xf numFmtId="4" fontId="0" fillId="15" borderId="20" xfId="0" applyNumberFormat="1" applyFill="1" applyBorder="1"/>
    <xf numFmtId="0" fontId="0" fillId="0" borderId="0" xfId="0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6" xfId="0" applyNumberFormat="1" applyFill="1" applyBorder="1"/>
    <xf numFmtId="4" fontId="0" fillId="0" borderId="7" xfId="0" applyNumberFormat="1" applyBorder="1"/>
    <xf numFmtId="0" fontId="32" fillId="0" borderId="0" xfId="0" applyFont="1" applyAlignment="1">
      <alignment horizontal="right"/>
    </xf>
    <xf numFmtId="4" fontId="2" fillId="0" borderId="2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7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4" fontId="0" fillId="0" borderId="0" xfId="0" applyNumberFormat="1"/>
    <xf numFmtId="178" fontId="2" fillId="0" borderId="0" xfId="0" applyNumberFormat="1" applyFont="1"/>
    <xf numFmtId="170" fontId="2" fillId="0" borderId="0" xfId="0" applyNumberFormat="1" applyFont="1" applyAlignment="1">
      <alignment horizontal="right"/>
    </xf>
    <xf numFmtId="184" fontId="2" fillId="0" borderId="0" xfId="0" applyNumberFormat="1" applyFont="1"/>
    <xf numFmtId="170" fontId="0" fillId="25" borderId="0" xfId="0" applyNumberFormat="1" applyFill="1"/>
    <xf numFmtId="184" fontId="0" fillId="25" borderId="0" xfId="0" applyNumberFormat="1" applyFill="1"/>
    <xf numFmtId="170" fontId="0" fillId="25" borderId="0" xfId="0" applyNumberFormat="1" applyFill="1" applyAlignment="1">
      <alignment horizontal="right"/>
    </xf>
    <xf numFmtId="170" fontId="34" fillId="12" borderId="0" xfId="0" applyNumberFormat="1" applyFont="1" applyFill="1"/>
    <xf numFmtId="170" fontId="0" fillId="0" borderId="0" xfId="0" applyNumberFormat="1" applyAlignment="1">
      <alignment horizontal="right"/>
    </xf>
    <xf numFmtId="170" fontId="35" fillId="26" borderId="0" xfId="0" applyNumberFormat="1" applyFont="1" applyFill="1"/>
    <xf numFmtId="170" fontId="2" fillId="16" borderId="0" xfId="0" applyNumberFormat="1" applyFont="1" applyFill="1"/>
    <xf numFmtId="184" fontId="0" fillId="16" borderId="0" xfId="0" applyNumberFormat="1" applyFill="1"/>
    <xf numFmtId="170" fontId="0" fillId="16" borderId="0" xfId="0" applyNumberFormat="1" applyFill="1"/>
    <xf numFmtId="0" fontId="31" fillId="0" borderId="0" xfId="0" applyFont="1"/>
    <xf numFmtId="170" fontId="31" fillId="0" borderId="0" xfId="0" applyNumberFormat="1" applyFont="1"/>
    <xf numFmtId="0" fontId="0" fillId="27" borderId="0" xfId="0" applyFill="1"/>
    <xf numFmtId="170" fontId="0" fillId="27" borderId="0" xfId="0" applyNumberFormat="1" applyFill="1" applyAlignment="1">
      <alignment horizontal="right"/>
    </xf>
    <xf numFmtId="170" fontId="2" fillId="27" borderId="0" xfId="0" applyNumberFormat="1" applyFont="1" applyFill="1" applyAlignment="1">
      <alignment horizontal="center"/>
    </xf>
    <xf numFmtId="184" fontId="0" fillId="27" borderId="0" xfId="0" applyNumberFormat="1" applyFill="1" applyAlignment="1">
      <alignment horizontal="center"/>
    </xf>
    <xf numFmtId="0" fontId="2" fillId="27" borderId="0" xfId="0" applyFont="1" applyFill="1"/>
    <xf numFmtId="170" fontId="2" fillId="27" borderId="0" xfId="0" applyNumberFormat="1" applyFont="1" applyFill="1"/>
    <xf numFmtId="184" fontId="2" fillId="27" borderId="0" xfId="0" applyNumberFormat="1" applyFont="1" applyFill="1"/>
    <xf numFmtId="0" fontId="36" fillId="0" borderId="0" xfId="0" applyFont="1"/>
    <xf numFmtId="174" fontId="0" fillId="28" borderId="0" xfId="0" applyNumberFormat="1" applyFill="1"/>
    <xf numFmtId="170" fontId="37" fillId="19" borderId="0" xfId="0" applyNumberFormat="1" applyFont="1" applyFill="1"/>
    <xf numFmtId="184" fontId="0" fillId="0" borderId="0" xfId="0" applyNumberFormat="1" applyAlignment="1">
      <alignment horizontal="center"/>
    </xf>
    <xf numFmtId="174" fontId="0" fillId="29" borderId="0" xfId="0" applyNumberFormat="1" applyFill="1"/>
    <xf numFmtId="0" fontId="0" fillId="29" borderId="0" xfId="0" applyFill="1"/>
    <xf numFmtId="170" fontId="0" fillId="29" borderId="0" xfId="0" applyNumberFormat="1" applyFill="1"/>
    <xf numFmtId="174" fontId="0" fillId="30" borderId="0" xfId="0" applyNumberFormat="1" applyFill="1"/>
    <xf numFmtId="0" fontId="0" fillId="30" borderId="0" xfId="0" applyFill="1"/>
    <xf numFmtId="170" fontId="0" fillId="30" borderId="0" xfId="0" applyNumberFormat="1" applyFill="1"/>
    <xf numFmtId="0" fontId="0" fillId="28" borderId="0" xfId="0" applyFill="1"/>
    <xf numFmtId="170" fontId="0" fillId="19" borderId="0" xfId="0" applyNumberFormat="1" applyFill="1"/>
    <xf numFmtId="170" fontId="16" fillId="30" borderId="0" xfId="0" applyNumberFormat="1" applyFont="1" applyFill="1"/>
    <xf numFmtId="184" fontId="37" fillId="0" borderId="0" xfId="0" applyNumberFormat="1" applyFont="1" applyAlignment="1">
      <alignment horizontal="center"/>
    </xf>
    <xf numFmtId="170" fontId="19" fillId="0" borderId="0" xfId="0" applyNumberFormat="1" applyFont="1" applyAlignment="1">
      <alignment horizontal="center"/>
    </xf>
    <xf numFmtId="166" fontId="0" fillId="0" borderId="0" xfId="0" applyNumberFormat="1"/>
    <xf numFmtId="170" fontId="29" fillId="19" borderId="0" xfId="0" applyNumberFormat="1" applyFont="1" applyFill="1" applyAlignment="1">
      <alignment horizontal="center"/>
    </xf>
    <xf numFmtId="170" fontId="18" fillId="19" borderId="0" xfId="0" applyNumberFormat="1" applyFont="1" applyFill="1" applyAlignment="1">
      <alignment horizontal="center"/>
    </xf>
    <xf numFmtId="170" fontId="2" fillId="0" borderId="14" xfId="0" applyNumberFormat="1" applyFont="1" applyBorder="1"/>
    <xf numFmtId="170" fontId="0" fillId="0" borderId="14" xfId="0" applyNumberFormat="1" applyBorder="1"/>
    <xf numFmtId="170" fontId="0" fillId="0" borderId="17" xfId="0" applyNumberFormat="1" applyBorder="1"/>
    <xf numFmtId="172" fontId="31" fillId="0" borderId="0" xfId="0" applyNumberFormat="1" applyFont="1"/>
    <xf numFmtId="0" fontId="0" fillId="0" borderId="0" xfId="0" applyAlignment="1">
      <alignment horizontal="center"/>
    </xf>
    <xf numFmtId="168" fontId="0" fillId="0" borderId="0" xfId="0" applyNumberFormat="1" applyAlignment="1">
      <alignment horizontal="right"/>
    </xf>
    <xf numFmtId="168" fontId="37" fillId="19" borderId="0" xfId="0" applyNumberFormat="1" applyFont="1" applyFill="1"/>
    <xf numFmtId="168" fontId="18" fillId="12" borderId="0" xfId="0" applyNumberFormat="1" applyFont="1" applyFill="1"/>
    <xf numFmtId="174" fontId="0" fillId="25" borderId="0" xfId="0" applyNumberFormat="1" applyFill="1"/>
    <xf numFmtId="0" fontId="0" fillId="25" borderId="0" xfId="0" applyFill="1"/>
    <xf numFmtId="168" fontId="0" fillId="25" borderId="0" xfId="0" applyNumberFormat="1" applyFill="1"/>
    <xf numFmtId="174" fontId="0" fillId="31" borderId="0" xfId="0" applyNumberFormat="1" applyFill="1"/>
    <xf numFmtId="0" fontId="0" fillId="31" borderId="0" xfId="0" applyFill="1"/>
    <xf numFmtId="168" fontId="0" fillId="31" borderId="0" xfId="0" applyNumberFormat="1" applyFill="1"/>
    <xf numFmtId="168" fontId="2" fillId="31" borderId="0" xfId="0" applyNumberFormat="1" applyFont="1" applyFill="1"/>
    <xf numFmtId="168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72" fontId="19" fillId="0" borderId="0" xfId="0" applyNumberFormat="1" applyFont="1" applyAlignment="1">
      <alignment horizontal="center"/>
    </xf>
    <xf numFmtId="172" fontId="29" fillId="19" borderId="0" xfId="0" applyNumberFormat="1" applyFont="1" applyFill="1" applyAlignment="1">
      <alignment horizontal="center"/>
    </xf>
    <xf numFmtId="172" fontId="18" fillId="19" borderId="0" xfId="0" applyNumberFormat="1" applyFont="1" applyFill="1" applyAlignment="1">
      <alignment horizontal="center"/>
    </xf>
    <xf numFmtId="168" fontId="2" fillId="0" borderId="14" xfId="0" applyNumberFormat="1" applyFont="1" applyBorder="1"/>
    <xf numFmtId="168" fontId="0" fillId="0" borderId="14" xfId="0" applyNumberFormat="1" applyBorder="1"/>
    <xf numFmtId="185" fontId="0" fillId="0" borderId="0" xfId="0" applyNumberFormat="1"/>
    <xf numFmtId="168" fontId="0" fillId="0" borderId="17" xfId="0" applyNumberFormat="1" applyBorder="1"/>
    <xf numFmtId="180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0" fontId="0" fillId="32" borderId="0" xfId="0" applyFill="1"/>
    <xf numFmtId="168" fontId="0" fillId="32" borderId="0" xfId="0" applyNumberFormat="1" applyFill="1"/>
    <xf numFmtId="180" fontId="0" fillId="32" borderId="0" xfId="0" applyNumberFormat="1" applyFill="1"/>
    <xf numFmtId="174" fontId="0" fillId="20" borderId="0" xfId="0" applyNumberFormat="1" applyFill="1"/>
    <xf numFmtId="4" fontId="14" fillId="20" borderId="0" xfId="0" applyNumberFormat="1" applyFont="1" applyFill="1"/>
    <xf numFmtId="178" fontId="0" fillId="32" borderId="0" xfId="0" applyNumberFormat="1" applyFill="1"/>
    <xf numFmtId="0" fontId="39" fillId="0" borderId="0" xfId="0" applyFont="1"/>
    <xf numFmtId="0" fontId="26" fillId="12" borderId="0" xfId="0" applyFont="1" applyFill="1"/>
    <xf numFmtId="0" fontId="9" fillId="0" borderId="0" xfId="0" applyFont="1"/>
    <xf numFmtId="178" fontId="0" fillId="0" borderId="0" xfId="0" applyNumberFormat="1" applyAlignment="1">
      <alignment horizontal="right"/>
    </xf>
    <xf numFmtId="181" fontId="0" fillId="13" borderId="0" xfId="0" applyNumberFormat="1" applyFill="1"/>
    <xf numFmtId="178" fontId="40" fillId="0" borderId="0" xfId="0" applyNumberFormat="1" applyFont="1"/>
    <xf numFmtId="0" fontId="41" fillId="0" borderId="0" xfId="0" applyFont="1"/>
    <xf numFmtId="0" fontId="0" fillId="33" borderId="0" xfId="0" applyFill="1"/>
    <xf numFmtId="181" fontId="2" fillId="33" borderId="0" xfId="0" applyNumberFormat="1" applyFont="1" applyFill="1"/>
    <xf numFmtId="168" fontId="2" fillId="33" borderId="0" xfId="0" applyNumberFormat="1" applyFont="1" applyFill="1"/>
    <xf numFmtId="168" fontId="0" fillId="33" borderId="0" xfId="0" applyNumberFormat="1" applyFill="1"/>
    <xf numFmtId="181" fontId="2" fillId="13" borderId="0" xfId="0" applyNumberFormat="1" applyFont="1" applyFill="1"/>
    <xf numFmtId="0" fontId="24" fillId="13" borderId="0" xfId="0" applyFont="1" applyFill="1"/>
    <xf numFmtId="168" fontId="2" fillId="20" borderId="0" xfId="0" applyNumberFormat="1" applyFont="1" applyFill="1"/>
    <xf numFmtId="181" fontId="0" fillId="32" borderId="0" xfId="0" applyNumberFormat="1" applyFill="1"/>
    <xf numFmtId="4" fontId="24" fillId="13" borderId="0" xfId="0" applyNumberFormat="1" applyFont="1" applyFill="1"/>
    <xf numFmtId="180" fontId="19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8" fontId="0" fillId="19" borderId="10" xfId="0" applyNumberFormat="1" applyFill="1" applyBorder="1"/>
    <xf numFmtId="4" fontId="2" fillId="19" borderId="0" xfId="0" applyNumberFormat="1" applyFont="1" applyFill="1"/>
    <xf numFmtId="171" fontId="0" fillId="0" borderId="14" xfId="0" applyNumberFormat="1" applyBorder="1"/>
    <xf numFmtId="4" fontId="0" fillId="0" borderId="15" xfId="0" applyNumberFormat="1" applyBorder="1"/>
    <xf numFmtId="4" fontId="0" fillId="0" borderId="14" xfId="0" applyNumberFormat="1" applyBorder="1"/>
    <xf numFmtId="4" fontId="15" fillId="0" borderId="0" xfId="0" applyNumberFormat="1" applyFont="1" applyAlignment="1">
      <alignment horizontal="right"/>
    </xf>
    <xf numFmtId="4" fontId="2" fillId="0" borderId="14" xfId="0" applyNumberFormat="1" applyFont="1" applyBorder="1"/>
    <xf numFmtId="178" fontId="0" fillId="28" borderId="0" xfId="0" applyNumberFormat="1" applyFill="1"/>
    <xf numFmtId="181" fontId="2" fillId="28" borderId="0" xfId="0" applyNumberFormat="1" applyFont="1" applyFill="1"/>
    <xf numFmtId="181" fontId="24" fillId="0" borderId="0" xfId="0" applyNumberFormat="1" applyFont="1"/>
    <xf numFmtId="181" fontId="0" fillId="33" borderId="0" xfId="0" applyNumberFormat="1" applyFill="1"/>
    <xf numFmtId="0" fontId="0" fillId="34" borderId="0" xfId="0" applyFill="1"/>
    <xf numFmtId="181" fontId="2" fillId="34" borderId="0" xfId="0" applyNumberFormat="1" applyFont="1" applyFill="1"/>
    <xf numFmtId="0" fontId="0" fillId="35" borderId="0" xfId="0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36" borderId="0" xfId="0" applyFill="1"/>
    <xf numFmtId="4" fontId="2" fillId="36" borderId="0" xfId="0" applyNumberFormat="1" applyFont="1" applyFill="1"/>
    <xf numFmtId="4" fontId="24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ill="1"/>
    <xf numFmtId="168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8" fontId="0" fillId="37" borderId="0" xfId="0" applyNumberFormat="1" applyFill="1"/>
    <xf numFmtId="168" fontId="2" fillId="36" borderId="0" xfId="0" applyNumberFormat="1" applyFont="1" applyFill="1"/>
    <xf numFmtId="4" fontId="0" fillId="36" borderId="0" xfId="0" applyNumberFormat="1" applyFill="1"/>
    <xf numFmtId="168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8" fontId="0" fillId="38" borderId="0" xfId="0" applyNumberFormat="1" applyFill="1"/>
    <xf numFmtId="0" fontId="0" fillId="38" borderId="4" xfId="0" applyFill="1" applyBorder="1"/>
    <xf numFmtId="168" fontId="0" fillId="38" borderId="4" xfId="0" applyNumberFormat="1" applyFill="1" applyBorder="1"/>
    <xf numFmtId="0" fontId="43" fillId="0" borderId="2" xfId="0" applyFont="1" applyBorder="1"/>
    <xf numFmtId="168" fontId="0" fillId="0" borderId="2" xfId="0" applyNumberFormat="1" applyBorder="1"/>
    <xf numFmtId="0" fontId="43" fillId="0" borderId="4" xfId="0" applyFont="1" applyBorder="1"/>
    <xf numFmtId="168" fontId="0" fillId="0" borderId="4" xfId="0" applyNumberFormat="1" applyBorder="1"/>
    <xf numFmtId="168" fontId="2" fillId="0" borderId="2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8" fontId="0" fillId="38" borderId="0" xfId="0" applyNumberFormat="1" applyFill="1"/>
    <xf numFmtId="4" fontId="0" fillId="38" borderId="0" xfId="0" applyNumberFormat="1" applyFill="1"/>
    <xf numFmtId="168" fontId="2" fillId="0" borderId="4" xfId="0" applyNumberFormat="1" applyFont="1" applyBorder="1"/>
    <xf numFmtId="0" fontId="44" fillId="0" borderId="0" xfId="0" applyFont="1"/>
    <xf numFmtId="4" fontId="13" fillId="0" borderId="0" xfId="0" applyNumberFormat="1" applyFont="1"/>
    <xf numFmtId="4" fontId="13" fillId="0" borderId="0" xfId="0" applyNumberFormat="1" applyFont="1" applyAlignment="1">
      <alignment horizontal="right"/>
    </xf>
    <xf numFmtId="0" fontId="0" fillId="0" borderId="11" xfId="0" applyBorder="1"/>
    <xf numFmtId="0" fontId="0" fillId="0" borderId="12" xfId="0" applyBorder="1"/>
    <xf numFmtId="4" fontId="0" fillId="0" borderId="12" xfId="0" applyNumberFormat="1" applyBorder="1"/>
    <xf numFmtId="4" fontId="15" fillId="0" borderId="12" xfId="0" applyNumberFormat="1" applyFont="1" applyBorder="1"/>
    <xf numFmtId="4" fontId="15" fillId="0" borderId="13" xfId="0" applyNumberFormat="1" applyFont="1" applyBorder="1"/>
    <xf numFmtId="0" fontId="0" fillId="0" borderId="8" xfId="0" applyBorder="1"/>
    <xf numFmtId="4" fontId="0" fillId="0" borderId="9" xfId="0" applyNumberFormat="1" applyBorder="1"/>
    <xf numFmtId="4" fontId="2" fillId="0" borderId="28" xfId="0" applyNumberFormat="1" applyFont="1" applyBorder="1"/>
    <xf numFmtId="0" fontId="2" fillId="0" borderId="20" xfId="0" applyFont="1" applyBorder="1"/>
    <xf numFmtId="0" fontId="2" fillId="0" borderId="29" xfId="0" applyFont="1" applyBorder="1"/>
    <xf numFmtId="4" fontId="2" fillId="0" borderId="29" xfId="0" applyNumberFormat="1" applyFont="1" applyBorder="1"/>
    <xf numFmtId="4" fontId="14" fillId="0" borderId="29" xfId="0" applyNumberFormat="1" applyFont="1" applyBorder="1"/>
    <xf numFmtId="4" fontId="2" fillId="0" borderId="30" xfId="0" applyNumberFormat="1" applyFont="1" applyBorder="1"/>
    <xf numFmtId="0" fontId="0" fillId="0" borderId="31" xfId="0" applyBorder="1"/>
    <xf numFmtId="0" fontId="0" fillId="0" borderId="32" xfId="0" applyBorder="1"/>
    <xf numFmtId="4" fontId="0" fillId="0" borderId="33" xfId="0" applyNumberFormat="1" applyBorder="1" applyAlignment="1">
      <alignment horizontal="right"/>
    </xf>
    <xf numFmtId="16" fontId="0" fillId="0" borderId="0" xfId="0" applyNumberFormat="1"/>
    <xf numFmtId="186" fontId="0" fillId="0" borderId="0" xfId="0" applyNumberFormat="1"/>
    <xf numFmtId="187" fontId="0" fillId="0" borderId="0" xfId="0" applyNumberFormat="1"/>
    <xf numFmtId="180" fontId="45" fillId="0" borderId="0" xfId="2" applyNumberFormat="1"/>
    <xf numFmtId="0" fontId="0" fillId="40" borderId="0" xfId="0" applyFill="1"/>
    <xf numFmtId="177" fontId="2" fillId="40" borderId="0" xfId="0" applyNumberFormat="1" applyFont="1" applyFill="1"/>
    <xf numFmtId="177" fontId="0" fillId="41" borderId="0" xfId="0" applyNumberFormat="1" applyFill="1"/>
    <xf numFmtId="177" fontId="0" fillId="42" borderId="0" xfId="0" applyNumberFormat="1" applyFill="1"/>
    <xf numFmtId="177" fontId="2" fillId="41" borderId="0" xfId="0" applyNumberFormat="1" applyFont="1" applyFill="1"/>
    <xf numFmtId="169" fontId="19" fillId="16" borderId="6" xfId="0" applyNumberFormat="1" applyFont="1" applyFill="1" applyBorder="1" applyAlignment="1">
      <alignment horizontal="center" vertical="center"/>
    </xf>
    <xf numFmtId="4" fontId="0" fillId="16" borderId="6" xfId="0" applyNumberFormat="1" applyFill="1" applyBorder="1"/>
    <xf numFmtId="0" fontId="0" fillId="0" borderId="0" xfId="0" applyFont="1"/>
    <xf numFmtId="177" fontId="0" fillId="0" borderId="0" xfId="0" applyNumberFormat="1" applyFont="1"/>
    <xf numFmtId="4" fontId="2" fillId="0" borderId="11" xfId="0" applyNumberFormat="1" applyFont="1" applyBorder="1"/>
    <xf numFmtId="4" fontId="2" fillId="0" borderId="13" xfId="0" applyNumberFormat="1" applyFont="1" applyBorder="1"/>
    <xf numFmtId="4" fontId="2" fillId="0" borderId="20" xfId="0" applyNumberFormat="1" applyFont="1" applyBorder="1"/>
    <xf numFmtId="4" fontId="2" fillId="0" borderId="30" xfId="0" applyNumberFormat="1" applyFont="1" applyBorder="1" applyAlignment="1">
      <alignment horizontal="right"/>
    </xf>
    <xf numFmtId="164" fontId="15" fillId="0" borderId="0" xfId="0" applyNumberFormat="1" applyFont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8"/>
  <sheetViews>
    <sheetView topLeftCell="A50" zoomScale="175" zoomScaleNormal="175" workbookViewId="0">
      <selection activeCell="B57" sqref="B57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t="s">
        <v>4</v>
      </c>
      <c r="F5" s="8">
        <v>1072</v>
      </c>
    </row>
    <row r="6" spans="1:6">
      <c r="A6" s="1">
        <v>45306</v>
      </c>
      <c r="B6" t="s">
        <v>5</v>
      </c>
      <c r="E6" s="2">
        <v>3450</v>
      </c>
      <c r="F6" s="2">
        <f t="shared" ref="F6:F71" si="0">F5+D6-E6</f>
        <v>-2378</v>
      </c>
    </row>
    <row r="7" spans="1:6">
      <c r="A7" s="1">
        <v>45309</v>
      </c>
      <c r="B7" t="s">
        <v>6</v>
      </c>
      <c r="D7" s="2">
        <v>899</v>
      </c>
      <c r="F7" s="2">
        <f t="shared" si="0"/>
        <v>-1479</v>
      </c>
    </row>
    <row r="8" spans="1:6">
      <c r="A8" s="1">
        <v>45309</v>
      </c>
      <c r="B8" t="s">
        <v>7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t="s">
        <v>8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t="s">
        <v>9</v>
      </c>
      <c r="C10">
        <v>713.25</v>
      </c>
      <c r="F10" s="2">
        <f t="shared" si="0"/>
        <v>614.65000000000009</v>
      </c>
    </row>
    <row r="11" spans="1:6">
      <c r="B11" t="s">
        <v>10</v>
      </c>
      <c r="D11" s="2">
        <v>1200</v>
      </c>
      <c r="F11" s="2">
        <f t="shared" si="0"/>
        <v>1814.65</v>
      </c>
    </row>
    <row r="12" spans="1:6">
      <c r="A12" s="1">
        <v>45366</v>
      </c>
      <c r="B12" t="s">
        <v>11</v>
      </c>
      <c r="D12" s="2">
        <v>4100</v>
      </c>
      <c r="F12" s="2">
        <f t="shared" si="0"/>
        <v>5914.65</v>
      </c>
    </row>
    <row r="13" spans="1:6">
      <c r="A13" s="1">
        <v>45366</v>
      </c>
      <c r="B13" t="s">
        <v>12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t="s">
        <v>13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t="s">
        <v>14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t="s">
        <v>15</v>
      </c>
      <c r="C16">
        <v>3350</v>
      </c>
      <c r="F16" s="2">
        <f t="shared" si="0"/>
        <v>-396.35000000000036</v>
      </c>
    </row>
    <row r="17" spans="1:6">
      <c r="A17" s="1">
        <v>45412</v>
      </c>
      <c r="B17" t="s">
        <v>16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t="s">
        <v>13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t="s">
        <v>17</v>
      </c>
      <c r="E19" s="2">
        <v>7680</v>
      </c>
      <c r="F19" s="2">
        <f t="shared" si="0"/>
        <v>-8570.35</v>
      </c>
    </row>
    <row r="20" spans="1:6">
      <c r="A20" s="1">
        <v>45427</v>
      </c>
      <c r="B20" t="s">
        <v>18</v>
      </c>
      <c r="F20" s="2">
        <f t="shared" si="0"/>
        <v>-8570.35</v>
      </c>
    </row>
    <row r="21" spans="1:6">
      <c r="A21" s="1">
        <v>45442</v>
      </c>
      <c r="B21" t="s">
        <v>19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20</v>
      </c>
      <c r="C22" s="3"/>
      <c r="D22" s="13"/>
      <c r="E22" s="13">
        <v>120000</v>
      </c>
      <c r="F22" s="13">
        <f t="shared" si="0"/>
        <v>-129070.35</v>
      </c>
    </row>
    <row r="23" spans="1:6">
      <c r="A23" s="1">
        <v>45442</v>
      </c>
      <c r="B23" s="3" t="s">
        <v>21</v>
      </c>
      <c r="C23" s="3"/>
      <c r="D23" s="13">
        <v>21000</v>
      </c>
      <c r="E23" s="13"/>
      <c r="F23" s="13">
        <f t="shared" si="0"/>
        <v>-108070.35</v>
      </c>
    </row>
    <row r="24" spans="1:6">
      <c r="A24" s="1">
        <v>45458</v>
      </c>
      <c r="B24" t="s">
        <v>22</v>
      </c>
      <c r="D24" s="2">
        <v>3450</v>
      </c>
      <c r="F24" s="2">
        <f t="shared" si="0"/>
        <v>-104620.35</v>
      </c>
    </row>
    <row r="25" spans="1:6">
      <c r="A25" s="1">
        <v>45458</v>
      </c>
      <c r="B25" t="s">
        <v>23</v>
      </c>
      <c r="E25" s="2">
        <v>3467</v>
      </c>
      <c r="F25" s="2">
        <f t="shared" si="0"/>
        <v>-108087.35</v>
      </c>
    </row>
    <row r="26" spans="1:6">
      <c r="A26" s="1">
        <v>45453</v>
      </c>
      <c r="B26" t="s">
        <v>24</v>
      </c>
      <c r="C26">
        <v>1500</v>
      </c>
      <c r="F26" s="2">
        <f t="shared" si="0"/>
        <v>-108087.35</v>
      </c>
    </row>
    <row r="27" spans="1:6">
      <c r="B27" t="s">
        <v>25</v>
      </c>
      <c r="C27">
        <v>1300</v>
      </c>
      <c r="F27" s="2">
        <f t="shared" si="0"/>
        <v>-108087.35</v>
      </c>
    </row>
    <row r="28" spans="1:6">
      <c r="A28" s="1">
        <v>45470</v>
      </c>
      <c r="B28" t="s">
        <v>26</v>
      </c>
      <c r="D28" s="2">
        <v>20150</v>
      </c>
      <c r="F28" s="2">
        <f t="shared" si="0"/>
        <v>-87937.35</v>
      </c>
    </row>
    <row r="29" spans="1:6">
      <c r="A29" s="1">
        <v>45473</v>
      </c>
      <c r="B29" t="s">
        <v>27</v>
      </c>
      <c r="E29" s="2">
        <v>500</v>
      </c>
      <c r="F29" s="2">
        <f t="shared" si="0"/>
        <v>-88437.35</v>
      </c>
    </row>
    <row r="30" spans="1:6">
      <c r="A30" s="1">
        <v>45487</v>
      </c>
      <c r="B30" t="s">
        <v>28</v>
      </c>
      <c r="D30" s="2">
        <v>3500</v>
      </c>
      <c r="F30" s="2">
        <f t="shared" si="0"/>
        <v>-84937.35</v>
      </c>
    </row>
    <row r="31" spans="1:6">
      <c r="A31" s="1">
        <v>45487</v>
      </c>
      <c r="B31" t="s">
        <v>29</v>
      </c>
      <c r="E31" s="2">
        <v>3465.81</v>
      </c>
      <c r="F31" s="2">
        <f t="shared" si="0"/>
        <v>-88403.16</v>
      </c>
    </row>
    <row r="32" spans="1:6">
      <c r="A32" s="1">
        <v>45503</v>
      </c>
      <c r="B32" t="s">
        <v>1409</v>
      </c>
      <c r="D32" s="9"/>
      <c r="E32" s="9">
        <v>3000</v>
      </c>
      <c r="F32" s="9">
        <f t="shared" si="0"/>
        <v>-91403.16</v>
      </c>
    </row>
    <row r="33" spans="1:6">
      <c r="B33" s="3" t="s">
        <v>1410</v>
      </c>
      <c r="C33" s="3"/>
      <c r="D33" s="14"/>
      <c r="E33" s="14"/>
      <c r="F33" s="14">
        <f>F32+D33-E33</f>
        <v>-91403.16</v>
      </c>
    </row>
    <row r="34" spans="1:6" ht="13.5" thickBot="1">
      <c r="B34" s="3"/>
      <c r="C34" s="3"/>
      <c r="D34" s="14"/>
      <c r="E34" s="14"/>
      <c r="F34" s="14"/>
    </row>
    <row r="35" spans="1:6">
      <c r="B35" s="319" t="s">
        <v>1404</v>
      </c>
      <c r="C35" s="320"/>
      <c r="D35" s="321">
        <v>1466500</v>
      </c>
      <c r="E35" s="322"/>
      <c r="F35" s="323">
        <f>D35-E35</f>
        <v>1466500</v>
      </c>
    </row>
    <row r="36" spans="1:6">
      <c r="B36" s="324"/>
      <c r="D36" s="2">
        <v>11631</v>
      </c>
      <c r="E36" s="9"/>
      <c r="F36" s="325">
        <f t="shared" si="0"/>
        <v>1478131</v>
      </c>
    </row>
    <row r="37" spans="1:6">
      <c r="B37" s="324"/>
      <c r="D37" s="2">
        <v>15500</v>
      </c>
      <c r="E37" s="9"/>
      <c r="F37" s="325">
        <f t="shared" si="0"/>
        <v>1493631</v>
      </c>
    </row>
    <row r="38" spans="1:6" ht="13.5" thickBot="1">
      <c r="B38" s="327" t="s">
        <v>1421</v>
      </c>
      <c r="C38" s="328"/>
      <c r="D38" s="329"/>
      <c r="E38" s="330"/>
      <c r="F38" s="331">
        <f t="shared" si="0"/>
        <v>1493631</v>
      </c>
    </row>
    <row r="39" spans="1:6" ht="13.5" thickBot="1">
      <c r="E39" s="9"/>
      <c r="F39" s="326">
        <f t="shared" si="0"/>
        <v>1493631</v>
      </c>
    </row>
    <row r="40" spans="1:6">
      <c r="B40" s="3" t="s">
        <v>1420</v>
      </c>
      <c r="C40" s="3"/>
      <c r="D40" s="13"/>
      <c r="E40" s="14">
        <f>F33*-1</f>
        <v>91403.16</v>
      </c>
      <c r="F40" s="2">
        <f t="shared" si="0"/>
        <v>1402227.84</v>
      </c>
    </row>
    <row r="41" spans="1:6">
      <c r="B41" t="s">
        <v>35</v>
      </c>
      <c r="E41" s="2">
        <v>11631</v>
      </c>
      <c r="F41" s="2">
        <f t="shared" si="0"/>
        <v>1390596.84</v>
      </c>
    </row>
    <row r="42" spans="1:6">
      <c r="B42" t="s">
        <v>1407</v>
      </c>
      <c r="E42" s="2">
        <v>15500</v>
      </c>
      <c r="F42" s="2">
        <f t="shared" si="0"/>
        <v>1375096.84</v>
      </c>
    </row>
    <row r="43" spans="1:6">
      <c r="B43" t="s">
        <v>1405</v>
      </c>
      <c r="D43" s="9"/>
      <c r="E43" s="2">
        <v>100000</v>
      </c>
      <c r="F43" s="2">
        <f t="shared" si="0"/>
        <v>1275096.8400000001</v>
      </c>
    </row>
    <row r="44" spans="1:6">
      <c r="B44" t="s">
        <v>1406</v>
      </c>
      <c r="E44" s="2">
        <v>75000</v>
      </c>
      <c r="F44" s="2">
        <f t="shared" si="0"/>
        <v>1200096.8400000001</v>
      </c>
    </row>
    <row r="45" spans="1:6">
      <c r="B45" t="s">
        <v>1422</v>
      </c>
      <c r="E45" s="2">
        <v>59783.839999999997</v>
      </c>
      <c r="F45" s="2">
        <f t="shared" si="0"/>
        <v>1140313</v>
      </c>
    </row>
    <row r="46" spans="1:6">
      <c r="B46" t="s">
        <v>1403</v>
      </c>
      <c r="E46" s="2">
        <v>550000</v>
      </c>
      <c r="F46" s="2">
        <f t="shared" si="0"/>
        <v>590313</v>
      </c>
    </row>
    <row r="47" spans="1:6">
      <c r="A47" s="1">
        <v>45509</v>
      </c>
      <c r="B47" s="3" t="s">
        <v>30</v>
      </c>
      <c r="F47" s="2">
        <f t="shared" si="0"/>
        <v>590313</v>
      </c>
    </row>
    <row r="48" spans="1:6">
      <c r="B48" s="3" t="s">
        <v>31</v>
      </c>
      <c r="F48" s="2">
        <f t="shared" si="0"/>
        <v>590313</v>
      </c>
    </row>
    <row r="49" spans="1:6">
      <c r="B49" s="3" t="s">
        <v>32</v>
      </c>
      <c r="F49" s="2">
        <f t="shared" si="0"/>
        <v>590313</v>
      </c>
    </row>
    <row r="50" spans="1:6">
      <c r="B50" s="11" t="s">
        <v>33</v>
      </c>
      <c r="C50" s="11"/>
      <c r="D50" s="12"/>
      <c r="E50" s="12">
        <v>84313</v>
      </c>
      <c r="F50" s="2">
        <f t="shared" si="0"/>
        <v>506000</v>
      </c>
    </row>
    <row r="51" spans="1:6">
      <c r="A51"/>
      <c r="B51" t="s">
        <v>1408</v>
      </c>
      <c r="E51" s="2">
        <v>68000</v>
      </c>
      <c r="F51" s="2">
        <f t="shared" si="0"/>
        <v>438000</v>
      </c>
    </row>
    <row r="52" spans="1:6">
      <c r="F52" s="2">
        <f t="shared" si="0"/>
        <v>438000</v>
      </c>
    </row>
    <row r="53" spans="1:6">
      <c r="F53" s="2">
        <f t="shared" si="0"/>
        <v>438000</v>
      </c>
    </row>
    <row r="54" spans="1:6">
      <c r="A54" s="1">
        <v>45519</v>
      </c>
      <c r="B54" t="s">
        <v>34</v>
      </c>
      <c r="C54" t="s">
        <v>102</v>
      </c>
      <c r="E54" s="2">
        <v>30000</v>
      </c>
      <c r="F54" s="2">
        <f t="shared" si="0"/>
        <v>408000</v>
      </c>
    </row>
    <row r="55" spans="1:6">
      <c r="B55" t="s">
        <v>1432</v>
      </c>
      <c r="D55" s="2">
        <v>200</v>
      </c>
      <c r="F55" s="2">
        <f t="shared" si="0"/>
        <v>408200</v>
      </c>
    </row>
    <row r="56" spans="1:6">
      <c r="B56" t="s">
        <v>1465</v>
      </c>
      <c r="E56" s="2">
        <v>1100</v>
      </c>
      <c r="F56" s="2">
        <f t="shared" si="0"/>
        <v>407100</v>
      </c>
    </row>
    <row r="57" spans="1:6">
      <c r="A57" s="352">
        <v>45536</v>
      </c>
      <c r="B57" s="10" t="s">
        <v>36</v>
      </c>
      <c r="C57" s="10" t="s">
        <v>102</v>
      </c>
      <c r="D57" s="9"/>
      <c r="E57" s="9">
        <v>5600</v>
      </c>
      <c r="F57" s="9">
        <f t="shared" si="0"/>
        <v>401500</v>
      </c>
    </row>
    <row r="58" spans="1:6">
      <c r="A58" s="352">
        <v>45550</v>
      </c>
      <c r="B58" s="10" t="s">
        <v>37</v>
      </c>
      <c r="C58" s="10" t="s">
        <v>102</v>
      </c>
      <c r="D58" s="9"/>
      <c r="E58" s="9">
        <v>30000</v>
      </c>
      <c r="F58" s="9">
        <f t="shared" si="0"/>
        <v>371500</v>
      </c>
    </row>
    <row r="59" spans="1:6">
      <c r="A59" s="352">
        <v>45565</v>
      </c>
      <c r="B59" s="10" t="s">
        <v>37</v>
      </c>
      <c r="C59" s="10" t="s">
        <v>1464</v>
      </c>
      <c r="D59" s="9"/>
      <c r="E59" s="9">
        <v>6000</v>
      </c>
      <c r="F59" s="9">
        <f t="shared" si="0"/>
        <v>365500</v>
      </c>
    </row>
    <row r="60" spans="1:6">
      <c r="A60" s="352">
        <v>45580</v>
      </c>
      <c r="B60" s="10" t="s">
        <v>38</v>
      </c>
      <c r="C60" s="10" t="s">
        <v>102</v>
      </c>
      <c r="D60" s="9"/>
      <c r="E60" s="9">
        <v>30000</v>
      </c>
      <c r="F60" s="9">
        <f t="shared" si="0"/>
        <v>335500</v>
      </c>
    </row>
    <row r="61" spans="1:6">
      <c r="A61" s="352">
        <v>45595</v>
      </c>
      <c r="B61" s="10" t="s">
        <v>38</v>
      </c>
      <c r="C61" s="10" t="s">
        <v>1464</v>
      </c>
      <c r="D61" s="9"/>
      <c r="E61" s="9">
        <v>6000</v>
      </c>
      <c r="F61" s="9">
        <f t="shared" si="0"/>
        <v>329500</v>
      </c>
    </row>
    <row r="62" spans="1:6">
      <c r="A62" s="1">
        <v>45611</v>
      </c>
      <c r="B62" t="s">
        <v>39</v>
      </c>
      <c r="C62" t="s">
        <v>1402</v>
      </c>
      <c r="E62" s="2">
        <v>36500</v>
      </c>
      <c r="F62" s="2">
        <f t="shared" si="0"/>
        <v>293000</v>
      </c>
    </row>
    <row r="63" spans="1:6">
      <c r="A63" s="1">
        <v>45641</v>
      </c>
      <c r="B63" t="s">
        <v>40</v>
      </c>
      <c r="C63" t="s">
        <v>1402</v>
      </c>
      <c r="E63" s="2">
        <v>36500</v>
      </c>
      <c r="F63" s="2">
        <f t="shared" si="0"/>
        <v>256500</v>
      </c>
    </row>
    <row r="64" spans="1:6">
      <c r="A64" s="1">
        <v>45672</v>
      </c>
      <c r="B64" t="s">
        <v>41</v>
      </c>
      <c r="C64" t="s">
        <v>1402</v>
      </c>
      <c r="E64" s="2">
        <v>36500</v>
      </c>
      <c r="F64" s="2">
        <f t="shared" si="0"/>
        <v>220000</v>
      </c>
    </row>
    <row r="65" spans="1:6">
      <c r="A65" s="1">
        <v>45703</v>
      </c>
      <c r="B65" t="s">
        <v>42</v>
      </c>
      <c r="C65" t="s">
        <v>1402</v>
      </c>
      <c r="E65" s="2">
        <v>36500</v>
      </c>
      <c r="F65" s="2">
        <f t="shared" si="0"/>
        <v>183500</v>
      </c>
    </row>
    <row r="66" spans="1:6">
      <c r="A66" s="1">
        <v>45731</v>
      </c>
      <c r="B66" t="s">
        <v>43</v>
      </c>
      <c r="C66" t="s">
        <v>1402</v>
      </c>
      <c r="E66" s="2">
        <v>36500</v>
      </c>
      <c r="F66" s="2">
        <f t="shared" si="0"/>
        <v>147000</v>
      </c>
    </row>
    <row r="67" spans="1:6">
      <c r="A67" s="1">
        <v>45762</v>
      </c>
      <c r="B67" t="s">
        <v>44</v>
      </c>
      <c r="C67" t="s">
        <v>1402</v>
      </c>
      <c r="E67" s="2">
        <v>36500</v>
      </c>
      <c r="F67" s="2">
        <f t="shared" si="0"/>
        <v>110500</v>
      </c>
    </row>
    <row r="68" spans="1:6">
      <c r="A68" s="1">
        <v>45792</v>
      </c>
      <c r="B68" t="s">
        <v>45</v>
      </c>
      <c r="C68" t="s">
        <v>1402</v>
      </c>
      <c r="E68" s="2">
        <v>36500</v>
      </c>
      <c r="F68" s="2">
        <f t="shared" si="0"/>
        <v>74000</v>
      </c>
    </row>
    <row r="69" spans="1:6">
      <c r="A69" s="1">
        <v>45823</v>
      </c>
      <c r="B69" t="s">
        <v>46</v>
      </c>
      <c r="C69" t="s">
        <v>1402</v>
      </c>
      <c r="E69" s="2">
        <v>36500</v>
      </c>
      <c r="F69" s="2">
        <f t="shared" si="0"/>
        <v>37500</v>
      </c>
    </row>
    <row r="70" spans="1:6" ht="13.5" thickBot="1">
      <c r="A70" s="1">
        <v>45853</v>
      </c>
      <c r="B70" t="s">
        <v>47</v>
      </c>
      <c r="C70" t="s">
        <v>1402</v>
      </c>
      <c r="E70" s="2">
        <v>36500</v>
      </c>
      <c r="F70" s="2">
        <f t="shared" si="0"/>
        <v>1000</v>
      </c>
    </row>
    <row r="71" spans="1:6">
      <c r="E71" s="348"/>
      <c r="F71" s="349">
        <f t="shared" si="0"/>
        <v>1000</v>
      </c>
    </row>
    <row r="72" spans="1:6" ht="13.5" thickBot="1">
      <c r="E72" s="350"/>
      <c r="F72" s="351" t="s">
        <v>1512</v>
      </c>
    </row>
    <row r="78" spans="1:6">
      <c r="B78" t="s">
        <v>48</v>
      </c>
      <c r="D78" s="2">
        <v>1466500</v>
      </c>
      <c r="F78" s="2">
        <f t="shared" ref="F78:F83" si="1">F77+D78-E78</f>
        <v>1466500</v>
      </c>
    </row>
    <row r="79" spans="1:6">
      <c r="B79" t="s">
        <v>35</v>
      </c>
      <c r="D79" s="2">
        <v>11631</v>
      </c>
      <c r="F79" s="2">
        <f t="shared" si="1"/>
        <v>1478131</v>
      </c>
    </row>
    <row r="80" spans="1:6">
      <c r="B80" t="s">
        <v>49</v>
      </c>
      <c r="D80" s="2">
        <v>15500</v>
      </c>
      <c r="F80" s="2">
        <f t="shared" si="1"/>
        <v>1493631</v>
      </c>
    </row>
    <row r="81" spans="2:6">
      <c r="F81" s="2">
        <f t="shared" si="1"/>
        <v>1493631</v>
      </c>
    </row>
    <row r="82" spans="2:6">
      <c r="F82" s="2">
        <f t="shared" si="1"/>
        <v>1493631</v>
      </c>
    </row>
    <row r="83" spans="2:6">
      <c r="B83" s="3" t="s">
        <v>50</v>
      </c>
      <c r="C83" s="3"/>
      <c r="D83" s="13"/>
      <c r="E83" s="13"/>
      <c r="F83" s="13">
        <f t="shared" si="1"/>
        <v>1493631</v>
      </c>
    </row>
    <row r="85" spans="2:6">
      <c r="B85" s="291" t="s">
        <v>1413</v>
      </c>
      <c r="C85" s="291" t="s">
        <v>1414</v>
      </c>
      <c r="D85" s="317"/>
      <c r="E85" s="318" t="s">
        <v>1415</v>
      </c>
      <c r="F85" s="318" t="s">
        <v>678</v>
      </c>
    </row>
    <row r="86" spans="2:6">
      <c r="F86" s="14">
        <f>F83+D86-E86</f>
        <v>1493631</v>
      </c>
    </row>
    <row r="87" spans="2:6">
      <c r="F87" s="2">
        <f>F86-E87</f>
        <v>1493631</v>
      </c>
    </row>
    <row r="88" spans="2:6">
      <c r="B88" t="s">
        <v>1423</v>
      </c>
      <c r="C88" t="s">
        <v>1419</v>
      </c>
      <c r="E88" s="2">
        <f>E44+E45</f>
        <v>134783.84</v>
      </c>
      <c r="F88" s="2">
        <f t="shared" ref="F88:F101" si="2">F87-E88</f>
        <v>1358847.16</v>
      </c>
    </row>
    <row r="89" spans="2:6">
      <c r="F89" s="2">
        <f t="shared" si="2"/>
        <v>1358847.16</v>
      </c>
    </row>
    <row r="90" spans="2:6">
      <c r="B90" t="s">
        <v>51</v>
      </c>
      <c r="C90" t="s">
        <v>93</v>
      </c>
      <c r="E90" s="2">
        <v>100000</v>
      </c>
      <c r="F90" s="2">
        <f t="shared" si="2"/>
        <v>1258847.1599999999</v>
      </c>
    </row>
    <row r="91" spans="2:6">
      <c r="F91" s="2">
        <f t="shared" si="2"/>
        <v>1258847.1599999999</v>
      </c>
    </row>
    <row r="92" spans="2:6">
      <c r="B92" t="s">
        <v>1411</v>
      </c>
      <c r="C92" t="s">
        <v>76</v>
      </c>
      <c r="E92" s="2">
        <v>11631</v>
      </c>
      <c r="F92" s="2">
        <f t="shared" si="2"/>
        <v>1247216.1599999999</v>
      </c>
    </row>
    <row r="93" spans="2:6" ht="13.5" thickBot="1">
      <c r="B93" t="s">
        <v>1412</v>
      </c>
      <c r="C93" t="s">
        <v>76</v>
      </c>
      <c r="E93" s="2">
        <v>15500</v>
      </c>
      <c r="F93" s="2">
        <f t="shared" si="2"/>
        <v>1231716.1599999999</v>
      </c>
    </row>
    <row r="94" spans="2:6" ht="13.5" thickBot="1">
      <c r="B94" s="332"/>
      <c r="C94" s="333"/>
      <c r="D94" s="334" t="s">
        <v>1426</v>
      </c>
      <c r="E94" s="326">
        <f>SUM(E88:E93)</f>
        <v>261914.84</v>
      </c>
    </row>
    <row r="96" spans="2:6">
      <c r="F96" s="13">
        <f>F93-E96</f>
        <v>1231716.1599999999</v>
      </c>
    </row>
    <row r="97" spans="2:6">
      <c r="B97" t="s">
        <v>53</v>
      </c>
      <c r="C97" t="s">
        <v>1417</v>
      </c>
      <c r="E97" s="2">
        <v>84313</v>
      </c>
      <c r="F97" s="2">
        <f t="shared" si="2"/>
        <v>1147403.1599999999</v>
      </c>
    </row>
    <row r="98" spans="2:6">
      <c r="B98" t="s">
        <v>1416</v>
      </c>
      <c r="C98" t="s">
        <v>1417</v>
      </c>
      <c r="E98" s="2">
        <v>68000</v>
      </c>
      <c r="F98" s="2">
        <f t="shared" si="2"/>
        <v>1079403.1599999999</v>
      </c>
    </row>
    <row r="99" spans="2:6">
      <c r="B99" t="s">
        <v>52</v>
      </c>
      <c r="C99" t="s">
        <v>1417</v>
      </c>
      <c r="E99" s="2">
        <f>F33*-1</f>
        <v>91403.16</v>
      </c>
      <c r="F99" s="2">
        <f t="shared" si="2"/>
        <v>987999.99999999988</v>
      </c>
    </row>
    <row r="100" spans="2:6">
      <c r="B100" t="s">
        <v>1418</v>
      </c>
      <c r="C100" t="s">
        <v>1417</v>
      </c>
      <c r="E100" s="2">
        <v>550000</v>
      </c>
      <c r="F100" s="2">
        <f t="shared" si="2"/>
        <v>437999.99999999988</v>
      </c>
    </row>
    <row r="101" spans="2:6" ht="13.5" thickBot="1">
      <c r="B101" t="s">
        <v>1424</v>
      </c>
      <c r="C101" t="s">
        <v>1417</v>
      </c>
      <c r="E101" s="2">
        <v>438000</v>
      </c>
      <c r="F101" s="2">
        <f t="shared" si="2"/>
        <v>0</v>
      </c>
    </row>
    <row r="102" spans="2:6" ht="13.5" thickBot="1">
      <c r="B102" s="332"/>
      <c r="C102" s="333"/>
      <c r="D102" s="334" t="s">
        <v>1425</v>
      </c>
      <c r="E102" s="326">
        <f>SUM(E97:E101)</f>
        <v>1231716.1600000001</v>
      </c>
    </row>
    <row r="119" spans="2:6">
      <c r="B119" t="s">
        <v>1427</v>
      </c>
    </row>
    <row r="121" spans="2:6">
      <c r="F121" s="2">
        <f t="shared" ref="F121:F126" si="3">F120+D121-E121</f>
        <v>0</v>
      </c>
    </row>
    <row r="122" spans="2:6">
      <c r="B122" t="s">
        <v>54</v>
      </c>
      <c r="D122" s="2">
        <v>50000</v>
      </c>
      <c r="F122" s="2">
        <f t="shared" si="3"/>
        <v>50000</v>
      </c>
    </row>
    <row r="123" spans="2:6">
      <c r="B123" t="s">
        <v>55</v>
      </c>
      <c r="D123" s="2">
        <v>140000</v>
      </c>
      <c r="F123" s="2">
        <f t="shared" si="3"/>
        <v>190000</v>
      </c>
    </row>
    <row r="124" spans="2:6">
      <c r="B124" t="s">
        <v>56</v>
      </c>
      <c r="D124" s="2">
        <v>195000</v>
      </c>
      <c r="F124" s="2">
        <f t="shared" si="3"/>
        <v>385000</v>
      </c>
    </row>
    <row r="125" spans="2:6">
      <c r="B125" t="s">
        <v>112</v>
      </c>
      <c r="E125" s="2">
        <v>310000</v>
      </c>
      <c r="F125" s="2">
        <f t="shared" si="3"/>
        <v>75000</v>
      </c>
    </row>
    <row r="126" spans="2:6">
      <c r="B126" s="3" t="s">
        <v>1429</v>
      </c>
      <c r="C126" s="3"/>
      <c r="D126" s="13"/>
      <c r="E126" s="13"/>
      <c r="F126" s="13">
        <f t="shared" si="3"/>
        <v>75000</v>
      </c>
    </row>
    <row r="127" spans="2:6">
      <c r="B127" s="3" t="s">
        <v>1430</v>
      </c>
      <c r="C127" s="3"/>
      <c r="D127" s="13">
        <f>E88-F125</f>
        <v>59783.839999999997</v>
      </c>
      <c r="F127" s="2">
        <f t="shared" ref="F127" si="4">F125+D127-E127</f>
        <v>134783.84</v>
      </c>
    </row>
    <row r="128" spans="2:6">
      <c r="E128" s="70" t="s">
        <v>1428</v>
      </c>
      <c r="F128" s="13">
        <f>F127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82"/>
  <sheetViews>
    <sheetView topLeftCell="A44" zoomScale="170" zoomScaleNormal="170" workbookViewId="0">
      <selection activeCell="G31" sqref="G31"/>
    </sheetView>
  </sheetViews>
  <sheetFormatPr defaultColWidth="8.7109375" defaultRowHeight="12.75"/>
  <cols>
    <col min="3" max="3" width="35.42578125" customWidth="1"/>
    <col min="6" max="6" width="11.5703125" customWidth="1"/>
    <col min="7" max="7" width="11.42578125" customWidth="1"/>
    <col min="8" max="8" width="12.140625" customWidth="1"/>
    <col min="10" max="10" width="12.28515625" bestFit="1" customWidth="1"/>
  </cols>
  <sheetData>
    <row r="2" spans="1:8">
      <c r="E2" t="s">
        <v>57</v>
      </c>
      <c r="F2">
        <v>2513</v>
      </c>
    </row>
    <row r="3" spans="1:8">
      <c r="E3" t="s">
        <v>58</v>
      </c>
      <c r="F3">
        <v>4100</v>
      </c>
    </row>
    <row r="4" spans="1:8">
      <c r="E4" t="s">
        <v>59</v>
      </c>
      <c r="F4">
        <v>26.15</v>
      </c>
    </row>
    <row r="5" spans="1:8">
      <c r="E5" t="s">
        <v>60</v>
      </c>
    </row>
    <row r="7" spans="1:8">
      <c r="D7" s="15" t="s">
        <v>61</v>
      </c>
      <c r="E7" s="15" t="s">
        <v>62</v>
      </c>
      <c r="F7" s="15" t="s">
        <v>63</v>
      </c>
      <c r="G7" s="15"/>
      <c r="H7" s="15" t="s">
        <v>64</v>
      </c>
    </row>
    <row r="8" spans="1:8">
      <c r="A8" t="s">
        <v>65</v>
      </c>
      <c r="B8" s="1">
        <v>44562</v>
      </c>
      <c r="C8" t="s">
        <v>66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67</v>
      </c>
      <c r="B9" s="1">
        <v>44562</v>
      </c>
      <c r="C9" t="s">
        <v>68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t="s">
        <v>69</v>
      </c>
      <c r="D11">
        <v>779</v>
      </c>
      <c r="E11" s="16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70</v>
      </c>
      <c r="B14" s="1">
        <v>45509</v>
      </c>
      <c r="C14" t="s">
        <v>71</v>
      </c>
      <c r="D14">
        <v>13</v>
      </c>
      <c r="E14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t="s">
        <v>72</v>
      </c>
      <c r="D15">
        <v>6</v>
      </c>
      <c r="E15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t="s">
        <v>73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t="s">
        <v>74</v>
      </c>
      <c r="D17">
        <v>1</v>
      </c>
      <c r="E17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t="s">
        <v>75</v>
      </c>
      <c r="D18">
        <v>10</v>
      </c>
      <c r="E1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76</v>
      </c>
      <c r="B20" s="1">
        <v>45509</v>
      </c>
      <c r="C20" t="s">
        <v>77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t="s">
        <v>78</v>
      </c>
      <c r="D21">
        <v>5</v>
      </c>
      <c r="E21">
        <f>$F$2</f>
        <v>2513</v>
      </c>
      <c r="F21" s="2">
        <f t="shared" si="0"/>
        <v>12565</v>
      </c>
      <c r="G21" s="2"/>
      <c r="H21" s="2"/>
    </row>
    <row r="22" spans="1:9">
      <c r="B22" s="1"/>
      <c r="C22" t="s">
        <v>79</v>
      </c>
      <c r="D22">
        <v>32</v>
      </c>
      <c r="E22" s="16">
        <f>$F$2</f>
        <v>2513</v>
      </c>
      <c r="F22" s="2">
        <f t="shared" si="0"/>
        <v>80416</v>
      </c>
      <c r="G22" s="2"/>
      <c r="H22" s="2">
        <f>H20+F22</f>
        <v>831390.79823399999</v>
      </c>
      <c r="I22" t="s">
        <v>80</v>
      </c>
    </row>
    <row r="23" spans="1:9">
      <c r="B23" s="1"/>
      <c r="C23" t="s">
        <v>81</v>
      </c>
      <c r="D23">
        <v>93</v>
      </c>
      <c r="E23" s="16">
        <f>$F$2</f>
        <v>2513</v>
      </c>
      <c r="F23" s="2">
        <f t="shared" si="0"/>
        <v>233709</v>
      </c>
      <c r="G23" s="2"/>
      <c r="H23" s="2">
        <f>H22+F23</f>
        <v>1065099.7982339999</v>
      </c>
      <c r="I23" t="s">
        <v>80</v>
      </c>
    </row>
    <row r="24" spans="1:9">
      <c r="B24" s="1"/>
      <c r="C24" t="s">
        <v>82</v>
      </c>
      <c r="D24">
        <v>850</v>
      </c>
      <c r="E24">
        <v>31</v>
      </c>
      <c r="F24" s="2">
        <f t="shared" si="0"/>
        <v>26350</v>
      </c>
      <c r="G24" s="2"/>
      <c r="H24" s="2"/>
      <c r="I24" t="s">
        <v>80</v>
      </c>
    </row>
    <row r="25" spans="1:9">
      <c r="B25" s="1"/>
      <c r="C25" t="s">
        <v>83</v>
      </c>
      <c r="D25">
        <v>7500</v>
      </c>
      <c r="E25" s="16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t="s">
        <v>80</v>
      </c>
    </row>
    <row r="26" spans="1:9">
      <c r="B26" s="1"/>
      <c r="H26" s="2"/>
    </row>
    <row r="27" spans="1:9">
      <c r="A27" t="s">
        <v>84</v>
      </c>
      <c r="B27" t="s">
        <v>85</v>
      </c>
      <c r="C27" t="s">
        <v>59</v>
      </c>
      <c r="D27">
        <v>471</v>
      </c>
      <c r="E27" s="16">
        <f>$F$4</f>
        <v>26.15</v>
      </c>
      <c r="F27" s="2">
        <f>E27*D27</f>
        <v>12316.65</v>
      </c>
      <c r="H27" s="2">
        <f>H25+F27</f>
        <v>1273541.4482339998</v>
      </c>
      <c r="I27" t="s">
        <v>86</v>
      </c>
    </row>
    <row r="28" spans="1:9">
      <c r="C28" t="s">
        <v>87</v>
      </c>
      <c r="D28">
        <v>31</v>
      </c>
      <c r="E28" s="16">
        <v>709</v>
      </c>
      <c r="F28" s="2">
        <f>E28*D28</f>
        <v>21979</v>
      </c>
      <c r="H28" s="2">
        <f>H27+F28</f>
        <v>1295520.4482339998</v>
      </c>
      <c r="I28" t="s">
        <v>88</v>
      </c>
    </row>
    <row r="29" spans="1:9">
      <c r="B29" t="s">
        <v>85</v>
      </c>
      <c r="C29" t="s">
        <v>89</v>
      </c>
      <c r="D29">
        <v>30</v>
      </c>
      <c r="E29" s="16">
        <v>722</v>
      </c>
      <c r="F29" s="2">
        <f>E29*D29</f>
        <v>21660</v>
      </c>
      <c r="H29" s="2">
        <f>H28+F29</f>
        <v>1317180.4482339998</v>
      </c>
      <c r="I29" t="s">
        <v>86</v>
      </c>
    </row>
    <row r="30" spans="1:9">
      <c r="C30" t="s">
        <v>90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t="s">
        <v>91</v>
      </c>
    </row>
    <row r="31" spans="1:9">
      <c r="B31" t="s">
        <v>85</v>
      </c>
      <c r="C31" t="s">
        <v>92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93</v>
      </c>
      <c r="C33" t="s">
        <v>94</v>
      </c>
      <c r="F33" s="17">
        <v>100000</v>
      </c>
      <c r="G33" s="17">
        <f>F33</f>
        <v>100000</v>
      </c>
      <c r="H33" s="2">
        <f>H32+F33</f>
        <v>1420308.4482339998</v>
      </c>
      <c r="I33" t="s">
        <v>95</v>
      </c>
    </row>
    <row r="34" spans="1:10">
      <c r="A34" t="s">
        <v>96</v>
      </c>
      <c r="C34" t="s">
        <v>94</v>
      </c>
      <c r="F34" s="17">
        <v>68000</v>
      </c>
      <c r="G34" s="17">
        <v>68000</v>
      </c>
      <c r="H34" s="2">
        <f>H33+F34</f>
        <v>1488308.4482339998</v>
      </c>
      <c r="I34" t="s">
        <v>95</v>
      </c>
    </row>
    <row r="42" spans="1:10">
      <c r="G42" t="s">
        <v>97</v>
      </c>
      <c r="J42" t="s">
        <v>98</v>
      </c>
    </row>
    <row r="43" spans="1:10">
      <c r="J43">
        <v>1500000</v>
      </c>
    </row>
    <row r="44" spans="1:10">
      <c r="C44" t="s">
        <v>99</v>
      </c>
      <c r="F44" s="17">
        <v>22058</v>
      </c>
      <c r="H44" s="2">
        <f t="shared" ref="H44:H50" si="1">H43+F44-G44</f>
        <v>22058</v>
      </c>
    </row>
    <row r="45" spans="1:10">
      <c r="A45" t="s">
        <v>84</v>
      </c>
      <c r="C45" t="s">
        <v>100</v>
      </c>
      <c r="F45" s="17">
        <v>155000</v>
      </c>
      <c r="H45" s="2">
        <f t="shared" si="1"/>
        <v>177058</v>
      </c>
    </row>
    <row r="46" spans="1:10">
      <c r="C46" t="s">
        <v>101</v>
      </c>
      <c r="F46" s="17"/>
      <c r="G46" s="18">
        <v>50000</v>
      </c>
      <c r="H46" s="2">
        <f t="shared" si="1"/>
        <v>127058</v>
      </c>
      <c r="I46" t="s">
        <v>102</v>
      </c>
      <c r="J46">
        <f>J43-G46</f>
        <v>1450000</v>
      </c>
    </row>
    <row r="47" spans="1:10">
      <c r="C47" t="s">
        <v>103</v>
      </c>
      <c r="F47" s="17">
        <v>722</v>
      </c>
      <c r="H47" s="2">
        <f t="shared" si="1"/>
        <v>127780</v>
      </c>
      <c r="I47" t="s">
        <v>104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105</v>
      </c>
      <c r="F50" s="17">
        <v>12290</v>
      </c>
      <c r="G50" s="2"/>
      <c r="H50" s="13">
        <f t="shared" si="1"/>
        <v>140070</v>
      </c>
      <c r="I50" s="19" t="s">
        <v>95</v>
      </c>
      <c r="J50" s="3">
        <f>J46-G50</f>
        <v>1450000</v>
      </c>
    </row>
    <row r="51" spans="2:10">
      <c r="J51" s="13">
        <f>J50-H50</f>
        <v>1309930</v>
      </c>
    </row>
    <row r="55" spans="2:10">
      <c r="B55" s="1">
        <v>45509</v>
      </c>
      <c r="C55" t="s">
        <v>106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t="s">
        <v>104</v>
      </c>
    </row>
    <row r="56" spans="2:10">
      <c r="H56" s="2">
        <f t="shared" si="2"/>
        <v>554317.39240000001</v>
      </c>
    </row>
    <row r="57" spans="2:10">
      <c r="C57" t="s">
        <v>57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9" t="s">
        <v>95</v>
      </c>
    </row>
    <row r="58" spans="2:10">
      <c r="C58" t="s">
        <v>107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9" t="s">
        <v>95</v>
      </c>
    </row>
    <row r="59" spans="2:10">
      <c r="F59" s="2"/>
      <c r="H59" s="2">
        <f t="shared" si="2"/>
        <v>948067.39240000001</v>
      </c>
      <c r="I59" s="19"/>
    </row>
    <row r="60" spans="2:10">
      <c r="C60" t="s">
        <v>108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9" t="s">
        <v>95</v>
      </c>
    </row>
    <row r="61" spans="2:10">
      <c r="C61" t="s">
        <v>109</v>
      </c>
      <c r="F61">
        <v>100000</v>
      </c>
      <c r="H61" s="2">
        <f t="shared" si="2"/>
        <v>1244192.3924</v>
      </c>
      <c r="I61" s="19" t="s">
        <v>95</v>
      </c>
    </row>
    <row r="62" spans="2:10">
      <c r="C62" t="s">
        <v>110</v>
      </c>
      <c r="F62">
        <v>68000</v>
      </c>
      <c r="H62" s="13">
        <f t="shared" si="2"/>
        <v>1312192.3924</v>
      </c>
      <c r="I62" s="19" t="s">
        <v>95</v>
      </c>
    </row>
    <row r="63" spans="2:10">
      <c r="J63" s="13">
        <f>J51</f>
        <v>1309930</v>
      </c>
    </row>
    <row r="64" spans="2:10">
      <c r="J64" s="13">
        <f>J63-H62</f>
        <v>-2262.3924000000115</v>
      </c>
    </row>
    <row r="67" spans="2:9">
      <c r="B67" s="20">
        <v>45512</v>
      </c>
      <c r="C67" t="s">
        <v>111</v>
      </c>
    </row>
    <row r="69" spans="2:9">
      <c r="C69" t="s">
        <v>99</v>
      </c>
      <c r="F69" s="17">
        <v>127500</v>
      </c>
      <c r="H69" s="13">
        <f t="shared" ref="H69:H82" si="3">H68+F69-G69</f>
        <v>127500</v>
      </c>
    </row>
    <row r="70" spans="2:9">
      <c r="C70" t="s">
        <v>100</v>
      </c>
      <c r="F70" s="17"/>
      <c r="H70" s="13">
        <f t="shared" si="3"/>
        <v>127500</v>
      </c>
    </row>
    <row r="71" spans="2:9">
      <c r="C71" t="s">
        <v>101</v>
      </c>
      <c r="F71" s="17"/>
      <c r="G71" s="18">
        <v>50000</v>
      </c>
      <c r="H71" s="13">
        <f t="shared" si="3"/>
        <v>77500</v>
      </c>
      <c r="I71" t="s">
        <v>102</v>
      </c>
    </row>
    <row r="72" spans="2:9">
      <c r="C72" t="s">
        <v>103</v>
      </c>
      <c r="F72" s="17">
        <v>722</v>
      </c>
      <c r="H72" s="13">
        <f t="shared" si="3"/>
        <v>78222</v>
      </c>
      <c r="I72" t="s">
        <v>104</v>
      </c>
    </row>
    <row r="73" spans="2:9">
      <c r="C73" t="s">
        <v>112</v>
      </c>
      <c r="F73" s="17">
        <v>195000</v>
      </c>
      <c r="H73" s="13">
        <f t="shared" si="3"/>
        <v>273222</v>
      </c>
    </row>
    <row r="74" spans="2:9">
      <c r="B74" s="1">
        <v>45509</v>
      </c>
      <c r="C74" t="s">
        <v>106</v>
      </c>
      <c r="D74">
        <v>1235</v>
      </c>
      <c r="E74">
        <v>711.57560000000001</v>
      </c>
      <c r="F74" s="2">
        <f>E74*D74</f>
        <v>878795.86600000004</v>
      </c>
      <c r="G74" s="2"/>
      <c r="H74" s="13">
        <f t="shared" si="3"/>
        <v>1152017.8659999999</v>
      </c>
      <c r="I74" t="s">
        <v>104</v>
      </c>
    </row>
    <row r="75" spans="2:9">
      <c r="H75" s="13">
        <f t="shared" si="3"/>
        <v>1152017.8659999999</v>
      </c>
    </row>
    <row r="76" spans="2:9">
      <c r="F76" s="2"/>
      <c r="H76" s="13">
        <f t="shared" si="3"/>
        <v>1152017.8659999999</v>
      </c>
      <c r="I76" s="19" t="s">
        <v>95</v>
      </c>
    </row>
    <row r="77" spans="2:9">
      <c r="C77" t="s">
        <v>113</v>
      </c>
      <c r="F77" s="17">
        <v>12290</v>
      </c>
      <c r="G77" s="2"/>
      <c r="H77" s="13">
        <f t="shared" si="3"/>
        <v>1164307.8659999999</v>
      </c>
      <c r="I77" s="19" t="s">
        <v>95</v>
      </c>
    </row>
    <row r="78" spans="2:9">
      <c r="C78" t="s">
        <v>109</v>
      </c>
      <c r="F78">
        <v>100000</v>
      </c>
      <c r="H78" s="13">
        <f t="shared" si="3"/>
        <v>1264307.8659999999</v>
      </c>
      <c r="I78" s="19" t="s">
        <v>95</v>
      </c>
    </row>
    <row r="79" spans="2:9">
      <c r="C79" t="s">
        <v>110</v>
      </c>
      <c r="F79">
        <v>100000</v>
      </c>
      <c r="H79" s="13">
        <f t="shared" si="3"/>
        <v>1364307.8659999999</v>
      </c>
      <c r="I79" s="19" t="s">
        <v>95</v>
      </c>
    </row>
    <row r="80" spans="2:9">
      <c r="H80" s="13">
        <f t="shared" si="3"/>
        <v>1364307.8659999999</v>
      </c>
    </row>
    <row r="81" spans="3:9">
      <c r="C81" t="s">
        <v>114</v>
      </c>
      <c r="D81">
        <v>7500</v>
      </c>
      <c r="E81">
        <v>26.13</v>
      </c>
      <c r="F81" s="2"/>
      <c r="H81" s="13">
        <f t="shared" si="3"/>
        <v>1364307.8659999999</v>
      </c>
      <c r="I81" s="19" t="s">
        <v>95</v>
      </c>
    </row>
    <row r="82" spans="3:9">
      <c r="C82" t="s">
        <v>107</v>
      </c>
      <c r="D82">
        <v>20</v>
      </c>
      <c r="E82">
        <v>4000</v>
      </c>
      <c r="F82" s="2"/>
      <c r="G82">
        <v>1416500</v>
      </c>
      <c r="H82" s="13">
        <f t="shared" si="3"/>
        <v>-52192.134000000078</v>
      </c>
      <c r="I82" s="19" t="s">
        <v>95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68A1A"/>
  </sheetPr>
  <dimension ref="A1:N135"/>
  <sheetViews>
    <sheetView topLeftCell="A10" zoomScale="170" zoomScaleNormal="170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1.5703125" customWidth="1"/>
    <col min="6" max="6" width="12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29" t="s">
        <v>117</v>
      </c>
      <c r="L1" s="344" t="s">
        <v>118</v>
      </c>
      <c r="M1" s="344"/>
      <c r="N1" t="s">
        <v>119</v>
      </c>
    </row>
    <row r="2" spans="1:14" ht="15.75">
      <c r="A2" s="21">
        <v>-2024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31">
        <v>0.23538400000000001</v>
      </c>
      <c r="L2" s="32">
        <f>1-K2</f>
        <v>0.76461599999999996</v>
      </c>
      <c r="M2" s="33" t="s">
        <v>124</v>
      </c>
      <c r="N2">
        <f>F115/1000</f>
        <v>698.22030499999994</v>
      </c>
    </row>
    <row r="3" spans="1:14">
      <c r="A3" t="s">
        <v>125</v>
      </c>
      <c r="B3" s="34">
        <f>'01_24'!D2</f>
        <v>340464.6</v>
      </c>
      <c r="C3" s="34">
        <f>'01_24'!E2</f>
        <v>-52469.760000000002</v>
      </c>
      <c r="D3" s="35">
        <f>B3+C3</f>
        <v>287994.83999999997</v>
      </c>
      <c r="E3" s="34">
        <f>'01_24'!F2</f>
        <v>194911.58000000002</v>
      </c>
      <c r="F3" s="34">
        <f>'01_24'!G2</f>
        <v>-66377.209999999992</v>
      </c>
      <c r="G3" s="35">
        <f>E3+F3</f>
        <v>128534.37000000002</v>
      </c>
      <c r="H3" s="36"/>
      <c r="I3" s="37" t="s">
        <v>126</v>
      </c>
      <c r="J3">
        <v>180</v>
      </c>
      <c r="K3" s="38"/>
      <c r="L3" s="39"/>
      <c r="M3" s="40">
        <f>J3</f>
        <v>180</v>
      </c>
      <c r="N3">
        <f>'01_24'!E118/1000</f>
        <v>813.15151000000003</v>
      </c>
    </row>
    <row r="4" spans="1:14">
      <c r="A4" t="s">
        <v>127</v>
      </c>
      <c r="B4" s="34">
        <f>'02_24'!D2</f>
        <v>19300</v>
      </c>
      <c r="C4" s="34">
        <f>'02_24'!E2</f>
        <v>-65325.849999999991</v>
      </c>
      <c r="D4" s="35">
        <f t="shared" ref="D4:D14" si="0">B4+C4+D3</f>
        <v>241968.99</v>
      </c>
      <c r="E4" s="34">
        <f>'02_24'!F2</f>
        <v>20543.64</v>
      </c>
      <c r="F4" s="34">
        <f>'02_24'!G2</f>
        <v>-69834.739999999991</v>
      </c>
      <c r="G4" s="35">
        <f t="shared" ref="G4:G14" si="1">E4+F4+G3</f>
        <v>79243.270000000033</v>
      </c>
      <c r="H4" s="36"/>
      <c r="I4" s="37" t="s">
        <v>128</v>
      </c>
      <c r="J4">
        <v>85</v>
      </c>
      <c r="K4" s="41">
        <f>J4*$K$2</f>
        <v>20.007640000000002</v>
      </c>
      <c r="L4" s="42">
        <f>J4-K4</f>
        <v>64.992359999999991</v>
      </c>
      <c r="M4" s="40"/>
      <c r="N4">
        <f>'02_24'!E111/1000</f>
        <v>809.24983035699995</v>
      </c>
    </row>
    <row r="5" spans="1:14">
      <c r="A5" t="s">
        <v>129</v>
      </c>
      <c r="B5" s="34">
        <f>'03_24'!D2</f>
        <v>12800</v>
      </c>
      <c r="C5" s="34">
        <f>'03_24'!E2</f>
        <v>-114592.82</v>
      </c>
      <c r="D5" s="35">
        <f t="shared" si="0"/>
        <v>140176.16999999998</v>
      </c>
      <c r="E5" s="34">
        <f>'03_24'!F2</f>
        <v>19667.489999999998</v>
      </c>
      <c r="F5" s="34">
        <f>'03_24'!G2</f>
        <v>-116144.16</v>
      </c>
      <c r="G5" s="35">
        <f t="shared" si="1"/>
        <v>-17233.39999999998</v>
      </c>
      <c r="H5" s="36"/>
      <c r="I5" s="37" t="s">
        <v>130</v>
      </c>
      <c r="K5" s="41"/>
      <c r="L5" s="39"/>
      <c r="M5" s="40">
        <f>J5</f>
        <v>0</v>
      </c>
      <c r="N5">
        <f>'03_24'!E108/1000</f>
        <v>745.85205035699994</v>
      </c>
    </row>
    <row r="6" spans="1:14">
      <c r="A6" t="s">
        <v>131</v>
      </c>
      <c r="B6" s="34">
        <f>'04_24'!D2</f>
        <v>40000</v>
      </c>
      <c r="C6" s="34">
        <f>'04_24'!E2</f>
        <v>-51710.3</v>
      </c>
      <c r="D6" s="35">
        <f t="shared" si="0"/>
        <v>128465.86999999998</v>
      </c>
      <c r="E6" s="34">
        <f>'04_24'!F2</f>
        <v>332427.62</v>
      </c>
      <c r="F6" s="34">
        <f>'04_24'!G2</f>
        <v>-86892.22</v>
      </c>
      <c r="G6" s="35">
        <f t="shared" si="1"/>
        <v>228302</v>
      </c>
      <c r="H6" s="36"/>
      <c r="I6" s="43" t="s">
        <v>132</v>
      </c>
      <c r="K6" s="41"/>
      <c r="L6" s="39"/>
      <c r="M6" s="44">
        <f>E18/1000</f>
        <v>78.933189999999996</v>
      </c>
      <c r="N6">
        <f>'04_24'!E111/1000</f>
        <v>774.2877365999999</v>
      </c>
    </row>
    <row r="7" spans="1:14">
      <c r="A7" t="s">
        <v>133</v>
      </c>
      <c r="B7" s="34">
        <f>'05_24'!D2</f>
        <v>25000</v>
      </c>
      <c r="C7" s="34">
        <f>'05_24'!E2</f>
        <v>-64525.01</v>
      </c>
      <c r="D7" s="35">
        <f t="shared" si="0"/>
        <v>88940.859999999986</v>
      </c>
      <c r="E7" s="34">
        <f>'05_24'!F2</f>
        <v>25427.620000000003</v>
      </c>
      <c r="F7" s="34">
        <f>'05_24'!G2</f>
        <v>-64483.92</v>
      </c>
      <c r="G7" s="35">
        <f t="shared" si="1"/>
        <v>189245.7</v>
      </c>
      <c r="H7" s="36"/>
      <c r="I7" s="43" t="s">
        <v>134</v>
      </c>
      <c r="K7" s="41"/>
      <c r="L7" s="42"/>
      <c r="M7" s="44">
        <f>E19/1000</f>
        <v>38.99691</v>
      </c>
      <c r="N7">
        <f>'05_24'!E101/1000</f>
        <v>1018.9678865999999</v>
      </c>
    </row>
    <row r="8" spans="1:14">
      <c r="A8" t="s">
        <v>135</v>
      </c>
      <c r="B8" s="34">
        <f>'06_24'!D2</f>
        <v>33500</v>
      </c>
      <c r="C8" s="34">
        <f>'06_24'!E2</f>
        <v>-77377.563693000004</v>
      </c>
      <c r="D8" s="35">
        <f t="shared" si="0"/>
        <v>45063.296306999982</v>
      </c>
      <c r="E8" s="34">
        <f>'06_24'!F2</f>
        <v>13427.62</v>
      </c>
      <c r="F8" s="34">
        <f>'06_24'!G2</f>
        <v>-97778.153693</v>
      </c>
      <c r="G8" s="35">
        <f t="shared" si="1"/>
        <v>104895.16630700001</v>
      </c>
      <c r="H8" s="36"/>
      <c r="I8" s="37" t="s">
        <v>136</v>
      </c>
      <c r="J8">
        <v>225</v>
      </c>
      <c r="K8" s="41"/>
      <c r="L8" s="42"/>
      <c r="M8" s="40">
        <f>J8/4</f>
        <v>56.25</v>
      </c>
      <c r="N8">
        <f>'06_24'!E118/1000</f>
        <v>794.30215999999996</v>
      </c>
    </row>
    <row r="9" spans="1:14">
      <c r="A9" t="s">
        <v>137</v>
      </c>
      <c r="B9" s="34">
        <f>'07_24'!D2</f>
        <v>51000</v>
      </c>
      <c r="C9" s="34">
        <f>'07_24'!E2</f>
        <v>-85166.06</v>
      </c>
      <c r="D9" s="35">
        <f t="shared" si="0"/>
        <v>10897.236306999985</v>
      </c>
      <c r="E9" s="34">
        <f>'07_24'!F2</f>
        <v>27984.15</v>
      </c>
      <c r="F9" s="34">
        <f>'07_24'!G2</f>
        <v>-87971.62</v>
      </c>
      <c r="G9" s="35">
        <f t="shared" si="1"/>
        <v>44907.696307000013</v>
      </c>
      <c r="H9" s="36"/>
      <c r="I9" s="37" t="s">
        <v>138</v>
      </c>
      <c r="J9">
        <v>204</v>
      </c>
      <c r="K9" s="41">
        <f>J9*$K$2</f>
        <v>48.018336000000005</v>
      </c>
      <c r="L9" s="42">
        <f>J9-K9</f>
        <v>155.98166399999999</v>
      </c>
      <c r="M9" s="45"/>
      <c r="N9">
        <f>'07_24'!E133/1000</f>
        <v>981.30372722800007</v>
      </c>
    </row>
    <row r="10" spans="1:14">
      <c r="A10" t="s">
        <v>139</v>
      </c>
      <c r="B10" s="34">
        <f>'08_24'!D2</f>
        <v>195484.15</v>
      </c>
      <c r="C10" s="34">
        <f>'08_24'!E2</f>
        <v>-88440.670000000013</v>
      </c>
      <c r="D10" s="35">
        <f t="shared" si="0"/>
        <v>117940.71630699997</v>
      </c>
      <c r="E10" s="34">
        <f>'08_24'!F2</f>
        <v>28006.379999999997</v>
      </c>
      <c r="F10" s="34">
        <f>'08_24'!G2</f>
        <v>-88381.87</v>
      </c>
      <c r="G10" s="35">
        <f t="shared" si="1"/>
        <v>-15467.793692999985</v>
      </c>
      <c r="H10" s="36"/>
      <c r="I10" s="37" t="s">
        <v>140</v>
      </c>
      <c r="J10">
        <v>100</v>
      </c>
      <c r="K10" s="41"/>
      <c r="L10" s="42"/>
      <c r="M10" s="40">
        <f>J10*0.13</f>
        <v>13</v>
      </c>
      <c r="N10">
        <f>'08_24'!E130/1000</f>
        <v>0</v>
      </c>
    </row>
    <row r="11" spans="1:14">
      <c r="A11" t="s">
        <v>141</v>
      </c>
      <c r="B11" s="34">
        <f>'09_24'!D2</f>
        <v>36484.15</v>
      </c>
      <c r="C11" s="34">
        <f>'09_24'!E2</f>
        <v>-81364.900000000009</v>
      </c>
      <c r="D11" s="35">
        <f t="shared" si="0"/>
        <v>73059.966306999966</v>
      </c>
      <c r="E11" s="34">
        <f>'09_24'!F2</f>
        <v>62006.38</v>
      </c>
      <c r="F11" s="34">
        <f>'09_24'!G2</f>
        <v>-69863.539999999994</v>
      </c>
      <c r="G11" s="35">
        <f t="shared" si="1"/>
        <v>-23324.953692999981</v>
      </c>
      <c r="H11" s="36"/>
      <c r="I11" s="37" t="s">
        <v>142</v>
      </c>
      <c r="J11">
        <v>50</v>
      </c>
      <c r="K11" s="41">
        <f>J11*$K$2</f>
        <v>11.7692</v>
      </c>
      <c r="L11" s="42">
        <f>J11-K11</f>
        <v>38.230800000000002</v>
      </c>
      <c r="M11" s="40"/>
      <c r="N11">
        <f>'09_24'!E112/1000</f>
        <v>0</v>
      </c>
    </row>
    <row r="12" spans="1:14">
      <c r="A12" t="s">
        <v>143</v>
      </c>
      <c r="B12" s="34">
        <f>'10_24'!D2</f>
        <v>27984.15</v>
      </c>
      <c r="C12" s="34">
        <f>'10_24'!E2</f>
        <v>-126233.26999999999</v>
      </c>
      <c r="D12" s="35">
        <f t="shared" si="0"/>
        <v>-25189.153693000029</v>
      </c>
      <c r="E12" s="34">
        <f>'10_24'!F2</f>
        <v>28006.379999999997</v>
      </c>
      <c r="F12" s="34">
        <f>'10_24'!G2</f>
        <v>-123041.29000000001</v>
      </c>
      <c r="G12" s="35">
        <f t="shared" si="1"/>
        <v>-118359.86369299999</v>
      </c>
      <c r="H12" s="36"/>
      <c r="I12" s="37" t="s">
        <v>144</v>
      </c>
      <c r="J12">
        <v>136</v>
      </c>
      <c r="K12" s="41">
        <f>J12*$K$2</f>
        <v>32.012224000000003</v>
      </c>
      <c r="L12" s="42">
        <f>J12-K12</f>
        <v>103.987776</v>
      </c>
      <c r="M12" s="40"/>
      <c r="N12">
        <f>'10_24'!E135/1000</f>
        <v>0</v>
      </c>
    </row>
    <row r="13" spans="1:14">
      <c r="A13" t="s">
        <v>145</v>
      </c>
      <c r="B13" s="34">
        <f>'11_24'!D2</f>
        <v>277984.15000000002</v>
      </c>
      <c r="C13" s="34">
        <f>'11_24'!E2</f>
        <v>-182427.39</v>
      </c>
      <c r="D13" s="35">
        <f t="shared" si="0"/>
        <v>70367.60630699998</v>
      </c>
      <c r="E13" s="34">
        <f>'11_24'!F2</f>
        <v>0</v>
      </c>
      <c r="F13" s="34">
        <f>'11_24'!G2</f>
        <v>-130797.89</v>
      </c>
      <c r="G13" s="35">
        <f t="shared" si="1"/>
        <v>-249157.75369300001</v>
      </c>
      <c r="H13" s="36"/>
      <c r="I13" s="37" t="s">
        <v>146</v>
      </c>
      <c r="J13">
        <v>250</v>
      </c>
      <c r="K13" s="41">
        <f>J13*$K$2</f>
        <v>58.846000000000004</v>
      </c>
      <c r="L13" s="42">
        <f>J13-K13</f>
        <v>191.154</v>
      </c>
      <c r="M13" s="45"/>
      <c r="N13">
        <f>'11_24'!E123/1000</f>
        <v>0</v>
      </c>
    </row>
    <row r="14" spans="1:14">
      <c r="A14" t="s">
        <v>147</v>
      </c>
      <c r="B14" s="34">
        <f>'12_24'!D2</f>
        <v>27984.15</v>
      </c>
      <c r="C14" s="34">
        <f>'12_24'!E2</f>
        <v>-54560.020000000004</v>
      </c>
      <c r="D14" s="35">
        <f t="shared" si="0"/>
        <v>43791.736306999977</v>
      </c>
      <c r="E14" s="34">
        <f>'12_24'!F2</f>
        <v>0</v>
      </c>
      <c r="F14" s="34">
        <f>'12_24'!G2</f>
        <v>0</v>
      </c>
      <c r="G14" s="35">
        <f t="shared" si="1"/>
        <v>-249157.75369300001</v>
      </c>
      <c r="H14" s="36"/>
      <c r="I14" s="46" t="s">
        <v>148</v>
      </c>
      <c r="J14" s="47">
        <v>340</v>
      </c>
      <c r="K14" s="41">
        <f>J14*$K$2</f>
        <v>80.030560000000008</v>
      </c>
      <c r="L14" s="42">
        <f>J14-K14</f>
        <v>259.96943999999996</v>
      </c>
      <c r="M14" s="40"/>
      <c r="N14">
        <f>'12_24'!E121/1000</f>
        <v>0</v>
      </c>
    </row>
    <row r="15" spans="1:14">
      <c r="A15" s="48" t="s">
        <v>149</v>
      </c>
      <c r="B15" s="35">
        <f>SUM(B3:B14)</f>
        <v>1087985.3500000001</v>
      </c>
      <c r="C15" s="35">
        <f>SUM(C3:C14)</f>
        <v>-1044193.6136930001</v>
      </c>
      <c r="D15" s="35">
        <f>B15+C15</f>
        <v>43791.736307000043</v>
      </c>
      <c r="E15" s="35">
        <f>SUM(E3:E14)</f>
        <v>752408.8600000001</v>
      </c>
      <c r="F15" s="35">
        <f>SUM(F3:F14)</f>
        <v>-1001566.6136930001</v>
      </c>
      <c r="G15" s="35">
        <f>E15+F15</f>
        <v>-249157.75369299995</v>
      </c>
      <c r="H15" s="49"/>
      <c r="I15" s="50"/>
      <c r="J15" s="51">
        <f>SUM(J3:J14)</f>
        <v>1570</v>
      </c>
      <c r="K15" s="52">
        <f>SUM(K4:K14)</f>
        <v>250.68396000000004</v>
      </c>
      <c r="L15" s="53">
        <f>SUM(L4:L14)</f>
        <v>814.31603999999993</v>
      </c>
      <c r="M15" s="54">
        <f>M10+M8+M6+M5+M3+M7</f>
        <v>367.18009999999998</v>
      </c>
    </row>
    <row r="16" spans="1:14">
      <c r="A16" s="55">
        <v>12</v>
      </c>
      <c r="B16" s="56">
        <f>B15/A16</f>
        <v>90665.445833333346</v>
      </c>
      <c r="C16" s="57">
        <f>C15/A16</f>
        <v>-87016.134474416671</v>
      </c>
      <c r="D16" s="57"/>
      <c r="E16" s="57">
        <f>E15/A16</f>
        <v>62700.738333333342</v>
      </c>
      <c r="F16" s="57">
        <f>F15/A16</f>
        <v>-83463.884474416671</v>
      </c>
      <c r="G16" s="57">
        <f>G15/A16</f>
        <v>-20763.146141083329</v>
      </c>
      <c r="H16" s="58"/>
      <c r="I16" s="59"/>
      <c r="J16" s="60">
        <f>J15/12</f>
        <v>130.83333333333334</v>
      </c>
      <c r="K16" s="61">
        <f>K15/12</f>
        <v>20.890330000000002</v>
      </c>
      <c r="L16" s="62">
        <f>L15/12</f>
        <v>67.859669999999994</v>
      </c>
      <c r="M16" s="63">
        <f>M15/12</f>
        <v>30.598341666666666</v>
      </c>
      <c r="N16" s="64">
        <f>AVERAGE(N2:N15)</f>
        <v>510.41040047246156</v>
      </c>
    </row>
    <row r="17" spans="2:13">
      <c r="C17" s="2"/>
      <c r="D17" s="2"/>
      <c r="G17" s="65"/>
      <c r="H17" s="65"/>
      <c r="I17" s="37"/>
      <c r="K17" s="2" t="s">
        <v>149</v>
      </c>
      <c r="L17" s="345">
        <f>L15+M15</f>
        <v>1181.49614</v>
      </c>
      <c r="M17" s="345"/>
    </row>
    <row r="18" spans="2:13">
      <c r="D18" s="66" t="s">
        <v>150</v>
      </c>
      <c r="E18" s="2">
        <f>'01_24'!F27+'02_24'!F14+'02_24'!F25+'03_24'!F19+'04_24'!F41+'05_24'!F22+'06_24'!F19+'05_24'!F22+'06_24'!F31+'04_24'!F15</f>
        <v>78933.19</v>
      </c>
      <c r="J18" s="37"/>
      <c r="K18" s="2" t="s">
        <v>151</v>
      </c>
      <c r="L18" s="67"/>
      <c r="M18" s="68">
        <f>L17/12</f>
        <v>98.458011666666664</v>
      </c>
    </row>
    <row r="19" spans="2:13">
      <c r="C19" s="10"/>
      <c r="D19" s="69" t="s">
        <v>152</v>
      </c>
      <c r="E19" s="9">
        <f>'07_24'!F30+'08_24'!F24+'09_24'!F19+'10_24'!F25+'11_24'!F27+'12_24'!F29</f>
        <v>38996.909999999996</v>
      </c>
    </row>
    <row r="20" spans="2:13">
      <c r="D20" s="70" t="s">
        <v>153</v>
      </c>
      <c r="E20" s="13">
        <f>SUM(E18:E19)</f>
        <v>117930.1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154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155</v>
      </c>
      <c r="D24" s="74">
        <f>D23+B22</f>
        <v>10427.620161375</v>
      </c>
    </row>
    <row r="25" spans="2:13">
      <c r="C25" s="338">
        <f>(D27/D24)-1</f>
        <v>0.24730089883567064</v>
      </c>
    </row>
    <row r="26" spans="2:13">
      <c r="C26" t="s">
        <v>1463</v>
      </c>
    </row>
    <row r="27" spans="2:13">
      <c r="C27" t="s">
        <v>619</v>
      </c>
      <c r="D27">
        <v>13006.38</v>
      </c>
    </row>
    <row r="30" spans="2:13">
      <c r="B30" t="s">
        <v>156</v>
      </c>
    </row>
    <row r="31" spans="2:13">
      <c r="C31" t="s">
        <v>157</v>
      </c>
    </row>
    <row r="32" spans="2:13">
      <c r="C32" t="s">
        <v>158</v>
      </c>
    </row>
    <row r="34" spans="2:3">
      <c r="B34" t="s">
        <v>159</v>
      </c>
    </row>
    <row r="35" spans="2:3">
      <c r="C35" t="s">
        <v>160</v>
      </c>
    </row>
    <row r="36" spans="2:3">
      <c r="C36" t="s">
        <v>161</v>
      </c>
    </row>
    <row r="37" spans="2:3">
      <c r="B37" t="s">
        <v>162</v>
      </c>
    </row>
    <row r="38" spans="2:3">
      <c r="C38" t="s">
        <v>163</v>
      </c>
    </row>
    <row r="39" spans="2:3">
      <c r="C39" t="s">
        <v>164</v>
      </c>
    </row>
    <row r="40" spans="2:3">
      <c r="C40" t="s">
        <v>165</v>
      </c>
    </row>
    <row r="41" spans="2:3">
      <c r="C41" t="s">
        <v>166</v>
      </c>
    </row>
    <row r="42" spans="2:3">
      <c r="C42" t="s">
        <v>167</v>
      </c>
    </row>
    <row r="43" spans="2:3">
      <c r="B43" t="s">
        <v>168</v>
      </c>
    </row>
    <row r="44" spans="2:3">
      <c r="C44" t="s">
        <v>169</v>
      </c>
    </row>
    <row r="115" spans="2:7">
      <c r="B115" s="76" t="s">
        <v>170</v>
      </c>
      <c r="C115" s="77" t="s">
        <v>171</v>
      </c>
      <c r="D115" s="78">
        <v>2023</v>
      </c>
      <c r="E115" s="79"/>
      <c r="F115" s="80">
        <f>SUM(F116:F132)</f>
        <v>698220.30499999993</v>
      </c>
      <c r="G115" s="80"/>
    </row>
    <row r="116" spans="2:7">
      <c r="B116" s="81">
        <v>45290</v>
      </c>
      <c r="C116" t="s">
        <v>84</v>
      </c>
      <c r="D116" s="2"/>
      <c r="E116" s="2"/>
      <c r="F116" s="13">
        <v>64000</v>
      </c>
    </row>
    <row r="117" spans="2:7">
      <c r="B117" s="81">
        <f t="shared" ref="B117:B126" si="2">B116</f>
        <v>45290</v>
      </c>
      <c r="C117" t="s">
        <v>172</v>
      </c>
      <c r="D117" s="2"/>
      <c r="E117" s="2"/>
      <c r="F117" s="13">
        <v>218088</v>
      </c>
    </row>
    <row r="118" spans="2:7">
      <c r="B118" s="81">
        <f t="shared" si="2"/>
        <v>45290</v>
      </c>
      <c r="C118" t="s">
        <v>173</v>
      </c>
      <c r="D118" s="2"/>
      <c r="E118" s="2"/>
      <c r="F118" s="13">
        <v>3609.29</v>
      </c>
    </row>
    <row r="119" spans="2:7">
      <c r="B119" s="81">
        <f t="shared" si="2"/>
        <v>45290</v>
      </c>
      <c r="C119" t="s">
        <v>174</v>
      </c>
      <c r="D119" s="2"/>
      <c r="E119" s="2"/>
      <c r="F119" s="13">
        <v>122.31</v>
      </c>
    </row>
    <row r="120" spans="2:7">
      <c r="B120" s="81">
        <f t="shared" si="2"/>
        <v>45290</v>
      </c>
      <c r="C120" t="s">
        <v>175</v>
      </c>
      <c r="E120" s="2"/>
      <c r="F120" s="13">
        <v>6267.13</v>
      </c>
    </row>
    <row r="121" spans="2:7">
      <c r="B121" s="81">
        <f t="shared" si="2"/>
        <v>45290</v>
      </c>
      <c r="C121" t="s">
        <v>60</v>
      </c>
      <c r="D121" s="2" t="s">
        <v>176</v>
      </c>
      <c r="E121" s="2"/>
      <c r="F121" s="13">
        <v>21088.49</v>
      </c>
    </row>
    <row r="122" spans="2:7">
      <c r="B122" s="81">
        <f t="shared" si="2"/>
        <v>45290</v>
      </c>
      <c r="C122" t="s">
        <v>177</v>
      </c>
      <c r="D122" s="2" t="s">
        <v>178</v>
      </c>
      <c r="E122" s="2"/>
      <c r="F122" s="13">
        <v>5587.73</v>
      </c>
    </row>
    <row r="123" spans="2:7">
      <c r="B123" s="81">
        <f t="shared" si="2"/>
        <v>45290</v>
      </c>
      <c r="C123" t="s">
        <v>179</v>
      </c>
      <c r="D123" s="81">
        <v>45295</v>
      </c>
      <c r="E123" s="82">
        <v>-629.36</v>
      </c>
      <c r="F123" s="13">
        <v>4752.22</v>
      </c>
    </row>
    <row r="124" spans="2:7">
      <c r="B124" s="81">
        <f t="shared" si="2"/>
        <v>45290</v>
      </c>
      <c r="C124" t="s">
        <v>180</v>
      </c>
      <c r="D124" s="81">
        <v>45295</v>
      </c>
      <c r="E124" s="82">
        <v>-52.52</v>
      </c>
      <c r="F124" s="13">
        <v>315.38</v>
      </c>
      <c r="G124" s="65"/>
    </row>
    <row r="125" spans="2:7">
      <c r="B125" s="81">
        <f t="shared" si="2"/>
        <v>45290</v>
      </c>
      <c r="C125" t="s">
        <v>181</v>
      </c>
      <c r="D125" s="81">
        <v>45295</v>
      </c>
      <c r="E125" s="82">
        <v>-196</v>
      </c>
      <c r="F125" s="13">
        <v>295.8</v>
      </c>
    </row>
    <row r="126" spans="2:7">
      <c r="B126" s="81">
        <f t="shared" si="2"/>
        <v>45290</v>
      </c>
      <c r="C126" t="s">
        <v>182</v>
      </c>
      <c r="D126" s="81">
        <v>45295</v>
      </c>
      <c r="E126" s="82">
        <v>-669.7</v>
      </c>
      <c r="F126" s="13">
        <v>4239.3</v>
      </c>
    </row>
    <row r="127" spans="2:7">
      <c r="B127" s="81">
        <f>B120</f>
        <v>45290</v>
      </c>
      <c r="C127" t="s">
        <v>183</v>
      </c>
      <c r="D127" s="2"/>
      <c r="E127" s="2"/>
      <c r="F127" s="13">
        <v>1000</v>
      </c>
    </row>
    <row r="128" spans="2:7">
      <c r="B128" s="81">
        <f>B119</f>
        <v>45290</v>
      </c>
      <c r="C128" t="s">
        <v>184</v>
      </c>
      <c r="D128" s="2">
        <v>1928.59</v>
      </c>
      <c r="E128" s="2">
        <v>161</v>
      </c>
      <c r="F128" s="13">
        <f>E128*D128</f>
        <v>310502.99</v>
      </c>
    </row>
    <row r="129" spans="2:6">
      <c r="B129" s="81">
        <f>B128</f>
        <v>45290</v>
      </c>
      <c r="C129" t="s">
        <v>185</v>
      </c>
      <c r="D129" s="83">
        <v>29.2927</v>
      </c>
      <c r="E129" s="2">
        <v>850</v>
      </c>
      <c r="F129" s="13">
        <f>E129*D129</f>
        <v>24898.794999999998</v>
      </c>
    </row>
    <row r="130" spans="2:6">
      <c r="B130" s="81">
        <f>B129</f>
        <v>45290</v>
      </c>
      <c r="C130" t="s">
        <v>186</v>
      </c>
      <c r="D130" s="83">
        <v>32.028700000000001</v>
      </c>
      <c r="E130" s="2">
        <v>100</v>
      </c>
      <c r="F130" s="13">
        <f>E130*D130</f>
        <v>3202.87</v>
      </c>
    </row>
    <row r="131" spans="2:6">
      <c r="B131" s="81">
        <f>B130</f>
        <v>45290</v>
      </c>
      <c r="C131" t="s">
        <v>187</v>
      </c>
      <c r="D131" s="2"/>
      <c r="E131" s="2"/>
      <c r="F131" s="13">
        <v>30000</v>
      </c>
    </row>
    <row r="132" spans="2:6">
      <c r="B132" s="81">
        <f>B131</f>
        <v>45290</v>
      </c>
      <c r="C132" t="s">
        <v>94</v>
      </c>
      <c r="D132" s="2"/>
      <c r="E132" s="2"/>
      <c r="F132" s="13">
        <v>250</v>
      </c>
    </row>
    <row r="133" spans="2:6">
      <c r="D133" s="3" t="str">
        <f>B115</f>
        <v>ARALIK</v>
      </c>
      <c r="E133" s="70" t="s">
        <v>188</v>
      </c>
      <c r="F133" s="84">
        <f>H33</f>
        <v>0</v>
      </c>
    </row>
    <row r="134" spans="2:6">
      <c r="E134" s="3"/>
    </row>
    <row r="135" spans="2:6">
      <c r="E135" s="70" t="s">
        <v>189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O128"/>
  <sheetViews>
    <sheetView zoomScale="170" zoomScaleNormal="170" workbookViewId="0">
      <selection activeCell="A3" sqref="A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5">
      <c r="F1" s="85" t="s">
        <v>120</v>
      </c>
      <c r="G1" s="85" t="s">
        <v>121</v>
      </c>
      <c r="H1" s="85" t="s">
        <v>3</v>
      </c>
    </row>
    <row r="2" spans="1:15">
      <c r="A2" s="3" t="s">
        <v>1488</v>
      </c>
      <c r="C2" s="87" t="s">
        <v>191</v>
      </c>
      <c r="D2" s="85">
        <f>SUM(D4:D39)</f>
        <v>27984.15</v>
      </c>
      <c r="E2" s="85">
        <f>SUM(E4:E39)</f>
        <v>-54560.020000000004</v>
      </c>
      <c r="F2" s="85">
        <f>SUM(F4:F39)</f>
        <v>0</v>
      </c>
      <c r="G2" s="85">
        <f>SUM(G4:G39)</f>
        <v>0</v>
      </c>
      <c r="H2" s="85">
        <f>F2+G2</f>
        <v>0</v>
      </c>
    </row>
    <row r="3" spans="1:15">
      <c r="B3" s="70"/>
    </row>
    <row r="4" spans="1:15">
      <c r="B4" s="43" t="s">
        <v>192</v>
      </c>
      <c r="E4" s="85">
        <v>-152</v>
      </c>
      <c r="H4" s="85">
        <f>H3+F4+G4</f>
        <v>0</v>
      </c>
    </row>
    <row r="5" spans="1:15">
      <c r="B5" t="s">
        <v>193</v>
      </c>
      <c r="E5" s="85">
        <v>-11030.76</v>
      </c>
    </row>
    <row r="6" spans="1:15">
      <c r="B6" s="88" t="s">
        <v>194</v>
      </c>
      <c r="C6" s="88"/>
      <c r="E6" s="85">
        <v>-400</v>
      </c>
      <c r="H6" s="85">
        <f>H4+F6+G6</f>
        <v>0</v>
      </c>
    </row>
    <row r="7" spans="1:15">
      <c r="B7" s="88" t="s">
        <v>195</v>
      </c>
      <c r="C7" s="88"/>
      <c r="E7" s="85">
        <v>-500</v>
      </c>
      <c r="H7" s="85">
        <f>H6+F7+G7</f>
        <v>0</v>
      </c>
    </row>
    <row r="8" spans="1:15">
      <c r="B8" s="88" t="s">
        <v>196</v>
      </c>
      <c r="C8" s="88" t="s">
        <v>197</v>
      </c>
      <c r="E8" s="85">
        <v>-250</v>
      </c>
      <c r="H8" s="85">
        <f>H7+F8+G8</f>
        <v>0</v>
      </c>
      <c r="N8" s="86">
        <f>M14</f>
        <v>93450</v>
      </c>
    </row>
    <row r="9" spans="1:15">
      <c r="B9" s="89" t="s">
        <v>198</v>
      </c>
      <c r="C9" s="88"/>
      <c r="J9" s="90" t="s">
        <v>199</v>
      </c>
      <c r="K9" s="86">
        <v>8</v>
      </c>
      <c r="L9" s="91">
        <v>250</v>
      </c>
      <c r="M9" s="86">
        <f>L9*K9</f>
        <v>2000</v>
      </c>
      <c r="N9" s="86">
        <f>N8-M9</f>
        <v>91450</v>
      </c>
      <c r="O9" t="s">
        <v>102</v>
      </c>
    </row>
    <row r="10" spans="1:15">
      <c r="B10" s="89" t="s">
        <v>200</v>
      </c>
      <c r="C10" s="88"/>
      <c r="J10" s="90" t="s">
        <v>201</v>
      </c>
      <c r="K10" s="91">
        <v>2</v>
      </c>
      <c r="L10" s="91">
        <v>250</v>
      </c>
      <c r="M10" s="86">
        <f>L10*K10</f>
        <v>500</v>
      </c>
      <c r="N10" s="86">
        <f>N9-M10</f>
        <v>90950</v>
      </c>
      <c r="O10" t="s">
        <v>102</v>
      </c>
    </row>
    <row r="11" spans="1:15">
      <c r="B11" s="88" t="s">
        <v>202</v>
      </c>
      <c r="C11" s="88"/>
      <c r="J11" s="90" t="s">
        <v>203</v>
      </c>
      <c r="K11" s="86">
        <v>11</v>
      </c>
      <c r="L11" s="86">
        <v>250</v>
      </c>
      <c r="M11" s="86">
        <f>L11*K11</f>
        <v>2750</v>
      </c>
      <c r="N11" s="86">
        <f>N10-M11</f>
        <v>88200</v>
      </c>
      <c r="O11" t="s">
        <v>102</v>
      </c>
    </row>
    <row r="12" spans="1:15">
      <c r="B12" s="88" t="s">
        <v>204</v>
      </c>
      <c r="C12" s="88"/>
      <c r="J12" s="90" t="s">
        <v>205</v>
      </c>
      <c r="K12" s="85">
        <v>1</v>
      </c>
      <c r="L12" s="85">
        <v>8595</v>
      </c>
      <c r="M12" s="85">
        <f>L12*K12</f>
        <v>8595</v>
      </c>
      <c r="N12" s="86">
        <f>N11-M12</f>
        <v>79605</v>
      </c>
      <c r="O12" s="3" t="s">
        <v>206</v>
      </c>
    </row>
    <row r="13" spans="1:15">
      <c r="B13" s="88" t="s">
        <v>207</v>
      </c>
      <c r="C13" s="88"/>
      <c r="J13" s="90" t="s">
        <v>205</v>
      </c>
      <c r="K13" s="85">
        <v>9</v>
      </c>
      <c r="L13" s="85">
        <v>8845</v>
      </c>
      <c r="M13" s="85">
        <f>L13*K13</f>
        <v>79605</v>
      </c>
      <c r="N13" s="86">
        <f>N12-M13</f>
        <v>0</v>
      </c>
      <c r="O13" s="3" t="s">
        <v>206</v>
      </c>
    </row>
    <row r="14" spans="1:15">
      <c r="B14" s="88"/>
      <c r="C14" s="88"/>
      <c r="H14" s="85">
        <f>H8+F14+G14</f>
        <v>0</v>
      </c>
      <c r="J14" s="91"/>
      <c r="K14" s="91"/>
      <c r="L14" s="92" t="s">
        <v>191</v>
      </c>
      <c r="M14" s="93">
        <f>SUM(M9:M13)</f>
        <v>93450</v>
      </c>
    </row>
    <row r="15" spans="1:15">
      <c r="B15" s="88" t="s">
        <v>208</v>
      </c>
      <c r="C15" s="88" t="s">
        <v>209</v>
      </c>
      <c r="E15" s="85">
        <v>-150</v>
      </c>
      <c r="H15" s="85">
        <f t="shared" ref="H15:H37" si="0">H14+F15+G15</f>
        <v>0</v>
      </c>
    </row>
    <row r="16" spans="1:15">
      <c r="B16" s="94" t="s">
        <v>210</v>
      </c>
      <c r="C16" s="94" t="s">
        <v>209</v>
      </c>
      <c r="E16" s="85">
        <v>-300</v>
      </c>
      <c r="H16" s="85">
        <f t="shared" si="0"/>
        <v>0</v>
      </c>
    </row>
    <row r="17" spans="1:13">
      <c r="B17" s="94" t="s">
        <v>211</v>
      </c>
      <c r="C17" s="94" t="s">
        <v>209</v>
      </c>
      <c r="E17" s="85">
        <v>-100</v>
      </c>
      <c r="H17" s="85">
        <f t="shared" si="0"/>
        <v>0</v>
      </c>
    </row>
    <row r="18" spans="1:13">
      <c r="B18" s="88"/>
      <c r="C18" s="88"/>
      <c r="H18" s="85">
        <f t="shared" si="0"/>
        <v>0</v>
      </c>
      <c r="K18" s="91"/>
      <c r="L18" s="91"/>
      <c r="M18" s="91"/>
    </row>
    <row r="19" spans="1:13">
      <c r="B19" s="95" t="s">
        <v>212</v>
      </c>
      <c r="E19" s="85">
        <f>E57*-1</f>
        <v>0</v>
      </c>
      <c r="H19" s="85">
        <f t="shared" si="0"/>
        <v>0</v>
      </c>
    </row>
    <row r="20" spans="1:13">
      <c r="B20" s="95" t="s">
        <v>213</v>
      </c>
      <c r="E20" s="85">
        <f>E62</f>
        <v>-1797.26</v>
      </c>
      <c r="H20" s="85">
        <f t="shared" si="0"/>
        <v>0</v>
      </c>
    </row>
    <row r="21" spans="1:13">
      <c r="A21" s="96">
        <v>45173</v>
      </c>
      <c r="B21" s="95" t="s">
        <v>214</v>
      </c>
      <c r="E21" s="85">
        <f>E77</f>
        <v>0</v>
      </c>
      <c r="H21" s="85">
        <f t="shared" si="0"/>
        <v>0</v>
      </c>
    </row>
    <row r="22" spans="1:13">
      <c r="A22" s="97"/>
      <c r="B22" s="88" t="s">
        <v>215</v>
      </c>
      <c r="C22" s="88"/>
      <c r="E22" s="85">
        <v>-17500</v>
      </c>
      <c r="H22" s="85">
        <f t="shared" si="0"/>
        <v>0</v>
      </c>
    </row>
    <row r="23" spans="1:13">
      <c r="A23" s="97"/>
      <c r="B23" s="88"/>
      <c r="C23" s="88"/>
      <c r="H23" s="85">
        <f t="shared" si="0"/>
        <v>0</v>
      </c>
    </row>
    <row r="24" spans="1:13">
      <c r="B24" s="88" t="s">
        <v>216</v>
      </c>
      <c r="C24" s="88"/>
      <c r="E24" s="85">
        <v>-1500</v>
      </c>
      <c r="H24" s="85">
        <f t="shared" si="0"/>
        <v>0</v>
      </c>
    </row>
    <row r="25" spans="1:13">
      <c r="H25" s="85">
        <f t="shared" si="0"/>
        <v>0</v>
      </c>
    </row>
    <row r="26" spans="1:13">
      <c r="H26" s="85">
        <f t="shared" si="0"/>
        <v>0</v>
      </c>
    </row>
    <row r="27" spans="1:13">
      <c r="H27" s="85">
        <f t="shared" si="0"/>
        <v>0</v>
      </c>
    </row>
    <row r="28" spans="1:13">
      <c r="B28" t="s">
        <v>84</v>
      </c>
      <c r="H28" s="85">
        <f t="shared" si="0"/>
        <v>0</v>
      </c>
    </row>
    <row r="29" spans="1:13">
      <c r="B29" t="s">
        <v>84</v>
      </c>
      <c r="E29" s="85">
        <v>-6500</v>
      </c>
      <c r="H29" s="85">
        <f t="shared" si="0"/>
        <v>0</v>
      </c>
    </row>
    <row r="30" spans="1:13">
      <c r="B30" t="s">
        <v>172</v>
      </c>
      <c r="E30" s="85">
        <v>-6500</v>
      </c>
      <c r="H30" s="85">
        <f t="shared" si="0"/>
        <v>0</v>
      </c>
    </row>
    <row r="31" spans="1:13">
      <c r="B31" t="s">
        <v>217</v>
      </c>
      <c r="E31" s="85">
        <v>-6500</v>
      </c>
      <c r="H31" s="85">
        <f t="shared" si="0"/>
        <v>0</v>
      </c>
    </row>
    <row r="32" spans="1:13">
      <c r="H32" s="85">
        <f t="shared" si="0"/>
        <v>0</v>
      </c>
    </row>
    <row r="33" spans="1:8">
      <c r="B33" t="s">
        <v>218</v>
      </c>
      <c r="D33" s="86">
        <v>12984.15</v>
      </c>
      <c r="H33" s="85">
        <f t="shared" si="0"/>
        <v>0</v>
      </c>
    </row>
    <row r="34" spans="1:8">
      <c r="A34" s="97"/>
      <c r="B34" t="s">
        <v>219</v>
      </c>
      <c r="H34" s="85">
        <f t="shared" si="0"/>
        <v>0</v>
      </c>
    </row>
    <row r="35" spans="1:8">
      <c r="A35" s="97"/>
      <c r="B35" t="s">
        <v>220</v>
      </c>
      <c r="D35" s="85">
        <v>15000</v>
      </c>
      <c r="H35" s="85">
        <f t="shared" si="0"/>
        <v>0</v>
      </c>
    </row>
    <row r="36" spans="1:8">
      <c r="A36" s="97"/>
      <c r="H36" s="85">
        <f t="shared" si="0"/>
        <v>0</v>
      </c>
    </row>
    <row r="37" spans="1:8">
      <c r="B37" t="s">
        <v>221</v>
      </c>
      <c r="C37" s="98">
        <v>0.234011</v>
      </c>
      <c r="H37" s="85">
        <f t="shared" si="0"/>
        <v>0</v>
      </c>
    </row>
    <row r="39" spans="1:8">
      <c r="A39" s="337">
        <v>45655</v>
      </c>
      <c r="B39" t="s">
        <v>1450</v>
      </c>
      <c r="C39" t="s">
        <v>1453</v>
      </c>
      <c r="E39" s="85">
        <v>-1380</v>
      </c>
    </row>
    <row r="40" spans="1:8">
      <c r="A40" s="337">
        <v>45686</v>
      </c>
      <c r="B40" t="s">
        <v>1450</v>
      </c>
      <c r="C40" t="s">
        <v>1452</v>
      </c>
      <c r="E40" s="85">
        <v>-1380</v>
      </c>
    </row>
    <row r="41" spans="1:8">
      <c r="A41" s="337">
        <v>45716</v>
      </c>
      <c r="B41" t="s">
        <v>1450</v>
      </c>
      <c r="C41" t="s">
        <v>1454</v>
      </c>
      <c r="E41" s="85">
        <v>-1380</v>
      </c>
    </row>
    <row r="42" spans="1:8">
      <c r="A42" s="337">
        <v>45745</v>
      </c>
      <c r="B42" t="s">
        <v>1450</v>
      </c>
      <c r="C42" t="s">
        <v>1455</v>
      </c>
      <c r="E42" s="85">
        <v>-1380</v>
      </c>
    </row>
    <row r="43" spans="1:8">
      <c r="A43" s="337">
        <v>45776</v>
      </c>
      <c r="B43" t="s">
        <v>1450</v>
      </c>
      <c r="C43" t="s">
        <v>1456</v>
      </c>
      <c r="E43" s="85">
        <v>-1380</v>
      </c>
    </row>
    <row r="44" spans="1:8">
      <c r="A44" s="337"/>
    </row>
    <row r="45" spans="1:8">
      <c r="A45" s="335"/>
    </row>
    <row r="46" spans="1:8">
      <c r="A46" s="335"/>
    </row>
    <row r="48" spans="1:8">
      <c r="B48" t="s">
        <v>222</v>
      </c>
    </row>
    <row r="49" spans="1:5">
      <c r="A49" s="78" t="s">
        <v>223</v>
      </c>
      <c r="B49" s="78"/>
      <c r="C49" s="78"/>
    </row>
    <row r="50" spans="1:5">
      <c r="A50" s="97"/>
      <c r="C50" s="98"/>
    </row>
    <row r="51" spans="1:5">
      <c r="A51" s="100">
        <v>44929</v>
      </c>
      <c r="B51" s="101" t="s">
        <v>224</v>
      </c>
      <c r="C51" s="78"/>
      <c r="D51" s="85">
        <f>SUM(D52:D57)</f>
        <v>0</v>
      </c>
      <c r="E51" s="85">
        <f>SUM(E52:E57)</f>
        <v>0</v>
      </c>
    </row>
    <row r="52" spans="1:5">
      <c r="A52" s="97"/>
      <c r="B52" s="94" t="s">
        <v>225</v>
      </c>
    </row>
    <row r="53" spans="1:5">
      <c r="B53" t="s">
        <v>226</v>
      </c>
    </row>
    <row r="54" spans="1:5">
      <c r="B54" t="s">
        <v>227</v>
      </c>
    </row>
    <row r="55" spans="1:5">
      <c r="B55" t="s">
        <v>228</v>
      </c>
    </row>
    <row r="56" spans="1:5">
      <c r="B56" t="s">
        <v>229</v>
      </c>
    </row>
    <row r="57" spans="1:5">
      <c r="B57" t="s">
        <v>230</v>
      </c>
      <c r="C57" s="94"/>
    </row>
    <row r="58" spans="1:5">
      <c r="C58" s="94"/>
    </row>
    <row r="60" spans="1:5">
      <c r="B60" s="13"/>
    </row>
    <row r="61" spans="1:5">
      <c r="B61" s="102"/>
    </row>
    <row r="62" spans="1:5">
      <c r="A62" s="78"/>
      <c r="B62" s="77" t="s">
        <v>231</v>
      </c>
      <c r="C62" s="78"/>
      <c r="E62" s="85">
        <f>SUM(E63:E74)</f>
        <v>-1797.26</v>
      </c>
    </row>
    <row r="64" spans="1:5">
      <c r="A64" s="20">
        <v>45373</v>
      </c>
      <c r="B64" t="s">
        <v>232</v>
      </c>
      <c r="C64">
        <v>10176.39</v>
      </c>
      <c r="D64" s="85" t="s">
        <v>233</v>
      </c>
      <c r="E64" s="85">
        <v>-1130.71</v>
      </c>
    </row>
    <row r="65" spans="1:5">
      <c r="A65" s="20">
        <v>45375</v>
      </c>
      <c r="B65" t="s">
        <v>234</v>
      </c>
      <c r="C65">
        <v>5999</v>
      </c>
      <c r="D65" s="85" t="s">
        <v>233</v>
      </c>
      <c r="E65" s="85">
        <v>-666.55</v>
      </c>
    </row>
    <row r="66" spans="1:5">
      <c r="A66" s="20"/>
    </row>
    <row r="67" spans="1:5">
      <c r="A67" s="20"/>
    </row>
    <row r="69" spans="1:5">
      <c r="A69" s="97"/>
      <c r="B69" s="94"/>
      <c r="C69" s="94"/>
    </row>
    <row r="70" spans="1:5">
      <c r="A70" s="97"/>
      <c r="B70" s="94"/>
      <c r="C70" s="94"/>
    </row>
    <row r="71" spans="1:5">
      <c r="A71" s="97"/>
      <c r="B71" s="103"/>
      <c r="C71" s="94"/>
    </row>
    <row r="72" spans="1:5">
      <c r="A72" s="97"/>
      <c r="B72" s="103"/>
      <c r="C72" s="94"/>
    </row>
    <row r="73" spans="1:5">
      <c r="A73" s="97"/>
      <c r="B73" s="103"/>
    </row>
    <row r="74" spans="1:5">
      <c r="A74" s="97"/>
      <c r="B74" s="103"/>
      <c r="C74" s="94"/>
    </row>
    <row r="75" spans="1:5">
      <c r="A75" s="97"/>
      <c r="B75" s="3"/>
    </row>
    <row r="76" spans="1:5">
      <c r="A76" s="97"/>
      <c r="B76" s="94"/>
      <c r="C76" s="94"/>
    </row>
    <row r="77" spans="1:5">
      <c r="A77" s="78"/>
      <c r="B77" s="77" t="s">
        <v>235</v>
      </c>
      <c r="C77" s="78"/>
      <c r="E77" s="85">
        <f>SUM(E78:E86)</f>
        <v>0</v>
      </c>
    </row>
    <row r="78" spans="1:5">
      <c r="A78" s="97"/>
      <c r="B78" s="94"/>
      <c r="C78" s="94"/>
    </row>
    <row r="79" spans="1:5">
      <c r="A79" s="97"/>
      <c r="B79" s="94"/>
      <c r="C79" s="94"/>
    </row>
    <row r="80" spans="1:5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3">
      <c r="A97" s="97"/>
      <c r="B97" s="3"/>
      <c r="C97" s="94"/>
    </row>
    <row r="98" spans="1:3">
      <c r="A98" s="97"/>
      <c r="B98" s="3"/>
      <c r="C98" s="94"/>
    </row>
    <row r="99" spans="1:3">
      <c r="A99" s="97"/>
      <c r="B99" s="3"/>
      <c r="C99" s="94"/>
    </row>
    <row r="100" spans="1:3">
      <c r="A100" s="97"/>
      <c r="B100" s="3"/>
      <c r="C100" s="94"/>
    </row>
    <row r="101" spans="1:3">
      <c r="A101" s="97"/>
      <c r="B101" s="3"/>
      <c r="C101" s="94"/>
    </row>
    <row r="102" spans="1:3">
      <c r="A102" s="97"/>
      <c r="B102" s="3"/>
      <c r="C102" s="94"/>
    </row>
    <row r="103" spans="1:3">
      <c r="A103" s="97"/>
      <c r="B103" s="3"/>
      <c r="C103" s="94"/>
    </row>
    <row r="104" spans="1:3">
      <c r="A104" s="97"/>
      <c r="B104" s="3"/>
      <c r="C104" s="94"/>
    </row>
    <row r="105" spans="1:3">
      <c r="A105" s="97"/>
      <c r="B105" s="3"/>
      <c r="C105" s="94"/>
    </row>
    <row r="106" spans="1:3">
      <c r="A106" s="97"/>
      <c r="B106" s="3"/>
      <c r="C106" s="94"/>
    </row>
    <row r="107" spans="1:3">
      <c r="A107" s="97"/>
      <c r="B107" s="3"/>
      <c r="C107" s="94"/>
    </row>
    <row r="108" spans="1:3">
      <c r="A108" s="97"/>
      <c r="B108" s="3"/>
      <c r="C108" s="94"/>
    </row>
    <row r="117" spans="1:5">
      <c r="A117" s="78"/>
      <c r="B117" s="77" t="s">
        <v>236</v>
      </c>
      <c r="C117" s="78"/>
      <c r="E117" s="85">
        <f>SUM(E118:E125)</f>
        <v>0</v>
      </c>
    </row>
    <row r="118" spans="1:5">
      <c r="A118" s="97"/>
      <c r="B118" t="s">
        <v>84</v>
      </c>
    </row>
    <row r="119" spans="1:5">
      <c r="A119" s="97"/>
      <c r="B119" t="s">
        <v>172</v>
      </c>
    </row>
    <row r="120" spans="1:5">
      <c r="A120" s="97"/>
      <c r="B120" t="s">
        <v>173</v>
      </c>
    </row>
    <row r="121" spans="1:5">
      <c r="A121" s="97"/>
      <c r="B121" t="s">
        <v>174</v>
      </c>
    </row>
    <row r="122" spans="1:5">
      <c r="A122" s="97"/>
      <c r="B122" t="s">
        <v>237</v>
      </c>
      <c r="D122" s="85">
        <v>111</v>
      </c>
      <c r="E122" s="85">
        <f>D122*C122</f>
        <v>0</v>
      </c>
    </row>
    <row r="123" spans="1:5">
      <c r="A123" s="97"/>
      <c r="B123" t="s">
        <v>238</v>
      </c>
      <c r="D123" s="85">
        <v>850</v>
      </c>
      <c r="E123" s="85">
        <f>D123*C123</f>
        <v>0</v>
      </c>
    </row>
    <row r="124" spans="1:5">
      <c r="A124" s="97"/>
      <c r="B124" t="s">
        <v>239</v>
      </c>
      <c r="D124" s="85">
        <v>100</v>
      </c>
      <c r="E124" s="85">
        <f>D124*C124</f>
        <v>0</v>
      </c>
    </row>
    <row r="125" spans="1:5">
      <c r="A125" s="97"/>
      <c r="B125" t="s">
        <v>240</v>
      </c>
    </row>
    <row r="126" spans="1:5">
      <c r="B126" t="s">
        <v>241</v>
      </c>
      <c r="E126" s="85">
        <f>H2</f>
        <v>0</v>
      </c>
    </row>
    <row r="128" spans="1:5">
      <c r="D128" s="85" t="s">
        <v>189</v>
      </c>
      <c r="E128" s="85">
        <f>SUM(E118:E127)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21"/>
  <sheetViews>
    <sheetView topLeftCell="A7" zoomScale="145" zoomScaleNormal="145" workbookViewId="0">
      <selection activeCell="H23" sqref="H23:H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1489</v>
      </c>
      <c r="C2" s="87" t="s">
        <v>191</v>
      </c>
      <c r="D2" s="85">
        <f>SUM(D4:D39)</f>
        <v>277984.15000000002</v>
      </c>
      <c r="E2" s="85">
        <f>SUM(E4:E39)</f>
        <v>-182427.39</v>
      </c>
      <c r="F2" s="85">
        <f>SUM(F4:F39)</f>
        <v>0</v>
      </c>
      <c r="G2" s="85">
        <f>SUM(G4:G39)</f>
        <v>-130797.89</v>
      </c>
      <c r="H2" s="85">
        <f>F2+G2</f>
        <v>-130797.89</v>
      </c>
    </row>
    <row r="3" spans="1:8">
      <c r="B3" s="70"/>
    </row>
    <row r="4" spans="1:8">
      <c r="B4" s="346"/>
      <c r="C4" s="346"/>
      <c r="D4" s="347"/>
      <c r="E4" s="347">
        <v>0</v>
      </c>
      <c r="H4" s="85">
        <f>H3+F4+G4</f>
        <v>0</v>
      </c>
    </row>
    <row r="5" spans="1:8">
      <c r="B5" s="346"/>
      <c r="C5" s="346"/>
      <c r="D5" s="347"/>
      <c r="E5" s="347">
        <v>0</v>
      </c>
      <c r="H5" s="85">
        <f t="shared" ref="H5:H19" si="0">H4+F5+G5</f>
        <v>0</v>
      </c>
    </row>
    <row r="6" spans="1:8">
      <c r="B6" s="88" t="s">
        <v>242</v>
      </c>
      <c r="C6" s="88" t="s">
        <v>197</v>
      </c>
      <c r="D6" s="347"/>
      <c r="E6" s="347">
        <v>-250</v>
      </c>
      <c r="H6" s="85">
        <f t="shared" si="0"/>
        <v>0</v>
      </c>
    </row>
    <row r="7" spans="1:8">
      <c r="A7" s="96">
        <v>45596</v>
      </c>
      <c r="B7" s="104" t="s">
        <v>214</v>
      </c>
      <c r="C7" s="346"/>
      <c r="D7" s="347"/>
      <c r="E7" s="347">
        <f>E70</f>
        <v>-129000.63</v>
      </c>
      <c r="F7" s="347"/>
      <c r="G7" s="347">
        <v>-129000.63</v>
      </c>
      <c r="H7" s="347">
        <f t="shared" si="0"/>
        <v>-129000.63</v>
      </c>
    </row>
    <row r="8" spans="1:8">
      <c r="A8" s="96"/>
      <c r="B8" s="88" t="s">
        <v>216</v>
      </c>
      <c r="H8" s="347">
        <f t="shared" si="0"/>
        <v>-129000.63</v>
      </c>
    </row>
    <row r="9" spans="1:8">
      <c r="A9" s="335">
        <v>45569</v>
      </c>
      <c r="B9" s="95" t="s">
        <v>213</v>
      </c>
      <c r="E9" s="85">
        <f>E55</f>
        <v>-1797.26</v>
      </c>
      <c r="G9" s="85">
        <v>-1797.26</v>
      </c>
      <c r="H9" s="347">
        <f t="shared" si="0"/>
        <v>-130797.89</v>
      </c>
    </row>
    <row r="10" spans="1:8">
      <c r="B10" s="104" t="s">
        <v>212</v>
      </c>
      <c r="C10" s="346"/>
      <c r="D10" s="347"/>
      <c r="E10" s="347">
        <f>E50*-1</f>
        <v>0</v>
      </c>
      <c r="H10" s="85">
        <f t="shared" si="0"/>
        <v>-130797.89</v>
      </c>
    </row>
    <row r="11" spans="1:8">
      <c r="A11" s="335">
        <v>45603</v>
      </c>
      <c r="B11" s="88" t="s">
        <v>243</v>
      </c>
      <c r="C11" s="88"/>
      <c r="E11" s="347">
        <v>-17500</v>
      </c>
      <c r="H11" s="85">
        <f t="shared" si="0"/>
        <v>-130797.89</v>
      </c>
    </row>
    <row r="12" spans="1:8">
      <c r="C12" s="88"/>
      <c r="H12" s="85">
        <f t="shared" si="0"/>
        <v>-130797.89</v>
      </c>
    </row>
    <row r="13" spans="1:8">
      <c r="C13" s="88"/>
      <c r="H13" s="85">
        <f t="shared" si="0"/>
        <v>-130797.89</v>
      </c>
    </row>
    <row r="14" spans="1:8">
      <c r="B14" s="88" t="s">
        <v>194</v>
      </c>
      <c r="C14" s="88"/>
      <c r="E14" s="85">
        <v>-400</v>
      </c>
      <c r="H14" s="85">
        <f t="shared" si="0"/>
        <v>-130797.89</v>
      </c>
    </row>
    <row r="15" spans="1:8">
      <c r="B15" s="88" t="s">
        <v>195</v>
      </c>
      <c r="C15" s="88"/>
      <c r="E15" s="85">
        <v>-500</v>
      </c>
      <c r="H15" s="85">
        <f t="shared" si="0"/>
        <v>-130797.89</v>
      </c>
    </row>
    <row r="16" spans="1:8">
      <c r="H16" s="85">
        <f t="shared" si="0"/>
        <v>-130797.89</v>
      </c>
    </row>
    <row r="17" spans="1:8">
      <c r="B17" s="88"/>
      <c r="C17" s="88"/>
      <c r="H17" s="85">
        <f t="shared" si="0"/>
        <v>-130797.89</v>
      </c>
    </row>
    <row r="18" spans="1:8">
      <c r="B18" s="88" t="s">
        <v>208</v>
      </c>
      <c r="C18" s="88" t="s">
        <v>209</v>
      </c>
      <c r="E18" s="85">
        <v>-150</v>
      </c>
      <c r="H18" s="85">
        <f t="shared" si="0"/>
        <v>-130797.89</v>
      </c>
    </row>
    <row r="19" spans="1:8">
      <c r="B19" s="94" t="s">
        <v>210</v>
      </c>
      <c r="C19" s="94" t="s">
        <v>209</v>
      </c>
      <c r="E19" s="85">
        <v>-300</v>
      </c>
      <c r="H19" s="85">
        <f t="shared" si="0"/>
        <v>-130797.89</v>
      </c>
    </row>
    <row r="20" spans="1:8">
      <c r="B20" s="94" t="s">
        <v>211</v>
      </c>
      <c r="C20" s="94" t="s">
        <v>209</v>
      </c>
      <c r="E20" s="85">
        <v>-100</v>
      </c>
      <c r="H20" s="85">
        <f t="shared" ref="H20:H37" si="1">H19+F20+G20</f>
        <v>-130797.89</v>
      </c>
    </row>
    <row r="21" spans="1:8">
      <c r="B21" s="88"/>
      <c r="C21" s="88"/>
      <c r="H21" s="85">
        <f t="shared" si="1"/>
        <v>-130797.89</v>
      </c>
    </row>
    <row r="22" spans="1:8">
      <c r="H22" s="85">
        <f t="shared" si="1"/>
        <v>-130797.89</v>
      </c>
    </row>
    <row r="23" spans="1:8">
      <c r="E23" s="85">
        <v>7</v>
      </c>
      <c r="H23" s="85">
        <f t="shared" si="1"/>
        <v>-130797.89</v>
      </c>
    </row>
    <row r="24" spans="1:8">
      <c r="A24" s="335">
        <v>45625</v>
      </c>
      <c r="B24" t="s">
        <v>1450</v>
      </c>
      <c r="C24" t="s">
        <v>1457</v>
      </c>
      <c r="E24" s="85">
        <v>-1380</v>
      </c>
      <c r="H24" s="85">
        <f t="shared" si="1"/>
        <v>-130797.89</v>
      </c>
    </row>
    <row r="25" spans="1:8">
      <c r="A25" s="335">
        <v>45626</v>
      </c>
      <c r="B25" s="88" t="s">
        <v>1459</v>
      </c>
      <c r="E25" s="85">
        <v>-1415</v>
      </c>
      <c r="H25" s="85">
        <f t="shared" si="1"/>
        <v>-130797.89</v>
      </c>
    </row>
    <row r="26" spans="1:8">
      <c r="A26" s="335">
        <v>45626</v>
      </c>
      <c r="B26" s="88" t="s">
        <v>1460</v>
      </c>
      <c r="E26" s="85">
        <v>-141.5</v>
      </c>
      <c r="H26" s="85">
        <f t="shared" si="1"/>
        <v>-130797.89</v>
      </c>
    </row>
    <row r="27" spans="1:8">
      <c r="H27" s="85">
        <f t="shared" si="1"/>
        <v>-130797.89</v>
      </c>
    </row>
    <row r="28" spans="1:8">
      <c r="B28" t="s">
        <v>84</v>
      </c>
      <c r="H28" s="85">
        <f t="shared" si="1"/>
        <v>-130797.89</v>
      </c>
    </row>
    <row r="29" spans="1:8">
      <c r="B29" t="s">
        <v>84</v>
      </c>
      <c r="E29" s="85">
        <v>-6500</v>
      </c>
      <c r="H29" s="85">
        <f t="shared" si="1"/>
        <v>-130797.89</v>
      </c>
    </row>
    <row r="30" spans="1:8">
      <c r="B30" t="s">
        <v>172</v>
      </c>
      <c r="E30" s="85">
        <v>-6500</v>
      </c>
      <c r="H30" s="85">
        <f t="shared" si="1"/>
        <v>-130797.89</v>
      </c>
    </row>
    <row r="31" spans="1:8">
      <c r="B31" t="s">
        <v>217</v>
      </c>
      <c r="E31" s="85">
        <v>-6500</v>
      </c>
      <c r="H31" s="85">
        <f t="shared" si="1"/>
        <v>-130797.89</v>
      </c>
    </row>
    <row r="32" spans="1:8">
      <c r="H32" s="85">
        <f t="shared" si="1"/>
        <v>-130797.89</v>
      </c>
    </row>
    <row r="33" spans="1:8">
      <c r="B33" t="s">
        <v>218</v>
      </c>
      <c r="D33" s="86">
        <v>12984.15</v>
      </c>
      <c r="H33" s="85">
        <f t="shared" si="1"/>
        <v>-130797.89</v>
      </c>
    </row>
    <row r="34" spans="1:8">
      <c r="A34" s="97"/>
      <c r="B34" t="s">
        <v>219</v>
      </c>
      <c r="H34" s="85">
        <f t="shared" si="1"/>
        <v>-130797.89</v>
      </c>
    </row>
    <row r="35" spans="1:8">
      <c r="A35" s="97"/>
      <c r="B35" t="s">
        <v>244</v>
      </c>
      <c r="D35" s="85">
        <v>15000</v>
      </c>
      <c r="H35" s="85">
        <f t="shared" si="1"/>
        <v>-130797.89</v>
      </c>
    </row>
    <row r="36" spans="1:8">
      <c r="A36" s="97"/>
      <c r="B36" s="43" t="s">
        <v>1496</v>
      </c>
      <c r="H36" s="85">
        <f t="shared" si="1"/>
        <v>-130797.89</v>
      </c>
    </row>
    <row r="37" spans="1:8">
      <c r="B37" t="s">
        <v>245</v>
      </c>
      <c r="C37" s="98">
        <v>0.234011</v>
      </c>
      <c r="D37" s="85">
        <v>250000</v>
      </c>
      <c r="H37" s="85">
        <f t="shared" si="1"/>
        <v>-130797.89</v>
      </c>
    </row>
    <row r="38" spans="1:8">
      <c r="B38" t="s">
        <v>193</v>
      </c>
      <c r="E38" s="85">
        <v>-10000</v>
      </c>
    </row>
    <row r="39" spans="1:8" ht="15.75">
      <c r="B39" s="99"/>
    </row>
    <row r="41" spans="1:8">
      <c r="B41" t="s">
        <v>222</v>
      </c>
    </row>
    <row r="42" spans="1:8">
      <c r="A42" s="78" t="s">
        <v>223</v>
      </c>
      <c r="B42" s="78"/>
      <c r="C42" s="78"/>
    </row>
    <row r="43" spans="1:8">
      <c r="A43" s="97"/>
      <c r="C43" s="98"/>
    </row>
    <row r="44" spans="1:8">
      <c r="A44" s="100">
        <v>44929</v>
      </c>
      <c r="B44" s="101" t="s">
        <v>224</v>
      </c>
      <c r="C44" s="78"/>
      <c r="D44" s="85">
        <f>SUM(D45:D50)</f>
        <v>0</v>
      </c>
      <c r="E44" s="85">
        <f>SUM(E45:E50)</f>
        <v>0</v>
      </c>
    </row>
    <row r="45" spans="1:8">
      <c r="A45" s="97"/>
      <c r="B45" s="94" t="s">
        <v>225</v>
      </c>
    </row>
    <row r="46" spans="1:8">
      <c r="B46" t="s">
        <v>226</v>
      </c>
    </row>
    <row r="47" spans="1:8">
      <c r="B47" t="s">
        <v>227</v>
      </c>
    </row>
    <row r="48" spans="1:8">
      <c r="B48" t="s">
        <v>228</v>
      </c>
    </row>
    <row r="49" spans="1:5">
      <c r="B49" t="s">
        <v>229</v>
      </c>
    </row>
    <row r="50" spans="1:5">
      <c r="B50" t="s">
        <v>230</v>
      </c>
      <c r="C50" s="94"/>
    </row>
    <row r="51" spans="1:5">
      <c r="C51" s="94"/>
    </row>
    <row r="53" spans="1:5">
      <c r="B53" s="13"/>
    </row>
    <row r="54" spans="1:5">
      <c r="B54" s="102"/>
    </row>
    <row r="55" spans="1:5">
      <c r="A55" s="78"/>
      <c r="B55" s="77" t="s">
        <v>231</v>
      </c>
      <c r="C55" s="78"/>
      <c r="E55" s="85">
        <f>SUM(E56:E67)</f>
        <v>-1797.26</v>
      </c>
    </row>
    <row r="57" spans="1:5">
      <c r="A57" s="20">
        <v>45373</v>
      </c>
      <c r="B57" t="s">
        <v>232</v>
      </c>
      <c r="C57">
        <v>10176.39</v>
      </c>
      <c r="D57" s="85" t="s">
        <v>246</v>
      </c>
      <c r="E57" s="85">
        <v>-1130.71</v>
      </c>
    </row>
    <row r="58" spans="1:5">
      <c r="A58" s="20">
        <v>45375</v>
      </c>
      <c r="B58" t="s">
        <v>234</v>
      </c>
      <c r="C58">
        <v>5999</v>
      </c>
      <c r="D58" s="85" t="s">
        <v>247</v>
      </c>
      <c r="E58" s="85">
        <v>-666.55</v>
      </c>
    </row>
    <row r="59" spans="1:5">
      <c r="A59" s="20"/>
    </row>
    <row r="60" spans="1:5" ht="15">
      <c r="D60" s="108" t="s">
        <v>285</v>
      </c>
    </row>
    <row r="62" spans="1:5">
      <c r="A62" s="97"/>
      <c r="B62" s="94"/>
      <c r="C62" s="94"/>
    </row>
    <row r="63" spans="1:5">
      <c r="A63" s="97"/>
      <c r="B63" s="94"/>
      <c r="C63" s="94"/>
    </row>
    <row r="64" spans="1:5">
      <c r="A64" s="97"/>
      <c r="B64" s="103"/>
      <c r="C64" s="94"/>
    </row>
    <row r="65" spans="1:5">
      <c r="A65" s="97"/>
      <c r="B65" s="103"/>
      <c r="C65" s="94"/>
    </row>
    <row r="66" spans="1:5">
      <c r="A66" s="97"/>
      <c r="B66" s="103"/>
    </row>
    <row r="67" spans="1:5">
      <c r="A67" s="97"/>
      <c r="B67" s="103"/>
      <c r="C67" s="94"/>
    </row>
    <row r="68" spans="1:5">
      <c r="A68" s="97"/>
      <c r="B68" s="3"/>
    </row>
    <row r="69" spans="1:5">
      <c r="A69" s="97"/>
      <c r="B69" s="94"/>
      <c r="C69" s="94"/>
    </row>
    <row r="70" spans="1:5">
      <c r="A70" s="78"/>
      <c r="B70" s="77" t="s">
        <v>235</v>
      </c>
      <c r="C70" s="78"/>
      <c r="E70" s="85">
        <f>SUM(E71:E102)</f>
        <v>-129000.63</v>
      </c>
    </row>
    <row r="71" spans="1:5">
      <c r="A71" s="97"/>
      <c r="B71" s="94"/>
      <c r="C71" s="94"/>
    </row>
    <row r="72" spans="1:5">
      <c r="A72" s="97">
        <v>45560</v>
      </c>
      <c r="B72" s="94" t="s">
        <v>250</v>
      </c>
      <c r="C72" s="94"/>
      <c r="E72" s="85">
        <v>-118966.5</v>
      </c>
    </row>
    <row r="73" spans="1:5">
      <c r="A73" s="97"/>
      <c r="B73" s="94" t="s">
        <v>250</v>
      </c>
      <c r="C73" s="94"/>
      <c r="E73" s="85">
        <v>-277.72000000000003</v>
      </c>
    </row>
    <row r="74" spans="1:5">
      <c r="A74" s="97"/>
      <c r="B74" s="3" t="s">
        <v>1497</v>
      </c>
      <c r="C74" s="94"/>
      <c r="E74" s="85">
        <v>-1398.6</v>
      </c>
    </row>
    <row r="75" spans="1:5">
      <c r="A75" s="97"/>
      <c r="B75" s="3" t="s">
        <v>1498</v>
      </c>
      <c r="C75" s="94"/>
      <c r="E75" s="85">
        <v>-1855</v>
      </c>
    </row>
    <row r="76" spans="1:5">
      <c r="A76" s="97"/>
      <c r="B76" s="3"/>
      <c r="C76" s="94"/>
    </row>
    <row r="77" spans="1:5">
      <c r="A77" s="97"/>
      <c r="B77" s="3" t="s">
        <v>1499</v>
      </c>
      <c r="C77" s="94"/>
      <c r="E77" s="85">
        <v>-480</v>
      </c>
    </row>
    <row r="78" spans="1:5">
      <c r="A78" s="97"/>
      <c r="B78" s="3" t="s">
        <v>1500</v>
      </c>
      <c r="C78" s="94"/>
      <c r="E78" s="85">
        <v>-147.80000000000001</v>
      </c>
    </row>
    <row r="79" spans="1:5">
      <c r="A79" s="97"/>
      <c r="B79" s="3" t="s">
        <v>1500</v>
      </c>
      <c r="C79" s="94">
        <v>17.59</v>
      </c>
      <c r="E79" s="85">
        <v>-17.59</v>
      </c>
    </row>
    <row r="80" spans="1:5">
      <c r="A80" s="97"/>
      <c r="B80" s="3" t="s">
        <v>1501</v>
      </c>
      <c r="C80" s="94">
        <v>330</v>
      </c>
      <c r="E80" s="85">
        <v>-330</v>
      </c>
    </row>
    <row r="81" spans="1:5">
      <c r="A81" s="97"/>
      <c r="B81" s="3" t="s">
        <v>1502</v>
      </c>
      <c r="C81" s="94">
        <v>-130</v>
      </c>
      <c r="E81" s="85">
        <v>-130</v>
      </c>
    </row>
    <row r="82" spans="1:5">
      <c r="A82" s="97"/>
      <c r="B82" s="3" t="s">
        <v>97</v>
      </c>
      <c r="C82" s="94"/>
      <c r="D82" s="85">
        <v>71389.3</v>
      </c>
    </row>
    <row r="83" spans="1:5">
      <c r="A83" s="97"/>
      <c r="B83" s="3" t="s">
        <v>1503</v>
      </c>
      <c r="C83" s="94"/>
      <c r="E83" s="85">
        <v>-140</v>
      </c>
    </row>
    <row r="84" spans="1:5">
      <c r="A84" s="97"/>
      <c r="B84" s="3" t="s">
        <v>1501</v>
      </c>
      <c r="C84" s="94">
        <v>750</v>
      </c>
      <c r="E84" s="85">
        <v>-750</v>
      </c>
    </row>
    <row r="85" spans="1:5">
      <c r="A85" s="97"/>
      <c r="B85" s="3" t="s">
        <v>1500</v>
      </c>
      <c r="C85" s="94"/>
      <c r="E85" s="85">
        <v>-253.55</v>
      </c>
    </row>
    <row r="86" spans="1:5">
      <c r="A86" s="97"/>
      <c r="B86" s="3" t="s">
        <v>1504</v>
      </c>
      <c r="C86" s="94"/>
      <c r="E86" s="85">
        <v>-250</v>
      </c>
    </row>
    <row r="87" spans="1:5">
      <c r="A87" s="97"/>
      <c r="B87" s="3" t="s">
        <v>1505</v>
      </c>
      <c r="C87" s="94"/>
      <c r="E87" s="85">
        <v>-400</v>
      </c>
    </row>
    <row r="88" spans="1:5">
      <c r="A88" s="97"/>
      <c r="B88" s="3" t="s">
        <v>1505</v>
      </c>
      <c r="C88" s="94"/>
      <c r="E88" s="85">
        <v>-100</v>
      </c>
    </row>
    <row r="89" spans="1:5">
      <c r="A89" s="97"/>
      <c r="B89" s="3" t="s">
        <v>1500</v>
      </c>
      <c r="C89" s="94"/>
      <c r="E89" s="85">
        <v>-68.5</v>
      </c>
    </row>
    <row r="90" spans="1:5">
      <c r="A90" s="97"/>
      <c r="B90" s="3" t="s">
        <v>1500</v>
      </c>
      <c r="C90" s="94">
        <v>43.13</v>
      </c>
      <c r="E90" s="85">
        <v>-43.13</v>
      </c>
    </row>
    <row r="91" spans="1:5">
      <c r="A91" s="97"/>
      <c r="B91" s="3" t="s">
        <v>1501</v>
      </c>
      <c r="C91" s="94">
        <v>235</v>
      </c>
      <c r="E91" s="85">
        <v>-235</v>
      </c>
    </row>
    <row r="92" spans="1:5">
      <c r="A92" s="97"/>
      <c r="B92" s="3" t="s">
        <v>1502</v>
      </c>
      <c r="C92" s="94">
        <v>375</v>
      </c>
      <c r="E92" s="85">
        <v>-375</v>
      </c>
    </row>
    <row r="93" spans="1:5">
      <c r="A93" s="97"/>
      <c r="B93" s="3" t="s">
        <v>1500</v>
      </c>
      <c r="C93" s="94">
        <v>79.84</v>
      </c>
      <c r="E93" s="85">
        <v>-79.84</v>
      </c>
    </row>
    <row r="94" spans="1:5">
      <c r="A94" s="97"/>
      <c r="B94" s="3" t="s">
        <v>1501</v>
      </c>
      <c r="C94" s="94">
        <v>235</v>
      </c>
      <c r="E94" s="85">
        <v>-235</v>
      </c>
    </row>
    <row r="95" spans="1:5">
      <c r="A95" s="97"/>
      <c r="B95" s="3" t="s">
        <v>1502</v>
      </c>
      <c r="C95" s="94">
        <v>210</v>
      </c>
      <c r="E95" s="85">
        <v>-210</v>
      </c>
    </row>
    <row r="96" spans="1:5">
      <c r="A96" s="97"/>
      <c r="B96" s="3" t="s">
        <v>1500</v>
      </c>
      <c r="C96" s="94"/>
      <c r="E96" s="85">
        <v>-112.3</v>
      </c>
    </row>
    <row r="97" spans="1:5">
      <c r="A97" s="97"/>
      <c r="B97" s="3" t="s">
        <v>1505</v>
      </c>
      <c r="C97" s="94"/>
      <c r="E97" s="85">
        <v>-230</v>
      </c>
    </row>
    <row r="98" spans="1:5">
      <c r="A98" s="97"/>
      <c r="B98" s="3" t="s">
        <v>1500</v>
      </c>
      <c r="C98" s="94"/>
      <c r="E98" s="85">
        <v>-187.2</v>
      </c>
    </row>
    <row r="99" spans="1:5">
      <c r="A99" s="97"/>
      <c r="B99" s="3" t="s">
        <v>1506</v>
      </c>
      <c r="C99" s="94">
        <v>1062.9000000000001</v>
      </c>
      <c r="E99" s="85">
        <v>-1062.9000000000001</v>
      </c>
    </row>
    <row r="100" spans="1:5">
      <c r="A100" s="97"/>
      <c r="B100" s="3" t="s">
        <v>1507</v>
      </c>
      <c r="C100" s="94"/>
      <c r="E100" s="85">
        <v>-240</v>
      </c>
    </row>
    <row r="101" spans="1:5">
      <c r="A101" s="97"/>
      <c r="B101" s="3" t="s">
        <v>1508</v>
      </c>
      <c r="C101" s="94"/>
      <c r="E101" s="85">
        <v>-280</v>
      </c>
    </row>
    <row r="102" spans="1:5">
      <c r="B102" s="3" t="s">
        <v>1502</v>
      </c>
      <c r="C102">
        <v>145</v>
      </c>
      <c r="E102" s="85">
        <v>-145</v>
      </c>
    </row>
    <row r="103" spans="1:5" ht="15">
      <c r="C103">
        <f>SUM(C78:C102)</f>
        <v>3353.4599999999996</v>
      </c>
      <c r="D103" s="108" t="s">
        <v>285</v>
      </c>
    </row>
    <row r="110" spans="1:5">
      <c r="A110" s="78"/>
      <c r="B110" s="77" t="s">
        <v>236</v>
      </c>
      <c r="C110" s="78"/>
      <c r="E110" s="85">
        <f>SUM(E111:E118)</f>
        <v>0</v>
      </c>
    </row>
    <row r="111" spans="1:5">
      <c r="A111" s="97"/>
      <c r="B111" t="s">
        <v>84</v>
      </c>
    </row>
    <row r="112" spans="1:5">
      <c r="A112" s="97"/>
      <c r="B112" t="s">
        <v>172</v>
      </c>
    </row>
    <row r="113" spans="1:5">
      <c r="A113" s="97"/>
      <c r="B113" t="s">
        <v>173</v>
      </c>
    </row>
    <row r="114" spans="1:5">
      <c r="A114" s="97"/>
      <c r="B114" t="s">
        <v>174</v>
      </c>
    </row>
    <row r="115" spans="1:5">
      <c r="A115" s="97"/>
      <c r="B115" t="s">
        <v>237</v>
      </c>
      <c r="D115" s="85">
        <v>111</v>
      </c>
      <c r="E115" s="85">
        <f>D115*C115</f>
        <v>0</v>
      </c>
    </row>
    <row r="116" spans="1:5">
      <c r="A116" s="97"/>
      <c r="B116" t="s">
        <v>238</v>
      </c>
      <c r="D116" s="85">
        <v>850</v>
      </c>
      <c r="E116" s="85">
        <f>D116*C116</f>
        <v>0</v>
      </c>
    </row>
    <row r="117" spans="1:5">
      <c r="A117" s="97"/>
      <c r="B117" t="s">
        <v>239</v>
      </c>
      <c r="D117" s="85">
        <v>100</v>
      </c>
      <c r="E117" s="85">
        <f>D117*C117</f>
        <v>0</v>
      </c>
    </row>
    <row r="118" spans="1:5">
      <c r="A118" s="97"/>
      <c r="B118" t="s">
        <v>240</v>
      </c>
    </row>
    <row r="119" spans="1:5">
      <c r="B119" t="s">
        <v>241</v>
      </c>
      <c r="E119" s="85">
        <f>H2</f>
        <v>-130797.89</v>
      </c>
    </row>
    <row r="121" spans="1:5">
      <c r="D121" s="85" t="s">
        <v>189</v>
      </c>
      <c r="E121" s="85">
        <f>SUM(E111:E120)</f>
        <v>-130797.89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H122"/>
  <sheetViews>
    <sheetView topLeftCell="A10" zoomScale="145" zoomScaleNormal="145" workbookViewId="0">
      <selection activeCell="E23" sqref="E2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1490</v>
      </c>
      <c r="C2" s="87" t="s">
        <v>191</v>
      </c>
      <c r="D2" s="85">
        <f>SUM(D4:D35)</f>
        <v>27984.15</v>
      </c>
      <c r="E2" s="85">
        <f>SUM(E4:E35)</f>
        <v>-126233.26999999999</v>
      </c>
      <c r="F2" s="85">
        <f>SUM(F4:F35)</f>
        <v>28006.379999999997</v>
      </c>
      <c r="G2" s="85">
        <f>SUM(G4:G35)</f>
        <v>-123041.29000000001</v>
      </c>
      <c r="H2" s="85">
        <f>F2+G2</f>
        <v>-95034.91</v>
      </c>
    </row>
    <row r="3" spans="1:8">
      <c r="B3" s="70"/>
    </row>
    <row r="4" spans="1:8">
      <c r="B4" s="43"/>
      <c r="H4" s="85">
        <f>H3+F4+G4</f>
        <v>0</v>
      </c>
    </row>
    <row r="5" spans="1:8">
      <c r="B5" s="88" t="s">
        <v>248</v>
      </c>
      <c r="C5" s="88" t="s">
        <v>197</v>
      </c>
      <c r="D5" s="86"/>
      <c r="E5" s="86">
        <v>-250</v>
      </c>
      <c r="F5" s="86"/>
      <c r="G5" s="86"/>
      <c r="H5" s="85">
        <f t="shared" ref="H5:H25" si="0">H4+F5+G5</f>
        <v>0</v>
      </c>
    </row>
    <row r="6" spans="1:8">
      <c r="A6" s="335">
        <v>45568</v>
      </c>
      <c r="B6" s="88" t="s">
        <v>216</v>
      </c>
      <c r="C6" s="88"/>
      <c r="D6" s="86"/>
      <c r="E6" s="86">
        <v>-1500</v>
      </c>
      <c r="F6" s="86"/>
      <c r="G6" s="86">
        <v>-1513.12</v>
      </c>
      <c r="H6" s="85">
        <f t="shared" si="0"/>
        <v>-1513.12</v>
      </c>
    </row>
    <row r="7" spans="1:8">
      <c r="A7" s="96">
        <v>45569</v>
      </c>
      <c r="B7" s="104" t="s">
        <v>214</v>
      </c>
      <c r="D7" s="86"/>
      <c r="E7" s="86">
        <f>E66</f>
        <v>-71389.3</v>
      </c>
      <c r="F7" s="86"/>
      <c r="G7" s="86">
        <v>-71389.3</v>
      </c>
      <c r="H7" s="85">
        <f t="shared" si="0"/>
        <v>-72902.42</v>
      </c>
    </row>
    <row r="8" spans="1:8">
      <c r="A8" s="335">
        <v>45572</v>
      </c>
      <c r="B8" s="104" t="s">
        <v>213</v>
      </c>
      <c r="D8" s="86"/>
      <c r="E8" s="86">
        <f>E51</f>
        <v>-3066.5699999999997</v>
      </c>
      <c r="F8" s="86"/>
      <c r="G8" s="86">
        <v>-3066.57</v>
      </c>
      <c r="H8" s="85">
        <f t="shared" si="0"/>
        <v>-75968.990000000005</v>
      </c>
    </row>
    <row r="9" spans="1:8">
      <c r="B9" s="104" t="s">
        <v>212</v>
      </c>
      <c r="D9" s="86"/>
      <c r="E9" s="86">
        <f>E46*-1</f>
        <v>0</v>
      </c>
      <c r="F9" s="86"/>
      <c r="G9" s="86">
        <v>0</v>
      </c>
      <c r="H9" s="85">
        <f t="shared" si="0"/>
        <v>-75968.990000000005</v>
      </c>
    </row>
    <row r="10" spans="1:8">
      <c r="A10" s="335">
        <v>45573</v>
      </c>
      <c r="B10" s="88" t="s">
        <v>249</v>
      </c>
      <c r="C10" s="88"/>
      <c r="D10" s="86"/>
      <c r="E10" s="86">
        <v>-17500</v>
      </c>
      <c r="F10" s="86"/>
      <c r="G10" s="86">
        <v>-17500</v>
      </c>
      <c r="H10" s="85">
        <f t="shared" si="0"/>
        <v>-93468.99</v>
      </c>
    </row>
    <row r="11" spans="1:8">
      <c r="A11" s="335">
        <v>45573</v>
      </c>
      <c r="B11" s="88" t="s">
        <v>1487</v>
      </c>
      <c r="C11" s="88"/>
      <c r="D11" s="86"/>
      <c r="E11" s="86"/>
      <c r="F11" s="86"/>
      <c r="G11" s="86">
        <v>-7080.3</v>
      </c>
      <c r="H11" s="85">
        <f t="shared" si="0"/>
        <v>-100549.29000000001</v>
      </c>
    </row>
    <row r="12" spans="1:8">
      <c r="A12" s="335">
        <v>45574</v>
      </c>
      <c r="B12" s="339" t="s">
        <v>255</v>
      </c>
      <c r="C12" s="88" t="s">
        <v>895</v>
      </c>
      <c r="E12" s="86"/>
      <c r="F12" s="86">
        <v>15000</v>
      </c>
      <c r="H12" s="85">
        <f t="shared" si="0"/>
        <v>-85549.290000000008</v>
      </c>
    </row>
    <row r="13" spans="1:8">
      <c r="B13" s="88"/>
      <c r="C13" s="88"/>
      <c r="E13" s="86"/>
      <c r="H13" s="85">
        <f t="shared" si="0"/>
        <v>-85549.290000000008</v>
      </c>
    </row>
    <row r="14" spans="1:8">
      <c r="B14" s="88"/>
      <c r="C14" s="88"/>
      <c r="E14" s="86"/>
      <c r="H14" s="85">
        <f t="shared" si="0"/>
        <v>-85549.290000000008</v>
      </c>
    </row>
    <row r="15" spans="1:8">
      <c r="A15" s="335">
        <v>45595</v>
      </c>
      <c r="B15" s="88" t="s">
        <v>194</v>
      </c>
      <c r="C15" s="88"/>
      <c r="D15" s="86"/>
      <c r="E15" s="86">
        <v>-400</v>
      </c>
      <c r="F15" s="86"/>
      <c r="G15" s="86">
        <v>-435</v>
      </c>
      <c r="H15" s="85">
        <f t="shared" si="0"/>
        <v>-85984.290000000008</v>
      </c>
    </row>
    <row r="16" spans="1:8">
      <c r="A16" s="335">
        <v>45595</v>
      </c>
      <c r="B16" s="88" t="s">
        <v>195</v>
      </c>
      <c r="C16" s="88"/>
      <c r="D16" s="86"/>
      <c r="E16" s="86">
        <v>-500</v>
      </c>
      <c r="F16" s="86"/>
      <c r="G16" s="86">
        <v>-785</v>
      </c>
      <c r="H16" s="85">
        <f t="shared" si="0"/>
        <v>-86769.290000000008</v>
      </c>
    </row>
    <row r="17" spans="1:8">
      <c r="A17" s="335">
        <v>45579</v>
      </c>
      <c r="B17" s="88" t="s">
        <v>1495</v>
      </c>
      <c r="D17" s="86"/>
      <c r="E17" s="86"/>
      <c r="F17" s="86"/>
      <c r="G17" s="86">
        <v>-65</v>
      </c>
      <c r="H17" s="85">
        <f t="shared" si="0"/>
        <v>-86834.290000000008</v>
      </c>
    </row>
    <row r="18" spans="1:8">
      <c r="B18" s="88" t="s">
        <v>208</v>
      </c>
      <c r="C18" s="88" t="s">
        <v>209</v>
      </c>
      <c r="D18" s="86"/>
      <c r="E18" s="86">
        <v>-150</v>
      </c>
      <c r="F18" s="86"/>
      <c r="G18" s="86"/>
      <c r="H18" s="85">
        <f t="shared" si="0"/>
        <v>-86834.290000000008</v>
      </c>
    </row>
    <row r="19" spans="1:8">
      <c r="A19" s="335">
        <v>45582</v>
      </c>
      <c r="B19" s="94" t="s">
        <v>210</v>
      </c>
      <c r="C19" s="94" t="s">
        <v>209</v>
      </c>
      <c r="D19" s="86"/>
      <c r="E19" s="86">
        <v>-300</v>
      </c>
      <c r="F19" s="86"/>
      <c r="G19" s="86">
        <v>-78</v>
      </c>
      <c r="H19" s="85">
        <f t="shared" si="0"/>
        <v>-86912.290000000008</v>
      </c>
    </row>
    <row r="20" spans="1:8">
      <c r="A20" s="335">
        <v>45582</v>
      </c>
      <c r="B20" s="94" t="s">
        <v>211</v>
      </c>
      <c r="C20" s="94" t="s">
        <v>209</v>
      </c>
      <c r="D20" s="86"/>
      <c r="E20" s="86">
        <v>-100</v>
      </c>
      <c r="F20" s="86"/>
      <c r="G20" s="86">
        <v>-43</v>
      </c>
      <c r="H20" s="85">
        <f t="shared" si="0"/>
        <v>-86955.290000000008</v>
      </c>
    </row>
    <row r="21" spans="1:8">
      <c r="B21" s="88"/>
      <c r="C21" s="88"/>
      <c r="D21" s="86"/>
      <c r="E21" s="86"/>
      <c r="F21" s="86"/>
      <c r="G21" s="86"/>
      <c r="H21" s="85">
        <f t="shared" si="0"/>
        <v>-86955.290000000008</v>
      </c>
    </row>
    <row r="22" spans="1:8">
      <c r="B22" t="s">
        <v>1509</v>
      </c>
      <c r="C22" s="86"/>
      <c r="E22" s="86"/>
      <c r="F22" s="86"/>
      <c r="G22" s="86"/>
      <c r="H22" s="85">
        <f t="shared" si="0"/>
        <v>-86955.290000000008</v>
      </c>
    </row>
    <row r="23" spans="1:8">
      <c r="A23" s="335">
        <v>45594</v>
      </c>
      <c r="B23" t="s">
        <v>1450</v>
      </c>
      <c r="C23" t="s">
        <v>1458</v>
      </c>
      <c r="D23" s="86" t="s">
        <v>1511</v>
      </c>
      <c r="E23" s="86">
        <v>-1380</v>
      </c>
      <c r="F23" s="86"/>
      <c r="G23" s="86">
        <v>-1380</v>
      </c>
      <c r="H23" s="85">
        <f t="shared" si="0"/>
        <v>-88335.290000000008</v>
      </c>
    </row>
    <row r="24" spans="1:8">
      <c r="A24" s="335">
        <v>45595</v>
      </c>
      <c r="B24" t="s">
        <v>1135</v>
      </c>
      <c r="D24" s="86"/>
      <c r="E24" s="86">
        <v>-197.4</v>
      </c>
      <c r="F24" s="86"/>
      <c r="G24" s="86">
        <v>-206</v>
      </c>
      <c r="H24" s="85">
        <f t="shared" si="0"/>
        <v>-88541.290000000008</v>
      </c>
    </row>
    <row r="25" spans="1:8">
      <c r="A25" s="335">
        <v>45593</v>
      </c>
      <c r="B25" t="s">
        <v>84</v>
      </c>
      <c r="D25" s="86"/>
      <c r="E25" s="86">
        <v>-6500</v>
      </c>
      <c r="F25" s="86"/>
      <c r="G25" s="86">
        <v>-6500</v>
      </c>
      <c r="H25" s="85">
        <f t="shared" si="0"/>
        <v>-95041.290000000008</v>
      </c>
    </row>
    <row r="26" spans="1:8">
      <c r="A26" s="335">
        <v>45593</v>
      </c>
      <c r="B26" t="s">
        <v>172</v>
      </c>
      <c r="D26" s="86"/>
      <c r="E26" s="86">
        <v>-6500</v>
      </c>
      <c r="F26" s="86"/>
      <c r="G26" s="86">
        <v>-6500</v>
      </c>
      <c r="H26" s="85">
        <f t="shared" ref="H26:H33" si="1">H25+F26+G26</f>
        <v>-101541.29000000001</v>
      </c>
    </row>
    <row r="27" spans="1:8">
      <c r="B27" t="s">
        <v>217</v>
      </c>
      <c r="D27" s="86"/>
      <c r="E27" s="86">
        <v>-6500</v>
      </c>
      <c r="F27" s="86"/>
      <c r="G27" s="86">
        <v>-6500</v>
      </c>
      <c r="H27" s="85">
        <f t="shared" si="1"/>
        <v>-108041.29000000001</v>
      </c>
    </row>
    <row r="28" spans="1:8">
      <c r="D28" s="86"/>
      <c r="E28" s="86"/>
      <c r="F28" s="86"/>
      <c r="G28" s="86"/>
      <c r="H28" s="85">
        <f t="shared" si="1"/>
        <v>-108041.29000000001</v>
      </c>
    </row>
    <row r="29" spans="1:8">
      <c r="A29" s="335">
        <v>45592</v>
      </c>
      <c r="B29" t="s">
        <v>218</v>
      </c>
      <c r="D29" s="86">
        <v>12984.15</v>
      </c>
      <c r="E29" s="86"/>
      <c r="F29" s="86">
        <v>13006.38</v>
      </c>
      <c r="G29" s="86"/>
      <c r="H29" s="85">
        <f t="shared" si="1"/>
        <v>-95034.91</v>
      </c>
    </row>
    <row r="30" spans="1:8">
      <c r="A30" s="97"/>
      <c r="H30" s="85">
        <f t="shared" si="1"/>
        <v>-95034.91</v>
      </c>
    </row>
    <row r="31" spans="1:8">
      <c r="A31" s="97"/>
      <c r="B31" s="339" t="s">
        <v>251</v>
      </c>
      <c r="C31" s="339"/>
      <c r="D31" s="340">
        <v>15000</v>
      </c>
      <c r="H31" s="85">
        <f t="shared" si="1"/>
        <v>-95034.91</v>
      </c>
    </row>
    <row r="32" spans="1:8">
      <c r="A32" s="97"/>
      <c r="H32" s="85">
        <f t="shared" si="1"/>
        <v>-95034.91</v>
      </c>
    </row>
    <row r="33" spans="1:8">
      <c r="B33" t="s">
        <v>1510</v>
      </c>
      <c r="C33" s="98">
        <v>0.234011</v>
      </c>
      <c r="H33" s="85">
        <f t="shared" si="1"/>
        <v>-95034.91</v>
      </c>
    </row>
    <row r="34" spans="1:8">
      <c r="B34" s="339" t="s">
        <v>193</v>
      </c>
      <c r="C34" s="339"/>
      <c r="D34" s="340"/>
      <c r="E34" s="340">
        <v>-10000</v>
      </c>
    </row>
    <row r="35" spans="1:8" ht="15.75">
      <c r="B35" s="99"/>
    </row>
    <row r="37" spans="1:8">
      <c r="B37" t="s">
        <v>222</v>
      </c>
    </row>
    <row r="38" spans="1:8">
      <c r="A38" s="78" t="s">
        <v>223</v>
      </c>
      <c r="B38" s="78"/>
      <c r="C38" s="78"/>
    </row>
    <row r="39" spans="1:8">
      <c r="A39" s="97"/>
      <c r="C39" s="98"/>
    </row>
    <row r="40" spans="1:8">
      <c r="A40" s="100">
        <v>44929</v>
      </c>
      <c r="B40" s="101" t="s">
        <v>224</v>
      </c>
      <c r="C40" s="78"/>
      <c r="D40" s="85">
        <f>SUM(D41:D46)</f>
        <v>0</v>
      </c>
      <c r="E40" s="85">
        <f>SUM(E41:E46)</f>
        <v>0</v>
      </c>
    </row>
    <row r="41" spans="1:8">
      <c r="A41" s="97"/>
      <c r="B41" s="94" t="s">
        <v>225</v>
      </c>
    </row>
    <row r="42" spans="1:8">
      <c r="B42" t="s">
        <v>226</v>
      </c>
    </row>
    <row r="43" spans="1:8">
      <c r="B43" t="s">
        <v>227</v>
      </c>
    </row>
    <row r="44" spans="1:8">
      <c r="B44" t="s">
        <v>228</v>
      </c>
    </row>
    <row r="45" spans="1:8">
      <c r="B45" t="s">
        <v>229</v>
      </c>
    </row>
    <row r="46" spans="1:8">
      <c r="B46" t="s">
        <v>230</v>
      </c>
      <c r="C46" s="94"/>
    </row>
    <row r="47" spans="1:8">
      <c r="C47" s="94"/>
    </row>
    <row r="49" spans="1:5">
      <c r="B49" s="13"/>
    </row>
    <row r="50" spans="1:5">
      <c r="B50" s="102"/>
    </row>
    <row r="51" spans="1:5">
      <c r="A51" s="78"/>
      <c r="B51" s="77" t="s">
        <v>231</v>
      </c>
      <c r="C51" s="78"/>
      <c r="E51" s="85">
        <f>SUM(E52:E63)</f>
        <v>-3066.5699999999997</v>
      </c>
    </row>
    <row r="53" spans="1:5">
      <c r="A53" s="20">
        <v>45373</v>
      </c>
      <c r="B53" t="s">
        <v>232</v>
      </c>
      <c r="C53">
        <v>10176.39</v>
      </c>
      <c r="D53" s="85" t="s">
        <v>252</v>
      </c>
      <c r="E53" s="85">
        <v>-1130.71</v>
      </c>
    </row>
    <row r="54" spans="1:5">
      <c r="A54" s="20">
        <v>45375</v>
      </c>
      <c r="B54" t="s">
        <v>234</v>
      </c>
      <c r="C54">
        <v>5999</v>
      </c>
      <c r="D54" s="85" t="s">
        <v>252</v>
      </c>
      <c r="E54" s="85">
        <v>-666.56</v>
      </c>
    </row>
    <row r="55" spans="1:5">
      <c r="A55" s="20"/>
      <c r="B55" t="s">
        <v>1467</v>
      </c>
      <c r="E55" s="85">
        <v>-363.83</v>
      </c>
    </row>
    <row r="56" spans="1:5">
      <c r="B56" t="s">
        <v>1468</v>
      </c>
      <c r="E56" s="85">
        <v>-905.47</v>
      </c>
    </row>
    <row r="57" spans="1:5">
      <c r="B57" t="s">
        <v>284</v>
      </c>
      <c r="C57">
        <v>8037.9</v>
      </c>
    </row>
    <row r="58" spans="1:5" ht="15">
      <c r="A58" s="97"/>
      <c r="B58" s="94"/>
      <c r="C58" s="94"/>
      <c r="D58" s="108" t="s">
        <v>285</v>
      </c>
    </row>
    <row r="59" spans="1:5">
      <c r="A59" s="97"/>
      <c r="B59" s="94"/>
      <c r="C59" s="94"/>
    </row>
    <row r="60" spans="1:5">
      <c r="A60" s="97"/>
      <c r="B60" s="103"/>
      <c r="C60" s="94"/>
    </row>
    <row r="61" spans="1:5">
      <c r="A61" s="97"/>
      <c r="B61" s="103"/>
      <c r="C61" s="94"/>
    </row>
    <row r="62" spans="1:5">
      <c r="A62" s="97"/>
      <c r="B62" s="103"/>
    </row>
    <row r="63" spans="1:5">
      <c r="A63" s="97"/>
      <c r="B63" s="103"/>
      <c r="C63" s="94"/>
    </row>
    <row r="64" spans="1:5">
      <c r="A64" s="97"/>
      <c r="B64" s="3"/>
    </row>
    <row r="65" spans="1:5">
      <c r="A65" s="97"/>
      <c r="B65" s="94"/>
      <c r="C65" s="94"/>
    </row>
    <row r="66" spans="1:5">
      <c r="A66" s="78"/>
      <c r="B66" s="77" t="s">
        <v>235</v>
      </c>
      <c r="C66" s="78"/>
      <c r="E66" s="85">
        <f>SUM(E67:E104)</f>
        <v>-71389.3</v>
      </c>
    </row>
    <row r="67" spans="1:5">
      <c r="A67" s="97"/>
      <c r="B67" s="94"/>
      <c r="C67" s="94"/>
    </row>
    <row r="68" spans="1:5">
      <c r="A68" s="97"/>
      <c r="B68" s="94" t="s">
        <v>1469</v>
      </c>
      <c r="C68" s="94"/>
      <c r="E68" s="85">
        <v>-3177.5</v>
      </c>
    </row>
    <row r="69" spans="1:5">
      <c r="A69" s="97"/>
      <c r="B69" s="3"/>
      <c r="C69" s="94"/>
      <c r="E69" s="85">
        <v>-56373.38</v>
      </c>
    </row>
    <row r="70" spans="1:5">
      <c r="A70" s="97"/>
      <c r="B70" s="3"/>
      <c r="C70" s="94"/>
      <c r="E70" s="85">
        <v>-256.58999999999997</v>
      </c>
    </row>
    <row r="71" spans="1:5">
      <c r="A71" s="97"/>
      <c r="B71" s="3"/>
      <c r="C71" s="94"/>
    </row>
    <row r="72" spans="1:5">
      <c r="A72" s="97"/>
      <c r="B72" s="3" t="s">
        <v>1472</v>
      </c>
      <c r="C72" s="94"/>
      <c r="E72" s="85">
        <v>-1500</v>
      </c>
    </row>
    <row r="73" spans="1:5">
      <c r="A73" s="97"/>
      <c r="B73" s="3" t="s">
        <v>1471</v>
      </c>
      <c r="C73" s="94"/>
      <c r="E73" s="85">
        <v>-385</v>
      </c>
    </row>
    <row r="74" spans="1:5">
      <c r="A74" s="97"/>
      <c r="B74" s="3" t="s">
        <v>1470</v>
      </c>
      <c r="C74" s="94"/>
      <c r="E74" s="85">
        <v>-195</v>
      </c>
    </row>
    <row r="75" spans="1:5">
      <c r="A75" s="97"/>
      <c r="B75" s="3">
        <v>322.04000000000002</v>
      </c>
      <c r="C75" s="94"/>
      <c r="E75" s="85">
        <v>-322.04000000000002</v>
      </c>
    </row>
    <row r="76" spans="1:5">
      <c r="A76" s="97"/>
      <c r="B76" s="3" t="s">
        <v>1473</v>
      </c>
      <c r="C76" s="94"/>
      <c r="E76" s="85">
        <v>-1865</v>
      </c>
    </row>
    <row r="77" spans="1:5">
      <c r="A77" s="97"/>
      <c r="B77" s="3" t="s">
        <v>1474</v>
      </c>
      <c r="C77" s="94"/>
      <c r="E77" s="85">
        <v>-80</v>
      </c>
    </row>
    <row r="78" spans="1:5">
      <c r="A78" s="97"/>
      <c r="B78" s="3" t="s">
        <v>1475</v>
      </c>
      <c r="C78" s="94"/>
      <c r="E78" s="85">
        <v>-19.5</v>
      </c>
    </row>
    <row r="79" spans="1:5">
      <c r="A79" s="97"/>
      <c r="B79" s="3" t="s">
        <v>1476</v>
      </c>
      <c r="C79" s="94"/>
      <c r="E79" s="85">
        <v>-706.97</v>
      </c>
    </row>
    <row r="80" spans="1:5">
      <c r="A80" s="97"/>
      <c r="B80" s="3" t="s">
        <v>812</v>
      </c>
      <c r="C80" s="94"/>
      <c r="E80" s="85">
        <v>-299.99</v>
      </c>
    </row>
    <row r="81" spans="1:5">
      <c r="A81" s="97"/>
      <c r="B81" s="3" t="s">
        <v>1477</v>
      </c>
      <c r="C81" s="94"/>
      <c r="E81" s="85">
        <v>-1620</v>
      </c>
    </row>
    <row r="82" spans="1:5">
      <c r="A82" s="97"/>
      <c r="B82" s="3" t="s">
        <v>1478</v>
      </c>
      <c r="C82" s="94"/>
      <c r="E82" s="85">
        <v>-66.7</v>
      </c>
    </row>
    <row r="83" spans="1:5">
      <c r="A83" s="97"/>
      <c r="B83" s="3" t="s">
        <v>1479</v>
      </c>
      <c r="C83" s="94"/>
      <c r="E83" s="85">
        <v>-45</v>
      </c>
    </row>
    <row r="84" spans="1:5">
      <c r="A84" s="97"/>
      <c r="B84" s="3" t="s">
        <v>340</v>
      </c>
      <c r="C84" s="94">
        <v>69</v>
      </c>
      <c r="E84" s="85">
        <v>-69.66</v>
      </c>
    </row>
    <row r="85" spans="1:5">
      <c r="A85" s="97"/>
      <c r="B85" s="3" t="s">
        <v>1480</v>
      </c>
      <c r="C85" s="94">
        <v>250</v>
      </c>
      <c r="E85" s="85">
        <v>-250</v>
      </c>
    </row>
    <row r="86" spans="1:5">
      <c r="A86" s="97"/>
      <c r="B86" s="3" t="s">
        <v>1481</v>
      </c>
      <c r="C86" s="94">
        <v>145</v>
      </c>
      <c r="E86" s="85">
        <v>-145</v>
      </c>
    </row>
    <row r="87" spans="1:5">
      <c r="A87" s="97"/>
      <c r="B87" s="3" t="s">
        <v>340</v>
      </c>
      <c r="C87" s="94">
        <v>80</v>
      </c>
      <c r="E87" s="85">
        <v>-79.58</v>
      </c>
    </row>
    <row r="88" spans="1:5">
      <c r="A88" s="97"/>
      <c r="B88" s="3" t="s">
        <v>1480</v>
      </c>
      <c r="C88" s="94">
        <v>300</v>
      </c>
      <c r="E88" s="85">
        <v>-300</v>
      </c>
    </row>
    <row r="89" spans="1:5">
      <c r="A89" s="97"/>
      <c r="B89" s="3" t="s">
        <v>284</v>
      </c>
      <c r="C89" s="94"/>
      <c r="D89" s="85">
        <v>21576.400000000001</v>
      </c>
    </row>
    <row r="90" spans="1:5">
      <c r="A90" s="97"/>
      <c r="B90" s="3" t="s">
        <v>340</v>
      </c>
      <c r="C90" s="94">
        <v>50</v>
      </c>
      <c r="E90" s="85">
        <v>-49.3</v>
      </c>
    </row>
    <row r="91" spans="1:5">
      <c r="A91" s="97"/>
      <c r="B91" s="3" t="s">
        <v>1482</v>
      </c>
      <c r="C91" s="94"/>
      <c r="E91" s="85">
        <v>-190</v>
      </c>
    </row>
    <row r="92" spans="1:5">
      <c r="A92" s="97"/>
      <c r="B92" s="3" t="s">
        <v>340</v>
      </c>
      <c r="C92" s="94"/>
      <c r="E92" s="85">
        <v>-375.55</v>
      </c>
    </row>
    <row r="93" spans="1:5">
      <c r="A93" s="97"/>
      <c r="B93" s="3" t="s">
        <v>1480</v>
      </c>
      <c r="C93" s="94">
        <v>260</v>
      </c>
      <c r="E93" s="85">
        <v>-260</v>
      </c>
    </row>
    <row r="94" spans="1:5">
      <c r="A94" s="97"/>
      <c r="B94" s="3" t="s">
        <v>340</v>
      </c>
      <c r="C94" s="94">
        <v>65.790000000000006</v>
      </c>
      <c r="E94" s="85">
        <v>-65.790000000000006</v>
      </c>
    </row>
    <row r="95" spans="1:5">
      <c r="A95" s="97"/>
      <c r="B95" s="3" t="s">
        <v>1480</v>
      </c>
      <c r="C95" s="94">
        <v>330</v>
      </c>
      <c r="E95" s="85">
        <v>-330</v>
      </c>
    </row>
    <row r="96" spans="1:5">
      <c r="A96" s="97"/>
      <c r="B96" s="3" t="s">
        <v>1481</v>
      </c>
      <c r="C96" s="94">
        <v>225</v>
      </c>
      <c r="E96" s="85">
        <v>-225</v>
      </c>
    </row>
    <row r="97" spans="1:5">
      <c r="A97" s="97"/>
      <c r="B97" s="3" t="s">
        <v>1483</v>
      </c>
      <c r="C97" s="94"/>
      <c r="E97" s="85">
        <v>-410</v>
      </c>
    </row>
    <row r="98" spans="1:5">
      <c r="B98" s="3" t="s">
        <v>298</v>
      </c>
      <c r="E98" s="85">
        <v>-27.25</v>
      </c>
    </row>
    <row r="99" spans="1:5">
      <c r="B99" s="3" t="s">
        <v>1484</v>
      </c>
      <c r="E99" s="85">
        <v>-70</v>
      </c>
    </row>
    <row r="100" spans="1:5">
      <c r="B100" s="3" t="s">
        <v>1485</v>
      </c>
      <c r="E100" s="85">
        <v>-350</v>
      </c>
    </row>
    <row r="101" spans="1:5">
      <c r="B101" s="3" t="s">
        <v>1482</v>
      </c>
      <c r="E101" s="85">
        <v>-420</v>
      </c>
    </row>
    <row r="102" spans="1:5">
      <c r="B102" s="3" t="s">
        <v>1486</v>
      </c>
      <c r="E102" s="85">
        <v>-154.5</v>
      </c>
    </row>
    <row r="103" spans="1:5">
      <c r="B103" s="3" t="s">
        <v>1482</v>
      </c>
      <c r="E103" s="85">
        <v>-290</v>
      </c>
    </row>
    <row r="104" spans="1:5">
      <c r="B104" s="3" t="s">
        <v>1480</v>
      </c>
      <c r="C104">
        <v>415</v>
      </c>
      <c r="E104" s="85">
        <v>-415</v>
      </c>
    </row>
    <row r="105" spans="1:5">
      <c r="B105" s="37" t="s">
        <v>359</v>
      </c>
      <c r="C105">
        <f>SUM(C81:C104)</f>
        <v>2189.79</v>
      </c>
    </row>
    <row r="106" spans="1:5" ht="15">
      <c r="D106" s="108" t="s">
        <v>285</v>
      </c>
    </row>
    <row r="111" spans="1:5">
      <c r="A111" s="78"/>
      <c r="B111" s="77" t="s">
        <v>236</v>
      </c>
      <c r="C111" s="78"/>
      <c r="E111" s="85">
        <f>SUM(E112:E119)</f>
        <v>0</v>
      </c>
    </row>
    <row r="112" spans="1:5">
      <c r="A112" s="97"/>
      <c r="B112" t="s">
        <v>84</v>
      </c>
    </row>
    <row r="113" spans="1:5">
      <c r="A113" s="97"/>
      <c r="B113" t="s">
        <v>172</v>
      </c>
    </row>
    <row r="114" spans="1:5">
      <c r="A114" s="97"/>
      <c r="B114" t="s">
        <v>173</v>
      </c>
    </row>
    <row r="115" spans="1:5">
      <c r="A115" s="97"/>
      <c r="B115" t="s">
        <v>174</v>
      </c>
    </row>
    <row r="116" spans="1:5">
      <c r="A116" s="97"/>
      <c r="B116" t="s">
        <v>237</v>
      </c>
      <c r="D116" s="85">
        <v>111</v>
      </c>
      <c r="E116" s="85">
        <f>D116*C116</f>
        <v>0</v>
      </c>
    </row>
    <row r="117" spans="1:5">
      <c r="A117" s="97"/>
      <c r="B117" t="s">
        <v>238</v>
      </c>
      <c r="D117" s="85">
        <v>850</v>
      </c>
      <c r="E117" s="85">
        <f>D117*C117</f>
        <v>0</v>
      </c>
    </row>
    <row r="118" spans="1:5">
      <c r="A118" s="97"/>
      <c r="B118" t="s">
        <v>239</v>
      </c>
      <c r="D118" s="85">
        <v>100</v>
      </c>
      <c r="E118" s="85">
        <f>D118*C118</f>
        <v>0</v>
      </c>
    </row>
    <row r="119" spans="1:5">
      <c r="A119" s="97"/>
      <c r="B119" t="s">
        <v>240</v>
      </c>
    </row>
    <row r="120" spans="1:5">
      <c r="B120" t="s">
        <v>241</v>
      </c>
      <c r="E120" s="85">
        <f>H2</f>
        <v>-95034.91</v>
      </c>
    </row>
    <row r="122" spans="1:5">
      <c r="D122" s="85" t="s">
        <v>189</v>
      </c>
      <c r="E122" s="85">
        <f>SUM(E112:E121)</f>
        <v>-95034.91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H124"/>
  <sheetViews>
    <sheetView topLeftCell="A50" zoomScale="145" zoomScaleNormal="145" workbookViewId="0">
      <selection activeCell="A33" sqref="A3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1491</v>
      </c>
      <c r="C2" s="87" t="s">
        <v>191</v>
      </c>
      <c r="D2" s="85">
        <f>SUM(D4:D27)</f>
        <v>36484.15</v>
      </c>
      <c r="E2" s="85">
        <f>SUM(E4:E27)</f>
        <v>-81364.900000000009</v>
      </c>
      <c r="F2" s="85">
        <f>SUM(F4:F27)</f>
        <v>62006.38</v>
      </c>
      <c r="G2" s="85">
        <f>SUM(G4:G27)</f>
        <v>-69863.539999999994</v>
      </c>
      <c r="H2" s="85">
        <f>F2+G2</f>
        <v>-7857.1599999999962</v>
      </c>
    </row>
    <row r="3" spans="1:8">
      <c r="B3" s="70"/>
    </row>
    <row r="4" spans="1:8">
      <c r="A4" s="335">
        <v>45534</v>
      </c>
      <c r="B4" s="43" t="s">
        <v>192</v>
      </c>
      <c r="D4" s="86"/>
      <c r="E4" s="86">
        <v>-152</v>
      </c>
      <c r="F4" s="86"/>
      <c r="G4" s="86">
        <v>-162.11000000000001</v>
      </c>
      <c r="H4" s="85">
        <f>H3+F4+G4</f>
        <v>-162.11000000000001</v>
      </c>
    </row>
    <row r="5" spans="1:8">
      <c r="A5" s="335"/>
      <c r="B5" s="88" t="s">
        <v>253</v>
      </c>
      <c r="C5" s="88" t="s">
        <v>197</v>
      </c>
      <c r="E5" s="86">
        <v>-250</v>
      </c>
      <c r="F5" s="86"/>
      <c r="G5" s="86"/>
      <c r="H5" s="85">
        <f t="shared" ref="H5:H29" si="0">H4+F5+G5</f>
        <v>-162.11000000000001</v>
      </c>
    </row>
    <row r="6" spans="1:8">
      <c r="A6" s="96">
        <v>45538</v>
      </c>
      <c r="B6" s="104" t="s">
        <v>214</v>
      </c>
      <c r="D6" s="86"/>
      <c r="E6" s="86">
        <f>E60</f>
        <v>-21576.400000000001</v>
      </c>
      <c r="F6" s="86"/>
      <c r="G6" s="86">
        <f>E6</f>
        <v>-21576.400000000001</v>
      </c>
      <c r="H6" s="85">
        <f t="shared" si="0"/>
        <v>-21738.510000000002</v>
      </c>
    </row>
    <row r="7" spans="1:8">
      <c r="A7" s="335">
        <v>45539</v>
      </c>
      <c r="B7" s="104" t="s">
        <v>213</v>
      </c>
      <c r="D7" s="86"/>
      <c r="E7" s="86">
        <f>E45</f>
        <v>-8037.9</v>
      </c>
      <c r="F7" s="86"/>
      <c r="G7" s="86">
        <f>E7</f>
        <v>-8037.9</v>
      </c>
      <c r="H7" s="85">
        <f t="shared" si="0"/>
        <v>-29776.410000000003</v>
      </c>
    </row>
    <row r="8" spans="1:8">
      <c r="A8" s="335"/>
      <c r="B8" s="88" t="s">
        <v>216</v>
      </c>
      <c r="C8" s="88"/>
      <c r="E8" s="86">
        <v>-1500</v>
      </c>
      <c r="F8" s="86"/>
      <c r="G8" s="86">
        <v>-1514.73</v>
      </c>
      <c r="H8" s="85">
        <f t="shared" si="0"/>
        <v>-31291.140000000003</v>
      </c>
    </row>
    <row r="9" spans="1:8">
      <c r="A9" s="335"/>
      <c r="B9" s="88" t="s">
        <v>254</v>
      </c>
      <c r="C9" s="88"/>
      <c r="E9" s="86">
        <v>-17500</v>
      </c>
      <c r="F9" s="86"/>
      <c r="G9" s="86">
        <v>-17500</v>
      </c>
      <c r="H9" s="85">
        <f t="shared" si="0"/>
        <v>-48791.14</v>
      </c>
    </row>
    <row r="10" spans="1:8">
      <c r="A10" s="335"/>
      <c r="B10" s="94" t="s">
        <v>212</v>
      </c>
      <c r="E10" s="85">
        <f>E40*-1</f>
        <v>0</v>
      </c>
      <c r="F10" s="86"/>
      <c r="G10" s="86">
        <v>-5</v>
      </c>
      <c r="H10" s="85">
        <f t="shared" si="0"/>
        <v>-48796.14</v>
      </c>
    </row>
    <row r="11" spans="1:8">
      <c r="A11" s="335">
        <v>45544</v>
      </c>
      <c r="B11" t="s">
        <v>269</v>
      </c>
      <c r="C11" t="s">
        <v>488</v>
      </c>
      <c r="E11" s="86"/>
      <c r="F11" s="86">
        <v>15000</v>
      </c>
      <c r="G11" s="86"/>
      <c r="H11" s="85">
        <f t="shared" si="0"/>
        <v>-33796.14</v>
      </c>
    </row>
    <row r="12" spans="1:8">
      <c r="A12" s="335">
        <v>45551</v>
      </c>
      <c r="B12" s="94" t="s">
        <v>210</v>
      </c>
      <c r="C12" s="94" t="s">
        <v>209</v>
      </c>
      <c r="E12" s="86">
        <v>-300</v>
      </c>
      <c r="F12" s="86"/>
      <c r="G12" s="86">
        <v>-76</v>
      </c>
      <c r="H12" s="85">
        <f t="shared" si="0"/>
        <v>-33872.14</v>
      </c>
    </row>
    <row r="13" spans="1:8">
      <c r="A13" s="335">
        <v>45551</v>
      </c>
      <c r="B13" s="94" t="s">
        <v>211</v>
      </c>
      <c r="C13" s="94" t="s">
        <v>209</v>
      </c>
      <c r="E13" s="86">
        <v>-100</v>
      </c>
      <c r="F13" s="86"/>
      <c r="G13" s="86">
        <v>-34</v>
      </c>
      <c r="H13" s="85">
        <f t="shared" si="0"/>
        <v>-33906.14</v>
      </c>
    </row>
    <row r="14" spans="1:8">
      <c r="A14" s="335">
        <v>45552</v>
      </c>
      <c r="B14" t="s">
        <v>1461</v>
      </c>
      <c r="F14" s="86">
        <v>34000</v>
      </c>
      <c r="H14" s="85">
        <f t="shared" si="0"/>
        <v>93.860000000000582</v>
      </c>
    </row>
    <row r="15" spans="1:8">
      <c r="A15" s="335"/>
      <c r="H15" s="85">
        <f t="shared" si="0"/>
        <v>93.860000000000582</v>
      </c>
    </row>
    <row r="16" spans="1:8">
      <c r="B16" t="s">
        <v>84</v>
      </c>
      <c r="E16" s="86">
        <v>-6500</v>
      </c>
      <c r="F16" s="86"/>
      <c r="G16" s="86">
        <v>-6500</v>
      </c>
      <c r="H16" s="85">
        <f t="shared" si="0"/>
        <v>-6406.1399999999994</v>
      </c>
    </row>
    <row r="17" spans="1:8">
      <c r="B17" t="s">
        <v>172</v>
      </c>
      <c r="E17" s="86">
        <v>-6500</v>
      </c>
      <c r="F17" s="86"/>
      <c r="G17" s="86">
        <v>-6500</v>
      </c>
      <c r="H17" s="85">
        <f t="shared" si="0"/>
        <v>-12906.14</v>
      </c>
    </row>
    <row r="18" spans="1:8">
      <c r="B18" t="s">
        <v>217</v>
      </c>
      <c r="E18" s="86">
        <v>-6500</v>
      </c>
      <c r="F18" s="86"/>
      <c r="G18" s="86">
        <v>-6500</v>
      </c>
      <c r="H18" s="85">
        <f t="shared" si="0"/>
        <v>-19406.14</v>
      </c>
    </row>
    <row r="19" spans="1:8">
      <c r="B19" t="s">
        <v>218</v>
      </c>
      <c r="D19" s="86">
        <v>12984.15</v>
      </c>
      <c r="E19" s="86"/>
      <c r="F19" s="86">
        <v>13006.38</v>
      </c>
      <c r="H19" s="85">
        <f t="shared" si="0"/>
        <v>-6399.76</v>
      </c>
    </row>
    <row r="20" spans="1:8">
      <c r="A20" s="97"/>
      <c r="B20" s="88" t="s">
        <v>194</v>
      </c>
      <c r="C20" s="88"/>
      <c r="E20" s="86">
        <v>-400</v>
      </c>
      <c r="F20" s="86"/>
      <c r="G20" s="86">
        <v>-455</v>
      </c>
      <c r="H20" s="85">
        <f t="shared" si="0"/>
        <v>-6854.76</v>
      </c>
    </row>
    <row r="21" spans="1:8">
      <c r="A21" s="97">
        <v>45565</v>
      </c>
      <c r="B21" s="88" t="s">
        <v>195</v>
      </c>
      <c r="C21" s="88"/>
      <c r="E21" s="86">
        <v>-500</v>
      </c>
      <c r="F21" s="86"/>
      <c r="G21" s="86">
        <v>-805</v>
      </c>
      <c r="H21" s="85">
        <f t="shared" si="0"/>
        <v>-7659.76</v>
      </c>
    </row>
    <row r="22" spans="1:8">
      <c r="A22" s="335">
        <v>45564</v>
      </c>
      <c r="B22" t="s">
        <v>1450</v>
      </c>
      <c r="C22" t="s">
        <v>1451</v>
      </c>
      <c r="D22" s="86" t="s">
        <v>724</v>
      </c>
      <c r="E22" s="85">
        <v>-1398.6</v>
      </c>
      <c r="H22" s="85">
        <f t="shared" si="0"/>
        <v>-7659.76</v>
      </c>
    </row>
    <row r="23" spans="1:8">
      <c r="A23" s="335">
        <v>45565</v>
      </c>
      <c r="B23" t="s">
        <v>1466</v>
      </c>
      <c r="G23" s="86">
        <v>-197.4</v>
      </c>
      <c r="H23" s="85">
        <f t="shared" si="0"/>
        <v>-7857.16</v>
      </c>
    </row>
    <row r="24" spans="1:8">
      <c r="B24" s="105" t="s">
        <v>270</v>
      </c>
      <c r="C24" s="105"/>
      <c r="D24" s="106">
        <v>8500</v>
      </c>
      <c r="H24" s="85">
        <f t="shared" si="0"/>
        <v>-7857.16</v>
      </c>
    </row>
    <row r="25" spans="1:8">
      <c r="A25" s="335">
        <v>45574</v>
      </c>
      <c r="B25" s="339" t="s">
        <v>255</v>
      </c>
      <c r="C25" s="339"/>
      <c r="D25" s="343">
        <v>15000</v>
      </c>
      <c r="H25" s="85">
        <f t="shared" si="0"/>
        <v>-7857.16</v>
      </c>
    </row>
    <row r="26" spans="1:8">
      <c r="B26" s="339" t="s">
        <v>193</v>
      </c>
      <c r="C26" s="339"/>
      <c r="D26" s="340"/>
      <c r="E26" s="340">
        <v>-10000</v>
      </c>
      <c r="H26" s="85">
        <f t="shared" si="0"/>
        <v>-7857.16</v>
      </c>
    </row>
    <row r="27" spans="1:8">
      <c r="B27" s="88" t="s">
        <v>208</v>
      </c>
      <c r="C27" s="88" t="s">
        <v>209</v>
      </c>
      <c r="E27" s="85">
        <v>-150</v>
      </c>
      <c r="H27" s="85">
        <f t="shared" si="0"/>
        <v>-7857.16</v>
      </c>
    </row>
    <row r="28" spans="1:8">
      <c r="A28" s="335">
        <v>45574</v>
      </c>
      <c r="B28" s="103" t="s">
        <v>1462</v>
      </c>
      <c r="G28" s="86">
        <v>-10000</v>
      </c>
      <c r="H28" s="85">
        <f t="shared" si="0"/>
        <v>-17857.16</v>
      </c>
    </row>
    <row r="29" spans="1:8">
      <c r="B29" t="s">
        <v>256</v>
      </c>
      <c r="C29" s="98">
        <v>0.234011</v>
      </c>
      <c r="D29" s="85">
        <v>144000</v>
      </c>
      <c r="H29" s="85">
        <f t="shared" si="0"/>
        <v>-17857.16</v>
      </c>
    </row>
    <row r="30" spans="1:8">
      <c r="C30" s="98"/>
    </row>
    <row r="31" spans="1:8">
      <c r="B31" t="s">
        <v>222</v>
      </c>
    </row>
    <row r="32" spans="1:8">
      <c r="A32" s="78" t="s">
        <v>223</v>
      </c>
      <c r="B32" s="78"/>
      <c r="C32" s="78"/>
    </row>
    <row r="33" spans="1:5">
      <c r="A33" s="97"/>
      <c r="C33" s="98"/>
    </row>
    <row r="34" spans="1:5">
      <c r="A34" s="100">
        <v>44929</v>
      </c>
      <c r="B34" s="101" t="s">
        <v>224</v>
      </c>
      <c r="C34" s="78"/>
      <c r="D34" s="85">
        <f>SUM(D35:D40)</f>
        <v>0</v>
      </c>
      <c r="E34" s="85">
        <f>SUM(E35:E40)</f>
        <v>0</v>
      </c>
    </row>
    <row r="35" spans="1:5">
      <c r="A35" s="97"/>
      <c r="B35" s="94" t="s">
        <v>225</v>
      </c>
    </row>
    <row r="36" spans="1:5">
      <c r="B36" t="s">
        <v>226</v>
      </c>
    </row>
    <row r="37" spans="1:5">
      <c r="B37" t="s">
        <v>227</v>
      </c>
    </row>
    <row r="38" spans="1:5">
      <c r="B38" t="s">
        <v>228</v>
      </c>
    </row>
    <row r="39" spans="1:5">
      <c r="B39" t="s">
        <v>229</v>
      </c>
    </row>
    <row r="40" spans="1:5">
      <c r="B40" t="s">
        <v>230</v>
      </c>
      <c r="C40" s="94"/>
    </row>
    <row r="41" spans="1:5">
      <c r="C41" s="94"/>
    </row>
    <row r="43" spans="1:5">
      <c r="B43" s="13"/>
    </row>
    <row r="44" spans="1:5">
      <c r="B44" s="102"/>
    </row>
    <row r="45" spans="1:5">
      <c r="A45" s="78"/>
      <c r="B45" s="77" t="s">
        <v>231</v>
      </c>
      <c r="C45" s="78"/>
      <c r="E45" s="85">
        <f>SUM(E46:E57)</f>
        <v>-8037.9</v>
      </c>
    </row>
    <row r="47" spans="1:5">
      <c r="A47" s="20">
        <v>45348</v>
      </c>
      <c r="B47" t="s">
        <v>257</v>
      </c>
      <c r="C47">
        <v>1406</v>
      </c>
      <c r="D47" s="85" t="s">
        <v>258</v>
      </c>
      <c r="E47" s="85">
        <v>-234.35</v>
      </c>
    </row>
    <row r="48" spans="1:5">
      <c r="A48" s="20">
        <v>45373</v>
      </c>
      <c r="B48" t="s">
        <v>232</v>
      </c>
      <c r="C48">
        <v>10176.39</v>
      </c>
      <c r="D48" s="85" t="s">
        <v>259</v>
      </c>
      <c r="E48" s="85">
        <v>-1130.71</v>
      </c>
    </row>
    <row r="49" spans="1:5">
      <c r="A49" s="20">
        <v>45375</v>
      </c>
      <c r="B49" t="s">
        <v>234</v>
      </c>
      <c r="C49">
        <v>5999</v>
      </c>
      <c r="D49" s="85" t="s">
        <v>259</v>
      </c>
      <c r="E49" s="85">
        <v>-666.56</v>
      </c>
    </row>
    <row r="50" spans="1:5">
      <c r="A50" s="20">
        <v>45358</v>
      </c>
      <c r="B50" t="s">
        <v>260</v>
      </c>
      <c r="C50">
        <v>2273</v>
      </c>
      <c r="D50" s="85" t="s">
        <v>258</v>
      </c>
      <c r="E50" s="85">
        <v>-378.87</v>
      </c>
    </row>
    <row r="51" spans="1:5">
      <c r="A51" s="20">
        <v>45371</v>
      </c>
      <c r="B51" t="s">
        <v>261</v>
      </c>
      <c r="D51" s="85" t="s">
        <v>258</v>
      </c>
      <c r="E51" s="85">
        <v>101.79</v>
      </c>
    </row>
    <row r="52" spans="1:5">
      <c r="A52" s="97">
        <v>45456</v>
      </c>
      <c r="B52" s="103" t="s">
        <v>262</v>
      </c>
      <c r="C52" s="94"/>
      <c r="D52" s="85" t="s">
        <v>263</v>
      </c>
      <c r="E52" s="85">
        <v>-3923.34</v>
      </c>
    </row>
    <row r="53" spans="1:5">
      <c r="A53" s="97"/>
      <c r="B53" s="94"/>
      <c r="C53" s="94"/>
    </row>
    <row r="54" spans="1:5">
      <c r="A54" s="97"/>
      <c r="B54" s="103" t="s">
        <v>284</v>
      </c>
      <c r="C54" s="94">
        <v>8154.2</v>
      </c>
    </row>
    <row r="55" spans="1:5">
      <c r="A55" s="97"/>
      <c r="B55" s="103" t="s">
        <v>847</v>
      </c>
      <c r="C55" s="94"/>
      <c r="E55" s="85">
        <v>-1805.86</v>
      </c>
    </row>
    <row r="56" spans="1:5" ht="15">
      <c r="A56" s="97"/>
      <c r="B56" s="103"/>
      <c r="C56" s="108" t="s">
        <v>285</v>
      </c>
    </row>
    <row r="57" spans="1:5">
      <c r="A57" s="97"/>
      <c r="B57" s="103"/>
      <c r="C57" s="94"/>
    </row>
    <row r="58" spans="1:5">
      <c r="A58" s="97"/>
      <c r="B58" s="3"/>
    </row>
    <row r="59" spans="1:5">
      <c r="A59" s="97"/>
      <c r="B59" s="94"/>
      <c r="C59" s="94"/>
    </row>
    <row r="60" spans="1:5">
      <c r="A60" s="78"/>
      <c r="B60" s="77" t="s">
        <v>235</v>
      </c>
      <c r="C60" s="78"/>
      <c r="E60" s="85">
        <f>SUM(E61:E69)</f>
        <v>-21576.400000000001</v>
      </c>
    </row>
    <row r="61" spans="1:5">
      <c r="A61" s="97"/>
      <c r="B61" s="94"/>
      <c r="C61" s="94"/>
    </row>
    <row r="62" spans="1:5">
      <c r="A62" s="97"/>
      <c r="B62" s="94"/>
      <c r="C62" s="94"/>
      <c r="E62" s="85">
        <v>-21576.400000000001</v>
      </c>
    </row>
    <row r="63" spans="1:5" ht="15">
      <c r="A63" s="97"/>
      <c r="B63" s="3"/>
      <c r="C63" s="108" t="s">
        <v>285</v>
      </c>
    </row>
    <row r="64" spans="1:5">
      <c r="A64" s="97"/>
      <c r="B64" s="3"/>
      <c r="C64" s="94"/>
    </row>
    <row r="65" spans="1:3">
      <c r="A65" s="97"/>
      <c r="B65" s="3"/>
      <c r="C65" s="94"/>
    </row>
    <row r="66" spans="1:3">
      <c r="A66" s="97"/>
      <c r="B66" s="3"/>
      <c r="C66" s="94"/>
    </row>
    <row r="67" spans="1:3">
      <c r="A67" s="97"/>
      <c r="B67" s="3"/>
      <c r="C67" s="94"/>
    </row>
    <row r="68" spans="1:3">
      <c r="A68" s="97"/>
      <c r="B68" s="3"/>
      <c r="C68" s="94"/>
    </row>
    <row r="69" spans="1:3">
      <c r="A69" s="97"/>
      <c r="B69" s="3"/>
      <c r="C69" s="94"/>
    </row>
    <row r="70" spans="1:3">
      <c r="A70" s="97"/>
      <c r="B70" s="3"/>
      <c r="C70" s="94"/>
    </row>
    <row r="71" spans="1:3">
      <c r="A71" s="97"/>
      <c r="B71" s="3"/>
      <c r="C71" s="94"/>
    </row>
    <row r="72" spans="1:3">
      <c r="A72" s="97"/>
      <c r="B72" s="3"/>
      <c r="C72" s="94"/>
    </row>
    <row r="73" spans="1:3">
      <c r="A73" s="97"/>
      <c r="B73" s="3"/>
      <c r="C73" s="94"/>
    </row>
    <row r="74" spans="1:3">
      <c r="A74" s="97"/>
      <c r="B74" s="3"/>
      <c r="C74" s="94"/>
    </row>
    <row r="75" spans="1:3">
      <c r="A75" s="97"/>
      <c r="B75" s="3"/>
      <c r="C75" s="94"/>
    </row>
    <row r="76" spans="1:3">
      <c r="A76" s="97"/>
      <c r="B76" s="3"/>
      <c r="C76" s="94"/>
    </row>
    <row r="77" spans="1:3">
      <c r="A77" s="97"/>
      <c r="B77" s="3"/>
      <c r="C77" s="94"/>
    </row>
    <row r="78" spans="1:3">
      <c r="A78" s="97"/>
      <c r="B78" s="3"/>
      <c r="C78" s="94"/>
    </row>
    <row r="79" spans="1:3">
      <c r="A79" s="97"/>
      <c r="B79" s="3"/>
      <c r="C79" s="94"/>
    </row>
    <row r="80" spans="1:3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100" spans="1:5">
      <c r="A100" s="76" t="s">
        <v>1438</v>
      </c>
      <c r="B100" s="77" t="s">
        <v>171</v>
      </c>
      <c r="C100" s="78">
        <v>2024</v>
      </c>
      <c r="D100" s="79"/>
      <c r="E100" s="80">
        <f>SUM(E101:E120)</f>
        <v>412438.42000000004</v>
      </c>
    </row>
    <row r="101" spans="1:5">
      <c r="A101" s="81">
        <v>45534</v>
      </c>
      <c r="B101" t="s">
        <v>84</v>
      </c>
      <c r="C101" s="2"/>
      <c r="D101" s="2"/>
      <c r="E101" s="2">
        <v>0</v>
      </c>
    </row>
    <row r="102" spans="1:5">
      <c r="A102" s="81">
        <f t="shared" ref="A102:A120" si="1">A101</f>
        <v>45534</v>
      </c>
      <c r="B102" t="s">
        <v>309</v>
      </c>
      <c r="C102" s="2"/>
      <c r="D102" s="2"/>
      <c r="E102" s="2">
        <v>0</v>
      </c>
    </row>
    <row r="103" spans="1:5">
      <c r="A103" s="81">
        <f t="shared" si="1"/>
        <v>45534</v>
      </c>
      <c r="B103" t="s">
        <v>1439</v>
      </c>
      <c r="C103" s="2"/>
      <c r="D103" s="2"/>
      <c r="E103" s="13">
        <v>5105.2299999999996</v>
      </c>
    </row>
    <row r="104" spans="1:5">
      <c r="A104" s="81">
        <f>A102</f>
        <v>45534</v>
      </c>
      <c r="B104" t="s">
        <v>1445</v>
      </c>
      <c r="C104" s="2">
        <v>288</v>
      </c>
      <c r="D104" s="111">
        <v>732.60648300000003</v>
      </c>
      <c r="E104" s="13">
        <v>211121.2</v>
      </c>
    </row>
    <row r="105" spans="1:5">
      <c r="A105" s="81">
        <f>A103</f>
        <v>45534</v>
      </c>
      <c r="B105" t="s">
        <v>1446</v>
      </c>
      <c r="C105" s="112">
        <v>125000</v>
      </c>
      <c r="D105" s="111">
        <v>0.77971599999999996</v>
      </c>
      <c r="E105" s="13">
        <v>99989.38</v>
      </c>
    </row>
    <row r="106" spans="1:5">
      <c r="A106" s="81">
        <f>A104</f>
        <v>45534</v>
      </c>
      <c r="B106" t="s">
        <v>1447</v>
      </c>
      <c r="C106" s="2">
        <v>10</v>
      </c>
      <c r="D106" s="2">
        <v>103.7</v>
      </c>
      <c r="E106" s="13">
        <f t="shared" ref="E106:E118" si="2">D106*C106</f>
        <v>1037</v>
      </c>
    </row>
    <row r="107" spans="1:5">
      <c r="A107" s="81">
        <f t="shared" si="1"/>
        <v>45534</v>
      </c>
      <c r="B107" t="s">
        <v>1448</v>
      </c>
      <c r="C107" s="2">
        <v>38</v>
      </c>
      <c r="D107" s="2">
        <v>21.42</v>
      </c>
      <c r="E107" s="13">
        <f t="shared" si="2"/>
        <v>813.96</v>
      </c>
    </row>
    <row r="108" spans="1:5">
      <c r="A108" s="81">
        <f t="shared" si="1"/>
        <v>45534</v>
      </c>
      <c r="B108" t="s">
        <v>1449</v>
      </c>
      <c r="C108" s="2">
        <v>26</v>
      </c>
      <c r="D108" s="2">
        <v>25.92</v>
      </c>
      <c r="E108" s="13">
        <f t="shared" si="2"/>
        <v>673.92000000000007</v>
      </c>
    </row>
    <row r="109" spans="1:5">
      <c r="A109" s="81">
        <f t="shared" si="1"/>
        <v>45534</v>
      </c>
      <c r="B109" t="s">
        <v>183</v>
      </c>
      <c r="C109" s="2"/>
      <c r="D109" s="2"/>
      <c r="E109" s="13">
        <f t="shared" si="2"/>
        <v>0</v>
      </c>
    </row>
    <row r="110" spans="1:5">
      <c r="A110" s="81">
        <f t="shared" si="1"/>
        <v>45534</v>
      </c>
      <c r="B110" t="s">
        <v>315</v>
      </c>
      <c r="C110" s="2">
        <v>28.5</v>
      </c>
      <c r="D110" s="2">
        <v>0</v>
      </c>
      <c r="E110" s="13">
        <v>0</v>
      </c>
    </row>
    <row r="111" spans="1:5">
      <c r="A111" s="81">
        <f t="shared" si="1"/>
        <v>45534</v>
      </c>
      <c r="C111" s="2"/>
      <c r="D111" s="2"/>
      <c r="E111" s="13">
        <f t="shared" si="2"/>
        <v>0</v>
      </c>
    </row>
    <row r="112" spans="1:5">
      <c r="A112" s="81">
        <f t="shared" si="1"/>
        <v>45534</v>
      </c>
      <c r="C112" s="2"/>
      <c r="D112" s="2"/>
      <c r="E112" s="13">
        <f t="shared" si="2"/>
        <v>0</v>
      </c>
    </row>
    <row r="113" spans="1:5">
      <c r="A113" s="81">
        <f t="shared" si="1"/>
        <v>45534</v>
      </c>
      <c r="B113" t="s">
        <v>1440</v>
      </c>
      <c r="C113" s="2">
        <v>2697.73</v>
      </c>
      <c r="D113" s="2">
        <v>1</v>
      </c>
      <c r="E113" s="13">
        <f>D113*C113</f>
        <v>2697.73</v>
      </c>
    </row>
    <row r="114" spans="1:5">
      <c r="A114" s="81">
        <f t="shared" si="1"/>
        <v>45534</v>
      </c>
      <c r="B114" t="s">
        <v>1443</v>
      </c>
      <c r="C114" s="2">
        <v>4500</v>
      </c>
      <c r="D114" s="2">
        <v>16</v>
      </c>
      <c r="E114" s="13">
        <f>D114*C114</f>
        <v>72000</v>
      </c>
    </row>
    <row r="115" spans="1:5">
      <c r="A115" s="81">
        <f t="shared" si="1"/>
        <v>45534</v>
      </c>
      <c r="B115" t="s">
        <v>1444</v>
      </c>
      <c r="C115" s="2">
        <v>18000</v>
      </c>
      <c r="D115" s="2">
        <v>1</v>
      </c>
      <c r="E115" s="13">
        <f>D115*C115</f>
        <v>18000</v>
      </c>
    </row>
    <row r="116" spans="1:5">
      <c r="A116" s="81">
        <f t="shared" si="1"/>
        <v>45534</v>
      </c>
      <c r="C116" s="2"/>
      <c r="D116" s="2"/>
      <c r="E116" s="13"/>
    </row>
    <row r="117" spans="1:5">
      <c r="A117" s="81">
        <f>A113</f>
        <v>45534</v>
      </c>
      <c r="B117" t="s">
        <v>1442</v>
      </c>
      <c r="C117" s="336">
        <v>33.250599999999999</v>
      </c>
      <c r="D117" s="2">
        <v>0</v>
      </c>
      <c r="E117" s="13"/>
    </row>
    <row r="118" spans="1:5">
      <c r="A118" s="81">
        <f t="shared" si="1"/>
        <v>45534</v>
      </c>
      <c r="B118" t="s">
        <v>1441</v>
      </c>
      <c r="C118" s="336">
        <v>36.854999999999997</v>
      </c>
      <c r="D118" s="2">
        <v>0</v>
      </c>
      <c r="E118" s="13">
        <f t="shared" si="2"/>
        <v>0</v>
      </c>
    </row>
    <row r="119" spans="1:5">
      <c r="A119" s="81">
        <f t="shared" si="1"/>
        <v>45534</v>
      </c>
      <c r="B119" t="s">
        <v>187</v>
      </c>
      <c r="C119" s="2"/>
      <c r="D119" s="2"/>
      <c r="E119" s="13">
        <v>0</v>
      </c>
    </row>
    <row r="120" spans="1:5">
      <c r="A120" s="81">
        <f t="shared" si="1"/>
        <v>45534</v>
      </c>
      <c r="B120" t="s">
        <v>94</v>
      </c>
      <c r="C120" s="2"/>
      <c r="D120" s="2"/>
      <c r="E120" s="13">
        <v>1000</v>
      </c>
    </row>
    <row r="121" spans="1:5">
      <c r="E121" s="113"/>
    </row>
    <row r="122" spans="1:5">
      <c r="C122" s="110"/>
      <c r="D122" s="3"/>
      <c r="E122" s="110"/>
    </row>
    <row r="123" spans="1:5">
      <c r="C123" s="110"/>
      <c r="D123" s="70" t="s">
        <v>189</v>
      </c>
      <c r="E123" s="8">
        <f>SUM(E101:E120)</f>
        <v>412438.42000000004</v>
      </c>
    </row>
    <row r="124" spans="1:5">
      <c r="C124" s="114" t="str">
        <f>A100</f>
        <v>EYLÜLe</v>
      </c>
      <c r="D124" s="115" t="s">
        <v>188</v>
      </c>
      <c r="E124" s="116">
        <f>H2</f>
        <v>-7857.1599999999962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79998168889431442"/>
  </sheetPr>
  <dimension ref="A1:H149"/>
  <sheetViews>
    <sheetView topLeftCell="A34" zoomScale="145" zoomScaleNormal="145" workbookViewId="0">
      <selection activeCell="B117" sqref="B11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1492</v>
      </c>
      <c r="C2" s="87" t="s">
        <v>191</v>
      </c>
      <c r="D2" s="85">
        <f>SUM(D4:D45)</f>
        <v>195484.15</v>
      </c>
      <c r="E2" s="85">
        <f>SUM(E4:E45)</f>
        <v>-88440.670000000013</v>
      </c>
      <c r="F2" s="85">
        <f>SUM(F4:F46)</f>
        <v>28006.379999999997</v>
      </c>
      <c r="G2" s="85">
        <f>SUM(G4:G46)</f>
        <v>-88381.87</v>
      </c>
      <c r="H2" s="85">
        <f>F2+G2</f>
        <v>-60375.49</v>
      </c>
    </row>
    <row r="3" spans="1:8">
      <c r="B3" s="37"/>
      <c r="D3" s="86"/>
      <c r="E3" s="86"/>
      <c r="F3" s="86"/>
      <c r="G3" s="86"/>
      <c r="H3" s="86"/>
    </row>
    <row r="4" spans="1:8">
      <c r="A4" s="20">
        <v>45500</v>
      </c>
      <c r="B4" s="43" t="s">
        <v>192</v>
      </c>
      <c r="C4" t="s">
        <v>264</v>
      </c>
      <c r="D4" s="86"/>
      <c r="E4" s="86">
        <v>-152</v>
      </c>
      <c r="F4" s="86"/>
      <c r="G4" s="86">
        <v>-166.9</v>
      </c>
      <c r="H4" s="86">
        <f t="shared" ref="H4:H46" si="0">H3+F4+G4</f>
        <v>-166.9</v>
      </c>
    </row>
    <row r="5" spans="1:8">
      <c r="B5" s="88" t="s">
        <v>265</v>
      </c>
      <c r="C5" s="88" t="s">
        <v>197</v>
      </c>
      <c r="D5" s="86"/>
      <c r="E5" s="86">
        <v>-250</v>
      </c>
      <c r="F5" s="86"/>
      <c r="G5" s="86"/>
      <c r="H5" s="86">
        <f t="shared" si="0"/>
        <v>-166.9</v>
      </c>
    </row>
    <row r="6" spans="1:8">
      <c r="A6" s="20">
        <v>45509</v>
      </c>
      <c r="B6" s="88" t="s">
        <v>216</v>
      </c>
      <c r="C6" s="88"/>
      <c r="D6" s="86"/>
      <c r="E6" s="86">
        <v>-1500</v>
      </c>
      <c r="F6" s="86"/>
      <c r="G6" s="86">
        <v>-1532.3</v>
      </c>
      <c r="H6" s="86">
        <f t="shared" si="0"/>
        <v>-1699.2</v>
      </c>
    </row>
    <row r="7" spans="1:8">
      <c r="A7" s="20">
        <v>45509</v>
      </c>
      <c r="B7" s="104" t="s">
        <v>213</v>
      </c>
      <c r="D7" s="86"/>
      <c r="E7" s="86">
        <f>E62</f>
        <v>-8154.2</v>
      </c>
      <c r="F7" s="86"/>
      <c r="G7" s="86">
        <v>-8154.2</v>
      </c>
      <c r="H7" s="86">
        <f t="shared" si="0"/>
        <v>-9853.4</v>
      </c>
    </row>
    <row r="8" spans="1:8">
      <c r="A8" s="96">
        <v>45509</v>
      </c>
      <c r="B8" s="104" t="s">
        <v>214</v>
      </c>
      <c r="D8" s="86"/>
      <c r="E8" s="86">
        <f>E77</f>
        <v>-21980.090000000004</v>
      </c>
      <c r="F8" s="86"/>
      <c r="G8" s="86">
        <v>-21980.09</v>
      </c>
      <c r="H8" s="86">
        <f t="shared" si="0"/>
        <v>-31833.489999999998</v>
      </c>
    </row>
    <row r="9" spans="1:8">
      <c r="A9" s="96"/>
      <c r="B9" s="104" t="s">
        <v>266</v>
      </c>
      <c r="D9" s="86"/>
      <c r="E9" s="86"/>
      <c r="F9" s="86"/>
      <c r="G9" s="86">
        <v>-10000</v>
      </c>
      <c r="H9" s="86">
        <f t="shared" si="0"/>
        <v>-41833.49</v>
      </c>
    </row>
    <row r="10" spans="1:8">
      <c r="A10" s="96">
        <v>45510</v>
      </c>
      <c r="B10" t="s">
        <v>267</v>
      </c>
      <c r="D10" s="86">
        <v>15000</v>
      </c>
      <c r="E10" s="86"/>
      <c r="F10" s="86">
        <v>15000</v>
      </c>
      <c r="G10" s="86"/>
      <c r="H10" s="86">
        <f t="shared" si="0"/>
        <v>-26833.489999999998</v>
      </c>
    </row>
    <row r="11" spans="1:8">
      <c r="A11" s="97">
        <v>45511</v>
      </c>
      <c r="B11" s="88" t="s">
        <v>268</v>
      </c>
      <c r="C11" s="88"/>
      <c r="D11" s="86"/>
      <c r="E11" s="86">
        <v>-17500</v>
      </c>
      <c r="F11" s="86"/>
      <c r="G11" s="86">
        <v>-17500</v>
      </c>
      <c r="H11" s="86">
        <f t="shared" si="0"/>
        <v>-44333.49</v>
      </c>
    </row>
    <row r="12" spans="1:8">
      <c r="A12" s="97"/>
      <c r="B12" s="95" t="s">
        <v>212</v>
      </c>
      <c r="E12" s="85">
        <f>E57*-1</f>
        <v>0</v>
      </c>
      <c r="G12" s="85">
        <v>-50</v>
      </c>
      <c r="H12" s="86">
        <f t="shared" si="0"/>
        <v>-44383.49</v>
      </c>
    </row>
    <row r="13" spans="1:8">
      <c r="A13" s="97"/>
      <c r="B13" s="88"/>
      <c r="C13" s="88"/>
      <c r="D13" s="86"/>
      <c r="E13" s="86"/>
      <c r="F13" s="86"/>
      <c r="G13" s="86"/>
      <c r="H13" s="86">
        <f t="shared" si="0"/>
        <v>-44383.49</v>
      </c>
    </row>
    <row r="14" spans="1:8">
      <c r="A14" s="97">
        <v>45520</v>
      </c>
      <c r="B14" s="88" t="s">
        <v>447</v>
      </c>
      <c r="C14" s="88"/>
      <c r="D14" s="86"/>
      <c r="E14" s="86"/>
      <c r="F14" s="86"/>
      <c r="G14" s="86">
        <v>-95</v>
      </c>
      <c r="H14" s="86">
        <f t="shared" si="0"/>
        <v>-44478.49</v>
      </c>
    </row>
    <row r="15" spans="1:8">
      <c r="A15" s="335">
        <v>45523</v>
      </c>
      <c r="B15" s="94" t="s">
        <v>210</v>
      </c>
      <c r="C15" s="94" t="s">
        <v>209</v>
      </c>
      <c r="D15" s="86"/>
      <c r="E15" s="86">
        <v>-300</v>
      </c>
      <c r="F15" s="86"/>
      <c r="G15" s="86">
        <v>-56</v>
      </c>
      <c r="H15" s="86">
        <f t="shared" si="0"/>
        <v>-44534.49</v>
      </c>
    </row>
    <row r="16" spans="1:8">
      <c r="A16" s="335">
        <v>45523</v>
      </c>
      <c r="B16" s="94" t="s">
        <v>211</v>
      </c>
      <c r="C16" s="94" t="s">
        <v>209</v>
      </c>
      <c r="D16" s="86"/>
      <c r="E16" s="86">
        <v>-100</v>
      </c>
      <c r="F16" s="86"/>
      <c r="G16" s="86">
        <v>-28</v>
      </c>
      <c r="H16" s="86">
        <f t="shared" si="0"/>
        <v>-44562.49</v>
      </c>
    </row>
    <row r="17" spans="1:8">
      <c r="A17" s="335">
        <v>45533</v>
      </c>
      <c r="B17" s="88" t="s">
        <v>194</v>
      </c>
      <c r="C17" s="88"/>
      <c r="D17" s="86"/>
      <c r="E17" s="86">
        <v>-400</v>
      </c>
      <c r="F17" s="86"/>
      <c r="G17" s="86">
        <v>-500</v>
      </c>
      <c r="H17" s="86">
        <f t="shared" si="0"/>
        <v>-45062.49</v>
      </c>
    </row>
    <row r="18" spans="1:8">
      <c r="A18" s="335">
        <v>45533</v>
      </c>
      <c r="B18" s="88" t="s">
        <v>195</v>
      </c>
      <c r="C18" s="88"/>
      <c r="D18" s="86"/>
      <c r="E18" s="86">
        <v>-500</v>
      </c>
      <c r="F18" s="86"/>
      <c r="G18" s="86">
        <v>-865</v>
      </c>
      <c r="H18" s="86">
        <f t="shared" si="0"/>
        <v>-45927.49</v>
      </c>
    </row>
    <row r="19" spans="1:8">
      <c r="B19" t="s">
        <v>84</v>
      </c>
      <c r="D19" s="86"/>
      <c r="E19" s="86"/>
      <c r="F19" s="86"/>
      <c r="G19" s="86"/>
      <c r="H19" s="86">
        <f t="shared" si="0"/>
        <v>-45927.49</v>
      </c>
    </row>
    <row r="20" spans="1:8">
      <c r="B20" t="s">
        <v>84</v>
      </c>
      <c r="D20" s="86"/>
      <c r="E20" s="86">
        <v>-6500</v>
      </c>
      <c r="F20" s="86"/>
      <c r="G20" s="86">
        <v>-6500</v>
      </c>
      <c r="H20" s="86">
        <f t="shared" si="0"/>
        <v>-52427.49</v>
      </c>
    </row>
    <row r="21" spans="1:8">
      <c r="B21" t="s">
        <v>172</v>
      </c>
      <c r="D21" s="86"/>
      <c r="E21" s="86">
        <v>-6500</v>
      </c>
      <c r="F21" s="86"/>
      <c r="G21" s="86">
        <v>-6500</v>
      </c>
      <c r="H21" s="86">
        <f t="shared" si="0"/>
        <v>-58927.49</v>
      </c>
    </row>
    <row r="22" spans="1:8">
      <c r="B22" t="s">
        <v>217</v>
      </c>
      <c r="D22" s="86"/>
      <c r="E22" s="86">
        <v>-6500</v>
      </c>
      <c r="F22" s="86"/>
      <c r="G22" s="86">
        <v>-6500</v>
      </c>
      <c r="H22" s="86">
        <f t="shared" si="0"/>
        <v>-65427.49</v>
      </c>
    </row>
    <row r="23" spans="1:8">
      <c r="H23" s="86">
        <f t="shared" si="0"/>
        <v>-65427.49</v>
      </c>
    </row>
    <row r="24" spans="1:8">
      <c r="A24" s="97"/>
      <c r="B24" t="s">
        <v>218</v>
      </c>
      <c r="D24" s="85">
        <v>12984.15</v>
      </c>
      <c r="F24" s="85">
        <v>13006.38</v>
      </c>
      <c r="H24" s="86">
        <f t="shared" si="0"/>
        <v>-52421.11</v>
      </c>
    </row>
    <row r="25" spans="1:8">
      <c r="A25" s="97"/>
      <c r="H25" s="86">
        <f t="shared" si="0"/>
        <v>-52421.11</v>
      </c>
    </row>
    <row r="26" spans="1:8">
      <c r="H26" s="86">
        <f t="shared" si="0"/>
        <v>-52421.11</v>
      </c>
    </row>
    <row r="27" spans="1:8">
      <c r="A27" s="20">
        <v>45531</v>
      </c>
      <c r="B27" t="s">
        <v>271</v>
      </c>
      <c r="C27" s="98"/>
      <c r="D27" s="85" t="s">
        <v>1431</v>
      </c>
      <c r="E27" s="86">
        <v>-750</v>
      </c>
      <c r="F27" s="86"/>
      <c r="G27" s="86">
        <f t="shared" ref="G27:G32" si="1">E27</f>
        <v>-750</v>
      </c>
      <c r="H27" s="86">
        <f t="shared" si="0"/>
        <v>-53171.11</v>
      </c>
    </row>
    <row r="28" spans="1:8">
      <c r="A28" s="20">
        <v>45531</v>
      </c>
      <c r="B28" t="s">
        <v>272</v>
      </c>
      <c r="C28" s="98"/>
      <c r="D28" s="85" t="s">
        <v>1431</v>
      </c>
      <c r="E28" s="86">
        <v>-2137.5</v>
      </c>
      <c r="F28" s="86"/>
      <c r="G28" s="86">
        <f t="shared" si="1"/>
        <v>-2137.5</v>
      </c>
      <c r="H28" s="86">
        <f t="shared" si="0"/>
        <v>-55308.61</v>
      </c>
    </row>
    <row r="29" spans="1:8">
      <c r="A29" s="20">
        <v>45531</v>
      </c>
      <c r="B29" t="s">
        <v>273</v>
      </c>
      <c r="C29" s="98"/>
      <c r="D29" s="85" t="s">
        <v>1431</v>
      </c>
      <c r="E29" s="86">
        <v>-925</v>
      </c>
      <c r="F29" s="86"/>
      <c r="G29" s="86">
        <f t="shared" si="1"/>
        <v>-925</v>
      </c>
      <c r="H29" s="86">
        <f t="shared" si="0"/>
        <v>-56233.61</v>
      </c>
    </row>
    <row r="30" spans="1:8">
      <c r="A30" s="20">
        <v>45531</v>
      </c>
      <c r="B30" t="s">
        <v>274</v>
      </c>
      <c r="C30" s="98"/>
      <c r="D30" s="85" t="s">
        <v>1431</v>
      </c>
      <c r="E30" s="86">
        <v>-625</v>
      </c>
      <c r="F30" s="86"/>
      <c r="G30" s="86">
        <f t="shared" si="1"/>
        <v>-625</v>
      </c>
      <c r="H30" s="86">
        <f t="shared" si="0"/>
        <v>-56858.61</v>
      </c>
    </row>
    <row r="31" spans="1:8">
      <c r="A31" s="20">
        <v>45531</v>
      </c>
      <c r="B31" t="s">
        <v>275</v>
      </c>
      <c r="C31" s="98"/>
      <c r="D31" s="85" t="s">
        <v>1431</v>
      </c>
      <c r="E31" s="86">
        <v>-1075</v>
      </c>
      <c r="F31" s="86"/>
      <c r="G31" s="86">
        <f t="shared" si="1"/>
        <v>-1075</v>
      </c>
      <c r="H31" s="86">
        <f t="shared" si="0"/>
        <v>-57933.61</v>
      </c>
    </row>
    <row r="32" spans="1:8">
      <c r="A32" s="20">
        <v>45531</v>
      </c>
      <c r="B32" t="s">
        <v>276</v>
      </c>
      <c r="C32" s="98"/>
      <c r="D32" s="85" t="s">
        <v>1431</v>
      </c>
      <c r="E32" s="86">
        <v>-1825</v>
      </c>
      <c r="F32" s="86"/>
      <c r="G32" s="86">
        <f t="shared" si="1"/>
        <v>-1825</v>
      </c>
      <c r="H32" s="86">
        <f t="shared" si="0"/>
        <v>-59758.61</v>
      </c>
    </row>
    <row r="33" spans="1:8">
      <c r="A33" s="20"/>
      <c r="C33" s="98"/>
      <c r="E33" s="86"/>
      <c r="F33" s="86"/>
      <c r="G33" s="86"/>
      <c r="H33" s="86">
        <f t="shared" si="0"/>
        <v>-59758.61</v>
      </c>
    </row>
    <row r="34" spans="1:8">
      <c r="A34" s="335">
        <v>45531</v>
      </c>
      <c r="B34" t="s">
        <v>1433</v>
      </c>
      <c r="C34" s="85" t="s">
        <v>1431</v>
      </c>
      <c r="D34" s="86" t="s">
        <v>1437</v>
      </c>
      <c r="E34" s="86">
        <v>-136.08000000000001</v>
      </c>
      <c r="F34" s="86"/>
      <c r="G34" s="86">
        <v>-136.08000000000001</v>
      </c>
      <c r="H34" s="86">
        <f t="shared" si="0"/>
        <v>-59894.69</v>
      </c>
    </row>
    <row r="35" spans="1:8">
      <c r="A35" s="335">
        <v>45531</v>
      </c>
      <c r="B35" t="s">
        <v>1434</v>
      </c>
      <c r="C35" s="85" t="s">
        <v>1431</v>
      </c>
      <c r="D35" s="86" t="s">
        <v>1437</v>
      </c>
      <c r="E35" s="86">
        <v>-258.61</v>
      </c>
      <c r="F35" s="86"/>
      <c r="G35" s="86">
        <v>-258.61</v>
      </c>
      <c r="H35" s="86">
        <f t="shared" si="0"/>
        <v>-60153.3</v>
      </c>
    </row>
    <row r="36" spans="1:8">
      <c r="A36" s="335">
        <v>45531</v>
      </c>
      <c r="B36" t="s">
        <v>1435</v>
      </c>
      <c r="C36" s="85" t="s">
        <v>1431</v>
      </c>
      <c r="D36" s="86" t="s">
        <v>1437</v>
      </c>
      <c r="E36" s="86">
        <v>-119.07</v>
      </c>
      <c r="F36" s="86"/>
      <c r="G36" s="86">
        <v>-119.07</v>
      </c>
      <c r="H36" s="86">
        <f t="shared" si="0"/>
        <v>-60272.37</v>
      </c>
    </row>
    <row r="37" spans="1:8">
      <c r="A37" s="335">
        <v>45531</v>
      </c>
      <c r="B37" t="s">
        <v>1436</v>
      </c>
      <c r="C37" s="85" t="s">
        <v>1431</v>
      </c>
      <c r="D37" s="86" t="s">
        <v>1437</v>
      </c>
      <c r="E37" s="86">
        <v>-103.12</v>
      </c>
      <c r="F37" s="86"/>
      <c r="G37" s="86">
        <v>-103.12</v>
      </c>
      <c r="H37" s="86">
        <f t="shared" si="0"/>
        <v>-60375.490000000005</v>
      </c>
    </row>
    <row r="38" spans="1:8">
      <c r="C38" s="98"/>
      <c r="H38" s="86">
        <f t="shared" si="0"/>
        <v>-60375.490000000005</v>
      </c>
    </row>
    <row r="39" spans="1:8">
      <c r="C39" s="98"/>
      <c r="H39" s="86">
        <f t="shared" si="0"/>
        <v>-60375.490000000005</v>
      </c>
    </row>
    <row r="40" spans="1:8">
      <c r="H40" s="86">
        <f t="shared" si="0"/>
        <v>-60375.490000000005</v>
      </c>
    </row>
    <row r="41" spans="1:8">
      <c r="B41" s="339" t="s">
        <v>269</v>
      </c>
      <c r="C41" s="339"/>
      <c r="D41" s="343">
        <v>15000</v>
      </c>
      <c r="H41" s="86">
        <f t="shared" si="0"/>
        <v>-60375.490000000005</v>
      </c>
    </row>
    <row r="42" spans="1:8">
      <c r="B42" s="105" t="s">
        <v>270</v>
      </c>
      <c r="C42" s="105"/>
      <c r="D42" s="106">
        <v>8500</v>
      </c>
      <c r="H42" s="86">
        <f t="shared" si="0"/>
        <v>-60375.490000000005</v>
      </c>
    </row>
    <row r="43" spans="1:8">
      <c r="B43" s="339" t="s">
        <v>193</v>
      </c>
      <c r="C43" s="339"/>
      <c r="D43" s="340"/>
      <c r="E43" s="340">
        <v>-10000</v>
      </c>
      <c r="H43" s="86">
        <f t="shared" si="0"/>
        <v>-60375.490000000005</v>
      </c>
    </row>
    <row r="44" spans="1:8">
      <c r="B44" t="s">
        <v>277</v>
      </c>
      <c r="C44" s="98">
        <v>0.234011</v>
      </c>
      <c r="D44" s="85">
        <v>144000</v>
      </c>
      <c r="H44" s="86">
        <f t="shared" si="0"/>
        <v>-60375.490000000005</v>
      </c>
    </row>
    <row r="45" spans="1:8">
      <c r="B45" s="88" t="s">
        <v>208</v>
      </c>
      <c r="C45" s="88" t="s">
        <v>209</v>
      </c>
      <c r="E45" s="85">
        <v>-150</v>
      </c>
      <c r="H45" s="86">
        <f t="shared" si="0"/>
        <v>-60375.490000000005</v>
      </c>
    </row>
    <row r="46" spans="1:8">
      <c r="H46" s="86">
        <f t="shared" si="0"/>
        <v>-60375.490000000005</v>
      </c>
    </row>
    <row r="48" spans="1:8">
      <c r="B48" t="s">
        <v>222</v>
      </c>
    </row>
    <row r="49" spans="1:6">
      <c r="A49" s="78" t="s">
        <v>223</v>
      </c>
      <c r="B49" s="78"/>
      <c r="C49" s="78"/>
    </row>
    <row r="50" spans="1:6">
      <c r="A50" s="97"/>
      <c r="C50" s="98"/>
    </row>
    <row r="51" spans="1:6">
      <c r="A51" s="100">
        <v>44929</v>
      </c>
      <c r="B51" s="101" t="s">
        <v>224</v>
      </c>
      <c r="C51" s="78"/>
      <c r="D51" s="85">
        <f>SUM(D52:D57)</f>
        <v>0</v>
      </c>
      <c r="E51" s="85">
        <f>SUM(E52:E57)</f>
        <v>0</v>
      </c>
    </row>
    <row r="52" spans="1:6">
      <c r="A52" s="97"/>
      <c r="B52" s="94" t="s">
        <v>225</v>
      </c>
    </row>
    <row r="53" spans="1:6">
      <c r="B53" t="s">
        <v>226</v>
      </c>
    </row>
    <row r="54" spans="1:6">
      <c r="B54" t="s">
        <v>227</v>
      </c>
    </row>
    <row r="55" spans="1:6">
      <c r="B55" t="s">
        <v>228</v>
      </c>
    </row>
    <row r="56" spans="1:6">
      <c r="B56" t="s">
        <v>229</v>
      </c>
    </row>
    <row r="57" spans="1:6">
      <c r="B57" t="s">
        <v>230</v>
      </c>
      <c r="C57" s="94"/>
    </row>
    <row r="58" spans="1:6">
      <c r="C58" s="94"/>
    </row>
    <row r="60" spans="1:6">
      <c r="B60" s="13"/>
    </row>
    <row r="61" spans="1:6">
      <c r="B61" s="102"/>
    </row>
    <row r="62" spans="1:6">
      <c r="A62" s="78"/>
      <c r="B62" s="77" t="s">
        <v>231</v>
      </c>
      <c r="C62" s="78"/>
      <c r="E62" s="85">
        <f>SUM(E63:E74)</f>
        <v>-8154.2</v>
      </c>
    </row>
    <row r="64" spans="1:6">
      <c r="A64" s="20">
        <v>45348</v>
      </c>
      <c r="B64" t="s">
        <v>257</v>
      </c>
      <c r="C64">
        <v>1406</v>
      </c>
      <c r="D64" s="85" t="s">
        <v>278</v>
      </c>
      <c r="E64" s="85">
        <v>-234.33</v>
      </c>
      <c r="F64" s="85">
        <v>0</v>
      </c>
    </row>
    <row r="65" spans="1:6">
      <c r="A65" s="20">
        <v>45373</v>
      </c>
      <c r="B65" t="s">
        <v>232</v>
      </c>
      <c r="C65">
        <v>10176.39</v>
      </c>
      <c r="D65" s="85" t="s">
        <v>279</v>
      </c>
      <c r="E65" s="85">
        <v>-1130.71</v>
      </c>
      <c r="F65" s="85">
        <v>0</v>
      </c>
    </row>
    <row r="66" spans="1:6">
      <c r="A66" s="20">
        <v>45375</v>
      </c>
      <c r="B66" t="s">
        <v>234</v>
      </c>
      <c r="C66">
        <v>5999</v>
      </c>
      <c r="D66" s="85" t="s">
        <v>279</v>
      </c>
      <c r="E66" s="85">
        <v>-666.56</v>
      </c>
      <c r="F66" s="85">
        <v>0</v>
      </c>
    </row>
    <row r="67" spans="1:6">
      <c r="A67" s="20">
        <v>45358</v>
      </c>
      <c r="B67" t="s">
        <v>260</v>
      </c>
      <c r="C67">
        <v>2273</v>
      </c>
      <c r="D67" s="85" t="s">
        <v>278</v>
      </c>
      <c r="E67" s="85">
        <v>-378.87</v>
      </c>
      <c r="F67" s="85">
        <v>0</v>
      </c>
    </row>
    <row r="68" spans="1:6">
      <c r="A68" s="20">
        <v>45371</v>
      </c>
      <c r="B68" t="s">
        <v>261</v>
      </c>
      <c r="D68" s="85" t="s">
        <v>278</v>
      </c>
      <c r="E68" s="85">
        <v>101.77</v>
      </c>
      <c r="F68" s="85">
        <v>0</v>
      </c>
    </row>
    <row r="69" spans="1:6">
      <c r="A69" s="97">
        <v>45442</v>
      </c>
      <c r="B69" s="107" t="s">
        <v>280</v>
      </c>
      <c r="C69" s="94"/>
      <c r="D69" s="85" t="s">
        <v>281</v>
      </c>
      <c r="E69" s="85">
        <v>-1054.1400000000001</v>
      </c>
      <c r="F69" s="85">
        <v>0</v>
      </c>
    </row>
    <row r="70" spans="1:6">
      <c r="A70" s="97">
        <v>45456</v>
      </c>
      <c r="B70" s="103" t="s">
        <v>262</v>
      </c>
      <c r="C70" s="94"/>
      <c r="D70" s="85" t="s">
        <v>282</v>
      </c>
      <c r="E70" s="85">
        <v>-3923.33</v>
      </c>
      <c r="F70" s="85">
        <v>0</v>
      </c>
    </row>
    <row r="71" spans="1:6">
      <c r="A71" s="97">
        <v>45470</v>
      </c>
      <c r="B71" s="103" t="s">
        <v>283</v>
      </c>
      <c r="C71" s="94"/>
      <c r="E71" s="85">
        <v>-868.03</v>
      </c>
    </row>
    <row r="72" spans="1:6">
      <c r="A72" s="97">
        <v>45478</v>
      </c>
      <c r="B72" s="103" t="s">
        <v>284</v>
      </c>
      <c r="C72" s="94"/>
      <c r="D72" s="85">
        <v>2700.47</v>
      </c>
    </row>
    <row r="73" spans="1:6" ht="15">
      <c r="A73" s="97">
        <v>45478</v>
      </c>
      <c r="B73" s="103" t="s">
        <v>284</v>
      </c>
      <c r="D73" s="85">
        <v>6244.07</v>
      </c>
      <c r="E73" s="108" t="s">
        <v>285</v>
      </c>
    </row>
    <row r="74" spans="1:6">
      <c r="A74" s="97"/>
      <c r="B74" s="103"/>
      <c r="C74" s="94"/>
    </row>
    <row r="75" spans="1:6">
      <c r="A75" s="97"/>
      <c r="B75" s="3"/>
    </row>
    <row r="76" spans="1:6">
      <c r="A76" s="97"/>
      <c r="B76" s="94"/>
      <c r="C76" s="94"/>
    </row>
    <row r="77" spans="1:6">
      <c r="A77" s="78"/>
      <c r="B77" s="77" t="s">
        <v>235</v>
      </c>
      <c r="C77" s="78"/>
      <c r="E77" s="85">
        <f>SUM(E78:E120)</f>
        <v>-21980.090000000004</v>
      </c>
    </row>
    <row r="78" spans="1:6">
      <c r="A78" s="97"/>
      <c r="B78" s="94"/>
      <c r="C78" s="94"/>
    </row>
    <row r="79" spans="1:6">
      <c r="A79" s="97"/>
      <c r="B79" s="3" t="s">
        <v>286</v>
      </c>
      <c r="C79" s="94"/>
      <c r="D79" s="85" t="s">
        <v>287</v>
      </c>
      <c r="E79" s="85">
        <v>-649.79999999999995</v>
      </c>
    </row>
    <row r="80" spans="1:6">
      <c r="A80" s="97"/>
      <c r="B80" s="3" t="s">
        <v>288</v>
      </c>
      <c r="C80" s="94">
        <v>50</v>
      </c>
      <c r="D80" s="85" t="s">
        <v>287</v>
      </c>
    </row>
    <row r="81" spans="1:5">
      <c r="A81" s="97"/>
      <c r="B81" s="3"/>
      <c r="C81" s="94"/>
    </row>
    <row r="82" spans="1:5">
      <c r="A82" s="97">
        <v>45456</v>
      </c>
      <c r="B82" t="s">
        <v>289</v>
      </c>
      <c r="C82" s="94"/>
      <c r="D82" s="85" t="s">
        <v>281</v>
      </c>
      <c r="E82" s="85">
        <v>-5875</v>
      </c>
    </row>
    <row r="83" spans="1:5">
      <c r="A83" s="97">
        <v>45456</v>
      </c>
      <c r="B83" t="s">
        <v>290</v>
      </c>
      <c r="C83" s="94"/>
      <c r="D83" s="85" t="s">
        <v>281</v>
      </c>
      <c r="E83" s="85">
        <v>-4300</v>
      </c>
    </row>
    <row r="84" spans="1:5">
      <c r="A84" s="97">
        <v>45475</v>
      </c>
      <c r="B84" s="3" t="s">
        <v>291</v>
      </c>
      <c r="C84" s="94"/>
      <c r="E84" s="85">
        <v>-1129.5</v>
      </c>
    </row>
    <row r="85" spans="1:5">
      <c r="A85" s="97">
        <v>45478</v>
      </c>
      <c r="B85" s="3" t="s">
        <v>292</v>
      </c>
      <c r="C85" s="94"/>
      <c r="E85" s="85">
        <v>-1060</v>
      </c>
    </row>
    <row r="86" spans="1:5">
      <c r="A86" s="97"/>
      <c r="B86" s="3"/>
      <c r="C86" s="94"/>
    </row>
    <row r="87" spans="1:5">
      <c r="A87" s="97">
        <v>45467</v>
      </c>
      <c r="B87" s="3" t="s">
        <v>293</v>
      </c>
      <c r="C87" s="94">
        <v>120</v>
      </c>
      <c r="E87" s="85">
        <v>-120</v>
      </c>
    </row>
    <row r="88" spans="1:5">
      <c r="A88" s="97">
        <v>45467</v>
      </c>
      <c r="B88" s="3" t="s">
        <v>294</v>
      </c>
      <c r="C88" s="94"/>
      <c r="E88" s="85">
        <v>-70</v>
      </c>
    </row>
    <row r="89" spans="1:5">
      <c r="A89" s="97">
        <v>45467</v>
      </c>
      <c r="B89" s="3" t="s">
        <v>295</v>
      </c>
      <c r="C89" s="94"/>
      <c r="E89" s="85">
        <v>-1400</v>
      </c>
    </row>
    <row r="90" spans="1:5">
      <c r="A90" s="97">
        <v>45468</v>
      </c>
      <c r="B90" s="3" t="s">
        <v>293</v>
      </c>
      <c r="C90" s="94">
        <v>150</v>
      </c>
      <c r="E90" s="85">
        <v>-150</v>
      </c>
    </row>
    <row r="91" spans="1:5">
      <c r="A91" s="97">
        <v>45468</v>
      </c>
      <c r="B91" s="3" t="s">
        <v>296</v>
      </c>
      <c r="C91" s="94"/>
      <c r="E91" s="85">
        <v>-230</v>
      </c>
    </row>
    <row r="92" spans="1:5">
      <c r="A92" s="97">
        <v>45469</v>
      </c>
      <c r="B92" s="3" t="s">
        <v>293</v>
      </c>
      <c r="C92" s="94">
        <v>250</v>
      </c>
      <c r="E92" s="85">
        <v>-250</v>
      </c>
    </row>
    <row r="93" spans="1:5">
      <c r="A93" s="97">
        <v>45470</v>
      </c>
      <c r="B93" s="3" t="s">
        <v>297</v>
      </c>
      <c r="C93" s="94"/>
      <c r="E93" s="85">
        <v>-130</v>
      </c>
    </row>
    <row r="94" spans="1:5">
      <c r="A94" s="97">
        <v>45470</v>
      </c>
      <c r="B94" s="3" t="s">
        <v>298</v>
      </c>
      <c r="C94" s="94"/>
      <c r="E94" s="85">
        <v>-48.99</v>
      </c>
    </row>
    <row r="95" spans="1:5">
      <c r="A95" s="97">
        <v>45470</v>
      </c>
      <c r="B95" s="3" t="s">
        <v>299</v>
      </c>
      <c r="C95" s="94"/>
      <c r="E95" s="85">
        <v>-169.5</v>
      </c>
    </row>
    <row r="96" spans="1:5">
      <c r="A96" s="97">
        <v>45471</v>
      </c>
      <c r="B96" s="3" t="s">
        <v>300</v>
      </c>
      <c r="C96" s="94"/>
      <c r="E96" s="85">
        <v>-80</v>
      </c>
    </row>
    <row r="97" spans="1:5">
      <c r="A97" s="97">
        <v>45473</v>
      </c>
      <c r="B97" s="3" t="s">
        <v>301</v>
      </c>
      <c r="C97" s="94"/>
      <c r="E97" s="85">
        <v>-50</v>
      </c>
    </row>
    <row r="98" spans="1:5">
      <c r="A98" s="97">
        <v>45474</v>
      </c>
      <c r="B98" s="3" t="s">
        <v>294</v>
      </c>
      <c r="C98" s="94"/>
      <c r="E98" s="85">
        <v>-70</v>
      </c>
    </row>
    <row r="99" spans="1:5">
      <c r="A99" s="97">
        <v>45475</v>
      </c>
      <c r="B99" s="3" t="s">
        <v>293</v>
      </c>
      <c r="C99" s="94">
        <v>440</v>
      </c>
      <c r="E99" s="85">
        <v>-440</v>
      </c>
    </row>
    <row r="100" spans="1:5">
      <c r="A100" s="97">
        <v>45475</v>
      </c>
      <c r="B100" s="3" t="s">
        <v>302</v>
      </c>
      <c r="E100" s="85">
        <v>-1673</v>
      </c>
    </row>
    <row r="101" spans="1:5">
      <c r="A101" s="97">
        <v>45475</v>
      </c>
      <c r="B101" s="3" t="s">
        <v>297</v>
      </c>
      <c r="C101" s="94"/>
      <c r="E101" s="85">
        <v>-150</v>
      </c>
    </row>
    <row r="102" spans="1:5">
      <c r="A102" s="97">
        <v>45476</v>
      </c>
      <c r="B102" s="3" t="s">
        <v>294</v>
      </c>
      <c r="C102" s="94"/>
      <c r="E102" s="85">
        <v>-140</v>
      </c>
    </row>
    <row r="103" spans="1:5">
      <c r="A103" s="97">
        <v>45477</v>
      </c>
      <c r="B103" s="3" t="s">
        <v>303</v>
      </c>
      <c r="C103" s="94">
        <v>10597.81</v>
      </c>
    </row>
    <row r="104" spans="1:5">
      <c r="A104" s="97">
        <v>45478</v>
      </c>
      <c r="B104" s="3" t="s">
        <v>304</v>
      </c>
      <c r="C104" s="94"/>
      <c r="E104" s="85">
        <v>-300</v>
      </c>
    </row>
    <row r="105" spans="1:5">
      <c r="A105" s="97">
        <v>45478</v>
      </c>
      <c r="B105" s="3" t="s">
        <v>284</v>
      </c>
      <c r="C105" s="94">
        <v>15971.71</v>
      </c>
    </row>
    <row r="106" spans="1:5">
      <c r="A106" s="97">
        <v>45479</v>
      </c>
      <c r="B106" s="3" t="s">
        <v>305</v>
      </c>
      <c r="C106" s="94"/>
      <c r="E106" s="85">
        <v>-325</v>
      </c>
    </row>
    <row r="107" spans="1:5">
      <c r="A107" s="97">
        <v>45479</v>
      </c>
      <c r="B107" s="3" t="s">
        <v>306</v>
      </c>
      <c r="C107" s="94"/>
      <c r="E107" s="85">
        <v>-629</v>
      </c>
    </row>
    <row r="108" spans="1:5">
      <c r="A108" s="97"/>
      <c r="B108" s="3" t="s">
        <v>307</v>
      </c>
      <c r="C108" s="94"/>
      <c r="E108" s="85">
        <v>-800</v>
      </c>
    </row>
    <row r="109" spans="1:5">
      <c r="E109" s="85">
        <v>-119.74</v>
      </c>
    </row>
    <row r="110" spans="1:5">
      <c r="E110" s="85">
        <v>-215.98</v>
      </c>
    </row>
    <row r="111" spans="1:5">
      <c r="E111" s="85">
        <v>-104</v>
      </c>
    </row>
    <row r="112" spans="1:5">
      <c r="E112" s="85">
        <v>-81.37</v>
      </c>
    </row>
    <row r="113" spans="1:5">
      <c r="E113" s="85">
        <v>-65.67</v>
      </c>
    </row>
    <row r="114" spans="1:5">
      <c r="E114" s="85">
        <v>-260</v>
      </c>
    </row>
    <row r="115" spans="1:5">
      <c r="E115" s="85">
        <v>-270</v>
      </c>
    </row>
    <row r="116" spans="1:5">
      <c r="E116" s="85">
        <v>-300</v>
      </c>
    </row>
    <row r="117" spans="1:5">
      <c r="B117" s="37" t="s">
        <v>359</v>
      </c>
      <c r="C117" s="94">
        <f>SUM(C87:C99)</f>
        <v>960</v>
      </c>
      <c r="E117" s="85">
        <v>-37.33</v>
      </c>
    </row>
    <row r="118" spans="1:5">
      <c r="E118" s="85">
        <v>-37.33</v>
      </c>
    </row>
    <row r="119" spans="1:5">
      <c r="E119" s="85">
        <v>-72.63</v>
      </c>
    </row>
    <row r="120" spans="1:5" ht="15">
      <c r="D120" s="108" t="s">
        <v>285</v>
      </c>
      <c r="E120" s="85">
        <v>-176.25</v>
      </c>
    </row>
    <row r="121" spans="1:5" ht="15">
      <c r="D121" s="109"/>
    </row>
    <row r="122" spans="1:5" ht="15">
      <c r="D122" s="109"/>
    </row>
    <row r="124" spans="1:5">
      <c r="A124" s="76" t="s">
        <v>308</v>
      </c>
      <c r="B124" s="77" t="s">
        <v>171</v>
      </c>
      <c r="C124" s="78">
        <v>2024</v>
      </c>
      <c r="D124" s="79"/>
      <c r="E124" s="80">
        <f>SUM(E125:E145)</f>
        <v>981303.72722800006</v>
      </c>
    </row>
    <row r="125" spans="1:5">
      <c r="A125" s="81">
        <v>45505</v>
      </c>
      <c r="B125" t="s">
        <v>84</v>
      </c>
      <c r="C125" s="2"/>
      <c r="D125" s="2"/>
      <c r="E125" s="2">
        <v>64000</v>
      </c>
    </row>
    <row r="126" spans="1:5">
      <c r="A126" s="81">
        <f t="shared" ref="A126:A145" si="2">A125</f>
        <v>45505</v>
      </c>
      <c r="B126" t="s">
        <v>309</v>
      </c>
      <c r="C126" s="2"/>
      <c r="D126" s="2"/>
      <c r="E126" s="2">
        <v>150845</v>
      </c>
    </row>
    <row r="127" spans="1:5">
      <c r="A127" s="81">
        <f t="shared" si="2"/>
        <v>45505</v>
      </c>
      <c r="B127" t="s">
        <v>173</v>
      </c>
      <c r="C127" s="2"/>
      <c r="D127" s="2"/>
      <c r="E127" s="13">
        <v>12712.47</v>
      </c>
    </row>
    <row r="128" spans="1:5">
      <c r="A128" s="81">
        <f t="shared" si="2"/>
        <v>45505</v>
      </c>
      <c r="B128" t="s">
        <v>174</v>
      </c>
      <c r="C128" s="2"/>
      <c r="D128" s="2"/>
      <c r="E128" s="13">
        <v>0</v>
      </c>
    </row>
    <row r="129" spans="1:5">
      <c r="A129" s="81">
        <f t="shared" si="2"/>
        <v>45505</v>
      </c>
      <c r="B129" t="s">
        <v>310</v>
      </c>
      <c r="C129" s="2"/>
      <c r="D129" s="2"/>
      <c r="E129" s="13">
        <v>0</v>
      </c>
    </row>
    <row r="130" spans="1:5">
      <c r="A130" s="81">
        <f t="shared" si="2"/>
        <v>45505</v>
      </c>
      <c r="B130" t="s">
        <v>175</v>
      </c>
      <c r="C130" s="110"/>
      <c r="D130" s="2"/>
      <c r="E130" s="13">
        <v>0</v>
      </c>
    </row>
    <row r="131" spans="1:5">
      <c r="A131" s="81">
        <f t="shared" si="2"/>
        <v>45505</v>
      </c>
      <c r="B131" t="s">
        <v>60</v>
      </c>
      <c r="C131" s="2">
        <v>74</v>
      </c>
      <c r="D131" s="111">
        <v>677.53942199999995</v>
      </c>
      <c r="E131" s="13">
        <f t="shared" ref="E131:E143" si="3">D131*C131</f>
        <v>50137.917227999998</v>
      </c>
    </row>
    <row r="132" spans="1:5">
      <c r="A132" s="81">
        <f t="shared" si="2"/>
        <v>45505</v>
      </c>
      <c r="B132" t="s">
        <v>311</v>
      </c>
      <c r="C132" s="112">
        <v>125000</v>
      </c>
      <c r="D132" s="111">
        <v>0.83506999999999998</v>
      </c>
      <c r="E132" s="13">
        <f t="shared" si="3"/>
        <v>104383.75</v>
      </c>
    </row>
    <row r="133" spans="1:5">
      <c r="A133" s="81">
        <f t="shared" si="2"/>
        <v>45505</v>
      </c>
      <c r="B133" t="s">
        <v>312</v>
      </c>
      <c r="C133" s="2">
        <v>10</v>
      </c>
      <c r="D133" s="2">
        <v>123.7</v>
      </c>
      <c r="E133" s="13">
        <f t="shared" si="3"/>
        <v>1237</v>
      </c>
    </row>
    <row r="134" spans="1:5">
      <c r="A134" s="81">
        <f t="shared" si="2"/>
        <v>45505</v>
      </c>
      <c r="B134" t="s">
        <v>313</v>
      </c>
      <c r="C134" s="2">
        <v>38</v>
      </c>
      <c r="D134" s="2">
        <v>22.78</v>
      </c>
      <c r="E134" s="13">
        <f t="shared" si="3"/>
        <v>865.6400000000001</v>
      </c>
    </row>
    <row r="135" spans="1:5">
      <c r="A135" s="81">
        <f t="shared" si="2"/>
        <v>45505</v>
      </c>
      <c r="B135" t="s">
        <v>314</v>
      </c>
      <c r="C135" s="2">
        <v>26</v>
      </c>
      <c r="D135" s="2">
        <v>27.26</v>
      </c>
      <c r="E135" s="13">
        <f t="shared" si="3"/>
        <v>708.76</v>
      </c>
    </row>
    <row r="136" spans="1:5">
      <c r="A136" s="81">
        <f t="shared" si="2"/>
        <v>45505</v>
      </c>
      <c r="B136" t="s">
        <v>183</v>
      </c>
      <c r="C136" s="2"/>
      <c r="D136" s="2"/>
      <c r="E136" s="13">
        <f t="shared" si="3"/>
        <v>0</v>
      </c>
    </row>
    <row r="137" spans="1:5">
      <c r="A137" s="81">
        <f t="shared" si="2"/>
        <v>45505</v>
      </c>
      <c r="B137" t="s">
        <v>315</v>
      </c>
      <c r="C137" s="2">
        <v>7500</v>
      </c>
      <c r="D137" s="2">
        <v>24.5</v>
      </c>
      <c r="E137" s="13">
        <f t="shared" si="3"/>
        <v>183750</v>
      </c>
    </row>
    <row r="138" spans="1:5">
      <c r="A138" s="81">
        <f t="shared" si="2"/>
        <v>45505</v>
      </c>
      <c r="C138" s="2"/>
      <c r="D138" s="2"/>
      <c r="E138" s="13">
        <f t="shared" si="3"/>
        <v>0</v>
      </c>
    </row>
    <row r="139" spans="1:5">
      <c r="A139" s="81">
        <f t="shared" si="2"/>
        <v>45505</v>
      </c>
      <c r="C139" s="2"/>
      <c r="D139" s="2"/>
      <c r="E139" s="13">
        <f t="shared" si="3"/>
        <v>0</v>
      </c>
    </row>
    <row r="140" spans="1:5">
      <c r="A140" s="81">
        <f t="shared" si="2"/>
        <v>45505</v>
      </c>
      <c r="B140" t="s">
        <v>316</v>
      </c>
      <c r="C140" s="2">
        <v>2375.02</v>
      </c>
      <c r="D140" s="2">
        <v>156</v>
      </c>
      <c r="E140" s="13">
        <f t="shared" si="3"/>
        <v>370503.12</v>
      </c>
    </row>
    <row r="141" spans="1:5">
      <c r="A141" s="81">
        <f t="shared" si="2"/>
        <v>45505</v>
      </c>
      <c r="B141" t="s">
        <v>317</v>
      </c>
      <c r="C141" s="83">
        <v>31.963699999999999</v>
      </c>
      <c r="D141" s="2">
        <v>850</v>
      </c>
      <c r="E141" s="13">
        <f t="shared" si="3"/>
        <v>27169.145</v>
      </c>
    </row>
    <row r="142" spans="1:5">
      <c r="A142" s="81">
        <f t="shared" si="2"/>
        <v>45505</v>
      </c>
      <c r="B142" t="s">
        <v>318</v>
      </c>
      <c r="C142" s="83">
        <f>C141</f>
        <v>31.963699999999999</v>
      </c>
      <c r="D142" s="2">
        <v>250</v>
      </c>
      <c r="E142" s="13">
        <f t="shared" si="3"/>
        <v>7990.9250000000002</v>
      </c>
    </row>
    <row r="143" spans="1:5">
      <c r="A143" s="81">
        <f t="shared" si="2"/>
        <v>45505</v>
      </c>
      <c r="B143" t="s">
        <v>319</v>
      </c>
      <c r="C143" s="83">
        <v>34.412100000000002</v>
      </c>
      <c r="D143" s="2">
        <v>0</v>
      </c>
      <c r="E143" s="13">
        <f t="shared" si="3"/>
        <v>0</v>
      </c>
    </row>
    <row r="144" spans="1:5">
      <c r="A144" s="81">
        <f t="shared" si="2"/>
        <v>45505</v>
      </c>
      <c r="B144" t="s">
        <v>187</v>
      </c>
      <c r="C144" s="2"/>
      <c r="D144" s="2"/>
      <c r="E144" s="13">
        <v>3000</v>
      </c>
    </row>
    <row r="145" spans="1:5">
      <c r="A145" s="81">
        <f t="shared" si="2"/>
        <v>45505</v>
      </c>
      <c r="B145" t="s">
        <v>94</v>
      </c>
      <c r="C145" s="2"/>
      <c r="D145" s="2"/>
      <c r="E145" s="13">
        <v>4000</v>
      </c>
    </row>
    <row r="146" spans="1:5">
      <c r="E146" s="113"/>
    </row>
    <row r="147" spans="1:5">
      <c r="C147" s="110"/>
      <c r="D147" s="3"/>
      <c r="E147" s="110"/>
    </row>
    <row r="148" spans="1:5">
      <c r="C148" s="110"/>
      <c r="D148" s="70" t="s">
        <v>189</v>
      </c>
      <c r="E148" s="8">
        <f>SUM(E125:E145)</f>
        <v>981303.72722800006</v>
      </c>
    </row>
    <row r="149" spans="1:5">
      <c r="C149" s="114" t="str">
        <f>A124</f>
        <v>AĞUSTOSa</v>
      </c>
      <c r="D149" s="115" t="s">
        <v>188</v>
      </c>
      <c r="E149" s="116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2F0D9"/>
  </sheetPr>
  <dimension ref="A1:H158"/>
  <sheetViews>
    <sheetView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1493</v>
      </c>
      <c r="C2" s="87" t="s">
        <v>191</v>
      </c>
      <c r="D2" s="85">
        <f>SUM(D4:D39)</f>
        <v>51000</v>
      </c>
      <c r="E2" s="85">
        <f>SUM(E4:E39)</f>
        <v>-85166.06</v>
      </c>
      <c r="F2" s="85">
        <f>SUM(F4:F39)</f>
        <v>27984.15</v>
      </c>
      <c r="G2" s="85">
        <f>SUM(G4:G39)</f>
        <v>-87971.62</v>
      </c>
      <c r="H2" s="85">
        <f>F2+G2</f>
        <v>-59987.469999999994</v>
      </c>
    </row>
    <row r="3" spans="1:8">
      <c r="B3" s="70"/>
    </row>
    <row r="4" spans="1:8">
      <c r="A4" s="20">
        <v>45468</v>
      </c>
      <c r="B4" s="43" t="s">
        <v>192</v>
      </c>
      <c r="D4" s="86"/>
      <c r="E4" s="86">
        <v>-152</v>
      </c>
      <c r="F4" s="86"/>
      <c r="G4" s="86">
        <v>-167</v>
      </c>
      <c r="H4" s="86">
        <f t="shared" ref="H4:H38" si="0">H3+F4+G4</f>
        <v>-167</v>
      </c>
    </row>
    <row r="5" spans="1:8">
      <c r="D5" s="86"/>
      <c r="E5" s="86"/>
      <c r="F5" s="86"/>
      <c r="G5" s="86"/>
      <c r="H5" s="86">
        <f t="shared" si="0"/>
        <v>-167</v>
      </c>
    </row>
    <row r="6" spans="1:8">
      <c r="A6" s="20">
        <v>45474</v>
      </c>
      <c r="B6" s="88" t="s">
        <v>194</v>
      </c>
      <c r="C6" s="88"/>
      <c r="D6" s="86"/>
      <c r="E6" s="86">
        <v>-400</v>
      </c>
      <c r="F6" s="86"/>
      <c r="G6" s="86">
        <v>-275</v>
      </c>
      <c r="H6" s="86">
        <f t="shared" si="0"/>
        <v>-442</v>
      </c>
    </row>
    <row r="7" spans="1:8">
      <c r="A7" s="20">
        <v>45474</v>
      </c>
      <c r="B7" s="88" t="s">
        <v>195</v>
      </c>
      <c r="C7" s="88"/>
      <c r="D7" s="86"/>
      <c r="E7" s="86">
        <v>-500</v>
      </c>
      <c r="F7" s="86"/>
      <c r="G7" s="86">
        <v>-520</v>
      </c>
      <c r="H7" s="86">
        <f t="shared" si="0"/>
        <v>-962</v>
      </c>
    </row>
    <row r="8" spans="1:8">
      <c r="B8" s="88" t="s">
        <v>320</v>
      </c>
      <c r="C8" s="88" t="s">
        <v>197</v>
      </c>
      <c r="D8" s="86"/>
      <c r="E8" s="86">
        <v>-250</v>
      </c>
      <c r="F8" s="86"/>
      <c r="G8" s="86"/>
      <c r="H8" s="86">
        <f t="shared" si="0"/>
        <v>-962</v>
      </c>
    </row>
    <row r="9" spans="1:8">
      <c r="A9" s="20">
        <v>45478</v>
      </c>
      <c r="B9" s="104" t="s">
        <v>213</v>
      </c>
      <c r="D9" s="86"/>
      <c r="E9" s="86">
        <f>E55</f>
        <v>-8944.5400000000009</v>
      </c>
      <c r="F9" s="86"/>
      <c r="G9" s="86">
        <f>E9</f>
        <v>-8944.5400000000009</v>
      </c>
      <c r="H9" s="86">
        <f t="shared" si="0"/>
        <v>-9906.5400000000009</v>
      </c>
    </row>
    <row r="10" spans="1:8">
      <c r="A10" s="96">
        <v>45478</v>
      </c>
      <c r="B10" s="104" t="s">
        <v>214</v>
      </c>
      <c r="D10" s="86"/>
      <c r="E10" s="86">
        <f>E72</f>
        <v>-26619.52</v>
      </c>
      <c r="F10" s="86"/>
      <c r="G10" s="86">
        <f>E10</f>
        <v>-26619.52</v>
      </c>
      <c r="H10" s="86">
        <f t="shared" si="0"/>
        <v>-36526.06</v>
      </c>
    </row>
    <row r="11" spans="1:8">
      <c r="A11" s="97">
        <v>45481</v>
      </c>
      <c r="B11" t="s">
        <v>321</v>
      </c>
      <c r="D11" s="86">
        <v>15000</v>
      </c>
      <c r="E11" s="86"/>
      <c r="F11" s="86">
        <v>15000</v>
      </c>
      <c r="G11" s="86"/>
      <c r="H11" s="86">
        <f t="shared" si="0"/>
        <v>-21526.059999999998</v>
      </c>
    </row>
    <row r="12" spans="1:8">
      <c r="A12" s="20">
        <v>45481</v>
      </c>
      <c r="B12" s="88" t="s">
        <v>322</v>
      </c>
      <c r="C12" s="88"/>
      <c r="D12" s="86"/>
      <c r="E12" s="86">
        <v>-17500</v>
      </c>
      <c r="F12" s="86"/>
      <c r="G12" s="86">
        <v>-17500</v>
      </c>
      <c r="H12" s="86">
        <f t="shared" si="0"/>
        <v>-39026.06</v>
      </c>
    </row>
    <row r="13" spans="1:8">
      <c r="A13" s="20">
        <v>45481</v>
      </c>
      <c r="B13" s="88" t="s">
        <v>216</v>
      </c>
      <c r="C13" s="88"/>
      <c r="D13" s="86"/>
      <c r="E13" s="86">
        <v>-1500</v>
      </c>
      <c r="F13" s="86"/>
      <c r="G13" s="86">
        <v>-1519.7</v>
      </c>
      <c r="H13" s="86">
        <f t="shared" si="0"/>
        <v>-40545.759999999995</v>
      </c>
    </row>
    <row r="14" spans="1:8">
      <c r="B14" s="88" t="s">
        <v>208</v>
      </c>
      <c r="C14" s="88" t="s">
        <v>209</v>
      </c>
      <c r="D14" s="86"/>
      <c r="E14" s="86">
        <v>-150</v>
      </c>
      <c r="F14" s="86"/>
      <c r="G14" s="86"/>
      <c r="H14" s="86">
        <f t="shared" si="0"/>
        <v>-40545.759999999995</v>
      </c>
    </row>
    <row r="15" spans="1:8">
      <c r="A15" s="20">
        <v>45481</v>
      </c>
      <c r="B15" t="s">
        <v>193</v>
      </c>
      <c r="C15" s="88"/>
      <c r="D15" s="86"/>
      <c r="E15" s="86">
        <v>-10000</v>
      </c>
      <c r="F15" s="86"/>
      <c r="G15" s="86">
        <v>-10000</v>
      </c>
      <c r="H15" s="86">
        <f t="shared" si="0"/>
        <v>-50545.759999999995</v>
      </c>
    </row>
    <row r="16" spans="1:8">
      <c r="B16" s="88"/>
      <c r="C16" s="88"/>
      <c r="D16" s="86"/>
      <c r="E16" s="86"/>
      <c r="F16" s="86"/>
      <c r="G16" s="86"/>
      <c r="H16" s="86">
        <f t="shared" si="0"/>
        <v>-50545.759999999995</v>
      </c>
    </row>
    <row r="17" spans="1:8">
      <c r="B17" s="88"/>
      <c r="C17" s="88"/>
      <c r="D17" s="86"/>
      <c r="E17" s="86"/>
      <c r="F17" s="86"/>
      <c r="G17" s="86"/>
      <c r="H17" s="86">
        <f t="shared" si="0"/>
        <v>-50545.759999999995</v>
      </c>
    </row>
    <row r="18" spans="1:8">
      <c r="D18" s="86"/>
      <c r="E18" s="86"/>
      <c r="F18" s="86"/>
      <c r="G18" s="86"/>
      <c r="H18" s="86">
        <f t="shared" si="0"/>
        <v>-50545.759999999995</v>
      </c>
    </row>
    <row r="19" spans="1:8">
      <c r="A19" s="20">
        <v>45489</v>
      </c>
      <c r="B19" s="94" t="s">
        <v>210</v>
      </c>
      <c r="C19" s="94" t="s">
        <v>209</v>
      </c>
      <c r="D19" s="86"/>
      <c r="E19" s="86">
        <v>-300</v>
      </c>
      <c r="F19" s="86"/>
      <c r="G19" s="86">
        <v>-33</v>
      </c>
      <c r="H19" s="86">
        <f t="shared" si="0"/>
        <v>-50578.759999999995</v>
      </c>
    </row>
    <row r="20" spans="1:8">
      <c r="A20" s="20">
        <v>45489</v>
      </c>
      <c r="B20" s="94" t="s">
        <v>211</v>
      </c>
      <c r="C20" s="94" t="s">
        <v>209</v>
      </c>
      <c r="D20" s="86"/>
      <c r="E20" s="86">
        <v>-100</v>
      </c>
      <c r="F20" s="86"/>
      <c r="G20" s="86">
        <v>-27</v>
      </c>
      <c r="H20" s="86">
        <f t="shared" si="0"/>
        <v>-50605.759999999995</v>
      </c>
    </row>
    <row r="21" spans="1:8">
      <c r="B21" s="88"/>
      <c r="C21" s="88"/>
      <c r="D21" s="86"/>
      <c r="E21" s="86"/>
      <c r="F21" s="86"/>
      <c r="G21" s="86"/>
      <c r="H21" s="86">
        <f t="shared" si="0"/>
        <v>-50605.759999999995</v>
      </c>
    </row>
    <row r="22" spans="1:8">
      <c r="B22" s="104" t="s">
        <v>212</v>
      </c>
      <c r="D22" s="86"/>
      <c r="E22" s="86">
        <f>F50*-1</f>
        <v>0</v>
      </c>
      <c r="F22" s="86"/>
      <c r="G22" s="86"/>
      <c r="H22" s="86">
        <f t="shared" si="0"/>
        <v>-50605.759999999995</v>
      </c>
    </row>
    <row r="23" spans="1:8">
      <c r="A23" s="20"/>
      <c r="D23" s="86"/>
      <c r="E23" s="86"/>
      <c r="F23" s="86"/>
      <c r="G23" s="86"/>
      <c r="H23" s="86">
        <f t="shared" si="0"/>
        <v>-50605.759999999995</v>
      </c>
    </row>
    <row r="24" spans="1:8">
      <c r="D24" s="86"/>
      <c r="E24" s="86"/>
      <c r="F24" s="86"/>
      <c r="G24" s="86"/>
      <c r="H24" s="86">
        <f t="shared" si="0"/>
        <v>-50605.759999999995</v>
      </c>
    </row>
    <row r="25" spans="1:8">
      <c r="D25" s="86"/>
      <c r="E25" s="86"/>
      <c r="F25" s="86"/>
      <c r="G25" s="86"/>
      <c r="H25" s="86">
        <f t="shared" si="0"/>
        <v>-50605.759999999995</v>
      </c>
    </row>
    <row r="26" spans="1:8">
      <c r="A26" s="20">
        <v>45500</v>
      </c>
      <c r="B26" t="s">
        <v>84</v>
      </c>
      <c r="D26" s="86"/>
      <c r="E26" s="86">
        <v>-6250</v>
      </c>
      <c r="F26" s="86"/>
      <c r="G26" s="86">
        <v>-6500</v>
      </c>
      <c r="H26" s="86">
        <f t="shared" si="0"/>
        <v>-57105.759999999995</v>
      </c>
    </row>
    <row r="27" spans="1:8">
      <c r="A27" s="20">
        <v>45500</v>
      </c>
      <c r="B27" t="s">
        <v>172</v>
      </c>
      <c r="D27" s="86"/>
      <c r="E27" s="86">
        <v>-6250</v>
      </c>
      <c r="F27" s="86"/>
      <c r="G27" s="86">
        <v>-6500</v>
      </c>
      <c r="H27" s="86">
        <f t="shared" si="0"/>
        <v>-63605.759999999995</v>
      </c>
    </row>
    <row r="28" spans="1:8">
      <c r="B28" t="s">
        <v>217</v>
      </c>
      <c r="D28" s="86"/>
      <c r="E28" s="86">
        <v>-6250</v>
      </c>
      <c r="F28" s="86"/>
      <c r="G28" s="86">
        <v>-6500</v>
      </c>
      <c r="H28" s="86">
        <f t="shared" si="0"/>
        <v>-70105.759999999995</v>
      </c>
    </row>
    <row r="29" spans="1:8">
      <c r="D29" s="86"/>
      <c r="E29" s="86"/>
      <c r="F29" s="86"/>
      <c r="G29" s="86"/>
      <c r="H29" s="86">
        <f t="shared" si="0"/>
        <v>-70105.759999999995</v>
      </c>
    </row>
    <row r="30" spans="1:8">
      <c r="B30" t="s">
        <v>218</v>
      </c>
      <c r="D30" s="86">
        <v>12500</v>
      </c>
      <c r="E30" s="86"/>
      <c r="F30" s="86">
        <v>12984.15</v>
      </c>
      <c r="G30" s="86"/>
      <c r="H30" s="86">
        <f t="shared" si="0"/>
        <v>-57121.609999999993</v>
      </c>
    </row>
    <row r="31" spans="1:8">
      <c r="A31" s="97"/>
      <c r="D31" s="86"/>
      <c r="E31" s="86"/>
      <c r="F31" s="86"/>
      <c r="G31" s="86"/>
      <c r="H31" s="86">
        <f t="shared" si="0"/>
        <v>-57121.609999999993</v>
      </c>
    </row>
    <row r="32" spans="1:8">
      <c r="A32" s="97"/>
      <c r="B32" s="105" t="s">
        <v>270</v>
      </c>
      <c r="C32" s="105"/>
      <c r="D32" s="117">
        <v>8500</v>
      </c>
      <c r="E32" s="86"/>
      <c r="F32" s="86"/>
      <c r="G32" s="86"/>
      <c r="H32" s="86">
        <f t="shared" si="0"/>
        <v>-57121.609999999993</v>
      </c>
    </row>
    <row r="33" spans="1:8">
      <c r="A33" s="97"/>
      <c r="B33" s="105" t="s">
        <v>267</v>
      </c>
      <c r="C33" s="105"/>
      <c r="D33" s="342">
        <v>15000</v>
      </c>
      <c r="E33" s="86"/>
      <c r="F33" s="86"/>
      <c r="G33" s="86"/>
      <c r="H33" s="86">
        <f t="shared" si="0"/>
        <v>-57121.609999999993</v>
      </c>
    </row>
    <row r="34" spans="1:8">
      <c r="A34" s="97">
        <v>45502</v>
      </c>
      <c r="B34" s="88" t="s">
        <v>194</v>
      </c>
      <c r="D34" s="86"/>
      <c r="E34" s="86"/>
      <c r="F34" s="86"/>
      <c r="G34" s="86">
        <v>-350</v>
      </c>
      <c r="H34" s="86">
        <f t="shared" si="0"/>
        <v>-57471.609999999993</v>
      </c>
    </row>
    <row r="35" spans="1:8">
      <c r="A35" s="97">
        <v>45502</v>
      </c>
      <c r="B35" s="88" t="s">
        <v>195</v>
      </c>
      <c r="D35" s="86"/>
      <c r="E35" s="86"/>
      <c r="F35" s="86"/>
      <c r="G35" s="86">
        <v>-710</v>
      </c>
      <c r="H35" s="86">
        <f t="shared" si="0"/>
        <v>-58181.609999999993</v>
      </c>
    </row>
    <row r="36" spans="1:8">
      <c r="A36" s="97">
        <v>45504</v>
      </c>
      <c r="B36" t="s">
        <v>323</v>
      </c>
      <c r="D36" s="86"/>
      <c r="E36" s="86"/>
      <c r="F36" s="86"/>
      <c r="G36" s="86">
        <v>-1805.86</v>
      </c>
      <c r="H36" s="86">
        <f t="shared" si="0"/>
        <v>-59987.469999999994</v>
      </c>
    </row>
    <row r="37" spans="1:8">
      <c r="D37" s="86"/>
      <c r="E37" s="86"/>
      <c r="F37" s="86"/>
      <c r="G37" s="86"/>
      <c r="H37" s="86">
        <f t="shared" si="0"/>
        <v>-59987.469999999994</v>
      </c>
    </row>
    <row r="38" spans="1:8">
      <c r="D38" s="86"/>
      <c r="E38" s="86"/>
      <c r="F38" s="86"/>
      <c r="G38" s="86"/>
      <c r="H38" s="86">
        <f t="shared" si="0"/>
        <v>-59987.469999999994</v>
      </c>
    </row>
    <row r="39" spans="1:8" ht="15.75">
      <c r="B39" s="99"/>
    </row>
    <row r="41" spans="1:8">
      <c r="B41" t="s">
        <v>222</v>
      </c>
    </row>
    <row r="42" spans="1:8">
      <c r="A42" s="78" t="s">
        <v>223</v>
      </c>
      <c r="B42" s="78"/>
      <c r="C42" s="78"/>
    </row>
    <row r="43" spans="1:8">
      <c r="A43" s="97"/>
      <c r="C43" s="98"/>
    </row>
    <row r="44" spans="1:8">
      <c r="A44" s="100">
        <v>44929</v>
      </c>
      <c r="B44" s="101" t="s">
        <v>224</v>
      </c>
      <c r="C44" s="78"/>
      <c r="D44" s="85">
        <f>SUM(D45:D50)</f>
        <v>0</v>
      </c>
      <c r="E44" s="85">
        <f>SUM(E45:E51)</f>
        <v>0</v>
      </c>
    </row>
    <row r="45" spans="1:8">
      <c r="A45" s="97"/>
      <c r="B45" s="94" t="s">
        <v>225</v>
      </c>
    </row>
    <row r="46" spans="1:8">
      <c r="B46" t="s">
        <v>226</v>
      </c>
    </row>
    <row r="47" spans="1:8">
      <c r="B47" t="s">
        <v>227</v>
      </c>
    </row>
    <row r="48" spans="1:8">
      <c r="B48" t="s">
        <v>228</v>
      </c>
      <c r="D48" s="85" t="s">
        <v>324</v>
      </c>
    </row>
    <row r="49" spans="1:5">
      <c r="B49" t="s">
        <v>229</v>
      </c>
      <c r="D49" s="85" t="s">
        <v>325</v>
      </c>
    </row>
    <row r="50" spans="1:5">
      <c r="B50" t="s">
        <v>230</v>
      </c>
      <c r="C50" s="94"/>
    </row>
    <row r="51" spans="1:5">
      <c r="C51" s="94"/>
    </row>
    <row r="53" spans="1:5">
      <c r="B53" s="13"/>
    </row>
    <row r="54" spans="1:5">
      <c r="B54" s="102"/>
    </row>
    <row r="55" spans="1:5">
      <c r="A55" s="78"/>
      <c r="B55" s="77" t="s">
        <v>231</v>
      </c>
      <c r="C55" s="78"/>
      <c r="E55" s="85">
        <f>SUM(E56:E68)</f>
        <v>-8944.5400000000009</v>
      </c>
    </row>
    <row r="57" spans="1:5">
      <c r="A57" s="20">
        <v>45348</v>
      </c>
      <c r="B57" t="s">
        <v>257</v>
      </c>
      <c r="C57">
        <v>1406</v>
      </c>
      <c r="D57" s="85" t="s">
        <v>326</v>
      </c>
      <c r="E57" s="85">
        <v>-234.33</v>
      </c>
    </row>
    <row r="58" spans="1:5">
      <c r="A58" s="20">
        <v>45373</v>
      </c>
      <c r="B58" t="s">
        <v>232</v>
      </c>
      <c r="C58">
        <v>10176.39</v>
      </c>
      <c r="D58" s="85" t="s">
        <v>327</v>
      </c>
      <c r="E58" s="85">
        <v>-1130.71</v>
      </c>
    </row>
    <row r="59" spans="1:5">
      <c r="A59" s="20">
        <v>45375</v>
      </c>
      <c r="B59" t="s">
        <v>234</v>
      </c>
      <c r="C59">
        <v>5999</v>
      </c>
      <c r="D59" s="85" t="s">
        <v>327</v>
      </c>
      <c r="E59" s="85">
        <v>-666.56</v>
      </c>
    </row>
    <row r="60" spans="1:5">
      <c r="A60" s="20">
        <v>45358</v>
      </c>
      <c r="B60" t="s">
        <v>260</v>
      </c>
      <c r="C60">
        <v>2273</v>
      </c>
      <c r="D60" s="85" t="s">
        <v>326</v>
      </c>
      <c r="E60" s="85">
        <v>-378.87</v>
      </c>
    </row>
    <row r="61" spans="1:5">
      <c r="A61" s="20">
        <v>45371</v>
      </c>
      <c r="B61" t="s">
        <v>261</v>
      </c>
      <c r="D61" s="85" t="s">
        <v>328</v>
      </c>
      <c r="E61" s="85">
        <v>101.77</v>
      </c>
    </row>
    <row r="62" spans="1:5">
      <c r="A62" s="20"/>
    </row>
    <row r="63" spans="1:5">
      <c r="A63" s="97">
        <v>45442</v>
      </c>
      <c r="B63" s="107" t="s">
        <v>280</v>
      </c>
      <c r="C63" s="94"/>
      <c r="D63" s="85" t="s">
        <v>329</v>
      </c>
      <c r="E63" s="85">
        <v>-1054.1400000000001</v>
      </c>
    </row>
    <row r="64" spans="1:5">
      <c r="A64" s="97">
        <v>45456</v>
      </c>
      <c r="B64" s="103" t="s">
        <v>262</v>
      </c>
      <c r="C64" s="94"/>
      <c r="D64" s="85" t="s">
        <v>330</v>
      </c>
      <c r="E64" s="85">
        <v>-3923.33</v>
      </c>
    </row>
    <row r="65" spans="1:5">
      <c r="A65" s="97">
        <v>45442</v>
      </c>
      <c r="B65" s="94" t="s">
        <v>331</v>
      </c>
      <c r="C65" s="94"/>
      <c r="E65" s="85">
        <v>-278.97000000000003</v>
      </c>
    </row>
    <row r="67" spans="1:5">
      <c r="A67" s="97">
        <v>45444</v>
      </c>
      <c r="B67" s="103" t="s">
        <v>332</v>
      </c>
      <c r="C67" s="94"/>
      <c r="E67" s="85">
        <v>-1379.4</v>
      </c>
    </row>
    <row r="68" spans="1:5" ht="15">
      <c r="A68" s="97">
        <v>45447</v>
      </c>
      <c r="B68" s="103" t="s">
        <v>284</v>
      </c>
      <c r="D68" s="85">
        <v>4300</v>
      </c>
      <c r="E68" s="108" t="s">
        <v>285</v>
      </c>
    </row>
    <row r="70" spans="1:5">
      <c r="A70" s="97"/>
      <c r="B70" s="3"/>
    </row>
    <row r="71" spans="1:5">
      <c r="A71" s="97"/>
      <c r="B71" s="94"/>
      <c r="C71" s="94"/>
    </row>
    <row r="72" spans="1:5">
      <c r="A72" s="78"/>
      <c r="B72" s="77" t="s">
        <v>235</v>
      </c>
      <c r="C72" s="78"/>
      <c r="E72" s="85">
        <f>SUM(E73:E130)</f>
        <v>-26619.52</v>
      </c>
    </row>
    <row r="73" spans="1:5">
      <c r="A73" s="97"/>
      <c r="B73" s="94"/>
      <c r="C73" s="94"/>
    </row>
    <row r="74" spans="1:5">
      <c r="A74" s="96">
        <v>45285</v>
      </c>
      <c r="B74" s="94" t="s">
        <v>333</v>
      </c>
      <c r="C74" s="94"/>
      <c r="D74" s="85" t="s">
        <v>334</v>
      </c>
      <c r="E74" s="85">
        <v>-3551.68</v>
      </c>
    </row>
    <row r="75" spans="1:5">
      <c r="A75" s="97"/>
      <c r="B75" s="3" t="s">
        <v>286</v>
      </c>
      <c r="C75" s="94"/>
      <c r="D75" s="85" t="s">
        <v>335</v>
      </c>
      <c r="E75" s="85">
        <v>-649.78</v>
      </c>
    </row>
    <row r="76" spans="1:5">
      <c r="A76" s="97"/>
      <c r="B76" s="3" t="s">
        <v>288</v>
      </c>
      <c r="C76" s="94"/>
      <c r="D76" s="85" t="s">
        <v>336</v>
      </c>
    </row>
    <row r="77" spans="1:5">
      <c r="A77" s="97"/>
      <c r="B77" s="3"/>
      <c r="C77" s="94"/>
    </row>
    <row r="78" spans="1:5">
      <c r="A78" s="97">
        <v>45456</v>
      </c>
      <c r="B78" t="s">
        <v>289</v>
      </c>
      <c r="C78" s="94"/>
      <c r="D78" s="85" t="s">
        <v>329</v>
      </c>
      <c r="E78" s="85">
        <v>-5875</v>
      </c>
    </row>
    <row r="79" spans="1:5">
      <c r="A79" s="97">
        <v>45456</v>
      </c>
      <c r="B79" t="s">
        <v>290</v>
      </c>
      <c r="C79" s="94"/>
      <c r="D79" s="85" t="s">
        <v>329</v>
      </c>
      <c r="E79" s="85">
        <v>-4300</v>
      </c>
    </row>
    <row r="80" spans="1:5">
      <c r="A80" s="97">
        <v>45465</v>
      </c>
      <c r="B80" s="3" t="s">
        <v>331</v>
      </c>
      <c r="C80" s="94"/>
      <c r="E80" s="85">
        <v>-483.01</v>
      </c>
    </row>
    <row r="81" spans="1:5">
      <c r="A81" s="97">
        <v>45436</v>
      </c>
      <c r="B81" s="3" t="s">
        <v>337</v>
      </c>
      <c r="C81" s="94"/>
      <c r="E81" s="85">
        <v>-80</v>
      </c>
    </row>
    <row r="82" spans="1:5">
      <c r="A82" s="97">
        <v>45436</v>
      </c>
      <c r="B82" s="3" t="s">
        <v>338</v>
      </c>
      <c r="C82" s="94"/>
      <c r="E82" s="85">
        <v>-1000</v>
      </c>
    </row>
    <row r="83" spans="1:5">
      <c r="A83" s="97">
        <v>45437</v>
      </c>
      <c r="B83" s="3" t="s">
        <v>339</v>
      </c>
      <c r="C83" s="94"/>
      <c r="E83" s="85">
        <v>-70</v>
      </c>
    </row>
    <row r="84" spans="1:5">
      <c r="A84" s="97">
        <v>45438</v>
      </c>
      <c r="B84" s="3" t="s">
        <v>340</v>
      </c>
      <c r="C84" s="94"/>
      <c r="E84" s="85">
        <v>-232.27</v>
      </c>
    </row>
    <row r="85" spans="1:5">
      <c r="A85" s="97">
        <v>45438</v>
      </c>
      <c r="B85" s="3" t="s">
        <v>341</v>
      </c>
      <c r="C85" s="94"/>
      <c r="E85" s="85">
        <v>-130</v>
      </c>
    </row>
    <row r="86" spans="1:5">
      <c r="A86" s="97">
        <v>45469</v>
      </c>
      <c r="B86" s="3" t="s">
        <v>342</v>
      </c>
      <c r="C86" s="94"/>
      <c r="E86" s="85">
        <v>-246.8</v>
      </c>
    </row>
    <row r="87" spans="1:5">
      <c r="A87" s="97">
        <v>45439</v>
      </c>
      <c r="B87" s="3" t="s">
        <v>339</v>
      </c>
      <c r="C87" s="94"/>
      <c r="E87" s="85">
        <v>-70</v>
      </c>
    </row>
    <row r="88" spans="1:5">
      <c r="A88" s="97">
        <v>45440</v>
      </c>
      <c r="B88" s="3" t="s">
        <v>293</v>
      </c>
      <c r="C88" s="94">
        <v>300</v>
      </c>
      <c r="E88" s="85">
        <v>-300</v>
      </c>
    </row>
    <row r="89" spans="1:5">
      <c r="A89" s="97">
        <v>45440</v>
      </c>
      <c r="B89" s="3" t="s">
        <v>343</v>
      </c>
      <c r="C89" s="94"/>
      <c r="E89" s="85">
        <v>-460</v>
      </c>
    </row>
    <row r="90" spans="1:5">
      <c r="A90" s="97">
        <v>45441</v>
      </c>
      <c r="B90" s="3" t="s">
        <v>340</v>
      </c>
      <c r="C90" s="94"/>
      <c r="E90" s="85">
        <v>-27.66</v>
      </c>
    </row>
    <row r="91" spans="1:5">
      <c r="A91" s="97">
        <v>45441</v>
      </c>
      <c r="B91" s="3" t="s">
        <v>293</v>
      </c>
      <c r="C91" s="94">
        <v>400</v>
      </c>
      <c r="E91" s="85">
        <v>-400</v>
      </c>
    </row>
    <row r="92" spans="1:5">
      <c r="A92" s="97">
        <v>45442</v>
      </c>
      <c r="B92" s="3" t="s">
        <v>293</v>
      </c>
      <c r="C92" s="94">
        <v>200</v>
      </c>
      <c r="E92" s="85">
        <v>-200</v>
      </c>
    </row>
    <row r="93" spans="1:5">
      <c r="A93" s="97">
        <v>45442</v>
      </c>
      <c r="B93" s="3" t="s">
        <v>344</v>
      </c>
      <c r="C93" s="94"/>
      <c r="E93" s="85">
        <v>-80</v>
      </c>
    </row>
    <row r="94" spans="1:5">
      <c r="A94" s="97">
        <v>45444</v>
      </c>
      <c r="B94" s="3" t="s">
        <v>345</v>
      </c>
      <c r="C94" s="94"/>
      <c r="E94" s="85">
        <v>-80</v>
      </c>
    </row>
    <row r="95" spans="1:5">
      <c r="A95" s="97">
        <v>45444</v>
      </c>
      <c r="B95" s="3" t="s">
        <v>340</v>
      </c>
      <c r="C95" s="94"/>
      <c r="E95" s="85">
        <v>-12.26</v>
      </c>
    </row>
    <row r="96" spans="1:5">
      <c r="A96" s="97">
        <v>45444</v>
      </c>
      <c r="B96" s="3" t="s">
        <v>293</v>
      </c>
      <c r="C96" s="94">
        <v>350</v>
      </c>
      <c r="E96" s="85">
        <v>-350</v>
      </c>
    </row>
    <row r="97" spans="1:5">
      <c r="A97" s="97">
        <v>45444</v>
      </c>
      <c r="B97" s="3" t="s">
        <v>346</v>
      </c>
      <c r="C97" s="94"/>
      <c r="E97" s="85">
        <v>-300</v>
      </c>
    </row>
    <row r="98" spans="1:5">
      <c r="A98" s="97">
        <v>45446</v>
      </c>
      <c r="B98" s="3" t="s">
        <v>24</v>
      </c>
      <c r="C98" s="94"/>
      <c r="E98" s="85">
        <v>-500</v>
      </c>
    </row>
    <row r="99" spans="1:5">
      <c r="A99" s="97">
        <v>45446</v>
      </c>
      <c r="B99" s="3" t="s">
        <v>339</v>
      </c>
      <c r="C99" s="94"/>
      <c r="E99" s="85">
        <v>-70</v>
      </c>
    </row>
    <row r="100" spans="1:5">
      <c r="A100" s="97">
        <v>45446</v>
      </c>
      <c r="B100" s="3" t="s">
        <v>284</v>
      </c>
      <c r="C100" s="94"/>
      <c r="D100" s="85">
        <v>7949.1</v>
      </c>
    </row>
    <row r="101" spans="1:5">
      <c r="A101" s="97">
        <v>45447</v>
      </c>
      <c r="B101" s="3" t="s">
        <v>293</v>
      </c>
      <c r="C101" s="94">
        <v>240</v>
      </c>
      <c r="E101" s="85">
        <v>-240</v>
      </c>
    </row>
    <row r="102" spans="1:5">
      <c r="A102" s="97">
        <v>45447</v>
      </c>
      <c r="B102" s="3" t="s">
        <v>339</v>
      </c>
      <c r="C102" s="94"/>
      <c r="E102" s="85">
        <v>-70</v>
      </c>
    </row>
    <row r="103" spans="1:5">
      <c r="A103" s="97">
        <v>45447</v>
      </c>
      <c r="B103" s="3" t="s">
        <v>284</v>
      </c>
      <c r="C103" s="94"/>
      <c r="D103" s="85">
        <v>11998.63</v>
      </c>
    </row>
    <row r="104" spans="1:5">
      <c r="A104" s="20">
        <v>45448</v>
      </c>
      <c r="B104" s="3" t="s">
        <v>293</v>
      </c>
      <c r="C104">
        <v>280</v>
      </c>
      <c r="E104" s="85">
        <v>-280</v>
      </c>
    </row>
    <row r="105" spans="1:5">
      <c r="A105" s="20">
        <v>45448</v>
      </c>
      <c r="B105" s="3" t="s">
        <v>347</v>
      </c>
    </row>
    <row r="106" spans="1:5">
      <c r="A106" s="20">
        <v>45449</v>
      </c>
      <c r="B106" s="3" t="s">
        <v>293</v>
      </c>
      <c r="C106">
        <v>300</v>
      </c>
      <c r="E106" s="85">
        <v>-300</v>
      </c>
    </row>
    <row r="107" spans="1:5">
      <c r="A107" s="20">
        <v>45449</v>
      </c>
      <c r="B107" s="3" t="s">
        <v>340</v>
      </c>
      <c r="E107" s="85">
        <v>-84.7</v>
      </c>
    </row>
    <row r="108" spans="1:5">
      <c r="A108" s="20">
        <v>45450</v>
      </c>
      <c r="B108" s="3" t="s">
        <v>293</v>
      </c>
      <c r="C108">
        <v>300</v>
      </c>
      <c r="E108" s="85">
        <v>-300</v>
      </c>
    </row>
    <row r="109" spans="1:5">
      <c r="A109" s="20">
        <v>45450</v>
      </c>
      <c r="B109" s="3" t="s">
        <v>345</v>
      </c>
      <c r="E109" s="85">
        <v>-80</v>
      </c>
    </row>
    <row r="110" spans="1:5">
      <c r="A110" s="20">
        <v>45451</v>
      </c>
      <c r="B110" s="3" t="s">
        <v>293</v>
      </c>
      <c r="C110">
        <v>250</v>
      </c>
      <c r="E110" s="85">
        <v>-250</v>
      </c>
    </row>
    <row r="111" spans="1:5">
      <c r="A111" s="20">
        <v>45451</v>
      </c>
      <c r="B111" s="3" t="s">
        <v>339</v>
      </c>
      <c r="E111" s="85">
        <v>-145</v>
      </c>
    </row>
    <row r="112" spans="1:5">
      <c r="A112" s="20">
        <v>45454</v>
      </c>
      <c r="B112" s="3" t="s">
        <v>293</v>
      </c>
      <c r="C112">
        <v>400</v>
      </c>
      <c r="E112" s="85">
        <v>-400</v>
      </c>
    </row>
    <row r="113" spans="1:5">
      <c r="A113" s="20">
        <v>45455</v>
      </c>
      <c r="B113" s="3" t="s">
        <v>348</v>
      </c>
      <c r="E113" s="85">
        <v>-300</v>
      </c>
    </row>
    <row r="114" spans="1:5">
      <c r="A114" s="20">
        <v>45456</v>
      </c>
      <c r="B114" s="3" t="s">
        <v>293</v>
      </c>
      <c r="C114">
        <v>300</v>
      </c>
      <c r="E114" s="85">
        <v>-300</v>
      </c>
    </row>
    <row r="115" spans="1:5">
      <c r="A115" s="20">
        <v>45456</v>
      </c>
      <c r="B115" s="3" t="s">
        <v>339</v>
      </c>
      <c r="E115" s="85">
        <v>-70</v>
      </c>
    </row>
    <row r="116" spans="1:5">
      <c r="A116" s="20">
        <v>45459</v>
      </c>
      <c r="B116" s="3" t="s">
        <v>345</v>
      </c>
      <c r="E116" s="85">
        <v>-80</v>
      </c>
    </row>
    <row r="117" spans="1:5">
      <c r="A117" s="20">
        <v>45460</v>
      </c>
      <c r="B117" s="3" t="s">
        <v>340</v>
      </c>
      <c r="E117" s="85">
        <v>-71.95</v>
      </c>
    </row>
    <row r="118" spans="1:5">
      <c r="A118" s="20">
        <v>45460</v>
      </c>
      <c r="B118" s="3" t="s">
        <v>24</v>
      </c>
      <c r="E118" s="85">
        <v>-500</v>
      </c>
    </row>
    <row r="119" spans="1:5">
      <c r="A119" s="20">
        <v>45463</v>
      </c>
      <c r="B119" s="3" t="s">
        <v>345</v>
      </c>
      <c r="E119" s="85">
        <v>-80</v>
      </c>
    </row>
    <row r="120" spans="1:5">
      <c r="A120" s="20">
        <v>45464</v>
      </c>
      <c r="B120" s="3" t="s">
        <v>349</v>
      </c>
      <c r="E120" s="85">
        <v>-105</v>
      </c>
    </row>
    <row r="121" spans="1:5">
      <c r="A121" s="20">
        <v>45464</v>
      </c>
      <c r="B121" s="3" t="s">
        <v>350</v>
      </c>
      <c r="E121" s="85">
        <v>-800</v>
      </c>
    </row>
    <row r="122" spans="1:5">
      <c r="A122" s="20">
        <v>45464</v>
      </c>
      <c r="B122" s="3" t="s">
        <v>351</v>
      </c>
      <c r="E122" s="85">
        <v>-277.5</v>
      </c>
    </row>
    <row r="123" spans="1:5">
      <c r="A123" s="20">
        <v>45465</v>
      </c>
      <c r="B123" s="3" t="s">
        <v>352</v>
      </c>
      <c r="E123" s="85">
        <v>-200</v>
      </c>
    </row>
    <row r="124" spans="1:5">
      <c r="A124" s="20">
        <v>45466</v>
      </c>
      <c r="B124" s="3" t="s">
        <v>353</v>
      </c>
      <c r="E124" s="85">
        <v>-689.5</v>
      </c>
    </row>
    <row r="125" spans="1:5">
      <c r="A125" s="20">
        <v>45466</v>
      </c>
      <c r="B125" s="3" t="s">
        <v>24</v>
      </c>
      <c r="E125" s="85">
        <v>-500</v>
      </c>
    </row>
    <row r="126" spans="1:5">
      <c r="A126" s="20">
        <v>45466</v>
      </c>
      <c r="B126" s="3" t="s">
        <v>354</v>
      </c>
      <c r="E126" s="85">
        <v>-650</v>
      </c>
    </row>
    <row r="127" spans="1:5">
      <c r="A127" s="20">
        <v>45466</v>
      </c>
      <c r="B127" s="3" t="s">
        <v>355</v>
      </c>
      <c r="E127" s="85">
        <v>-134.33000000000001</v>
      </c>
    </row>
    <row r="128" spans="1:5">
      <c r="A128" s="20">
        <v>45467</v>
      </c>
      <c r="B128" s="3" t="s">
        <v>356</v>
      </c>
      <c r="E128" s="85">
        <v>-28.05</v>
      </c>
    </row>
    <row r="129" spans="1:5">
      <c r="A129" s="20">
        <v>45467</v>
      </c>
      <c r="B129" s="3" t="s">
        <v>357</v>
      </c>
      <c r="E129" s="85">
        <v>-28.05</v>
      </c>
    </row>
    <row r="130" spans="1:5">
      <c r="A130" s="20">
        <v>45467</v>
      </c>
      <c r="B130" s="3" t="s">
        <v>358</v>
      </c>
      <c r="E130" s="85">
        <v>-186.98</v>
      </c>
    </row>
    <row r="131" spans="1:5" ht="15">
      <c r="B131" s="70" t="s">
        <v>359</v>
      </c>
      <c r="C131" s="3">
        <f>SUM(C86:C130)</f>
        <v>3320</v>
      </c>
      <c r="E131" s="108" t="s">
        <v>285</v>
      </c>
    </row>
    <row r="132" spans="1:5">
      <c r="B132" s="3" t="s">
        <v>360</v>
      </c>
    </row>
    <row r="133" spans="1:5">
      <c r="A133" s="76" t="s">
        <v>361</v>
      </c>
      <c r="B133" s="77" t="s">
        <v>171</v>
      </c>
      <c r="C133" s="78">
        <v>2024</v>
      </c>
      <c r="D133" s="79"/>
      <c r="E133" s="80">
        <f>SUM(E134:E154)</f>
        <v>981303.72722800006</v>
      </c>
    </row>
    <row r="134" spans="1:5">
      <c r="A134" s="81">
        <v>45474</v>
      </c>
      <c r="B134" t="s">
        <v>84</v>
      </c>
      <c r="C134" s="2"/>
      <c r="D134" s="2"/>
      <c r="E134" s="2">
        <v>64000</v>
      </c>
    </row>
    <row r="135" spans="1:5">
      <c r="A135" s="81">
        <f t="shared" ref="A135:A154" si="1">A134</f>
        <v>45474</v>
      </c>
      <c r="B135" t="s">
        <v>309</v>
      </c>
      <c r="C135" s="2"/>
      <c r="D135" s="2"/>
      <c r="E135" s="2">
        <v>150845</v>
      </c>
    </row>
    <row r="136" spans="1:5">
      <c r="A136" s="81">
        <f t="shared" si="1"/>
        <v>45474</v>
      </c>
      <c r="B136" t="s">
        <v>173</v>
      </c>
      <c r="C136" s="2"/>
      <c r="D136" s="2"/>
      <c r="E136" s="13">
        <v>12712.47</v>
      </c>
    </row>
    <row r="137" spans="1:5">
      <c r="A137" s="81">
        <f t="shared" si="1"/>
        <v>45474</v>
      </c>
      <c r="B137" t="s">
        <v>174</v>
      </c>
      <c r="C137" s="2"/>
      <c r="D137" s="2"/>
      <c r="E137" s="13">
        <v>0</v>
      </c>
    </row>
    <row r="138" spans="1:5">
      <c r="A138" s="81">
        <f t="shared" si="1"/>
        <v>45474</v>
      </c>
      <c r="B138" t="s">
        <v>310</v>
      </c>
      <c r="C138" s="2"/>
      <c r="D138" s="2"/>
      <c r="E138" s="13">
        <v>0</v>
      </c>
    </row>
    <row r="139" spans="1:5">
      <c r="A139" s="81">
        <f t="shared" si="1"/>
        <v>45474</v>
      </c>
      <c r="B139" t="s">
        <v>175</v>
      </c>
      <c r="C139" s="110"/>
      <c r="D139" s="2"/>
      <c r="E139" s="13">
        <v>0</v>
      </c>
    </row>
    <row r="140" spans="1:5">
      <c r="A140" s="81">
        <f t="shared" si="1"/>
        <v>45474</v>
      </c>
      <c r="B140" t="s">
        <v>60</v>
      </c>
      <c r="C140" s="2">
        <v>74</v>
      </c>
      <c r="D140" s="111">
        <v>677.53942199999995</v>
      </c>
      <c r="E140" s="13">
        <f t="shared" ref="E140:E152" si="2">D140*C140</f>
        <v>50137.917227999998</v>
      </c>
    </row>
    <row r="141" spans="1:5">
      <c r="A141" s="81">
        <f t="shared" si="1"/>
        <v>45474</v>
      </c>
      <c r="B141" t="s">
        <v>311</v>
      </c>
      <c r="C141" s="112">
        <v>125000</v>
      </c>
      <c r="D141" s="111">
        <v>0.83506999999999998</v>
      </c>
      <c r="E141" s="13">
        <f t="shared" si="2"/>
        <v>104383.75</v>
      </c>
    </row>
    <row r="142" spans="1:5">
      <c r="A142" s="81">
        <f t="shared" si="1"/>
        <v>45474</v>
      </c>
      <c r="B142" t="s">
        <v>312</v>
      </c>
      <c r="C142" s="2">
        <v>10</v>
      </c>
      <c r="D142" s="2">
        <v>123.7</v>
      </c>
      <c r="E142" s="13">
        <f t="shared" si="2"/>
        <v>1237</v>
      </c>
    </row>
    <row r="143" spans="1:5">
      <c r="A143" s="81">
        <f t="shared" si="1"/>
        <v>45474</v>
      </c>
      <c r="B143" t="s">
        <v>313</v>
      </c>
      <c r="C143" s="2">
        <v>38</v>
      </c>
      <c r="D143" s="2">
        <v>22.78</v>
      </c>
      <c r="E143" s="13">
        <f t="shared" si="2"/>
        <v>865.6400000000001</v>
      </c>
    </row>
    <row r="144" spans="1:5">
      <c r="A144" s="81">
        <f t="shared" si="1"/>
        <v>45474</v>
      </c>
      <c r="B144" t="s">
        <v>314</v>
      </c>
      <c r="C144" s="2">
        <v>26</v>
      </c>
      <c r="D144" s="2">
        <v>27.26</v>
      </c>
      <c r="E144" s="13">
        <f t="shared" si="2"/>
        <v>708.76</v>
      </c>
    </row>
    <row r="145" spans="1:5">
      <c r="A145" s="81">
        <f t="shared" si="1"/>
        <v>45474</v>
      </c>
      <c r="B145" t="s">
        <v>183</v>
      </c>
      <c r="C145" s="2"/>
      <c r="D145" s="2"/>
      <c r="E145" s="13">
        <f t="shared" si="2"/>
        <v>0</v>
      </c>
    </row>
    <row r="146" spans="1:5">
      <c r="A146" s="81">
        <f t="shared" si="1"/>
        <v>45474</v>
      </c>
      <c r="B146" t="s">
        <v>315</v>
      </c>
      <c r="C146" s="2">
        <v>7500</v>
      </c>
      <c r="D146" s="2">
        <v>24.5</v>
      </c>
      <c r="E146" s="13">
        <f t="shared" si="2"/>
        <v>183750</v>
      </c>
    </row>
    <row r="147" spans="1:5">
      <c r="A147" s="81">
        <f t="shared" si="1"/>
        <v>45474</v>
      </c>
      <c r="C147" s="2"/>
      <c r="D147" s="2"/>
      <c r="E147" s="13">
        <f t="shared" si="2"/>
        <v>0</v>
      </c>
    </row>
    <row r="148" spans="1:5">
      <c r="A148" s="81">
        <f t="shared" si="1"/>
        <v>45474</v>
      </c>
      <c r="C148" s="2"/>
      <c r="D148" s="2"/>
      <c r="E148" s="13">
        <f t="shared" si="2"/>
        <v>0</v>
      </c>
    </row>
    <row r="149" spans="1:5">
      <c r="A149" s="81">
        <f t="shared" si="1"/>
        <v>45474</v>
      </c>
      <c r="B149" t="s">
        <v>316</v>
      </c>
      <c r="C149" s="2">
        <v>2375.02</v>
      </c>
      <c r="D149" s="2">
        <v>156</v>
      </c>
      <c r="E149" s="13">
        <f t="shared" si="2"/>
        <v>370503.12</v>
      </c>
    </row>
    <row r="150" spans="1:5">
      <c r="A150" s="81">
        <f t="shared" si="1"/>
        <v>45474</v>
      </c>
      <c r="B150" t="s">
        <v>317</v>
      </c>
      <c r="C150" s="83">
        <v>31.963699999999999</v>
      </c>
      <c r="D150" s="2">
        <v>850</v>
      </c>
      <c r="E150" s="13">
        <f t="shared" si="2"/>
        <v>27169.145</v>
      </c>
    </row>
    <row r="151" spans="1:5">
      <c r="A151" s="81">
        <f t="shared" si="1"/>
        <v>45474</v>
      </c>
      <c r="B151" t="s">
        <v>318</v>
      </c>
      <c r="C151" s="83">
        <f>C150</f>
        <v>31.963699999999999</v>
      </c>
      <c r="D151" s="2">
        <v>250</v>
      </c>
      <c r="E151" s="13">
        <f t="shared" si="2"/>
        <v>7990.9250000000002</v>
      </c>
    </row>
    <row r="152" spans="1:5">
      <c r="A152" s="81">
        <f t="shared" si="1"/>
        <v>45474</v>
      </c>
      <c r="B152" t="s">
        <v>319</v>
      </c>
      <c r="C152" s="83">
        <v>34.412100000000002</v>
      </c>
      <c r="D152" s="2">
        <v>0</v>
      </c>
      <c r="E152" s="13">
        <f t="shared" si="2"/>
        <v>0</v>
      </c>
    </row>
    <row r="153" spans="1:5">
      <c r="A153" s="81">
        <f t="shared" si="1"/>
        <v>45474</v>
      </c>
      <c r="B153" t="s">
        <v>187</v>
      </c>
      <c r="C153" s="2"/>
      <c r="D153" s="2"/>
      <c r="E153" s="13">
        <v>3000</v>
      </c>
    </row>
    <row r="154" spans="1:5">
      <c r="A154" s="81">
        <f t="shared" si="1"/>
        <v>45474</v>
      </c>
      <c r="B154" t="s">
        <v>94</v>
      </c>
      <c r="C154" s="2"/>
      <c r="D154" s="2"/>
      <c r="E154" s="13">
        <v>4000</v>
      </c>
    </row>
    <row r="155" spans="1:5">
      <c r="E155" s="113"/>
    </row>
    <row r="156" spans="1:5">
      <c r="C156" s="110"/>
      <c r="D156" s="3"/>
      <c r="E156" s="110"/>
    </row>
    <row r="157" spans="1:5">
      <c r="C157" s="110"/>
      <c r="D157" s="70" t="s">
        <v>189</v>
      </c>
      <c r="E157" s="8">
        <f>SUM(E134:E154)</f>
        <v>981303.72722800006</v>
      </c>
    </row>
    <row r="158" spans="1:5">
      <c r="C158" s="114" t="str">
        <f>A133</f>
        <v>TEMMUZa</v>
      </c>
      <c r="D158" s="115" t="s">
        <v>188</v>
      </c>
      <c r="E158" s="116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2F0D9"/>
  </sheetPr>
  <dimension ref="A1:H139"/>
  <sheetViews>
    <sheetView topLeftCell="A4"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362</v>
      </c>
      <c r="C2" s="87" t="s">
        <v>191</v>
      </c>
      <c r="D2" s="85">
        <f>SUM(D4:D36)</f>
        <v>33500</v>
      </c>
      <c r="E2" s="85">
        <f>SUM(E4:E36)</f>
        <v>-77377.563693000004</v>
      </c>
      <c r="F2" s="85">
        <f>SUM(F4:F36)</f>
        <v>13427.62</v>
      </c>
      <c r="G2" s="85">
        <f>SUM(G4:G36)</f>
        <v>-97778.153693</v>
      </c>
      <c r="H2" s="85">
        <f>F2+G2</f>
        <v>-84350.533693000005</v>
      </c>
    </row>
    <row r="3" spans="1:8">
      <c r="B3" s="70"/>
    </row>
    <row r="4" spans="1:8">
      <c r="A4">
        <v>29.5</v>
      </c>
      <c r="B4" s="43" t="s">
        <v>192</v>
      </c>
      <c r="E4" s="86">
        <v>-152</v>
      </c>
      <c r="F4" s="86"/>
      <c r="G4" s="86">
        <v>-166.9</v>
      </c>
      <c r="H4" s="86">
        <f t="shared" ref="H4:H34" si="0">H3+F4+G4</f>
        <v>-166.9</v>
      </c>
    </row>
    <row r="5" spans="1:8">
      <c r="B5" s="88" t="s">
        <v>363</v>
      </c>
      <c r="C5" s="88" t="s">
        <v>197</v>
      </c>
      <c r="E5" s="86">
        <v>-250</v>
      </c>
      <c r="F5" s="86"/>
      <c r="G5" s="86">
        <f>E5</f>
        <v>-250</v>
      </c>
      <c r="H5" s="86">
        <f t="shared" si="0"/>
        <v>-416.9</v>
      </c>
    </row>
    <row r="6" spans="1:8">
      <c r="A6">
        <v>29.5</v>
      </c>
      <c r="B6" s="88" t="s">
        <v>208</v>
      </c>
      <c r="C6" s="88" t="s">
        <v>209</v>
      </c>
      <c r="E6" s="86">
        <v>-150</v>
      </c>
      <c r="F6" s="86"/>
      <c r="G6" s="86">
        <v>-47.4</v>
      </c>
      <c r="H6" s="86">
        <f t="shared" si="0"/>
        <v>-464.29999999999995</v>
      </c>
    </row>
    <row r="7" spans="1:8">
      <c r="A7" s="96">
        <v>45446</v>
      </c>
      <c r="B7" s="104" t="s">
        <v>214</v>
      </c>
      <c r="D7" s="86"/>
      <c r="E7" s="86">
        <f>E65</f>
        <v>-19997.71</v>
      </c>
      <c r="F7" s="86"/>
      <c r="G7" s="86">
        <f>E7</f>
        <v>-19997.71</v>
      </c>
      <c r="H7" s="86">
        <f t="shared" si="0"/>
        <v>-20462.009999999998</v>
      </c>
    </row>
    <row r="8" spans="1:8">
      <c r="A8" s="96">
        <v>45446</v>
      </c>
      <c r="B8" s="104" t="s">
        <v>364</v>
      </c>
      <c r="D8" s="86"/>
      <c r="E8" s="86"/>
      <c r="F8" s="86"/>
      <c r="G8" s="86">
        <v>-7860.53</v>
      </c>
      <c r="H8" s="86">
        <f t="shared" si="0"/>
        <v>-28322.539999999997</v>
      </c>
    </row>
    <row r="9" spans="1:8">
      <c r="A9" s="96">
        <v>45447</v>
      </c>
      <c r="B9" s="104" t="s">
        <v>365</v>
      </c>
      <c r="D9" s="86"/>
      <c r="E9" s="86"/>
      <c r="F9" s="86"/>
      <c r="G9" s="86">
        <v>-11998.63</v>
      </c>
      <c r="H9" s="86">
        <f t="shared" si="0"/>
        <v>-40321.17</v>
      </c>
    </row>
    <row r="10" spans="1:8">
      <c r="A10" s="20">
        <v>45447</v>
      </c>
      <c r="B10" s="104" t="s">
        <v>213</v>
      </c>
      <c r="D10" s="86"/>
      <c r="E10" s="86">
        <f>E50</f>
        <v>-4300.09</v>
      </c>
      <c r="F10" s="86"/>
      <c r="G10" s="86">
        <v>-4300.09</v>
      </c>
      <c r="H10" s="86">
        <f t="shared" si="0"/>
        <v>-44621.259999999995</v>
      </c>
    </row>
    <row r="11" spans="1:8">
      <c r="A11" s="20">
        <v>45447</v>
      </c>
      <c r="B11" s="104" t="s">
        <v>366</v>
      </c>
      <c r="C11">
        <v>227.87</v>
      </c>
      <c r="D11" s="86"/>
      <c r="E11" s="86">
        <f>-1*C11*C12</f>
        <v>-8090.2736930000001</v>
      </c>
      <c r="F11" s="86"/>
      <c r="G11" s="86">
        <f>E11</f>
        <v>-8090.2736930000001</v>
      </c>
      <c r="H11" s="86">
        <f t="shared" si="0"/>
        <v>-52711.533692999998</v>
      </c>
    </row>
    <row r="12" spans="1:8">
      <c r="A12" s="20">
        <v>45447</v>
      </c>
      <c r="B12" s="104" t="s">
        <v>367</v>
      </c>
      <c r="C12">
        <v>35.503900000000002</v>
      </c>
      <c r="D12" s="86"/>
      <c r="E12" s="86"/>
      <c r="F12" s="86"/>
      <c r="G12" s="86"/>
      <c r="H12" s="86">
        <f t="shared" si="0"/>
        <v>-52711.533692999998</v>
      </c>
    </row>
    <row r="13" spans="1:8">
      <c r="A13" s="20">
        <v>45447</v>
      </c>
      <c r="B13" s="88" t="s">
        <v>368</v>
      </c>
      <c r="C13" s="88"/>
      <c r="D13" s="86"/>
      <c r="E13" s="86">
        <v>-1500</v>
      </c>
      <c r="F13" s="86"/>
      <c r="G13" s="86">
        <v>-1512.13</v>
      </c>
      <c r="H13" s="86">
        <f t="shared" si="0"/>
        <v>-54223.663692999995</v>
      </c>
    </row>
    <row r="14" spans="1:8">
      <c r="A14" s="20">
        <v>45450</v>
      </c>
      <c r="B14" t="s">
        <v>193</v>
      </c>
      <c r="E14" s="86">
        <v>-10000</v>
      </c>
      <c r="F14" s="86"/>
      <c r="G14" s="86">
        <f>E14</f>
        <v>-10000</v>
      </c>
      <c r="H14" s="86">
        <f t="shared" si="0"/>
        <v>-64223.663692999995</v>
      </c>
    </row>
    <row r="15" spans="1:8">
      <c r="A15" s="20">
        <v>45450</v>
      </c>
      <c r="B15" s="88" t="s">
        <v>369</v>
      </c>
      <c r="C15" s="88"/>
      <c r="E15" s="86">
        <v>-7500</v>
      </c>
      <c r="F15" s="86"/>
      <c r="G15" s="86">
        <f>E15</f>
        <v>-7500</v>
      </c>
      <c r="H15" s="86">
        <f t="shared" si="0"/>
        <v>-71723.663692999995</v>
      </c>
    </row>
    <row r="16" spans="1:8">
      <c r="A16" s="20">
        <v>45450</v>
      </c>
      <c r="B16" s="88" t="s">
        <v>370</v>
      </c>
      <c r="C16" s="88"/>
      <c r="E16" s="86">
        <v>-10000</v>
      </c>
      <c r="F16" s="86"/>
      <c r="G16" s="86">
        <f>E16</f>
        <v>-10000</v>
      </c>
      <c r="H16" s="86">
        <f t="shared" si="0"/>
        <v>-81723.663692999995</v>
      </c>
    </row>
    <row r="17" spans="1:8">
      <c r="A17" s="20"/>
      <c r="B17" s="88" t="s">
        <v>371</v>
      </c>
      <c r="C17" s="88"/>
      <c r="G17" s="86">
        <v>-700</v>
      </c>
      <c r="H17" s="86">
        <f t="shared" si="0"/>
        <v>-82423.663692999995</v>
      </c>
    </row>
    <row r="18" spans="1:8">
      <c r="A18" s="20"/>
      <c r="B18" s="88"/>
      <c r="C18" s="88"/>
      <c r="H18" s="86">
        <f t="shared" si="0"/>
        <v>-82423.663692999995</v>
      </c>
    </row>
    <row r="19" spans="1:8">
      <c r="A19" s="20">
        <v>45454</v>
      </c>
      <c r="B19" s="88" t="s">
        <v>372</v>
      </c>
      <c r="C19" s="88"/>
      <c r="D19" s="86"/>
      <c r="E19" s="86"/>
      <c r="F19" s="86">
        <v>3000</v>
      </c>
      <c r="G19" s="86"/>
      <c r="H19" s="86">
        <f t="shared" si="0"/>
        <v>-79423.663692999995</v>
      </c>
    </row>
    <row r="20" spans="1:8" ht="12" customHeight="1">
      <c r="A20" s="20">
        <v>45454</v>
      </c>
      <c r="B20" s="104" t="s">
        <v>212</v>
      </c>
      <c r="D20" s="86"/>
      <c r="E20" s="86">
        <f>E47*-1</f>
        <v>-37.49</v>
      </c>
      <c r="F20" s="86"/>
      <c r="G20" s="86">
        <v>-37.49</v>
      </c>
      <c r="H20" s="86">
        <f t="shared" si="0"/>
        <v>-79461.153693</v>
      </c>
    </row>
    <row r="21" spans="1:8">
      <c r="A21" s="20">
        <v>45463</v>
      </c>
      <c r="B21" s="94" t="s">
        <v>210</v>
      </c>
      <c r="C21" s="94" t="s">
        <v>209</v>
      </c>
      <c r="D21" s="86"/>
      <c r="E21" s="86">
        <v>-300</v>
      </c>
      <c r="F21" s="86"/>
      <c r="G21" s="86">
        <v>-305</v>
      </c>
      <c r="H21" s="86">
        <f t="shared" si="0"/>
        <v>-79766.153693</v>
      </c>
    </row>
    <row r="22" spans="1:8">
      <c r="A22" s="20">
        <v>45463</v>
      </c>
      <c r="B22" s="94" t="s">
        <v>211</v>
      </c>
      <c r="C22" s="94" t="s">
        <v>209</v>
      </c>
      <c r="D22" s="86"/>
      <c r="E22" s="86">
        <v>-100</v>
      </c>
      <c r="F22" s="86"/>
      <c r="G22" s="86">
        <v>0</v>
      </c>
      <c r="H22" s="86">
        <f t="shared" si="0"/>
        <v>-79766.153693</v>
      </c>
    </row>
    <row r="23" spans="1:8">
      <c r="H23" s="86">
        <f t="shared" si="0"/>
        <v>-79766.153693</v>
      </c>
    </row>
    <row r="24" spans="1:8">
      <c r="A24" s="20"/>
      <c r="B24" s="88"/>
      <c r="C24" s="88"/>
      <c r="H24" s="86">
        <f t="shared" si="0"/>
        <v>-79766.153693</v>
      </c>
    </row>
    <row r="25" spans="1:8">
      <c r="A25" s="20"/>
      <c r="B25" s="88"/>
      <c r="C25" s="88"/>
      <c r="H25" s="86">
        <f t="shared" si="0"/>
        <v>-79766.153693</v>
      </c>
    </row>
    <row r="26" spans="1:8">
      <c r="H26" s="86">
        <f t="shared" si="0"/>
        <v>-79766.153693</v>
      </c>
    </row>
    <row r="27" spans="1:8">
      <c r="A27" s="20">
        <v>45476</v>
      </c>
      <c r="B27" t="s">
        <v>84</v>
      </c>
      <c r="D27" s="86"/>
      <c r="E27" s="86">
        <v>-5000</v>
      </c>
      <c r="F27" s="86"/>
      <c r="G27" s="86">
        <v>-5006</v>
      </c>
      <c r="H27" s="86">
        <f t="shared" si="0"/>
        <v>-84772.153693</v>
      </c>
    </row>
    <row r="28" spans="1:8">
      <c r="A28" s="20">
        <v>45476</v>
      </c>
      <c r="B28" t="s">
        <v>172</v>
      </c>
      <c r="D28" s="86"/>
      <c r="E28" s="86">
        <v>-5000</v>
      </c>
      <c r="F28" s="86"/>
      <c r="G28" s="86">
        <v>-5006</v>
      </c>
      <c r="H28" s="86">
        <f t="shared" si="0"/>
        <v>-89778.153693</v>
      </c>
    </row>
    <row r="29" spans="1:8">
      <c r="B29" t="s">
        <v>217</v>
      </c>
      <c r="D29" s="86"/>
      <c r="E29" s="86">
        <v>-5000</v>
      </c>
      <c r="F29" s="86"/>
      <c r="G29" s="86">
        <v>-5000</v>
      </c>
      <c r="H29" s="86">
        <f t="shared" si="0"/>
        <v>-94778.153693</v>
      </c>
    </row>
    <row r="30" spans="1:8">
      <c r="D30" s="86"/>
      <c r="E30" s="86"/>
      <c r="F30" s="86"/>
      <c r="G30" s="86"/>
      <c r="H30" s="86">
        <f t="shared" si="0"/>
        <v>-94778.153693</v>
      </c>
    </row>
    <row r="31" spans="1:8">
      <c r="B31" t="s">
        <v>218</v>
      </c>
      <c r="D31" s="86">
        <v>10000</v>
      </c>
      <c r="E31" s="86"/>
      <c r="F31" s="86">
        <v>10427.620000000001</v>
      </c>
      <c r="G31" s="86"/>
      <c r="H31" s="86">
        <f t="shared" si="0"/>
        <v>-84350.533693000005</v>
      </c>
    </row>
    <row r="32" spans="1:8">
      <c r="A32" s="97"/>
      <c r="B32" s="339" t="s">
        <v>321</v>
      </c>
      <c r="C32" s="339"/>
      <c r="D32" s="341">
        <v>15000</v>
      </c>
      <c r="E32" s="86"/>
      <c r="F32" s="86"/>
      <c r="G32" s="86"/>
      <c r="H32" s="86">
        <f t="shared" si="0"/>
        <v>-84350.533693000005</v>
      </c>
    </row>
    <row r="33" spans="1:8">
      <c r="A33" s="20">
        <v>45351</v>
      </c>
      <c r="B33" s="105" t="s">
        <v>270</v>
      </c>
      <c r="C33" s="105"/>
      <c r="D33" s="117">
        <v>8500</v>
      </c>
      <c r="E33" s="86"/>
      <c r="F33" s="86"/>
      <c r="G33" s="86"/>
      <c r="H33" s="86">
        <f t="shared" si="0"/>
        <v>-84350.533693000005</v>
      </c>
    </row>
    <row r="34" spans="1:8">
      <c r="D34" s="86"/>
      <c r="E34" s="86"/>
      <c r="F34" s="86"/>
      <c r="G34" s="86"/>
      <c r="H34" s="86">
        <f t="shared" si="0"/>
        <v>-84350.533693000005</v>
      </c>
    </row>
    <row r="36" spans="1:8" ht="15.75">
      <c r="B36" s="99"/>
    </row>
    <row r="38" spans="1:8">
      <c r="B38" t="s">
        <v>222</v>
      </c>
    </row>
    <row r="39" spans="1:8">
      <c r="A39" s="78" t="s">
        <v>223</v>
      </c>
      <c r="B39" s="78"/>
      <c r="C39" s="78"/>
    </row>
    <row r="40" spans="1:8">
      <c r="A40" s="97"/>
      <c r="C40" s="98"/>
    </row>
    <row r="41" spans="1:8">
      <c r="A41" s="100">
        <v>44929</v>
      </c>
      <c r="B41" s="101" t="s">
        <v>224</v>
      </c>
      <c r="C41" s="78"/>
      <c r="D41" s="85">
        <f>SUM(D42:D47)</f>
        <v>5394.16</v>
      </c>
      <c r="E41" s="85">
        <f>SUM(E42:E47)</f>
        <v>4605.33</v>
      </c>
    </row>
    <row r="42" spans="1:8">
      <c r="A42" s="97"/>
      <c r="B42" s="94" t="s">
        <v>225</v>
      </c>
      <c r="D42" s="85">
        <v>468.65</v>
      </c>
    </row>
    <row r="43" spans="1:8">
      <c r="B43" t="s">
        <v>226</v>
      </c>
      <c r="D43" s="85">
        <v>1257.73</v>
      </c>
      <c r="E43" s="85">
        <v>1260</v>
      </c>
    </row>
    <row r="44" spans="1:8">
      <c r="B44" t="s">
        <v>373</v>
      </c>
      <c r="C44" t="s">
        <v>374</v>
      </c>
      <c r="D44" s="85">
        <v>919.84</v>
      </c>
      <c r="E44" s="85">
        <v>919.84</v>
      </c>
    </row>
    <row r="45" spans="1:8">
      <c r="B45" t="s">
        <v>228</v>
      </c>
      <c r="D45" s="85">
        <v>2358.0300000000002</v>
      </c>
      <c r="E45" s="85">
        <v>2358</v>
      </c>
    </row>
    <row r="46" spans="1:8">
      <c r="B46" t="s">
        <v>229</v>
      </c>
      <c r="D46" s="85">
        <v>352.42</v>
      </c>
      <c r="E46" s="85">
        <v>30</v>
      </c>
    </row>
    <row r="47" spans="1:8">
      <c r="B47" t="s">
        <v>230</v>
      </c>
      <c r="C47" s="94"/>
      <c r="D47" s="85">
        <v>37.49</v>
      </c>
      <c r="E47" s="85">
        <v>37.49</v>
      </c>
    </row>
    <row r="48" spans="1:8">
      <c r="B48">
        <v>-4625</v>
      </c>
      <c r="C48" s="94"/>
    </row>
    <row r="49" spans="1:6">
      <c r="B49" s="102"/>
    </row>
    <row r="50" spans="1:6">
      <c r="A50" s="78"/>
      <c r="B50" s="77" t="s">
        <v>231</v>
      </c>
      <c r="C50" s="78"/>
      <c r="E50" s="85">
        <f>SUM(E51:E62)</f>
        <v>-4300.09</v>
      </c>
    </row>
    <row r="52" spans="1:6">
      <c r="A52" s="97"/>
      <c r="B52" s="94"/>
      <c r="C52" s="94"/>
    </row>
    <row r="53" spans="1:6">
      <c r="A53" s="97">
        <v>45187</v>
      </c>
      <c r="B53" s="94" t="s">
        <v>375</v>
      </c>
      <c r="C53" s="94">
        <v>7648.33</v>
      </c>
      <c r="D53" s="85" t="s">
        <v>376</v>
      </c>
      <c r="E53" s="85">
        <v>-849.85</v>
      </c>
      <c r="F53" s="85">
        <v>0</v>
      </c>
    </row>
    <row r="54" spans="1:6">
      <c r="A54" s="20">
        <v>45348</v>
      </c>
      <c r="B54" t="s">
        <v>257</v>
      </c>
      <c r="C54">
        <v>1406</v>
      </c>
      <c r="D54" s="85" t="s">
        <v>377</v>
      </c>
      <c r="E54" s="85">
        <v>-234.33</v>
      </c>
      <c r="F54" s="85">
        <v>0</v>
      </c>
    </row>
    <row r="55" spans="1:6">
      <c r="A55" s="20">
        <v>45373</v>
      </c>
      <c r="B55" t="s">
        <v>232</v>
      </c>
      <c r="C55">
        <v>10176.39</v>
      </c>
      <c r="D55" s="85" t="s">
        <v>378</v>
      </c>
      <c r="E55" s="85">
        <v>-1130.71</v>
      </c>
      <c r="F55" s="85">
        <v>0</v>
      </c>
    </row>
    <row r="56" spans="1:6">
      <c r="A56" s="20">
        <v>45375</v>
      </c>
      <c r="B56" t="s">
        <v>234</v>
      </c>
      <c r="C56">
        <v>5999</v>
      </c>
      <c r="D56" s="85" t="s">
        <v>378</v>
      </c>
      <c r="E56" s="85">
        <v>-666.56</v>
      </c>
      <c r="F56" s="85">
        <v>0</v>
      </c>
    </row>
    <row r="57" spans="1:6">
      <c r="A57" s="20">
        <v>45358</v>
      </c>
      <c r="B57" t="s">
        <v>260</v>
      </c>
      <c r="C57">
        <v>2273</v>
      </c>
      <c r="D57" s="85" t="s">
        <v>377</v>
      </c>
      <c r="E57" s="85">
        <v>-378.87</v>
      </c>
      <c r="F57" s="85">
        <v>0</v>
      </c>
    </row>
    <row r="58" spans="1:6">
      <c r="A58" s="20">
        <v>45371</v>
      </c>
      <c r="B58" t="s">
        <v>261</v>
      </c>
      <c r="D58" s="85" t="s">
        <v>377</v>
      </c>
      <c r="E58" s="85">
        <v>101.77</v>
      </c>
    </row>
    <row r="59" spans="1:6">
      <c r="A59" s="20"/>
    </row>
    <row r="60" spans="1:6">
      <c r="A60" s="97">
        <v>45418</v>
      </c>
      <c r="B60" s="103" t="s">
        <v>379</v>
      </c>
      <c r="C60" s="94"/>
      <c r="E60" s="85">
        <v>-251.54</v>
      </c>
      <c r="F60" s="85">
        <v>0</v>
      </c>
    </row>
    <row r="61" spans="1:6">
      <c r="A61" s="97">
        <v>45418</v>
      </c>
      <c r="B61" s="103" t="s">
        <v>380</v>
      </c>
      <c r="E61" s="85">
        <v>-890</v>
      </c>
      <c r="F61" s="85">
        <v>0</v>
      </c>
    </row>
    <row r="62" spans="1:6" ht="15">
      <c r="A62" s="97">
        <v>45418</v>
      </c>
      <c r="B62" s="103" t="s">
        <v>284</v>
      </c>
      <c r="C62" s="94">
        <v>4278.51</v>
      </c>
      <c r="D62" s="109"/>
      <c r="E62" s="108" t="s">
        <v>285</v>
      </c>
    </row>
    <row r="63" spans="1:6">
      <c r="A63" s="97"/>
      <c r="B63" s="3"/>
    </row>
    <row r="64" spans="1:6">
      <c r="A64" s="97"/>
      <c r="B64" s="94"/>
      <c r="C64" s="94"/>
    </row>
    <row r="65" spans="1:6">
      <c r="A65" s="78"/>
      <c r="B65" s="77" t="s">
        <v>235</v>
      </c>
      <c r="C65" s="78"/>
      <c r="D65" s="85">
        <v>19997.71</v>
      </c>
      <c r="E65" s="85">
        <f>SUM(E66:E114)</f>
        <v>-19997.71</v>
      </c>
      <c r="F65" s="85">
        <f>D65+E65</f>
        <v>0</v>
      </c>
    </row>
    <row r="66" spans="1:6">
      <c r="A66" s="97"/>
      <c r="B66" s="94"/>
      <c r="C66" s="94"/>
    </row>
    <row r="67" spans="1:6">
      <c r="A67" s="96">
        <v>45285</v>
      </c>
      <c r="B67" s="94" t="s">
        <v>333</v>
      </c>
      <c r="C67" s="94"/>
      <c r="D67" s="85" t="s">
        <v>381</v>
      </c>
      <c r="E67" s="85">
        <v>-3551.66</v>
      </c>
    </row>
    <row r="68" spans="1:6">
      <c r="A68" s="97"/>
      <c r="B68" s="3" t="s">
        <v>286</v>
      </c>
      <c r="C68" s="94"/>
      <c r="D68" s="85" t="s">
        <v>382</v>
      </c>
      <c r="E68" s="85">
        <v>-649.78</v>
      </c>
    </row>
    <row r="69" spans="1:6">
      <c r="A69" s="97"/>
      <c r="B69" s="3" t="s">
        <v>288</v>
      </c>
      <c r="C69" s="94">
        <v>49.98</v>
      </c>
      <c r="D69" s="85" t="s">
        <v>382</v>
      </c>
    </row>
    <row r="70" spans="1:6">
      <c r="A70" s="97"/>
      <c r="B70" s="3"/>
      <c r="C70" s="94"/>
    </row>
    <row r="71" spans="1:6">
      <c r="A71" s="97">
        <v>45408</v>
      </c>
      <c r="B71" s="3" t="s">
        <v>383</v>
      </c>
      <c r="C71" s="94"/>
      <c r="E71" s="85">
        <v>-1407.23</v>
      </c>
    </row>
    <row r="72" spans="1:6">
      <c r="A72" s="97">
        <v>45420</v>
      </c>
      <c r="B72" s="3" t="s">
        <v>347</v>
      </c>
      <c r="C72" s="94">
        <v>300</v>
      </c>
    </row>
    <row r="73" spans="1:6">
      <c r="A73" s="97">
        <v>45426</v>
      </c>
      <c r="B73" s="3" t="s">
        <v>384</v>
      </c>
      <c r="C73" s="94"/>
      <c r="E73" s="85">
        <v>-1469</v>
      </c>
    </row>
    <row r="74" spans="1:6">
      <c r="A74" s="97">
        <v>45426</v>
      </c>
      <c r="B74" s="3" t="s">
        <v>385</v>
      </c>
      <c r="C74" s="94"/>
      <c r="E74" s="85">
        <v>-1453</v>
      </c>
    </row>
    <row r="75" spans="1:6">
      <c r="A75" s="97">
        <v>45427</v>
      </c>
      <c r="B75" s="3" t="s">
        <v>386</v>
      </c>
      <c r="C75" s="94"/>
      <c r="E75" s="85">
        <v>905.5</v>
      </c>
    </row>
    <row r="76" spans="1:6">
      <c r="A76" s="97"/>
      <c r="C76" s="94"/>
    </row>
    <row r="77" spans="1:6">
      <c r="A77" s="97">
        <v>45407</v>
      </c>
      <c r="B77" s="3" t="s">
        <v>387</v>
      </c>
      <c r="C77" s="94"/>
      <c r="E77" s="85">
        <v>-800</v>
      </c>
      <c r="F77" s="85">
        <v>0</v>
      </c>
    </row>
    <row r="78" spans="1:6">
      <c r="A78" s="97">
        <v>45408</v>
      </c>
      <c r="B78" s="3" t="s">
        <v>388</v>
      </c>
      <c r="C78" s="94"/>
      <c r="E78" s="85">
        <v>-550</v>
      </c>
      <c r="F78" s="85">
        <v>0</v>
      </c>
    </row>
    <row r="79" spans="1:6">
      <c r="A79" s="97">
        <v>45411</v>
      </c>
      <c r="B79" s="3" t="s">
        <v>389</v>
      </c>
      <c r="C79" s="94"/>
      <c r="E79" s="85">
        <v>-70</v>
      </c>
      <c r="F79" s="85">
        <v>0</v>
      </c>
    </row>
    <row r="80" spans="1:6">
      <c r="A80" s="97">
        <v>45412</v>
      </c>
      <c r="B80" s="3" t="s">
        <v>390</v>
      </c>
      <c r="C80" s="94" t="s">
        <v>391</v>
      </c>
      <c r="D80" s="85">
        <f>E80</f>
        <v>-250</v>
      </c>
      <c r="E80" s="85">
        <v>-250</v>
      </c>
      <c r="F80" s="85">
        <v>0</v>
      </c>
    </row>
    <row r="81" spans="1:6">
      <c r="A81" s="97">
        <v>45412</v>
      </c>
      <c r="B81" s="3" t="s">
        <v>392</v>
      </c>
      <c r="C81" s="94"/>
      <c r="E81" s="85">
        <v>-1508</v>
      </c>
      <c r="F81" s="85">
        <v>0</v>
      </c>
    </row>
    <row r="82" spans="1:6">
      <c r="A82" s="97">
        <v>45412</v>
      </c>
      <c r="B82" s="3" t="s">
        <v>393</v>
      </c>
      <c r="C82" s="94"/>
      <c r="E82" s="85">
        <v>-70</v>
      </c>
      <c r="F82" s="85">
        <v>0</v>
      </c>
    </row>
    <row r="83" spans="1:6">
      <c r="A83" s="97">
        <v>45413</v>
      </c>
      <c r="B83" s="3" t="s">
        <v>394</v>
      </c>
      <c r="C83" s="94"/>
      <c r="E83" s="85">
        <v>-516</v>
      </c>
      <c r="F83" s="85">
        <v>0</v>
      </c>
    </row>
    <row r="84" spans="1:6">
      <c r="A84" s="97">
        <v>45413</v>
      </c>
      <c r="B84" s="3" t="s">
        <v>395</v>
      </c>
      <c r="C84" s="94"/>
      <c r="E84" s="85">
        <v>-150</v>
      </c>
      <c r="F84" s="85">
        <v>0</v>
      </c>
    </row>
    <row r="85" spans="1:6">
      <c r="A85" s="97">
        <v>45413</v>
      </c>
      <c r="B85" s="3" t="s">
        <v>395</v>
      </c>
      <c r="C85" s="94"/>
      <c r="E85" s="85">
        <v>-150</v>
      </c>
      <c r="F85" s="85">
        <v>0</v>
      </c>
    </row>
    <row r="86" spans="1:6">
      <c r="A86" s="97">
        <v>45413</v>
      </c>
      <c r="B86" s="3" t="s">
        <v>337</v>
      </c>
      <c r="C86" s="94"/>
      <c r="E86" s="85">
        <v>-530</v>
      </c>
      <c r="F86" s="85">
        <v>0</v>
      </c>
    </row>
    <row r="87" spans="1:6">
      <c r="A87" s="97">
        <v>45418</v>
      </c>
      <c r="B87" s="3" t="s">
        <v>284</v>
      </c>
      <c r="C87" s="94">
        <v>23491.02</v>
      </c>
    </row>
    <row r="88" spans="1:6">
      <c r="A88" s="97">
        <v>45420</v>
      </c>
      <c r="B88" s="3" t="s">
        <v>340</v>
      </c>
      <c r="C88" s="94"/>
      <c r="E88" s="85">
        <v>-518.4</v>
      </c>
      <c r="F88" s="85">
        <v>0</v>
      </c>
    </row>
    <row r="89" spans="1:6">
      <c r="A89" s="97">
        <v>45422</v>
      </c>
      <c r="B89" s="3" t="s">
        <v>396</v>
      </c>
      <c r="C89" s="94"/>
      <c r="E89" s="85">
        <v>-80</v>
      </c>
      <c r="F89" s="85">
        <v>0</v>
      </c>
    </row>
    <row r="90" spans="1:6">
      <c r="A90" s="97">
        <v>45424</v>
      </c>
      <c r="B90" s="3" t="s">
        <v>340</v>
      </c>
      <c r="C90" s="94"/>
      <c r="E90" s="85">
        <v>-173.82</v>
      </c>
      <c r="F90" s="85">
        <v>0</v>
      </c>
    </row>
    <row r="91" spans="1:6">
      <c r="A91" s="97">
        <v>45425</v>
      </c>
      <c r="B91" s="3" t="s">
        <v>390</v>
      </c>
      <c r="C91" s="94" t="s">
        <v>391</v>
      </c>
      <c r="D91" s="85">
        <f>E91</f>
        <v>-200</v>
      </c>
      <c r="E91" s="85">
        <v>-200</v>
      </c>
      <c r="F91" s="85">
        <v>0</v>
      </c>
    </row>
    <row r="92" spans="1:6">
      <c r="A92" s="97">
        <v>45426</v>
      </c>
      <c r="B92" s="3" t="s">
        <v>390</v>
      </c>
      <c r="C92" s="94" t="s">
        <v>391</v>
      </c>
      <c r="D92" s="85">
        <f>E92</f>
        <v>-300</v>
      </c>
      <c r="E92" s="85">
        <v>-300</v>
      </c>
      <c r="F92" s="85">
        <v>0</v>
      </c>
    </row>
    <row r="93" spans="1:6">
      <c r="A93" s="97">
        <v>45426</v>
      </c>
      <c r="B93" s="3" t="s">
        <v>397</v>
      </c>
      <c r="C93" s="94"/>
      <c r="E93" s="85">
        <v>-600</v>
      </c>
      <c r="F93" s="85">
        <v>0</v>
      </c>
    </row>
    <row r="94" spans="1:6">
      <c r="A94" s="97">
        <v>45427</v>
      </c>
      <c r="B94" s="3" t="s">
        <v>398</v>
      </c>
      <c r="C94" s="94">
        <v>95.08</v>
      </c>
      <c r="F94" s="85">
        <v>0</v>
      </c>
    </row>
    <row r="95" spans="1:6">
      <c r="A95" s="20">
        <v>45427</v>
      </c>
      <c r="B95" s="3" t="s">
        <v>399</v>
      </c>
      <c r="E95" s="85">
        <v>-1123.1500000000001</v>
      </c>
      <c r="F95" s="85">
        <v>0</v>
      </c>
    </row>
    <row r="96" spans="1:6">
      <c r="A96" s="20">
        <v>45427</v>
      </c>
      <c r="B96" s="3" t="s">
        <v>400</v>
      </c>
      <c r="C96">
        <v>1.26</v>
      </c>
      <c r="F96" s="85">
        <v>0</v>
      </c>
    </row>
    <row r="97" spans="1:6">
      <c r="A97" s="20">
        <v>45427</v>
      </c>
      <c r="B97" s="3" t="s">
        <v>401</v>
      </c>
      <c r="E97" s="85">
        <v>-16</v>
      </c>
      <c r="F97" s="85">
        <v>0</v>
      </c>
    </row>
    <row r="98" spans="1:6">
      <c r="A98" s="20">
        <v>45427</v>
      </c>
      <c r="B98" s="3" t="s">
        <v>402</v>
      </c>
      <c r="E98" s="85">
        <v>-375</v>
      </c>
      <c r="F98" s="85">
        <v>0</v>
      </c>
    </row>
    <row r="99" spans="1:6">
      <c r="A99" s="20">
        <v>45427</v>
      </c>
      <c r="B99" s="3" t="s">
        <v>401</v>
      </c>
      <c r="E99" s="85">
        <v>-11.5</v>
      </c>
      <c r="F99" s="85">
        <v>0</v>
      </c>
    </row>
    <row r="100" spans="1:6">
      <c r="A100" s="20">
        <v>45428</v>
      </c>
      <c r="B100" s="3" t="s">
        <v>403</v>
      </c>
      <c r="E100" s="85">
        <v>-500</v>
      </c>
      <c r="F100" s="85">
        <v>0</v>
      </c>
    </row>
    <row r="101" spans="1:6">
      <c r="A101" s="20">
        <v>45428</v>
      </c>
      <c r="B101" s="3" t="s">
        <v>404</v>
      </c>
      <c r="E101" s="85">
        <v>-594.67999999999995</v>
      </c>
      <c r="F101" s="85">
        <v>0</v>
      </c>
    </row>
    <row r="102" spans="1:6">
      <c r="A102" s="20">
        <v>45430</v>
      </c>
      <c r="B102" s="3" t="s">
        <v>404</v>
      </c>
      <c r="E102" s="85">
        <v>-169.99</v>
      </c>
      <c r="F102" s="85">
        <v>0</v>
      </c>
    </row>
    <row r="103" spans="1:6">
      <c r="A103" s="20">
        <v>45430</v>
      </c>
      <c r="B103" s="3" t="s">
        <v>405</v>
      </c>
      <c r="E103" s="85">
        <v>-330</v>
      </c>
      <c r="F103" s="85">
        <v>0</v>
      </c>
    </row>
    <row r="104" spans="1:6">
      <c r="A104" s="20">
        <v>45430</v>
      </c>
      <c r="B104" s="3" t="s">
        <v>404</v>
      </c>
      <c r="E104" s="85">
        <v>-139.9</v>
      </c>
      <c r="F104" s="85">
        <v>0</v>
      </c>
    </row>
    <row r="105" spans="1:6">
      <c r="A105" s="20">
        <v>45430</v>
      </c>
      <c r="B105" s="3" t="s">
        <v>403</v>
      </c>
      <c r="E105" s="85">
        <v>-500</v>
      </c>
      <c r="F105" s="85">
        <v>0</v>
      </c>
    </row>
    <row r="106" spans="1:6">
      <c r="A106" s="20">
        <v>45431</v>
      </c>
      <c r="B106" s="3" t="s">
        <v>406</v>
      </c>
      <c r="E106" s="85">
        <v>-266</v>
      </c>
      <c r="F106" s="85">
        <v>0</v>
      </c>
    </row>
    <row r="107" spans="1:6">
      <c r="A107" s="20">
        <v>45432</v>
      </c>
      <c r="B107" s="3" t="s">
        <v>406</v>
      </c>
      <c r="E107" s="85">
        <v>-22.1</v>
      </c>
      <c r="F107" s="85">
        <v>0</v>
      </c>
    </row>
    <row r="108" spans="1:6">
      <c r="A108" s="20">
        <v>45432</v>
      </c>
      <c r="B108" s="3" t="s">
        <v>401</v>
      </c>
      <c r="E108" s="85">
        <v>-11.5</v>
      </c>
      <c r="F108" s="85">
        <v>0</v>
      </c>
    </row>
    <row r="109" spans="1:6">
      <c r="A109" s="20">
        <v>45432</v>
      </c>
      <c r="B109" s="3" t="s">
        <v>402</v>
      </c>
      <c r="E109" s="85">
        <v>-335</v>
      </c>
      <c r="F109" s="85">
        <v>0</v>
      </c>
    </row>
    <row r="110" spans="1:6">
      <c r="A110" s="20">
        <v>45432</v>
      </c>
      <c r="B110" s="3" t="s">
        <v>401</v>
      </c>
      <c r="E110" s="85">
        <v>-11.5</v>
      </c>
      <c r="F110" s="85">
        <v>0</v>
      </c>
    </row>
    <row r="111" spans="1:6">
      <c r="A111" s="20">
        <v>45432</v>
      </c>
      <c r="B111" s="3" t="s">
        <v>407</v>
      </c>
      <c r="E111" s="85">
        <v>-650</v>
      </c>
      <c r="F111" s="85">
        <v>0</v>
      </c>
    </row>
    <row r="112" spans="1:6">
      <c r="A112" s="20">
        <v>45435</v>
      </c>
      <c r="B112" s="3" t="s">
        <v>390</v>
      </c>
      <c r="C112" t="s">
        <v>391</v>
      </c>
      <c r="D112" s="85">
        <f>E112</f>
        <v>-300</v>
      </c>
      <c r="E112" s="85">
        <v>-300</v>
      </c>
      <c r="F112" s="85">
        <v>0</v>
      </c>
    </row>
    <row r="113" spans="1:6">
      <c r="A113" s="20">
        <v>45435</v>
      </c>
      <c r="B113" s="3" t="s">
        <v>408</v>
      </c>
      <c r="E113" s="85">
        <v>-550</v>
      </c>
      <c r="F113" s="85">
        <v>0</v>
      </c>
    </row>
    <row r="114" spans="1:6" ht="15">
      <c r="A114" s="20"/>
      <c r="B114" s="3"/>
      <c r="C114" s="118" t="s">
        <v>359</v>
      </c>
      <c r="D114" s="119">
        <f>SUM(D79:D113)</f>
        <v>-1050</v>
      </c>
      <c r="E114" s="108" t="s">
        <v>285</v>
      </c>
    </row>
    <row r="115" spans="1:6">
      <c r="A115" s="20"/>
      <c r="B115" s="3"/>
    </row>
    <row r="116" spans="1:6">
      <c r="A116" s="20"/>
      <c r="B116" s="3"/>
    </row>
    <row r="117" spans="1:6">
      <c r="A117" s="20"/>
      <c r="B117" s="3"/>
    </row>
    <row r="118" spans="1:6">
      <c r="A118" s="76" t="s">
        <v>409</v>
      </c>
      <c r="B118" s="77" t="s">
        <v>171</v>
      </c>
      <c r="C118" s="78">
        <v>2024</v>
      </c>
      <c r="D118" s="79"/>
      <c r="E118" s="80">
        <f>SUM(E119:E135)</f>
        <v>794302.15999999992</v>
      </c>
    </row>
    <row r="119" spans="1:6">
      <c r="A119" s="81">
        <v>45413</v>
      </c>
      <c r="B119" t="s">
        <v>84</v>
      </c>
      <c r="C119" s="2"/>
      <c r="D119" s="2"/>
      <c r="E119" s="2">
        <v>64000</v>
      </c>
    </row>
    <row r="120" spans="1:6">
      <c r="A120" s="81">
        <f t="shared" ref="A120:A127" si="1">A119</f>
        <v>45413</v>
      </c>
      <c r="B120" t="s">
        <v>309</v>
      </c>
      <c r="C120" s="2"/>
      <c r="D120" s="2"/>
      <c r="E120" s="2">
        <v>150845</v>
      </c>
    </row>
    <row r="121" spans="1:6">
      <c r="A121" s="81">
        <f t="shared" si="1"/>
        <v>45413</v>
      </c>
      <c r="B121" t="s">
        <v>173</v>
      </c>
      <c r="C121" s="2"/>
      <c r="D121" s="2"/>
      <c r="E121" s="13">
        <v>4148.6099999999997</v>
      </c>
    </row>
    <row r="122" spans="1:6">
      <c r="A122" s="81">
        <f t="shared" si="1"/>
        <v>45413</v>
      </c>
      <c r="B122" t="s">
        <v>174</v>
      </c>
      <c r="C122" s="2"/>
      <c r="D122" s="2"/>
      <c r="E122" s="13">
        <v>0</v>
      </c>
    </row>
    <row r="123" spans="1:6">
      <c r="A123" s="81">
        <f t="shared" si="1"/>
        <v>45413</v>
      </c>
      <c r="B123" t="s">
        <v>310</v>
      </c>
      <c r="C123" s="2"/>
      <c r="D123" s="2"/>
      <c r="E123" s="13">
        <v>0</v>
      </c>
    </row>
    <row r="124" spans="1:6">
      <c r="A124" s="81">
        <f t="shared" si="1"/>
        <v>45413</v>
      </c>
      <c r="B124" t="s">
        <v>175</v>
      </c>
      <c r="C124" s="110"/>
      <c r="D124" s="2"/>
      <c r="E124" s="13">
        <v>0</v>
      </c>
    </row>
    <row r="125" spans="1:6">
      <c r="A125" s="81">
        <f t="shared" si="1"/>
        <v>45413</v>
      </c>
      <c r="B125" t="s">
        <v>60</v>
      </c>
      <c r="C125" s="2"/>
      <c r="D125" s="2"/>
      <c r="E125" s="13">
        <v>0</v>
      </c>
    </row>
    <row r="126" spans="1:6">
      <c r="A126" s="81">
        <f t="shared" si="1"/>
        <v>45413</v>
      </c>
      <c r="B126" t="s">
        <v>311</v>
      </c>
      <c r="C126" s="112">
        <v>125000</v>
      </c>
      <c r="D126" s="2">
        <v>0.88097599999999998</v>
      </c>
      <c r="E126" s="13">
        <f>D126*C126</f>
        <v>110122</v>
      </c>
    </row>
    <row r="127" spans="1:6">
      <c r="A127" s="81">
        <f t="shared" si="1"/>
        <v>45413</v>
      </c>
      <c r="B127" t="s">
        <v>312</v>
      </c>
      <c r="C127" s="2">
        <v>10</v>
      </c>
      <c r="D127" s="2">
        <v>122</v>
      </c>
      <c r="E127" s="13">
        <f>D127*C127</f>
        <v>1220</v>
      </c>
    </row>
    <row r="128" spans="1:6">
      <c r="A128" s="81">
        <f>A126</f>
        <v>45413</v>
      </c>
      <c r="B128" t="s">
        <v>183</v>
      </c>
      <c r="C128" s="2"/>
      <c r="D128" s="2"/>
      <c r="E128" s="13">
        <v>450</v>
      </c>
    </row>
    <row r="129" spans="1:5">
      <c r="A129" s="81">
        <f>A128</f>
        <v>45413</v>
      </c>
      <c r="B129" t="s">
        <v>315</v>
      </c>
      <c r="C129" s="2">
        <v>2500</v>
      </c>
      <c r="D129" s="2">
        <v>24.5</v>
      </c>
      <c r="E129" s="13">
        <f>D129*C129</f>
        <v>61250</v>
      </c>
    </row>
    <row r="130" spans="1:5">
      <c r="A130" s="81">
        <f>A128</f>
        <v>45413</v>
      </c>
      <c r="B130" t="s">
        <v>316</v>
      </c>
      <c r="C130" s="2">
        <v>2308.9699999999998</v>
      </c>
      <c r="D130" s="2">
        <v>156</v>
      </c>
      <c r="E130" s="13">
        <f>D130*C130</f>
        <v>360199.31999999995</v>
      </c>
    </row>
    <row r="131" spans="1:5">
      <c r="A131" s="81">
        <f>A130</f>
        <v>45413</v>
      </c>
      <c r="B131" t="s">
        <v>410</v>
      </c>
      <c r="C131" s="83">
        <v>31.879300000000001</v>
      </c>
      <c r="D131" s="2">
        <v>850</v>
      </c>
      <c r="E131" s="13">
        <f>D131*C131</f>
        <v>27097.404999999999</v>
      </c>
    </row>
    <row r="132" spans="1:5">
      <c r="A132" s="81">
        <f>A131</f>
        <v>45413</v>
      </c>
      <c r="B132" t="s">
        <v>318</v>
      </c>
      <c r="C132" s="83">
        <f>C131</f>
        <v>31.879300000000001</v>
      </c>
      <c r="D132" s="2">
        <v>250</v>
      </c>
      <c r="E132" s="13">
        <f>D132*C132</f>
        <v>7969.8249999999998</v>
      </c>
    </row>
    <row r="133" spans="1:5">
      <c r="A133" s="81">
        <f>A132</f>
        <v>45413</v>
      </c>
      <c r="B133" t="s">
        <v>411</v>
      </c>
      <c r="C133" s="83">
        <v>34.394500000000001</v>
      </c>
      <c r="D133" s="2">
        <v>0</v>
      </c>
      <c r="E133" s="13">
        <f>D133*C133</f>
        <v>0</v>
      </c>
    </row>
    <row r="134" spans="1:5">
      <c r="A134" s="81">
        <f>A133</f>
        <v>45413</v>
      </c>
      <c r="B134" t="s">
        <v>187</v>
      </c>
      <c r="C134" s="2"/>
      <c r="D134" s="2"/>
      <c r="E134" s="13">
        <v>3000</v>
      </c>
    </row>
    <row r="135" spans="1:5">
      <c r="A135" s="81">
        <f>A134</f>
        <v>45413</v>
      </c>
      <c r="B135" t="s">
        <v>94</v>
      </c>
      <c r="C135" s="2"/>
      <c r="D135" s="2"/>
      <c r="E135" s="13">
        <v>4000</v>
      </c>
    </row>
    <row r="136" spans="1:5">
      <c r="E136" s="113"/>
    </row>
    <row r="137" spans="1:5">
      <c r="C137" s="110"/>
      <c r="D137" s="3"/>
      <c r="E137" s="110"/>
    </row>
    <row r="138" spans="1:5">
      <c r="C138" s="110"/>
      <c r="D138" s="70" t="s">
        <v>189</v>
      </c>
      <c r="E138" s="8">
        <f>SUM(E119:E135)</f>
        <v>794302.15999999992</v>
      </c>
    </row>
    <row r="139" spans="1:5">
      <c r="C139" s="114" t="str">
        <f>A118</f>
        <v>HAZİRANa</v>
      </c>
      <c r="D139" s="115" t="s">
        <v>188</v>
      </c>
      <c r="E139" s="116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85" customWidth="1"/>
    <col min="5" max="5" width="12.85546875" style="85" customWidth="1"/>
    <col min="6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412</v>
      </c>
      <c r="C2" s="87" t="s">
        <v>191</v>
      </c>
      <c r="D2" s="85">
        <f>SUM(D5:D26)</f>
        <v>25000</v>
      </c>
      <c r="E2" s="85">
        <f>SUM(E5:E26)</f>
        <v>-64525.01</v>
      </c>
      <c r="F2" s="85">
        <f>SUM(F5:F26)</f>
        <v>25427.620000000003</v>
      </c>
      <c r="G2" s="85">
        <f>SUM(G5:G26)</f>
        <v>-64483.92</v>
      </c>
      <c r="H2" s="85">
        <f>F2+G2</f>
        <v>-39056.299999999996</v>
      </c>
    </row>
    <row r="3" spans="1:8">
      <c r="B3" s="70"/>
    </row>
    <row r="4" spans="1:8">
      <c r="B4" s="88" t="s">
        <v>413</v>
      </c>
      <c r="C4" s="88" t="s">
        <v>197</v>
      </c>
      <c r="D4" s="86"/>
      <c r="E4" s="86">
        <v>-250</v>
      </c>
      <c r="F4" s="86"/>
      <c r="G4" s="86"/>
      <c r="H4" s="86">
        <f t="shared" ref="H4:H26" si="0">H3+F4+G4</f>
        <v>0</v>
      </c>
    </row>
    <row r="5" spans="1:8">
      <c r="A5" s="20">
        <v>45404</v>
      </c>
      <c r="B5" s="43" t="s">
        <v>192</v>
      </c>
      <c r="C5" t="s">
        <v>414</v>
      </c>
      <c r="D5" s="86"/>
      <c r="E5" s="86">
        <v>-152</v>
      </c>
      <c r="F5" s="86"/>
      <c r="G5" s="86">
        <v>-166.9</v>
      </c>
      <c r="H5" s="86">
        <f t="shared" si="0"/>
        <v>-166.9</v>
      </c>
    </row>
    <row r="6" spans="1:8">
      <c r="A6" s="120">
        <v>45414</v>
      </c>
      <c r="B6" s="88" t="s">
        <v>194</v>
      </c>
      <c r="C6" s="88"/>
      <c r="D6" s="86"/>
      <c r="E6" s="86">
        <v>-400</v>
      </c>
      <c r="F6" s="86"/>
      <c r="G6" s="86">
        <v>-330</v>
      </c>
      <c r="H6" s="86">
        <f t="shared" si="0"/>
        <v>-496.9</v>
      </c>
    </row>
    <row r="7" spans="1:8">
      <c r="A7" s="120">
        <v>45414</v>
      </c>
      <c r="B7" s="88" t="s">
        <v>195</v>
      </c>
      <c r="C7" s="88"/>
      <c r="D7" s="86"/>
      <c r="E7" s="86">
        <v>-500</v>
      </c>
      <c r="F7" s="86"/>
      <c r="G7" s="86">
        <v>-510</v>
      </c>
      <c r="H7" s="86">
        <f t="shared" si="0"/>
        <v>-1006.9</v>
      </c>
    </row>
    <row r="8" spans="1:8">
      <c r="A8" s="20">
        <v>45414</v>
      </c>
      <c r="B8" t="s">
        <v>415</v>
      </c>
      <c r="D8" s="86" t="s">
        <v>416</v>
      </c>
      <c r="E8" s="86">
        <v>-103.5</v>
      </c>
      <c r="F8" s="86"/>
      <c r="G8" s="86"/>
      <c r="H8" s="86">
        <f t="shared" si="0"/>
        <v>-1006.9</v>
      </c>
    </row>
    <row r="9" spans="1:8">
      <c r="A9" s="120">
        <v>45418</v>
      </c>
      <c r="B9" s="88" t="s">
        <v>208</v>
      </c>
      <c r="C9" s="88" t="s">
        <v>209</v>
      </c>
      <c r="D9" s="86"/>
      <c r="E9" s="86">
        <v>-150</v>
      </c>
      <c r="F9" s="86"/>
      <c r="G9" s="86">
        <v>-25.38</v>
      </c>
      <c r="H9" s="86">
        <f t="shared" si="0"/>
        <v>-1032.28</v>
      </c>
    </row>
    <row r="10" spans="1:8">
      <c r="A10" s="120">
        <v>45418</v>
      </c>
      <c r="B10" s="104" t="s">
        <v>213</v>
      </c>
      <c r="D10" s="86"/>
      <c r="E10" s="86">
        <f>E41</f>
        <v>-4278.51</v>
      </c>
      <c r="F10" s="86"/>
      <c r="G10" s="86">
        <v>-4276.51</v>
      </c>
      <c r="H10" s="86">
        <f t="shared" si="0"/>
        <v>-5308.79</v>
      </c>
    </row>
    <row r="11" spans="1:8">
      <c r="A11" s="96">
        <v>45418</v>
      </c>
      <c r="B11" s="104" t="s">
        <v>214</v>
      </c>
      <c r="D11" s="86"/>
      <c r="E11" s="86">
        <f>E57</f>
        <v>-23541</v>
      </c>
      <c r="F11" s="86"/>
      <c r="G11" s="86">
        <v>-23541</v>
      </c>
      <c r="H11" s="86">
        <f t="shared" si="0"/>
        <v>-28849.79</v>
      </c>
    </row>
    <row r="12" spans="1:8">
      <c r="A12" s="120">
        <v>45418</v>
      </c>
      <c r="B12" s="88" t="s">
        <v>417</v>
      </c>
      <c r="C12" s="88"/>
      <c r="D12" s="86"/>
      <c r="E12" s="86">
        <v>-1500</v>
      </c>
      <c r="F12" s="86"/>
      <c r="G12" s="86">
        <v>-1512.13</v>
      </c>
      <c r="H12" s="86">
        <f t="shared" si="0"/>
        <v>-30361.920000000002</v>
      </c>
    </row>
    <row r="13" spans="1:8">
      <c r="A13" s="120">
        <v>45418</v>
      </c>
      <c r="B13" t="s">
        <v>193</v>
      </c>
      <c r="D13" s="86"/>
      <c r="E13" s="86">
        <v>-10000</v>
      </c>
      <c r="F13" s="86"/>
      <c r="G13" s="86">
        <v>-10000</v>
      </c>
      <c r="H13" s="86">
        <f t="shared" si="0"/>
        <v>-40361.919999999998</v>
      </c>
    </row>
    <row r="14" spans="1:8">
      <c r="A14" s="97">
        <v>45419</v>
      </c>
      <c r="B14" s="88" t="s">
        <v>418</v>
      </c>
      <c r="C14" s="88"/>
      <c r="D14" s="86"/>
      <c r="E14" s="86">
        <v>-5375</v>
      </c>
      <c r="F14" s="86"/>
      <c r="G14" s="86">
        <v>-5375</v>
      </c>
      <c r="H14" s="86">
        <f t="shared" si="0"/>
        <v>-45736.92</v>
      </c>
    </row>
    <row r="15" spans="1:8">
      <c r="A15" s="97">
        <v>45419</v>
      </c>
      <c r="B15" s="88" t="s">
        <v>418</v>
      </c>
      <c r="C15" s="88"/>
      <c r="D15" s="86"/>
      <c r="E15" s="86">
        <v>-2125</v>
      </c>
      <c r="F15" s="86"/>
      <c r="G15" s="86">
        <v>-2125</v>
      </c>
      <c r="H15" s="86">
        <f t="shared" si="0"/>
        <v>-47861.919999999998</v>
      </c>
    </row>
    <row r="16" spans="1:8">
      <c r="A16" s="97">
        <v>45432</v>
      </c>
      <c r="B16" s="94" t="s">
        <v>210</v>
      </c>
      <c r="C16" s="94" t="s">
        <v>209</v>
      </c>
      <c r="D16" s="86"/>
      <c r="E16" s="86">
        <v>-300</v>
      </c>
      <c r="F16" s="86"/>
      <c r="G16" s="86">
        <v>-403</v>
      </c>
      <c r="H16" s="86">
        <f t="shared" si="0"/>
        <v>-48264.92</v>
      </c>
    </row>
    <row r="17" spans="1:8">
      <c r="A17" s="97">
        <v>45432</v>
      </c>
      <c r="B17" s="94" t="s">
        <v>211</v>
      </c>
      <c r="C17" s="94" t="s">
        <v>209</v>
      </c>
      <c r="D17" s="86"/>
      <c r="E17" s="86">
        <v>-100</v>
      </c>
      <c r="F17" s="86"/>
      <c r="G17" s="86">
        <v>-34</v>
      </c>
      <c r="H17" s="86">
        <f t="shared" si="0"/>
        <v>-48298.92</v>
      </c>
    </row>
    <row r="18" spans="1:8">
      <c r="A18" s="97"/>
      <c r="B18" s="104" t="s">
        <v>212</v>
      </c>
      <c r="D18" s="86"/>
      <c r="E18" s="86">
        <f>E36*-1</f>
        <v>-100</v>
      </c>
      <c r="F18" s="86"/>
      <c r="G18" s="86">
        <f>E18</f>
        <v>-100</v>
      </c>
      <c r="H18" s="86">
        <f t="shared" si="0"/>
        <v>-48398.92</v>
      </c>
    </row>
    <row r="19" spans="1:8">
      <c r="A19" s="20">
        <v>45439</v>
      </c>
      <c r="B19" t="s">
        <v>84</v>
      </c>
      <c r="D19" s="86"/>
      <c r="E19" s="86">
        <v>-5000</v>
      </c>
      <c r="F19" s="86"/>
      <c r="G19" s="86">
        <v>-5205</v>
      </c>
      <c r="H19" s="86">
        <f t="shared" si="0"/>
        <v>-53603.92</v>
      </c>
    </row>
    <row r="20" spans="1:8">
      <c r="A20" s="20">
        <v>45439</v>
      </c>
      <c r="B20" t="s">
        <v>172</v>
      </c>
      <c r="D20" s="86"/>
      <c r="E20" s="86">
        <v>-5000</v>
      </c>
      <c r="F20" s="86"/>
      <c r="G20" s="86">
        <v>-5205</v>
      </c>
      <c r="H20" s="86">
        <f t="shared" si="0"/>
        <v>-58808.92</v>
      </c>
    </row>
    <row r="21" spans="1:8">
      <c r="A21" s="20">
        <v>45439</v>
      </c>
      <c r="B21" t="s">
        <v>217</v>
      </c>
      <c r="D21" s="86"/>
      <c r="E21" s="86">
        <v>-5000</v>
      </c>
      <c r="F21" s="86"/>
      <c r="G21" s="86">
        <v>-5000</v>
      </c>
      <c r="H21" s="86">
        <f t="shared" si="0"/>
        <v>-63808.92</v>
      </c>
    </row>
    <row r="22" spans="1:8">
      <c r="B22" t="s">
        <v>218</v>
      </c>
      <c r="D22" s="86">
        <v>10000</v>
      </c>
      <c r="E22" s="86"/>
      <c r="F22" s="86">
        <v>10427.620000000001</v>
      </c>
      <c r="G22" s="86"/>
      <c r="H22" s="86">
        <f t="shared" si="0"/>
        <v>-53381.299999999996</v>
      </c>
    </row>
    <row r="23" spans="1:8">
      <c r="A23" s="97">
        <v>45447</v>
      </c>
      <c r="B23" t="s">
        <v>419</v>
      </c>
      <c r="D23" s="86">
        <v>15000</v>
      </c>
      <c r="E23" s="86"/>
      <c r="F23" s="86">
        <v>15000</v>
      </c>
      <c r="H23" s="86">
        <f t="shared" si="0"/>
        <v>-38381.299999999996</v>
      </c>
    </row>
    <row r="24" spans="1:8">
      <c r="H24" s="86">
        <f t="shared" si="0"/>
        <v>-38381.299999999996</v>
      </c>
    </row>
    <row r="25" spans="1:8">
      <c r="A25" s="120">
        <v>45442</v>
      </c>
      <c r="B25" s="88" t="s">
        <v>194</v>
      </c>
      <c r="C25" s="88"/>
      <c r="D25" s="86"/>
      <c r="E25" s="86">
        <v>-400</v>
      </c>
      <c r="G25" s="85">
        <v>-240</v>
      </c>
      <c r="H25" s="86">
        <f t="shared" si="0"/>
        <v>-38621.299999999996</v>
      </c>
    </row>
    <row r="26" spans="1:8">
      <c r="A26" s="120">
        <v>45442</v>
      </c>
      <c r="B26" s="88" t="s">
        <v>195</v>
      </c>
      <c r="C26" s="88"/>
      <c r="D26" s="86"/>
      <c r="E26" s="86">
        <v>-500</v>
      </c>
      <c r="G26" s="85">
        <v>-435</v>
      </c>
      <c r="H26" s="86">
        <f t="shared" si="0"/>
        <v>-39056.299999999996</v>
      </c>
    </row>
    <row r="28" spans="1:8">
      <c r="B28" t="s">
        <v>222</v>
      </c>
    </row>
    <row r="29" spans="1:8">
      <c r="A29" s="97"/>
      <c r="C29" s="98"/>
    </row>
    <row r="30" spans="1:8">
      <c r="A30" s="100">
        <v>44929</v>
      </c>
      <c r="B30" s="101" t="s">
        <v>224</v>
      </c>
      <c r="C30" s="78"/>
      <c r="D30" s="85">
        <f>SUM(D31:D36)</f>
        <v>3775.1600000000003</v>
      </c>
      <c r="E30" s="85">
        <f>SUM(E31:E36)</f>
        <v>3775.28</v>
      </c>
    </row>
    <row r="31" spans="1:8">
      <c r="A31" s="97"/>
      <c r="B31" s="94" t="s">
        <v>225</v>
      </c>
      <c r="D31" s="86">
        <v>786.88</v>
      </c>
      <c r="E31" s="86">
        <v>787</v>
      </c>
    </row>
    <row r="32" spans="1:8">
      <c r="B32" t="s">
        <v>226</v>
      </c>
      <c r="D32" s="86">
        <v>1205</v>
      </c>
      <c r="E32" s="86">
        <v>1205</v>
      </c>
    </row>
    <row r="33" spans="1:5">
      <c r="B33" t="s">
        <v>227</v>
      </c>
      <c r="D33" s="86">
        <v>55.4</v>
      </c>
      <c r="E33" s="86">
        <v>55.4</v>
      </c>
    </row>
    <row r="34" spans="1:5">
      <c r="B34" t="s">
        <v>228</v>
      </c>
      <c r="D34" s="86">
        <v>1257.4000000000001</v>
      </c>
      <c r="E34" s="86">
        <v>1257.4000000000001</v>
      </c>
    </row>
    <row r="35" spans="1:5">
      <c r="B35" t="s">
        <v>229</v>
      </c>
      <c r="D35" s="86">
        <v>370.48</v>
      </c>
      <c r="E35" s="86">
        <v>370.48</v>
      </c>
    </row>
    <row r="36" spans="1:5">
      <c r="B36" t="s">
        <v>230</v>
      </c>
      <c r="C36" s="94"/>
      <c r="D36" s="86">
        <v>100</v>
      </c>
      <c r="E36" s="86">
        <v>100</v>
      </c>
    </row>
    <row r="37" spans="1:5">
      <c r="C37" s="94"/>
    </row>
    <row r="39" spans="1:5">
      <c r="B39" s="13"/>
    </row>
    <row r="40" spans="1:5">
      <c r="B40" s="102"/>
    </row>
    <row r="41" spans="1:5">
      <c r="A41" s="78"/>
      <c r="B41" s="77" t="s">
        <v>231</v>
      </c>
      <c r="C41" s="78"/>
      <c r="E41" s="85">
        <f>SUM(E42:E53)</f>
        <v>-4278.51</v>
      </c>
    </row>
    <row r="43" spans="1:5">
      <c r="A43" s="97">
        <v>45187</v>
      </c>
      <c r="B43" s="94" t="s">
        <v>375</v>
      </c>
      <c r="C43" s="94">
        <v>7648.33</v>
      </c>
      <c r="D43" s="85" t="s">
        <v>247</v>
      </c>
      <c r="E43" s="85">
        <v>-849.81</v>
      </c>
    </row>
    <row r="44" spans="1:5">
      <c r="A44" s="20">
        <v>45348</v>
      </c>
      <c r="B44" t="s">
        <v>257</v>
      </c>
      <c r="C44">
        <v>1406</v>
      </c>
      <c r="D44" s="85" t="s">
        <v>420</v>
      </c>
      <c r="E44" s="85">
        <v>-234.33</v>
      </c>
    </row>
    <row r="45" spans="1:5">
      <c r="A45" s="20">
        <v>45373</v>
      </c>
      <c r="B45" t="s">
        <v>232</v>
      </c>
      <c r="C45">
        <v>10176.39</v>
      </c>
      <c r="D45" s="85" t="s">
        <v>421</v>
      </c>
      <c r="E45" s="85">
        <v>-1130.71</v>
      </c>
    </row>
    <row r="46" spans="1:5">
      <c r="A46" s="20">
        <v>45375</v>
      </c>
      <c r="B46" t="s">
        <v>234</v>
      </c>
      <c r="C46">
        <v>5999</v>
      </c>
      <c r="D46" s="85" t="s">
        <v>422</v>
      </c>
      <c r="E46" s="85">
        <v>-666.56</v>
      </c>
    </row>
    <row r="47" spans="1:5">
      <c r="A47" s="20">
        <v>45358</v>
      </c>
      <c r="B47" t="s">
        <v>260</v>
      </c>
      <c r="C47">
        <v>2273</v>
      </c>
      <c r="D47" s="85" t="s">
        <v>420</v>
      </c>
      <c r="E47" s="85">
        <v>-378.87</v>
      </c>
    </row>
    <row r="48" spans="1:5">
      <c r="A48" s="20">
        <v>45371</v>
      </c>
      <c r="B48" t="s">
        <v>261</v>
      </c>
      <c r="D48" s="85" t="s">
        <v>423</v>
      </c>
      <c r="E48" s="85">
        <v>101.77</v>
      </c>
    </row>
    <row r="49" spans="1:5">
      <c r="A49" s="20">
        <v>45377</v>
      </c>
      <c r="B49" t="s">
        <v>424</v>
      </c>
      <c r="D49" s="85" t="s">
        <v>425</v>
      </c>
    </row>
    <row r="50" spans="1:5">
      <c r="A50" s="97"/>
      <c r="B50" s="103" t="s">
        <v>426</v>
      </c>
      <c r="C50" s="94"/>
      <c r="E50" s="85">
        <v>-90</v>
      </c>
    </row>
    <row r="51" spans="1:5">
      <c r="A51" s="97"/>
      <c r="B51" s="103"/>
      <c r="C51" s="94"/>
      <c r="D51" s="85">
        <v>6693.55</v>
      </c>
    </row>
    <row r="52" spans="1:5">
      <c r="A52" s="97"/>
      <c r="B52" s="103" t="s">
        <v>427</v>
      </c>
      <c r="E52" s="85">
        <v>-790</v>
      </c>
    </row>
    <row r="53" spans="1:5">
      <c r="A53" s="97"/>
      <c r="B53" s="103" t="s">
        <v>428</v>
      </c>
      <c r="C53" s="94"/>
      <c r="E53" s="85">
        <v>-240</v>
      </c>
    </row>
    <row r="54" spans="1:5" ht="15">
      <c r="A54" s="97"/>
      <c r="B54" s="103"/>
      <c r="C54" s="94"/>
      <c r="D54" s="108" t="s">
        <v>285</v>
      </c>
    </row>
    <row r="55" spans="1:5">
      <c r="A55" s="97"/>
      <c r="B55" s="3"/>
    </row>
    <row r="56" spans="1:5">
      <c r="A56" s="97"/>
      <c r="B56" s="94"/>
      <c r="C56" s="94"/>
    </row>
    <row r="57" spans="1:5">
      <c r="A57" s="78"/>
      <c r="B57" s="77" t="s">
        <v>235</v>
      </c>
      <c r="C57" s="78"/>
      <c r="E57" s="85">
        <f>SUM(E58:E100)</f>
        <v>-23541</v>
      </c>
    </row>
    <row r="58" spans="1:5">
      <c r="A58" s="97"/>
      <c r="B58" s="94"/>
      <c r="C58" s="94"/>
    </row>
    <row r="59" spans="1:5">
      <c r="A59" s="96">
        <v>45285</v>
      </c>
      <c r="B59" s="94" t="s">
        <v>333</v>
      </c>
      <c r="C59" s="94"/>
      <c r="D59" s="85" t="s">
        <v>429</v>
      </c>
      <c r="E59" s="85">
        <v>-3551.66</v>
      </c>
    </row>
    <row r="60" spans="1:5">
      <c r="A60" s="97"/>
      <c r="B60" s="3" t="s">
        <v>286</v>
      </c>
      <c r="C60" s="94"/>
      <c r="D60" s="85" t="s">
        <v>430</v>
      </c>
      <c r="E60" s="85">
        <v>-649.78</v>
      </c>
    </row>
    <row r="61" spans="1:5">
      <c r="A61" s="97"/>
      <c r="B61" s="3" t="s">
        <v>288</v>
      </c>
      <c r="C61" s="94">
        <v>49.98</v>
      </c>
      <c r="D61" s="85" t="s">
        <v>430</v>
      </c>
    </row>
    <row r="62" spans="1:5">
      <c r="A62" s="97"/>
      <c r="B62" s="3"/>
      <c r="C62" s="94"/>
    </row>
    <row r="63" spans="1:5">
      <c r="A63" s="97"/>
      <c r="B63" s="3"/>
      <c r="C63" s="94"/>
    </row>
    <row r="64" spans="1:5">
      <c r="A64" s="97">
        <v>45405</v>
      </c>
      <c r="B64" s="3" t="s">
        <v>431</v>
      </c>
      <c r="C64" s="94"/>
      <c r="E64" s="85">
        <v>-500</v>
      </c>
    </row>
    <row r="65" spans="1:5">
      <c r="A65" s="97">
        <v>45398</v>
      </c>
      <c r="B65" s="3" t="s">
        <v>432</v>
      </c>
      <c r="C65" s="94"/>
      <c r="E65" s="85">
        <v>-400</v>
      </c>
    </row>
    <row r="66" spans="1:5">
      <c r="A66" s="97">
        <v>45398</v>
      </c>
      <c r="B66" s="3" t="s">
        <v>301</v>
      </c>
      <c r="C66" s="94"/>
      <c r="E66" s="85">
        <v>-48.5</v>
      </c>
    </row>
    <row r="67" spans="1:5">
      <c r="A67" s="97">
        <v>45398</v>
      </c>
      <c r="B67" s="3" t="s">
        <v>432</v>
      </c>
      <c r="C67" s="94"/>
      <c r="E67" s="85">
        <v>-871.29</v>
      </c>
    </row>
    <row r="68" spans="1:5">
      <c r="A68" s="97">
        <v>45398</v>
      </c>
      <c r="B68" s="3" t="s">
        <v>432</v>
      </c>
      <c r="C68" s="94"/>
      <c r="E68" s="85">
        <v>-810.42</v>
      </c>
    </row>
    <row r="69" spans="1:5">
      <c r="A69" s="97">
        <v>45397</v>
      </c>
      <c r="B69" s="3" t="s">
        <v>390</v>
      </c>
      <c r="C69" s="94">
        <v>240</v>
      </c>
      <c r="E69" s="85">
        <v>-240</v>
      </c>
    </row>
    <row r="70" spans="1:5">
      <c r="A70" s="97">
        <v>45388</v>
      </c>
      <c r="B70" s="3" t="s">
        <v>433</v>
      </c>
      <c r="C70" s="94"/>
      <c r="E70" s="85">
        <v>-400</v>
      </c>
    </row>
    <row r="71" spans="1:5">
      <c r="A71" s="97"/>
      <c r="B71" s="3"/>
      <c r="C71" s="94"/>
      <c r="D71" s="85">
        <v>6501.46</v>
      </c>
    </row>
    <row r="72" spans="1:5">
      <c r="A72" s="97">
        <v>45383</v>
      </c>
      <c r="B72" s="3" t="s">
        <v>390</v>
      </c>
      <c r="C72" s="94">
        <v>250</v>
      </c>
      <c r="E72" s="85">
        <v>-250</v>
      </c>
    </row>
    <row r="73" spans="1:5">
      <c r="A73" s="97">
        <v>45377</v>
      </c>
      <c r="B73" s="3">
        <v>2240</v>
      </c>
      <c r="C73" s="94"/>
      <c r="E73" s="85">
        <v>-167</v>
      </c>
    </row>
    <row r="74" spans="1:5">
      <c r="A74" s="97">
        <v>45377</v>
      </c>
      <c r="B74" s="3">
        <v>2240</v>
      </c>
      <c r="C74" s="94"/>
      <c r="E74" s="85">
        <v>-2.17</v>
      </c>
    </row>
    <row r="75" spans="1:5">
      <c r="A75" s="97">
        <v>45377</v>
      </c>
      <c r="B75" s="3">
        <v>2240</v>
      </c>
      <c r="C75" s="94"/>
      <c r="E75" s="85">
        <v>-0.11</v>
      </c>
    </row>
    <row r="76" spans="1:5">
      <c r="A76" s="97">
        <v>45406</v>
      </c>
      <c r="B76" s="3" t="s">
        <v>301</v>
      </c>
      <c r="C76" s="94"/>
      <c r="E76" s="85">
        <v>-34.6</v>
      </c>
    </row>
    <row r="77" spans="1:5">
      <c r="A77" s="97">
        <v>24.4</v>
      </c>
      <c r="B77" s="3" t="s">
        <v>301</v>
      </c>
      <c r="C77" s="94"/>
      <c r="E77" s="85">
        <v>-370.4</v>
      </c>
    </row>
    <row r="78" spans="1:5">
      <c r="A78" s="97">
        <v>45405</v>
      </c>
      <c r="B78" s="3" t="s">
        <v>434</v>
      </c>
      <c r="C78" s="94"/>
      <c r="E78" s="85">
        <v>-1306.8800000000001</v>
      </c>
    </row>
    <row r="79" spans="1:5">
      <c r="A79" s="97">
        <v>45387</v>
      </c>
      <c r="B79" s="3" t="s">
        <v>435</v>
      </c>
      <c r="C79" s="94"/>
      <c r="E79" s="85">
        <v>-13938.19</v>
      </c>
    </row>
    <row r="80" spans="1:5">
      <c r="A80" s="97"/>
      <c r="B80" s="3"/>
      <c r="C80" s="94"/>
    </row>
    <row r="81" spans="1:3">
      <c r="A81" s="97"/>
      <c r="B81" s="70" t="s">
        <v>1494</v>
      </c>
      <c r="C81" s="94">
        <f>SUM(C69:C80)</f>
        <v>490</v>
      </c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5">
      <c r="A97" s="97"/>
      <c r="B97" s="3"/>
      <c r="C97" s="94"/>
    </row>
    <row r="98" spans="1:5">
      <c r="A98" s="97"/>
      <c r="B98" s="3"/>
      <c r="C98" s="94"/>
    </row>
    <row r="99" spans="1:5">
      <c r="A99" s="97"/>
      <c r="B99" s="3"/>
      <c r="C99" s="94"/>
    </row>
    <row r="100" spans="1:5" ht="15">
      <c r="A100" s="97"/>
      <c r="B100" s="3"/>
      <c r="C100" s="94"/>
      <c r="D100" s="108" t="s">
        <v>285</v>
      </c>
    </row>
    <row r="101" spans="1:5">
      <c r="A101" s="76" t="s">
        <v>436</v>
      </c>
      <c r="B101" s="77" t="s">
        <v>171</v>
      </c>
      <c r="C101" s="78">
        <v>2024</v>
      </c>
      <c r="D101" s="79"/>
      <c r="E101" s="80">
        <f>SUM(E102:E118)</f>
        <v>1018967.8866</v>
      </c>
    </row>
    <row r="102" spans="1:5">
      <c r="A102" s="81">
        <v>45413</v>
      </c>
      <c r="B102" t="s">
        <v>84</v>
      </c>
      <c r="C102" s="2"/>
      <c r="D102" s="2"/>
      <c r="E102" s="2">
        <v>64000</v>
      </c>
    </row>
    <row r="103" spans="1:5">
      <c r="A103" s="81">
        <f t="shared" ref="A103:A110" si="1">A102</f>
        <v>45413</v>
      </c>
      <c r="B103" t="s">
        <v>309</v>
      </c>
      <c r="C103" s="2"/>
      <c r="D103" s="2"/>
      <c r="E103" s="2">
        <v>150845</v>
      </c>
    </row>
    <row r="104" spans="1:5">
      <c r="A104" s="81">
        <f t="shared" si="1"/>
        <v>45413</v>
      </c>
      <c r="B104" t="s">
        <v>173</v>
      </c>
      <c r="C104" s="2"/>
      <c r="D104" s="2"/>
      <c r="E104" s="13">
        <v>6036.94</v>
      </c>
    </row>
    <row r="105" spans="1:5">
      <c r="A105" s="81">
        <f t="shared" si="1"/>
        <v>45413</v>
      </c>
      <c r="B105" t="s">
        <v>174</v>
      </c>
      <c r="C105" s="2"/>
      <c r="D105" s="2"/>
      <c r="E105" s="13">
        <v>102000</v>
      </c>
    </row>
    <row r="106" spans="1:5">
      <c r="A106" s="81">
        <f t="shared" si="1"/>
        <v>45413</v>
      </c>
      <c r="B106" t="s">
        <v>310</v>
      </c>
      <c r="C106" s="2"/>
      <c r="D106" s="2"/>
      <c r="E106" s="13">
        <v>0</v>
      </c>
    </row>
    <row r="107" spans="1:5">
      <c r="A107" s="81">
        <f t="shared" si="1"/>
        <v>45413</v>
      </c>
      <c r="B107" t="s">
        <v>175</v>
      </c>
      <c r="C107" s="110"/>
      <c r="D107" s="2"/>
      <c r="E107" s="13">
        <v>0</v>
      </c>
    </row>
    <row r="108" spans="1:5">
      <c r="A108" s="81">
        <f t="shared" si="1"/>
        <v>45413</v>
      </c>
      <c r="B108" t="s">
        <v>60</v>
      </c>
      <c r="C108" s="2"/>
      <c r="D108" s="2"/>
      <c r="E108" s="13">
        <v>0</v>
      </c>
    </row>
    <row r="109" spans="1:5">
      <c r="A109" s="81">
        <f t="shared" si="1"/>
        <v>45413</v>
      </c>
      <c r="B109" t="s">
        <v>311</v>
      </c>
      <c r="C109" s="112">
        <v>125000</v>
      </c>
      <c r="D109" s="2">
        <v>0.88097599999999998</v>
      </c>
      <c r="E109" s="13">
        <f>D109*C109</f>
        <v>110122</v>
      </c>
    </row>
    <row r="110" spans="1:5">
      <c r="A110" s="81">
        <f t="shared" si="1"/>
        <v>45413</v>
      </c>
      <c r="B110" t="s">
        <v>312</v>
      </c>
      <c r="C110" s="2">
        <v>10</v>
      </c>
      <c r="D110" s="2">
        <v>145</v>
      </c>
      <c r="E110" s="13">
        <f>D110*C110</f>
        <v>1450</v>
      </c>
    </row>
    <row r="111" spans="1:5">
      <c r="A111" s="81">
        <f>A109</f>
        <v>45413</v>
      </c>
      <c r="B111" t="s">
        <v>183</v>
      </c>
      <c r="C111" s="2"/>
      <c r="D111" s="2"/>
      <c r="E111" s="13">
        <v>450</v>
      </c>
    </row>
    <row r="112" spans="1:5">
      <c r="A112" s="81">
        <f>A111</f>
        <v>45413</v>
      </c>
      <c r="B112" t="s">
        <v>315</v>
      </c>
      <c r="C112" s="2">
        <v>2500</v>
      </c>
      <c r="D112" s="2">
        <v>25.11</v>
      </c>
      <c r="E112" s="13">
        <f>D112*C112</f>
        <v>62775</v>
      </c>
    </row>
    <row r="113" spans="1:5">
      <c r="A113" s="81">
        <f>A111</f>
        <v>45413</v>
      </c>
      <c r="B113" t="s">
        <v>316</v>
      </c>
      <c r="C113" s="2">
        <v>2308.9699999999998</v>
      </c>
      <c r="D113" s="2">
        <v>156</v>
      </c>
      <c r="E113" s="13">
        <f>D113*C113</f>
        <v>360199.31999999995</v>
      </c>
    </row>
    <row r="114" spans="1:5">
      <c r="A114" s="81">
        <f>A113</f>
        <v>45413</v>
      </c>
      <c r="B114" t="s">
        <v>410</v>
      </c>
      <c r="C114" s="83">
        <v>31.879300000000001</v>
      </c>
      <c r="D114" s="2">
        <v>850</v>
      </c>
      <c r="E114" s="13">
        <f>D114*C114</f>
        <v>27097.404999999999</v>
      </c>
    </row>
    <row r="115" spans="1:5">
      <c r="A115" s="81">
        <f>A114</f>
        <v>45413</v>
      </c>
      <c r="B115" t="s">
        <v>318</v>
      </c>
      <c r="C115" s="83">
        <f>C114</f>
        <v>31.879300000000001</v>
      </c>
      <c r="D115" s="2">
        <v>250</v>
      </c>
      <c r="E115" s="13">
        <f>D115*C115</f>
        <v>7969.8249999999998</v>
      </c>
    </row>
    <row r="116" spans="1:5">
      <c r="A116" s="81">
        <f>A115</f>
        <v>45413</v>
      </c>
      <c r="B116" t="s">
        <v>411</v>
      </c>
      <c r="C116" s="83">
        <v>34.394500000000001</v>
      </c>
      <c r="D116" s="2">
        <v>58.8</v>
      </c>
      <c r="E116" s="13">
        <f>D116*C116</f>
        <v>2022.3966</v>
      </c>
    </row>
    <row r="117" spans="1:5">
      <c r="A117" s="81">
        <f>A116</f>
        <v>45413</v>
      </c>
      <c r="B117" t="s">
        <v>187</v>
      </c>
      <c r="C117" s="2"/>
      <c r="D117" s="2"/>
      <c r="E117" s="13">
        <v>120000</v>
      </c>
    </row>
    <row r="118" spans="1:5">
      <c r="A118" s="81">
        <f>A117</f>
        <v>45413</v>
      </c>
      <c r="B118" t="s">
        <v>94</v>
      </c>
      <c r="C118" s="2"/>
      <c r="D118" s="2"/>
      <c r="E118" s="13">
        <v>4000</v>
      </c>
    </row>
    <row r="119" spans="1:5">
      <c r="E119" s="113"/>
    </row>
    <row r="120" spans="1:5">
      <c r="C120" s="110"/>
      <c r="D120" s="3"/>
      <c r="E120" s="110"/>
    </row>
    <row r="121" spans="1:5">
      <c r="C121" s="110"/>
      <c r="D121" s="70" t="s">
        <v>189</v>
      </c>
      <c r="E121" s="8">
        <f>SUM(E102:E118)</f>
        <v>1018967.8866</v>
      </c>
    </row>
    <row r="122" spans="1:5">
      <c r="C122" s="114" t="str">
        <f>A101</f>
        <v>MAYISa</v>
      </c>
      <c r="D122" s="115" t="s">
        <v>188</v>
      </c>
      <c r="E122" s="116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H130"/>
  <sheetViews>
    <sheetView topLeftCell="A7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85" customWidth="1"/>
    <col min="5" max="5" width="12.5703125" style="85" customWidth="1"/>
    <col min="6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437</v>
      </c>
      <c r="C2" s="87" t="s">
        <v>191</v>
      </c>
      <c r="D2" s="85">
        <f>SUM(D5:D45)</f>
        <v>40000</v>
      </c>
      <c r="E2" s="85">
        <f>SUM(E5:E45)</f>
        <v>-51710.3</v>
      </c>
      <c r="F2" s="85">
        <f>SUM(F5:F45)</f>
        <v>332427.62</v>
      </c>
      <c r="G2" s="85">
        <f>SUM(G5:G45)</f>
        <v>-86892.22</v>
      </c>
      <c r="H2" s="85">
        <f>F2+G2</f>
        <v>245535.4</v>
      </c>
    </row>
    <row r="3" spans="1:8">
      <c r="B3" s="70"/>
    </row>
    <row r="5" spans="1:8">
      <c r="A5" s="20">
        <v>45339</v>
      </c>
      <c r="B5" s="88" t="s">
        <v>438</v>
      </c>
      <c r="C5" s="88" t="s">
        <v>197</v>
      </c>
      <c r="E5" s="86">
        <v>-250</v>
      </c>
      <c r="F5" s="86"/>
      <c r="G5" s="86"/>
      <c r="H5" s="86">
        <f t="shared" ref="H5:H45" si="0">H4+F5+G5</f>
        <v>0</v>
      </c>
    </row>
    <row r="6" spans="1:8">
      <c r="A6" s="20">
        <v>45377</v>
      </c>
      <c r="B6" s="43" t="s">
        <v>192</v>
      </c>
      <c r="C6" t="s">
        <v>439</v>
      </c>
      <c r="E6" s="86">
        <v>-152</v>
      </c>
      <c r="F6" s="86"/>
      <c r="G6" s="86">
        <v>-169.28</v>
      </c>
      <c r="H6" s="86">
        <f t="shared" si="0"/>
        <v>-169.28</v>
      </c>
    </row>
    <row r="7" spans="1:8">
      <c r="A7" s="20">
        <v>45383</v>
      </c>
      <c r="B7" s="88" t="s">
        <v>440</v>
      </c>
      <c r="C7" s="88"/>
      <c r="E7" s="86">
        <v>-1500</v>
      </c>
      <c r="G7" s="86">
        <v>-1512.13</v>
      </c>
      <c r="H7" s="86">
        <f t="shared" si="0"/>
        <v>-1681.41</v>
      </c>
    </row>
    <row r="8" spans="1:8">
      <c r="A8" s="20">
        <v>45384</v>
      </c>
      <c r="B8" s="88" t="s">
        <v>441</v>
      </c>
      <c r="C8" s="88"/>
      <c r="E8" s="86"/>
      <c r="G8" s="86">
        <v>-10000</v>
      </c>
      <c r="H8" s="86">
        <f t="shared" si="0"/>
        <v>-11681.41</v>
      </c>
    </row>
    <row r="9" spans="1:8">
      <c r="A9" s="20">
        <v>45384</v>
      </c>
      <c r="B9" t="s">
        <v>442</v>
      </c>
      <c r="D9" s="121"/>
      <c r="E9" s="86">
        <v>-2273.0700000000002</v>
      </c>
      <c r="F9" s="65"/>
      <c r="G9" s="86">
        <v>-2237.0700000000002</v>
      </c>
      <c r="H9" s="86">
        <f t="shared" si="0"/>
        <v>-13918.48</v>
      </c>
    </row>
    <row r="10" spans="1:8">
      <c r="A10" s="20">
        <v>45384</v>
      </c>
      <c r="B10" t="s">
        <v>415</v>
      </c>
      <c r="D10" s="85" t="s">
        <v>443</v>
      </c>
      <c r="E10" s="86">
        <v>-103.5</v>
      </c>
      <c r="F10" s="86"/>
      <c r="G10" s="86">
        <v>-103.5</v>
      </c>
      <c r="H10" s="86">
        <f t="shared" si="0"/>
        <v>-14021.98</v>
      </c>
    </row>
    <row r="11" spans="1:8">
      <c r="A11" s="20">
        <v>45385</v>
      </c>
      <c r="B11" s="88" t="s">
        <v>208</v>
      </c>
      <c r="C11" s="88" t="s">
        <v>209</v>
      </c>
      <c r="D11" s="86"/>
      <c r="E11" s="86">
        <v>-150</v>
      </c>
      <c r="F11" s="86"/>
      <c r="G11" s="86">
        <v>-197.34</v>
      </c>
      <c r="H11" s="86">
        <f t="shared" si="0"/>
        <v>-14219.32</v>
      </c>
    </row>
    <row r="12" spans="1:8">
      <c r="A12" s="96">
        <v>45385</v>
      </c>
      <c r="B12" s="104" t="s">
        <v>214</v>
      </c>
      <c r="D12" s="86"/>
      <c r="E12" s="86">
        <f>E97</f>
        <v>-6501.46</v>
      </c>
      <c r="F12" s="86"/>
      <c r="G12" s="86">
        <f>E12</f>
        <v>-6501.46</v>
      </c>
      <c r="H12" s="86">
        <f t="shared" si="0"/>
        <v>-20720.78</v>
      </c>
    </row>
    <row r="13" spans="1:8">
      <c r="A13" s="20">
        <v>45386</v>
      </c>
      <c r="B13" s="104" t="s">
        <v>213</v>
      </c>
      <c r="D13" s="86"/>
      <c r="E13" s="86">
        <f>E65</f>
        <v>-6693.55</v>
      </c>
      <c r="F13" s="86"/>
      <c r="G13" s="86">
        <f>E13</f>
        <v>-6693.55</v>
      </c>
      <c r="H13" s="86">
        <f t="shared" si="0"/>
        <v>-27414.329999999998</v>
      </c>
    </row>
    <row r="14" spans="1:8">
      <c r="A14" s="20">
        <v>45386</v>
      </c>
      <c r="B14" t="s">
        <v>444</v>
      </c>
      <c r="D14" s="121">
        <v>15000</v>
      </c>
      <c r="F14" s="86">
        <v>15000</v>
      </c>
      <c r="H14" s="86">
        <f t="shared" si="0"/>
        <v>-12414.329999999998</v>
      </c>
    </row>
    <row r="15" spans="1:8">
      <c r="A15" s="96">
        <v>45387</v>
      </c>
      <c r="B15" s="104" t="s">
        <v>445</v>
      </c>
      <c r="D15" s="86"/>
      <c r="E15" s="86"/>
      <c r="F15" s="86">
        <v>3000</v>
      </c>
      <c r="H15" s="86">
        <f t="shared" si="0"/>
        <v>-9414.3299999999981</v>
      </c>
    </row>
    <row r="16" spans="1:8">
      <c r="A16" s="97">
        <v>45389</v>
      </c>
      <c r="B16" s="88" t="s">
        <v>446</v>
      </c>
      <c r="C16" s="88"/>
      <c r="E16" s="86">
        <v>-5375</v>
      </c>
      <c r="F16" s="86"/>
      <c r="G16" s="86">
        <f>E16</f>
        <v>-5375</v>
      </c>
      <c r="H16" s="86">
        <f t="shared" si="0"/>
        <v>-14789.329999999998</v>
      </c>
    </row>
    <row r="17" spans="1:8">
      <c r="A17" s="97">
        <v>45389</v>
      </c>
      <c r="B17" s="88" t="s">
        <v>446</v>
      </c>
      <c r="C17" s="88"/>
      <c r="E17" s="86">
        <v>-2125</v>
      </c>
      <c r="F17" s="86"/>
      <c r="G17" s="86">
        <f>E17</f>
        <v>-2125</v>
      </c>
      <c r="H17" s="86">
        <f t="shared" si="0"/>
        <v>-16914.329999999998</v>
      </c>
    </row>
    <row r="18" spans="1:8">
      <c r="B18" t="s">
        <v>193</v>
      </c>
      <c r="D18" s="86"/>
      <c r="E18" s="86">
        <v>-10000</v>
      </c>
      <c r="F18" s="86"/>
      <c r="G18" s="86">
        <f>E18</f>
        <v>-10000</v>
      </c>
      <c r="H18" s="86">
        <f t="shared" si="0"/>
        <v>-26914.329999999998</v>
      </c>
    </row>
    <row r="19" spans="1:8">
      <c r="A19" s="20">
        <v>45397</v>
      </c>
      <c r="B19" s="104" t="s">
        <v>212</v>
      </c>
      <c r="D19" s="86"/>
      <c r="E19" s="86">
        <f>E60*-1</f>
        <v>-286.72000000000003</v>
      </c>
      <c r="F19" s="86"/>
      <c r="G19" s="86">
        <f>E19</f>
        <v>-286.72000000000003</v>
      </c>
      <c r="H19" s="86">
        <f t="shared" si="0"/>
        <v>-27201.05</v>
      </c>
    </row>
    <row r="20" spans="1:8">
      <c r="A20" s="20">
        <v>45397</v>
      </c>
      <c r="B20" s="88" t="s">
        <v>447</v>
      </c>
      <c r="D20" s="86"/>
      <c r="E20" s="86"/>
      <c r="F20" s="86"/>
      <c r="G20" s="86">
        <v>-55</v>
      </c>
      <c r="H20" s="86">
        <f t="shared" si="0"/>
        <v>-27256.05</v>
      </c>
    </row>
    <row r="21" spans="1:8">
      <c r="A21" s="20">
        <v>45397</v>
      </c>
      <c r="B21" s="88" t="s">
        <v>448</v>
      </c>
      <c r="D21" s="86"/>
      <c r="E21" s="86"/>
      <c r="F21" s="86">
        <v>85000</v>
      </c>
      <c r="G21" s="86"/>
      <c r="H21" s="86">
        <f t="shared" si="0"/>
        <v>57743.95</v>
      </c>
    </row>
    <row r="22" spans="1:8">
      <c r="A22" s="120">
        <v>45398</v>
      </c>
      <c r="B22" s="94" t="s">
        <v>210</v>
      </c>
      <c r="C22" s="94" t="s">
        <v>449</v>
      </c>
      <c r="D22" s="86"/>
      <c r="E22" s="86">
        <v>-300</v>
      </c>
      <c r="F22" s="86"/>
      <c r="G22" s="86">
        <v>-636</v>
      </c>
      <c r="H22" s="86">
        <f t="shared" si="0"/>
        <v>57107.95</v>
      </c>
    </row>
    <row r="23" spans="1:8">
      <c r="A23" s="120">
        <v>45398</v>
      </c>
      <c r="B23" s="94" t="s">
        <v>211</v>
      </c>
      <c r="C23" s="94" t="s">
        <v>209</v>
      </c>
      <c r="D23" s="86"/>
      <c r="E23" s="86">
        <v>-100</v>
      </c>
      <c r="F23" s="86"/>
      <c r="G23" s="86">
        <v>0</v>
      </c>
      <c r="H23" s="86">
        <f t="shared" si="0"/>
        <v>57107.95</v>
      </c>
    </row>
    <row r="24" spans="1:8">
      <c r="A24" s="20">
        <v>45401</v>
      </c>
      <c r="B24" t="s">
        <v>450</v>
      </c>
      <c r="D24" s="86"/>
      <c r="E24" s="86"/>
      <c r="F24" s="86"/>
      <c r="G24" s="86">
        <v>-3592.17</v>
      </c>
      <c r="H24" s="86">
        <f t="shared" si="0"/>
        <v>53515.78</v>
      </c>
    </row>
    <row r="25" spans="1:8">
      <c r="A25" s="20">
        <v>45404</v>
      </c>
      <c r="B25" t="s">
        <v>451</v>
      </c>
      <c r="C25" t="s">
        <v>94</v>
      </c>
      <c r="D25" s="86"/>
      <c r="E25" s="86"/>
      <c r="F25" s="86">
        <v>1000</v>
      </c>
      <c r="G25" s="86"/>
      <c r="H25" s="86">
        <f t="shared" si="0"/>
        <v>54515.78</v>
      </c>
    </row>
    <row r="26" spans="1:8">
      <c r="A26" s="20"/>
      <c r="B26" t="s">
        <v>451</v>
      </c>
      <c r="C26" t="s">
        <v>94</v>
      </c>
      <c r="D26" s="86"/>
      <c r="E26" s="86"/>
      <c r="F26" s="86">
        <v>50000</v>
      </c>
      <c r="G26" s="86"/>
      <c r="H26" s="86">
        <f t="shared" si="0"/>
        <v>104515.78</v>
      </c>
    </row>
    <row r="27" spans="1:8">
      <c r="A27" s="20"/>
      <c r="B27" t="s">
        <v>451</v>
      </c>
      <c r="C27" t="s">
        <v>452</v>
      </c>
      <c r="D27" s="86"/>
      <c r="E27" s="86"/>
      <c r="F27" s="86">
        <v>33000</v>
      </c>
      <c r="G27" s="86"/>
      <c r="H27" s="86">
        <f t="shared" si="0"/>
        <v>137515.78</v>
      </c>
    </row>
    <row r="28" spans="1:8">
      <c r="A28" s="20"/>
      <c r="B28" t="s">
        <v>451</v>
      </c>
      <c r="C28" t="s">
        <v>94</v>
      </c>
      <c r="D28" s="86"/>
      <c r="E28" s="86"/>
      <c r="F28" s="86">
        <v>120000</v>
      </c>
      <c r="G28" s="86"/>
      <c r="H28" s="86">
        <f t="shared" si="0"/>
        <v>257515.78</v>
      </c>
    </row>
    <row r="29" spans="1:8">
      <c r="A29" s="20"/>
      <c r="B29" t="s">
        <v>453</v>
      </c>
      <c r="D29" s="86"/>
      <c r="E29" s="86"/>
      <c r="F29" s="86"/>
      <c r="G29" s="86">
        <v>-24000</v>
      </c>
      <c r="H29" s="86">
        <f t="shared" si="0"/>
        <v>233515.78</v>
      </c>
    </row>
    <row r="30" spans="1:8">
      <c r="A30" s="20"/>
      <c r="D30" s="86"/>
      <c r="E30" s="86"/>
      <c r="F30" s="86"/>
      <c r="G30" s="86"/>
      <c r="H30" s="86">
        <f t="shared" si="0"/>
        <v>233515.78</v>
      </c>
    </row>
    <row r="31" spans="1:8">
      <c r="A31" s="20"/>
      <c r="D31" s="86"/>
      <c r="E31" s="86"/>
      <c r="F31" s="86"/>
      <c r="G31" s="86"/>
      <c r="H31" s="86">
        <f t="shared" si="0"/>
        <v>233515.78</v>
      </c>
    </row>
    <row r="32" spans="1:8">
      <c r="A32" s="20"/>
      <c r="D32" s="86"/>
      <c r="E32" s="86"/>
      <c r="F32" s="86"/>
      <c r="G32" s="86"/>
      <c r="H32" s="86">
        <f t="shared" si="0"/>
        <v>233515.78</v>
      </c>
    </row>
    <row r="33" spans="1:8">
      <c r="A33" s="20"/>
      <c r="H33" s="86">
        <f t="shared" si="0"/>
        <v>233515.78</v>
      </c>
    </row>
    <row r="34" spans="1:8">
      <c r="A34" s="20">
        <v>45414</v>
      </c>
      <c r="B34" s="88" t="s">
        <v>194</v>
      </c>
      <c r="C34" s="88"/>
      <c r="E34" s="86">
        <v>-400</v>
      </c>
      <c r="F34" s="65"/>
      <c r="H34" s="86">
        <f t="shared" si="0"/>
        <v>233515.78</v>
      </c>
    </row>
    <row r="35" spans="1:8">
      <c r="A35" s="20">
        <v>45414</v>
      </c>
      <c r="B35" s="88" t="s">
        <v>195</v>
      </c>
      <c r="C35" s="88"/>
      <c r="E35" s="86">
        <v>-500</v>
      </c>
      <c r="H35" s="86">
        <f t="shared" si="0"/>
        <v>233515.78</v>
      </c>
    </row>
    <row r="36" spans="1:8">
      <c r="H36" s="86">
        <f t="shared" si="0"/>
        <v>233515.78</v>
      </c>
    </row>
    <row r="37" spans="1:8">
      <c r="B37" t="s">
        <v>84</v>
      </c>
      <c r="D37" s="86"/>
      <c r="E37" s="86"/>
      <c r="F37" s="86"/>
      <c r="G37" s="86"/>
      <c r="H37" s="86">
        <f t="shared" si="0"/>
        <v>233515.78</v>
      </c>
    </row>
    <row r="38" spans="1:8">
      <c r="B38" t="s">
        <v>454</v>
      </c>
      <c r="D38" s="86"/>
      <c r="E38" s="86">
        <v>-5000</v>
      </c>
      <c r="F38" s="86"/>
      <c r="G38" s="86">
        <v>-6704</v>
      </c>
      <c r="H38" s="86">
        <f t="shared" si="0"/>
        <v>226811.78</v>
      </c>
    </row>
    <row r="39" spans="1:8">
      <c r="B39" t="s">
        <v>455</v>
      </c>
      <c r="D39" s="86"/>
      <c r="E39" s="86">
        <v>-5000</v>
      </c>
      <c r="F39" s="86"/>
      <c r="G39" s="86">
        <v>-6704</v>
      </c>
      <c r="H39" s="86">
        <f t="shared" si="0"/>
        <v>220107.78</v>
      </c>
    </row>
    <row r="40" spans="1:8">
      <c r="B40" t="s">
        <v>217</v>
      </c>
      <c r="D40" s="86"/>
      <c r="E40" s="86">
        <v>-5000</v>
      </c>
      <c r="F40" s="86"/>
      <c r="G40" s="86"/>
      <c r="H40" s="86">
        <f t="shared" si="0"/>
        <v>220107.78</v>
      </c>
    </row>
    <row r="41" spans="1:8">
      <c r="B41" t="s">
        <v>218</v>
      </c>
      <c r="D41" s="86">
        <v>10000</v>
      </c>
      <c r="E41" s="86"/>
      <c r="F41" s="86">
        <v>10427.620000000001</v>
      </c>
      <c r="G41" s="86"/>
      <c r="H41" s="86">
        <f t="shared" si="0"/>
        <v>230535.4</v>
      </c>
    </row>
    <row r="42" spans="1:8">
      <c r="A42" s="97"/>
      <c r="B42" t="s">
        <v>456</v>
      </c>
      <c r="D42" s="86">
        <v>15000</v>
      </c>
      <c r="E42" s="86"/>
      <c r="F42" s="86">
        <v>15000</v>
      </c>
      <c r="G42" s="86"/>
      <c r="H42" s="86">
        <f t="shared" si="0"/>
        <v>245535.4</v>
      </c>
    </row>
    <row r="43" spans="1:8">
      <c r="H43" s="86">
        <f t="shared" si="0"/>
        <v>245535.4</v>
      </c>
    </row>
    <row r="44" spans="1:8">
      <c r="H44" s="86">
        <f t="shared" si="0"/>
        <v>245535.4</v>
      </c>
    </row>
    <row r="45" spans="1:8">
      <c r="A45" s="122">
        <v>45322</v>
      </c>
      <c r="B45" s="27" t="s">
        <v>457</v>
      </c>
      <c r="C45" s="123"/>
      <c r="D45" s="123"/>
      <c r="H45" s="86">
        <f t="shared" si="0"/>
        <v>245535.4</v>
      </c>
    </row>
    <row r="46" spans="1:8">
      <c r="A46" s="20"/>
      <c r="C46" s="110"/>
      <c r="D46" s="110"/>
    </row>
    <row r="47" spans="1:8">
      <c r="A47" s="20"/>
      <c r="C47" s="110"/>
      <c r="D47" s="110"/>
    </row>
    <row r="48" spans="1:8">
      <c r="A48" s="20"/>
      <c r="C48" s="110"/>
      <c r="D48" s="110"/>
    </row>
    <row r="49" spans="1:5">
      <c r="A49" s="20"/>
      <c r="C49" s="110"/>
      <c r="D49" s="110"/>
    </row>
    <row r="51" spans="1:5">
      <c r="B51" t="s">
        <v>222</v>
      </c>
    </row>
    <row r="52" spans="1:5">
      <c r="A52" s="78" t="s">
        <v>223</v>
      </c>
      <c r="B52" s="78"/>
      <c r="C52" s="78"/>
    </row>
    <row r="53" spans="1:5">
      <c r="A53" s="97"/>
      <c r="C53" s="98"/>
    </row>
    <row r="54" spans="1:5">
      <c r="A54" s="100">
        <v>44929</v>
      </c>
      <c r="B54" s="101" t="s">
        <v>224</v>
      </c>
      <c r="C54" s="78"/>
      <c r="D54" s="85">
        <f>SUM(D55:D60)</f>
        <v>4514.12</v>
      </c>
      <c r="E54" s="85">
        <f>SUM(E55:E60)</f>
        <v>4437.22</v>
      </c>
    </row>
    <row r="55" spans="1:5">
      <c r="A55" s="97"/>
      <c r="B55" s="94" t="s">
        <v>225</v>
      </c>
      <c r="D55" s="85">
        <v>874.44</v>
      </c>
      <c r="E55" s="85">
        <v>800</v>
      </c>
    </row>
    <row r="56" spans="1:5">
      <c r="B56" t="s">
        <v>226</v>
      </c>
      <c r="D56" s="85">
        <v>1078.92</v>
      </c>
      <c r="E56" s="85">
        <v>1079</v>
      </c>
    </row>
    <row r="57" spans="1:5">
      <c r="B57" t="s">
        <v>227</v>
      </c>
      <c r="D57" s="85">
        <v>173.45</v>
      </c>
      <c r="E57" s="85">
        <v>172.5</v>
      </c>
    </row>
    <row r="58" spans="1:5">
      <c r="B58" t="s">
        <v>228</v>
      </c>
      <c r="C58" t="s">
        <v>458</v>
      </c>
      <c r="D58" s="85">
        <v>1774</v>
      </c>
      <c r="E58" s="85">
        <v>1774</v>
      </c>
    </row>
    <row r="59" spans="1:5">
      <c r="B59" t="s">
        <v>229</v>
      </c>
      <c r="D59" s="85">
        <v>326.58999999999997</v>
      </c>
      <c r="E59" s="85">
        <v>325</v>
      </c>
    </row>
    <row r="60" spans="1:5">
      <c r="B60" t="s">
        <v>230</v>
      </c>
      <c r="C60" s="94"/>
      <c r="D60" s="85">
        <v>286.72000000000003</v>
      </c>
      <c r="E60" s="85">
        <f>D60</f>
        <v>286.72000000000003</v>
      </c>
    </row>
    <row r="61" spans="1:5">
      <c r="C61" s="94"/>
    </row>
    <row r="63" spans="1:5">
      <c r="B63" s="13"/>
    </row>
    <row r="64" spans="1:5">
      <c r="B64" s="102"/>
    </row>
    <row r="65" spans="1:5">
      <c r="A65" s="78"/>
      <c r="B65" s="77" t="s">
        <v>231</v>
      </c>
      <c r="C65" s="78"/>
      <c r="E65" s="85">
        <f>SUM(E66:E91)</f>
        <v>-6693.55</v>
      </c>
    </row>
    <row r="67" spans="1:5">
      <c r="A67" s="97">
        <v>45187</v>
      </c>
      <c r="B67" s="94" t="s">
        <v>375</v>
      </c>
      <c r="C67" s="94">
        <v>7648.33</v>
      </c>
      <c r="D67" s="85" t="s">
        <v>252</v>
      </c>
      <c r="E67" s="85">
        <v>-849.81</v>
      </c>
    </row>
    <row r="68" spans="1:5">
      <c r="A68" s="20">
        <v>45348</v>
      </c>
      <c r="B68" t="s">
        <v>257</v>
      </c>
      <c r="C68">
        <v>1406</v>
      </c>
      <c r="D68" s="85" t="s">
        <v>459</v>
      </c>
      <c r="E68" s="85">
        <v>-234.33</v>
      </c>
    </row>
    <row r="69" spans="1:5">
      <c r="A69" s="20">
        <v>45358</v>
      </c>
      <c r="B69" t="s">
        <v>260</v>
      </c>
      <c r="C69">
        <v>2273</v>
      </c>
      <c r="D69" s="85" t="s">
        <v>459</v>
      </c>
      <c r="E69" s="85">
        <v>-378.87</v>
      </c>
    </row>
    <row r="70" spans="1:5">
      <c r="A70" s="20">
        <v>45371</v>
      </c>
      <c r="B70" t="s">
        <v>261</v>
      </c>
      <c r="D70" s="85" t="s">
        <v>460</v>
      </c>
      <c r="E70" s="85">
        <v>101.77</v>
      </c>
    </row>
    <row r="71" spans="1:5">
      <c r="A71" s="20">
        <v>45373</v>
      </c>
      <c r="B71" t="s">
        <v>232</v>
      </c>
      <c r="C71">
        <v>10176.39</v>
      </c>
      <c r="D71" s="85" t="s">
        <v>461</v>
      </c>
      <c r="E71" s="85">
        <v>-1130.71</v>
      </c>
    </row>
    <row r="72" spans="1:5">
      <c r="A72" s="20">
        <v>45375</v>
      </c>
      <c r="B72" t="s">
        <v>234</v>
      </c>
      <c r="C72">
        <v>5999</v>
      </c>
      <c r="D72" s="85" t="s">
        <v>461</v>
      </c>
      <c r="E72" s="85">
        <v>-666.56</v>
      </c>
    </row>
    <row r="73" spans="1:5">
      <c r="A73" s="20"/>
    </row>
    <row r="74" spans="1:5">
      <c r="A74" s="20">
        <v>45347</v>
      </c>
      <c r="B74" t="s">
        <v>462</v>
      </c>
      <c r="E74" s="85">
        <v>-343</v>
      </c>
    </row>
    <row r="75" spans="1:5">
      <c r="A75" s="97">
        <v>45348</v>
      </c>
      <c r="B75" s="94" t="s">
        <v>463</v>
      </c>
      <c r="C75" s="94"/>
      <c r="E75" s="85">
        <v>-150</v>
      </c>
    </row>
    <row r="76" spans="1:5">
      <c r="A76" s="97">
        <v>45351</v>
      </c>
      <c r="B76" s="94" t="s">
        <v>464</v>
      </c>
      <c r="C76" s="91">
        <f>E76</f>
        <v>-86.95</v>
      </c>
      <c r="E76" s="85">
        <v>-86.95</v>
      </c>
    </row>
    <row r="77" spans="1:5">
      <c r="A77" s="97">
        <v>45353</v>
      </c>
      <c r="B77" s="103" t="s">
        <v>24</v>
      </c>
      <c r="C77" s="94"/>
      <c r="E77" s="85">
        <v>-500</v>
      </c>
    </row>
    <row r="78" spans="1:5">
      <c r="A78" s="97">
        <v>45353</v>
      </c>
      <c r="B78" s="103" t="s">
        <v>465</v>
      </c>
      <c r="C78" s="94"/>
      <c r="E78" s="85">
        <v>-600</v>
      </c>
    </row>
    <row r="79" spans="1:5">
      <c r="A79" s="97">
        <v>45354</v>
      </c>
      <c r="B79" s="103" t="s">
        <v>466</v>
      </c>
      <c r="C79" s="94"/>
      <c r="E79" s="85">
        <v>-330</v>
      </c>
    </row>
    <row r="80" spans="1:5">
      <c r="A80" s="97">
        <v>45355</v>
      </c>
      <c r="B80" s="103" t="s">
        <v>467</v>
      </c>
      <c r="C80" s="91">
        <f>E80</f>
        <v>-200</v>
      </c>
      <c r="E80" s="85">
        <v>-200</v>
      </c>
    </row>
    <row r="81" spans="1:5">
      <c r="A81" s="97">
        <v>45355</v>
      </c>
      <c r="B81" s="103" t="s">
        <v>337</v>
      </c>
      <c r="C81" s="94"/>
      <c r="E81" s="85">
        <v>-50</v>
      </c>
    </row>
    <row r="82" spans="1:5">
      <c r="A82" s="97">
        <v>45356</v>
      </c>
      <c r="B82" s="103" t="s">
        <v>467</v>
      </c>
      <c r="C82" s="91">
        <f>E82</f>
        <v>-200</v>
      </c>
      <c r="E82" s="85">
        <v>-200</v>
      </c>
    </row>
    <row r="83" spans="1:5">
      <c r="A83" s="97">
        <v>45357</v>
      </c>
      <c r="B83" s="103" t="s">
        <v>468</v>
      </c>
      <c r="C83" s="94"/>
      <c r="E83" s="85">
        <v>-160</v>
      </c>
    </row>
    <row r="84" spans="1:5">
      <c r="A84" s="97">
        <v>45357</v>
      </c>
      <c r="B84" s="103" t="s">
        <v>284</v>
      </c>
      <c r="C84" s="94">
        <v>6341.66</v>
      </c>
    </row>
    <row r="85" spans="1:5">
      <c r="A85" s="97">
        <v>45361</v>
      </c>
      <c r="B85" s="103" t="s">
        <v>340</v>
      </c>
      <c r="E85" s="85">
        <v>-294.14</v>
      </c>
    </row>
    <row r="86" spans="1:5">
      <c r="A86" s="97">
        <v>45358</v>
      </c>
      <c r="B86" s="103" t="s">
        <v>467</v>
      </c>
      <c r="C86" s="91">
        <f>E86</f>
        <v>-200</v>
      </c>
      <c r="E86" s="85">
        <v>-200</v>
      </c>
    </row>
    <row r="87" spans="1:5">
      <c r="A87" s="97"/>
      <c r="B87" s="103"/>
      <c r="C87" s="94"/>
      <c r="E87" s="85">
        <v>-3.05</v>
      </c>
    </row>
    <row r="88" spans="1:5">
      <c r="A88" s="97">
        <v>45376</v>
      </c>
      <c r="B88" s="103" t="s">
        <v>469</v>
      </c>
      <c r="C88" s="94"/>
      <c r="E88" s="85">
        <v>-874.19</v>
      </c>
    </row>
    <row r="89" spans="1:5">
      <c r="A89" s="97"/>
      <c r="B89" s="103"/>
      <c r="C89" s="94"/>
      <c r="E89" s="85">
        <v>-43.71</v>
      </c>
    </row>
    <row r="90" spans="1:5">
      <c r="A90" s="97">
        <v>45374</v>
      </c>
      <c r="B90" s="103" t="s">
        <v>470</v>
      </c>
      <c r="C90" s="94"/>
      <c r="E90" s="85">
        <v>500</v>
      </c>
    </row>
    <row r="91" spans="1:5" ht="15">
      <c r="A91" s="97">
        <v>45374</v>
      </c>
      <c r="B91" s="103" t="s">
        <v>470</v>
      </c>
      <c r="D91" s="108" t="s">
        <v>285</v>
      </c>
    </row>
    <row r="92" spans="1:5" ht="15">
      <c r="A92" s="97"/>
      <c r="B92" s="37" t="s">
        <v>359</v>
      </c>
      <c r="C92">
        <v>686.95</v>
      </c>
      <c r="D92" s="109"/>
    </row>
    <row r="93" spans="1:5" ht="15">
      <c r="A93" s="97"/>
      <c r="B93" s="103"/>
      <c r="D93" s="109"/>
    </row>
    <row r="94" spans="1:5" ht="15">
      <c r="A94" s="97"/>
      <c r="B94" s="103"/>
      <c r="D94" s="109"/>
    </row>
    <row r="95" spans="1:5" ht="15">
      <c r="A95" s="97"/>
      <c r="B95" s="103"/>
      <c r="D95" s="109"/>
    </row>
    <row r="96" spans="1:5">
      <c r="A96" s="97"/>
      <c r="B96" s="94"/>
      <c r="C96" s="94"/>
    </row>
    <row r="97" spans="1:6">
      <c r="A97" s="78"/>
      <c r="B97" s="77" t="s">
        <v>235</v>
      </c>
      <c r="C97" s="78"/>
      <c r="E97" s="85">
        <f>SUM(E98:E105)</f>
        <v>-6501.46</v>
      </c>
    </row>
    <row r="98" spans="1:6">
      <c r="A98" s="97"/>
      <c r="B98" s="94"/>
      <c r="C98" s="94"/>
    </row>
    <row r="99" spans="1:6">
      <c r="A99" s="96">
        <v>45214</v>
      </c>
      <c r="B99" t="s">
        <v>471</v>
      </c>
      <c r="D99" s="85" t="s">
        <v>472</v>
      </c>
      <c r="E99" s="85">
        <v>-600</v>
      </c>
    </row>
    <row r="100" spans="1:6">
      <c r="A100" s="96">
        <v>45285</v>
      </c>
      <c r="B100" s="94" t="s">
        <v>333</v>
      </c>
      <c r="C100" s="94"/>
      <c r="D100" s="85" t="s">
        <v>473</v>
      </c>
      <c r="E100" s="85">
        <v>-3551.66</v>
      </c>
      <c r="F100" s="85">
        <v>0</v>
      </c>
    </row>
    <row r="101" spans="1:6">
      <c r="A101" s="97"/>
      <c r="B101" s="3" t="s">
        <v>474</v>
      </c>
      <c r="C101" s="94"/>
      <c r="D101" s="85" t="s">
        <v>475</v>
      </c>
      <c r="E101" s="85">
        <v>-649.78</v>
      </c>
      <c r="F101" s="85">
        <v>0</v>
      </c>
    </row>
    <row r="102" spans="1:6">
      <c r="A102" s="97"/>
      <c r="B102" s="3" t="s">
        <v>288</v>
      </c>
      <c r="C102" s="94">
        <v>49.98</v>
      </c>
      <c r="D102" s="85" t="s">
        <v>475</v>
      </c>
      <c r="E102" s="85">
        <v>49.98</v>
      </c>
      <c r="F102" s="85">
        <v>0</v>
      </c>
    </row>
    <row r="103" spans="1:6">
      <c r="A103" s="97"/>
      <c r="B103" s="3"/>
      <c r="C103" s="94"/>
    </row>
    <row r="104" spans="1:6">
      <c r="A104" s="97">
        <v>45374</v>
      </c>
      <c r="B104" s="3" t="s">
        <v>476</v>
      </c>
      <c r="C104" s="94"/>
      <c r="E104" s="85">
        <v>-1750</v>
      </c>
    </row>
    <row r="105" spans="1:6" ht="15">
      <c r="A105" s="97"/>
      <c r="B105" s="3"/>
      <c r="C105" s="94"/>
      <c r="D105" s="108" t="s">
        <v>285</v>
      </c>
    </row>
    <row r="106" spans="1:6">
      <c r="A106" s="97"/>
      <c r="B106" s="3"/>
      <c r="C106" s="94"/>
    </row>
    <row r="107" spans="1:6">
      <c r="A107" s="97"/>
      <c r="B107" s="3"/>
      <c r="C107" s="94"/>
    </row>
    <row r="108" spans="1:6">
      <c r="A108" s="97"/>
      <c r="B108" s="3"/>
      <c r="C108" s="94"/>
    </row>
    <row r="109" spans="1:6">
      <c r="A109" s="97"/>
      <c r="B109" s="3"/>
      <c r="C109" s="94"/>
    </row>
    <row r="110" spans="1:6">
      <c r="A110" s="97"/>
      <c r="B110" s="3"/>
      <c r="C110" s="94"/>
    </row>
    <row r="111" spans="1:6">
      <c r="A111" s="76" t="s">
        <v>477</v>
      </c>
      <c r="B111" s="77" t="s">
        <v>171</v>
      </c>
      <c r="C111" s="78">
        <v>2024</v>
      </c>
      <c r="D111" s="79"/>
      <c r="E111" s="80">
        <f>SUM(E112:E126)</f>
        <v>774287.73659999995</v>
      </c>
    </row>
    <row r="112" spans="1:6">
      <c r="A112" s="81">
        <v>45383</v>
      </c>
      <c r="B112" t="s">
        <v>84</v>
      </c>
      <c r="C112" s="2"/>
      <c r="D112" s="2"/>
      <c r="E112" s="2">
        <v>64000</v>
      </c>
    </row>
    <row r="113" spans="1:5">
      <c r="A113" s="81">
        <f t="shared" ref="A113:A126" si="1">A112</f>
        <v>45383</v>
      </c>
      <c r="B113" t="s">
        <v>309</v>
      </c>
      <c r="C113" s="2"/>
      <c r="D113" s="2"/>
      <c r="E113" s="2">
        <v>150845</v>
      </c>
    </row>
    <row r="114" spans="1:5">
      <c r="A114" s="81">
        <f t="shared" si="1"/>
        <v>45383</v>
      </c>
      <c r="B114" t="s">
        <v>173</v>
      </c>
      <c r="C114" s="2"/>
      <c r="D114" s="2"/>
      <c r="E114" s="13">
        <v>6036.94</v>
      </c>
    </row>
    <row r="115" spans="1:5">
      <c r="A115" s="81">
        <f t="shared" si="1"/>
        <v>45383</v>
      </c>
      <c r="B115" t="s">
        <v>174</v>
      </c>
      <c r="C115" s="2"/>
      <c r="D115" s="2"/>
      <c r="E115" s="13">
        <v>0</v>
      </c>
    </row>
    <row r="116" spans="1:5">
      <c r="A116" s="81">
        <f t="shared" si="1"/>
        <v>45383</v>
      </c>
      <c r="B116" t="s">
        <v>310</v>
      </c>
      <c r="C116" s="2"/>
      <c r="D116" s="2"/>
      <c r="E116" s="13">
        <v>0</v>
      </c>
    </row>
    <row r="117" spans="1:5">
      <c r="A117" s="81">
        <f t="shared" si="1"/>
        <v>45383</v>
      </c>
      <c r="B117" t="s">
        <v>175</v>
      </c>
      <c r="C117" s="110"/>
      <c r="D117" s="2"/>
      <c r="E117" s="13">
        <v>0</v>
      </c>
    </row>
    <row r="118" spans="1:5">
      <c r="A118" s="81">
        <f t="shared" si="1"/>
        <v>45383</v>
      </c>
      <c r="B118" t="s">
        <v>60</v>
      </c>
      <c r="C118" s="2"/>
      <c r="D118" s="2"/>
      <c r="E118" s="13">
        <v>0</v>
      </c>
    </row>
    <row r="119" spans="1:5">
      <c r="A119" s="81">
        <f t="shared" si="1"/>
        <v>45383</v>
      </c>
      <c r="B119" t="s">
        <v>311</v>
      </c>
      <c r="C119" s="2" t="s">
        <v>478</v>
      </c>
      <c r="D119" s="2"/>
      <c r="E119" s="13">
        <v>110122</v>
      </c>
    </row>
    <row r="120" spans="1:5">
      <c r="A120" s="81">
        <f t="shared" si="1"/>
        <v>45383</v>
      </c>
      <c r="B120" t="s">
        <v>183</v>
      </c>
      <c r="C120" s="2"/>
      <c r="D120" s="2"/>
      <c r="E120" s="13">
        <v>450</v>
      </c>
    </row>
    <row r="121" spans="1:5">
      <c r="A121" s="81">
        <f t="shared" si="1"/>
        <v>45383</v>
      </c>
      <c r="B121" t="s">
        <v>316</v>
      </c>
      <c r="C121" s="2">
        <v>2308.9699999999998</v>
      </c>
      <c r="D121" s="2">
        <v>161</v>
      </c>
      <c r="E121" s="13">
        <f>D121*C121</f>
        <v>371744.17</v>
      </c>
    </row>
    <row r="122" spans="1:5">
      <c r="A122" s="81">
        <f t="shared" si="1"/>
        <v>45383</v>
      </c>
      <c r="B122" t="s">
        <v>410</v>
      </c>
      <c r="C122" s="83">
        <v>31.879300000000001</v>
      </c>
      <c r="D122" s="2">
        <v>850</v>
      </c>
      <c r="E122" s="13">
        <f>D122*C122</f>
        <v>27097.404999999999</v>
      </c>
    </row>
    <row r="123" spans="1:5">
      <c r="A123" s="81">
        <f t="shared" si="1"/>
        <v>45383</v>
      </c>
      <c r="B123" t="s">
        <v>318</v>
      </c>
      <c r="C123" s="83">
        <f>C122</f>
        <v>31.879300000000001</v>
      </c>
      <c r="D123" s="2">
        <v>250</v>
      </c>
      <c r="E123" s="13">
        <f>D123*C123</f>
        <v>7969.8249999999998</v>
      </c>
    </row>
    <row r="124" spans="1:5">
      <c r="A124" s="81">
        <f t="shared" si="1"/>
        <v>45383</v>
      </c>
      <c r="B124" t="s">
        <v>411</v>
      </c>
      <c r="C124" s="83">
        <v>34.394500000000001</v>
      </c>
      <c r="D124" s="2">
        <v>58.8</v>
      </c>
      <c r="E124" s="13">
        <f>D124*C124</f>
        <v>2022.3966</v>
      </c>
    </row>
    <row r="125" spans="1:5">
      <c r="A125" s="81">
        <f t="shared" si="1"/>
        <v>45383</v>
      </c>
      <c r="B125" t="s">
        <v>187</v>
      </c>
      <c r="C125" s="2"/>
      <c r="D125" s="2"/>
      <c r="E125" s="13">
        <v>30000</v>
      </c>
    </row>
    <row r="126" spans="1:5">
      <c r="A126" s="81">
        <f t="shared" si="1"/>
        <v>45383</v>
      </c>
      <c r="B126" t="s">
        <v>94</v>
      </c>
      <c r="C126" s="2"/>
      <c r="D126" s="2"/>
      <c r="E126" s="13">
        <v>4000</v>
      </c>
    </row>
    <row r="127" spans="1:5">
      <c r="E127" s="113"/>
    </row>
    <row r="128" spans="1:5">
      <c r="C128" s="110"/>
      <c r="D128" s="3"/>
      <c r="E128" s="110"/>
    </row>
    <row r="129" spans="3:5">
      <c r="C129" s="110"/>
      <c r="D129" s="70" t="s">
        <v>189</v>
      </c>
      <c r="E129" s="8">
        <f>SUM(E112:E126)</f>
        <v>774287.73659999995</v>
      </c>
    </row>
    <row r="130" spans="3:5">
      <c r="C130" s="114" t="str">
        <f>A111</f>
        <v>NİSANa</v>
      </c>
      <c r="D130" s="115" t="s">
        <v>188</v>
      </c>
      <c r="E130" s="116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1"/>
  <sheetViews>
    <sheetView zoomScale="170" zoomScaleNormal="17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102" customWidth="1"/>
    <col min="5" max="5" width="12.28515625" style="85"/>
    <col min="8" max="8" width="12.85546875" customWidth="1"/>
    <col min="1024" max="1024" width="9.140625" customWidth="1"/>
  </cols>
  <sheetData>
    <row r="1" spans="1:8">
      <c r="F1" s="124" t="s">
        <v>120</v>
      </c>
      <c r="G1" s="124" t="s">
        <v>121</v>
      </c>
      <c r="H1" s="124" t="s">
        <v>3</v>
      </c>
    </row>
    <row r="2" spans="1:8">
      <c r="B2" s="3" t="s">
        <v>479</v>
      </c>
      <c r="C2" s="87" t="s">
        <v>191</v>
      </c>
      <c r="D2" s="102">
        <f>SUM(D6:D27)</f>
        <v>12800</v>
      </c>
      <c r="E2" s="85">
        <f>SUM(E3:E29)</f>
        <v>-114592.82</v>
      </c>
      <c r="F2" s="85">
        <f>SUM(F3:F29)</f>
        <v>19667.489999999998</v>
      </c>
      <c r="G2" s="85">
        <f>SUM(G3:G29)</f>
        <v>-116144.16</v>
      </c>
      <c r="H2" s="85">
        <f>F2+G2</f>
        <v>-96476.670000000013</v>
      </c>
    </row>
    <row r="3" spans="1:8">
      <c r="B3" s="70"/>
      <c r="H3" s="85"/>
    </row>
    <row r="4" spans="1:8">
      <c r="B4" s="88" t="s">
        <v>480</v>
      </c>
      <c r="C4" s="88" t="s">
        <v>197</v>
      </c>
      <c r="E4" s="86">
        <v>-250</v>
      </c>
      <c r="H4" s="85">
        <f t="shared" ref="H4:H29" si="0">H3+F4+G4</f>
        <v>0</v>
      </c>
    </row>
    <row r="5" spans="1:8">
      <c r="A5" s="20">
        <v>45352</v>
      </c>
      <c r="B5" s="88" t="s">
        <v>481</v>
      </c>
      <c r="C5" s="88"/>
      <c r="E5" s="86">
        <v>-1500</v>
      </c>
      <c r="G5" s="86">
        <v>-1512.13</v>
      </c>
      <c r="H5" s="86">
        <f t="shared" si="0"/>
        <v>-1512.13</v>
      </c>
    </row>
    <row r="6" spans="1:8">
      <c r="A6" s="20">
        <v>45355</v>
      </c>
      <c r="B6" s="43" t="s">
        <v>192</v>
      </c>
      <c r="E6" s="86">
        <v>-152</v>
      </c>
      <c r="G6" s="86">
        <v>-166.9</v>
      </c>
      <c r="H6" s="86">
        <f t="shared" si="0"/>
        <v>-1679.0300000000002</v>
      </c>
    </row>
    <row r="7" spans="1:8">
      <c r="A7" s="20">
        <v>45356</v>
      </c>
      <c r="B7" t="s">
        <v>193</v>
      </c>
      <c r="E7" s="86">
        <v>-10000</v>
      </c>
      <c r="G7" s="86">
        <f>E7</f>
        <v>-10000</v>
      </c>
      <c r="H7" s="86">
        <f t="shared" si="0"/>
        <v>-11679.03</v>
      </c>
    </row>
    <row r="8" spans="1:8">
      <c r="A8" s="96">
        <v>45356</v>
      </c>
      <c r="B8" s="104" t="s">
        <v>214</v>
      </c>
      <c r="C8">
        <v>72000</v>
      </c>
      <c r="D8" s="121"/>
      <c r="E8" s="86">
        <f>E65</f>
        <v>-72173.5</v>
      </c>
      <c r="G8" s="86">
        <f>E8</f>
        <v>-72173.5</v>
      </c>
      <c r="H8" s="86">
        <f t="shared" si="0"/>
        <v>-83852.53</v>
      </c>
    </row>
    <row r="9" spans="1:8">
      <c r="A9" s="20">
        <v>45357</v>
      </c>
      <c r="B9" s="104" t="s">
        <v>213</v>
      </c>
      <c r="D9" s="121"/>
      <c r="E9" s="86">
        <f>E46</f>
        <v>-6341.6600000000008</v>
      </c>
      <c r="G9" s="86">
        <f>E9</f>
        <v>-6341.6600000000008</v>
      </c>
      <c r="H9" s="86">
        <f t="shared" si="0"/>
        <v>-90194.19</v>
      </c>
    </row>
    <row r="10" spans="1:8">
      <c r="A10" s="20">
        <v>45357</v>
      </c>
      <c r="B10" s="104" t="s">
        <v>482</v>
      </c>
      <c r="C10" t="s">
        <v>483</v>
      </c>
      <c r="D10" s="121"/>
      <c r="E10" s="86"/>
      <c r="G10" s="86">
        <v>-220.03</v>
      </c>
      <c r="H10" s="86">
        <f t="shared" si="0"/>
        <v>-90414.22</v>
      </c>
    </row>
    <row r="11" spans="1:8">
      <c r="A11" s="20">
        <v>45357</v>
      </c>
      <c r="B11" s="104" t="s">
        <v>482</v>
      </c>
      <c r="C11" t="s">
        <v>483</v>
      </c>
      <c r="D11" s="121"/>
      <c r="E11" s="86"/>
      <c r="G11" s="86">
        <v>-631.37</v>
      </c>
      <c r="H11" s="86">
        <f t="shared" si="0"/>
        <v>-91045.59</v>
      </c>
    </row>
    <row r="12" spans="1:8">
      <c r="A12" s="97">
        <v>45358</v>
      </c>
      <c r="B12" s="88" t="s">
        <v>484</v>
      </c>
      <c r="C12" s="88"/>
      <c r="D12" s="121"/>
      <c r="E12" s="86">
        <v>-5375</v>
      </c>
      <c r="G12" s="86">
        <f>E12</f>
        <v>-5375</v>
      </c>
      <c r="H12" s="86">
        <f t="shared" si="0"/>
        <v>-96420.59</v>
      </c>
    </row>
    <row r="13" spans="1:8">
      <c r="A13" s="97">
        <v>45358</v>
      </c>
      <c r="B13" s="88" t="s">
        <v>484</v>
      </c>
      <c r="C13" s="88"/>
      <c r="D13" s="121"/>
      <c r="E13" s="86">
        <v>-2125</v>
      </c>
      <c r="G13" s="86">
        <f>E13</f>
        <v>-2125</v>
      </c>
      <c r="H13" s="86">
        <f t="shared" si="0"/>
        <v>-98545.59</v>
      </c>
    </row>
    <row r="14" spans="1:8">
      <c r="A14" s="97">
        <v>45358</v>
      </c>
      <c r="B14" t="s">
        <v>485</v>
      </c>
      <c r="C14" s="88"/>
      <c r="D14" s="121"/>
      <c r="E14" s="86"/>
      <c r="F14">
        <v>6500</v>
      </c>
      <c r="G14" s="86"/>
      <c r="H14" s="86">
        <f t="shared" si="0"/>
        <v>-92045.59</v>
      </c>
    </row>
    <row r="15" spans="1:8">
      <c r="A15" s="20">
        <v>45359</v>
      </c>
      <c r="B15" s="88" t="s">
        <v>208</v>
      </c>
      <c r="C15" s="88"/>
      <c r="D15" s="121"/>
      <c r="E15" s="86">
        <v>-150</v>
      </c>
      <c r="G15" s="86">
        <v>-168.91</v>
      </c>
      <c r="H15" s="86">
        <f t="shared" si="0"/>
        <v>-92214.5</v>
      </c>
    </row>
    <row r="16" spans="1:8">
      <c r="A16" s="97">
        <v>45362</v>
      </c>
      <c r="B16" s="94" t="s">
        <v>212</v>
      </c>
      <c r="D16" s="121"/>
      <c r="E16" s="86">
        <f>E41*-1</f>
        <v>-225.66</v>
      </c>
      <c r="F16" s="65"/>
      <c r="G16" s="86">
        <f>-225.66</f>
        <v>-225.66</v>
      </c>
      <c r="H16" s="86">
        <f t="shared" si="0"/>
        <v>-92440.16</v>
      </c>
    </row>
    <row r="17" spans="1:8">
      <c r="A17" s="20">
        <v>45372</v>
      </c>
      <c r="B17" s="94" t="s">
        <v>210</v>
      </c>
      <c r="C17" s="94" t="s">
        <v>209</v>
      </c>
      <c r="D17" s="121"/>
      <c r="E17" s="86">
        <v>-300</v>
      </c>
      <c r="F17" s="65"/>
      <c r="G17" s="86">
        <v>-1083</v>
      </c>
      <c r="H17" s="86">
        <f t="shared" si="0"/>
        <v>-93523.16</v>
      </c>
    </row>
    <row r="18" spans="1:8">
      <c r="A18" s="20">
        <v>45372</v>
      </c>
      <c r="B18" s="94" t="s">
        <v>211</v>
      </c>
      <c r="C18" s="94" t="s">
        <v>209</v>
      </c>
      <c r="D18" s="121"/>
      <c r="E18" s="86">
        <v>-100</v>
      </c>
      <c r="F18" s="65"/>
      <c r="G18" s="86">
        <v>0</v>
      </c>
      <c r="H18" s="86">
        <f t="shared" si="0"/>
        <v>-93523.16</v>
      </c>
    </row>
    <row r="19" spans="1:8">
      <c r="A19" s="20">
        <v>45378</v>
      </c>
      <c r="B19" t="s">
        <v>218</v>
      </c>
      <c r="D19" s="121">
        <v>10000</v>
      </c>
      <c r="E19" s="86"/>
      <c r="F19" s="65">
        <v>10367.49</v>
      </c>
      <c r="G19" s="86"/>
      <c r="H19" s="86">
        <f t="shared" si="0"/>
        <v>-83155.67</v>
      </c>
    </row>
    <row r="20" spans="1:8">
      <c r="A20" s="20">
        <v>45378</v>
      </c>
      <c r="B20" t="s">
        <v>84</v>
      </c>
      <c r="D20" s="121"/>
      <c r="E20" s="86">
        <v>-5000</v>
      </c>
      <c r="F20" s="65"/>
      <c r="G20" s="86">
        <v>-5203</v>
      </c>
      <c r="H20" s="86">
        <f t="shared" si="0"/>
        <v>-88358.67</v>
      </c>
    </row>
    <row r="21" spans="1:8">
      <c r="A21" s="20"/>
      <c r="B21" t="s">
        <v>486</v>
      </c>
      <c r="D21" s="121"/>
      <c r="E21" s="86"/>
      <c r="F21" s="65"/>
      <c r="G21" s="86"/>
      <c r="H21" s="86">
        <f t="shared" si="0"/>
        <v>-88358.67</v>
      </c>
    </row>
    <row r="22" spans="1:8">
      <c r="A22" s="20">
        <v>45378</v>
      </c>
      <c r="B22" t="s">
        <v>172</v>
      </c>
      <c r="D22" s="121"/>
      <c r="E22" s="86">
        <v>-5000</v>
      </c>
      <c r="F22" s="65"/>
      <c r="G22" s="86">
        <v>-5203</v>
      </c>
      <c r="H22" s="86">
        <f t="shared" si="0"/>
        <v>-93561.67</v>
      </c>
    </row>
    <row r="23" spans="1:8">
      <c r="A23" s="20">
        <v>45378</v>
      </c>
      <c r="B23" t="s">
        <v>217</v>
      </c>
      <c r="D23" s="121"/>
      <c r="E23" s="86">
        <v>-5000</v>
      </c>
      <c r="F23" s="65"/>
      <c r="G23" s="86">
        <v>-5000</v>
      </c>
      <c r="H23" s="86">
        <f t="shared" si="0"/>
        <v>-98561.67</v>
      </c>
    </row>
    <row r="24" spans="1:8">
      <c r="A24" s="97">
        <v>45380</v>
      </c>
      <c r="B24" t="s">
        <v>219</v>
      </c>
      <c r="D24" s="121">
        <v>2800</v>
      </c>
      <c r="E24" s="86"/>
      <c r="F24" s="65">
        <v>2800</v>
      </c>
      <c r="G24" s="86"/>
      <c r="H24" s="86">
        <f t="shared" si="0"/>
        <v>-95761.67</v>
      </c>
    </row>
    <row r="25" spans="1:8">
      <c r="A25" s="20">
        <v>45380</v>
      </c>
      <c r="B25" s="88" t="s">
        <v>194</v>
      </c>
      <c r="C25" s="88"/>
      <c r="D25" s="121"/>
      <c r="E25" s="86">
        <v>-400</v>
      </c>
      <c r="G25" s="86">
        <v>-255</v>
      </c>
      <c r="H25" s="86">
        <f t="shared" si="0"/>
        <v>-96016.67</v>
      </c>
    </row>
    <row r="26" spans="1:8">
      <c r="A26" s="20">
        <v>45380</v>
      </c>
      <c r="B26" s="88" t="s">
        <v>195</v>
      </c>
      <c r="C26" s="88"/>
      <c r="D26" s="121"/>
      <c r="E26" s="86">
        <v>-500</v>
      </c>
      <c r="G26" s="86">
        <v>-460</v>
      </c>
      <c r="H26" s="86">
        <f t="shared" si="0"/>
        <v>-96476.67</v>
      </c>
    </row>
    <row r="27" spans="1:8">
      <c r="F27" s="84"/>
      <c r="G27" s="86"/>
      <c r="H27" s="86">
        <f t="shared" si="0"/>
        <v>-96476.67</v>
      </c>
    </row>
    <row r="28" spans="1:8">
      <c r="A28" s="125"/>
      <c r="G28" s="86"/>
      <c r="H28" s="86">
        <f t="shared" si="0"/>
        <v>-96476.67</v>
      </c>
    </row>
    <row r="29" spans="1:8">
      <c r="A29" s="19"/>
      <c r="E29" s="126"/>
      <c r="F29" s="65"/>
      <c r="G29" s="86"/>
      <c r="H29" s="86">
        <f t="shared" si="0"/>
        <v>-96476.67</v>
      </c>
    </row>
    <row r="30" spans="1:8">
      <c r="A30" s="127"/>
      <c r="F30" s="65"/>
      <c r="G30" s="85"/>
      <c r="H30" s="86"/>
    </row>
    <row r="31" spans="1:8">
      <c r="G31" s="65"/>
      <c r="H31" s="65"/>
    </row>
    <row r="32" spans="1:8">
      <c r="B32" t="s">
        <v>222</v>
      </c>
      <c r="G32" s="65"/>
      <c r="H32" s="65"/>
    </row>
    <row r="33" spans="1:8">
      <c r="A33" s="78"/>
      <c r="B33" s="78" t="s">
        <v>223</v>
      </c>
      <c r="C33" s="78"/>
      <c r="G33" s="65"/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224</v>
      </c>
      <c r="C35" s="78"/>
      <c r="D35" s="102">
        <f>SUM(D36:D41)</f>
        <v>5343.55</v>
      </c>
      <c r="E35" s="85">
        <f>SUM(E36:E41)</f>
        <v>5345.7999999999993</v>
      </c>
      <c r="H35" s="65"/>
    </row>
    <row r="36" spans="1:8">
      <c r="A36" s="97"/>
      <c r="B36" s="94" t="s">
        <v>225</v>
      </c>
      <c r="D36" s="102">
        <v>967.68</v>
      </c>
      <c r="E36" s="86">
        <v>970</v>
      </c>
      <c r="H36" s="65"/>
    </row>
    <row r="37" spans="1:8">
      <c r="B37" t="s">
        <v>487</v>
      </c>
      <c r="C37" t="s">
        <v>488</v>
      </c>
      <c r="D37" s="102">
        <v>1224.42</v>
      </c>
      <c r="E37" s="86">
        <v>1225</v>
      </c>
      <c r="F37" s="65"/>
      <c r="G37" s="65"/>
    </row>
    <row r="38" spans="1:8">
      <c r="B38" t="s">
        <v>227</v>
      </c>
      <c r="D38" s="102">
        <v>237.14</v>
      </c>
      <c r="E38" s="86">
        <v>237.14</v>
      </c>
      <c r="F38" s="65"/>
      <c r="G38" s="65"/>
    </row>
    <row r="39" spans="1:8">
      <c r="B39" t="s">
        <v>489</v>
      </c>
      <c r="D39" s="102">
        <v>2248.8000000000002</v>
      </c>
      <c r="E39" s="86">
        <v>2248</v>
      </c>
      <c r="F39" s="65"/>
      <c r="G39" s="65"/>
    </row>
    <row r="40" spans="1:8">
      <c r="B40" t="s">
        <v>229</v>
      </c>
      <c r="D40" s="102">
        <v>439.85</v>
      </c>
      <c r="E40" s="86">
        <v>440</v>
      </c>
      <c r="F40" s="65"/>
      <c r="G40" s="65"/>
    </row>
    <row r="41" spans="1:8">
      <c r="B41" t="s">
        <v>230</v>
      </c>
      <c r="C41" s="94"/>
      <c r="D41" s="94">
        <v>225.66</v>
      </c>
      <c r="E41" s="86">
        <v>225.66</v>
      </c>
      <c r="F41" s="65"/>
      <c r="G41" s="65"/>
    </row>
    <row r="42" spans="1:8">
      <c r="C42" s="94"/>
      <c r="F42" s="65"/>
      <c r="G42" s="65"/>
    </row>
    <row r="44" spans="1:8">
      <c r="B44" s="13"/>
    </row>
    <row r="45" spans="1:8">
      <c r="B45" s="102"/>
    </row>
    <row r="46" spans="1:8">
      <c r="A46" s="78"/>
      <c r="B46" s="77" t="s">
        <v>231</v>
      </c>
      <c r="C46" s="78"/>
      <c r="E46" s="128">
        <f>SUM(E47:E60)</f>
        <v>-6341.6600000000008</v>
      </c>
    </row>
    <row r="47" spans="1:8">
      <c r="A47" s="97">
        <v>45187</v>
      </c>
      <c r="B47" s="94" t="s">
        <v>375</v>
      </c>
      <c r="C47" s="94">
        <v>7648.33</v>
      </c>
      <c r="D47" s="102" t="s">
        <v>490</v>
      </c>
      <c r="E47" s="85">
        <v>-849.81</v>
      </c>
      <c r="G47" s="65"/>
      <c r="H47" s="65"/>
    </row>
    <row r="48" spans="1:8">
      <c r="A48" s="97">
        <v>45187</v>
      </c>
      <c r="B48" s="94" t="s">
        <v>491</v>
      </c>
      <c r="C48" s="94">
        <v>11128</v>
      </c>
      <c r="D48" s="102" t="s">
        <v>258</v>
      </c>
      <c r="E48" s="85">
        <v>-1854.65</v>
      </c>
      <c r="F48" s="65"/>
      <c r="G48" s="65"/>
      <c r="H48" s="65"/>
    </row>
    <row r="49" spans="1:8">
      <c r="A49" s="20">
        <v>45325</v>
      </c>
      <c r="B49" t="s">
        <v>340</v>
      </c>
      <c r="E49" s="85">
        <v>-453.4</v>
      </c>
      <c r="G49" s="65"/>
      <c r="H49" s="65"/>
    </row>
    <row r="50" spans="1:8">
      <c r="A50" s="20">
        <v>45326</v>
      </c>
      <c r="B50" t="s">
        <v>492</v>
      </c>
      <c r="E50" s="85">
        <v>-300</v>
      </c>
      <c r="G50" s="65"/>
      <c r="H50" s="65"/>
    </row>
    <row r="51" spans="1:8">
      <c r="A51" s="20">
        <v>45327</v>
      </c>
      <c r="B51" t="s">
        <v>284</v>
      </c>
      <c r="C51">
        <v>3900.57</v>
      </c>
      <c r="G51" s="65"/>
      <c r="H51" s="65"/>
    </row>
    <row r="52" spans="1:8">
      <c r="A52" s="20">
        <v>45330</v>
      </c>
      <c r="B52" t="s">
        <v>493</v>
      </c>
      <c r="E52" s="85">
        <v>-900</v>
      </c>
      <c r="G52" s="65"/>
      <c r="H52" s="65"/>
    </row>
    <row r="53" spans="1:8">
      <c r="A53" s="20">
        <v>45330</v>
      </c>
      <c r="B53" t="s">
        <v>494</v>
      </c>
      <c r="E53" s="85">
        <v>-116.38</v>
      </c>
      <c r="G53" s="65"/>
      <c r="H53" s="65"/>
    </row>
    <row r="54" spans="1:8">
      <c r="A54" s="97">
        <v>45331</v>
      </c>
      <c r="B54" s="94" t="s">
        <v>467</v>
      </c>
      <c r="C54" s="94"/>
      <c r="E54" s="85">
        <v>-100</v>
      </c>
      <c r="F54" s="65"/>
      <c r="G54" s="65"/>
      <c r="H54" s="65"/>
    </row>
    <row r="55" spans="1:8">
      <c r="A55" s="97">
        <v>45331</v>
      </c>
      <c r="B55" s="94" t="s">
        <v>495</v>
      </c>
      <c r="C55" s="94"/>
      <c r="E55" s="85">
        <v>-215.42</v>
      </c>
      <c r="F55" s="65"/>
      <c r="G55" s="65"/>
      <c r="H55" s="65"/>
    </row>
    <row r="56" spans="1:8">
      <c r="A56" s="97">
        <v>45332</v>
      </c>
      <c r="B56" s="94" t="s">
        <v>467</v>
      </c>
      <c r="C56" s="94"/>
      <c r="E56" s="85">
        <v>-100</v>
      </c>
      <c r="F56" s="65"/>
      <c r="G56" s="65"/>
      <c r="H56" s="65"/>
    </row>
    <row r="57" spans="1:8">
      <c r="A57" s="97">
        <v>45332</v>
      </c>
      <c r="B57" s="94" t="s">
        <v>496</v>
      </c>
      <c r="C57" s="94"/>
      <c r="E57" s="85">
        <v>-900</v>
      </c>
      <c r="F57" s="65"/>
      <c r="G57" s="65"/>
      <c r="H57" s="65"/>
    </row>
    <row r="58" spans="1:8">
      <c r="A58" s="97">
        <v>45337</v>
      </c>
      <c r="B58" s="94" t="s">
        <v>497</v>
      </c>
      <c r="E58" s="85">
        <v>-352</v>
      </c>
      <c r="F58" s="65"/>
      <c r="G58" s="65"/>
      <c r="H58" s="65"/>
    </row>
    <row r="59" spans="1:8">
      <c r="A59" s="97">
        <v>45338</v>
      </c>
      <c r="B59" s="94" t="s">
        <v>467</v>
      </c>
      <c r="C59" s="94"/>
      <c r="E59" s="85">
        <v>-100</v>
      </c>
      <c r="F59" s="65"/>
      <c r="G59" s="65"/>
      <c r="H59" s="65"/>
    </row>
    <row r="60" spans="1:8">
      <c r="A60" s="97">
        <v>45339</v>
      </c>
      <c r="B60" s="3" t="s">
        <v>467</v>
      </c>
      <c r="E60" s="85">
        <v>-100</v>
      </c>
      <c r="F60" s="65"/>
      <c r="G60" s="65"/>
      <c r="H60" s="65"/>
    </row>
    <row r="61" spans="1:8" ht="15">
      <c r="A61" s="97"/>
      <c r="B61" s="94"/>
      <c r="C61" s="94"/>
      <c r="D61" s="108" t="s">
        <v>285</v>
      </c>
      <c r="F61" s="65"/>
      <c r="G61" s="65"/>
      <c r="H61" s="65"/>
    </row>
    <row r="62" spans="1:8">
      <c r="A62" s="97"/>
      <c r="B62" s="94"/>
      <c r="C62" s="94"/>
      <c r="F62" s="65"/>
      <c r="G62" s="65"/>
      <c r="H62" s="65"/>
    </row>
    <row r="63" spans="1:8">
      <c r="A63" s="97"/>
      <c r="B63" s="94"/>
      <c r="C63" s="94"/>
      <c r="F63" s="65"/>
      <c r="G63" s="65"/>
      <c r="H63" s="65"/>
    </row>
    <row r="64" spans="1:8">
      <c r="A64" s="97"/>
      <c r="B64" s="94"/>
      <c r="C64" s="94"/>
      <c r="F64" s="65"/>
      <c r="G64" s="65"/>
      <c r="H64" s="65"/>
    </row>
    <row r="65" spans="1:8">
      <c r="A65" s="78"/>
      <c r="B65" s="77" t="s">
        <v>235</v>
      </c>
      <c r="C65" s="78"/>
      <c r="E65" s="129">
        <f>SUM(E66:E85)</f>
        <v>-72173.5</v>
      </c>
      <c r="F65" s="65"/>
      <c r="G65" s="65"/>
    </row>
    <row r="66" spans="1:8">
      <c r="A66" s="97"/>
      <c r="B66" s="94"/>
      <c r="C66" s="94"/>
      <c r="F66" s="65"/>
      <c r="G66" s="65"/>
      <c r="H66" s="65"/>
    </row>
    <row r="67" spans="1:8">
      <c r="A67" s="97">
        <v>45187</v>
      </c>
      <c r="B67" s="94" t="s">
        <v>498</v>
      </c>
      <c r="C67" s="94"/>
      <c r="D67" s="102" t="s">
        <v>499</v>
      </c>
      <c r="E67" s="85">
        <v>-3974.42</v>
      </c>
      <c r="F67">
        <v>0</v>
      </c>
      <c r="G67" s="65"/>
      <c r="H67" s="65"/>
    </row>
    <row r="68" spans="1:8">
      <c r="A68" s="96">
        <v>45214</v>
      </c>
      <c r="B68" t="s">
        <v>471</v>
      </c>
      <c r="D68" s="102" t="s">
        <v>500</v>
      </c>
      <c r="E68" s="85">
        <v>-600</v>
      </c>
      <c r="F68" s="65"/>
      <c r="G68" s="65"/>
      <c r="H68" s="65"/>
    </row>
    <row r="69" spans="1:8">
      <c r="A69" s="96">
        <v>45285</v>
      </c>
      <c r="B69" s="94" t="s">
        <v>333</v>
      </c>
      <c r="C69" s="94"/>
      <c r="D69" s="102" t="s">
        <v>501</v>
      </c>
      <c r="E69" s="85">
        <v>-3551.66</v>
      </c>
      <c r="F69" s="65"/>
      <c r="G69" s="65"/>
      <c r="H69" s="65"/>
    </row>
    <row r="70" spans="1:8">
      <c r="A70" s="96">
        <v>45259</v>
      </c>
      <c r="B70" t="s">
        <v>502</v>
      </c>
      <c r="C70" s="113">
        <v>-1204.5</v>
      </c>
      <c r="D70" s="102" t="s">
        <v>503</v>
      </c>
      <c r="E70" s="85">
        <v>-401.5</v>
      </c>
      <c r="F70" s="65"/>
      <c r="G70" s="65"/>
      <c r="H70" s="65"/>
    </row>
    <row r="71" spans="1:8">
      <c r="A71" s="96">
        <v>45259</v>
      </c>
      <c r="B71" t="s">
        <v>504</v>
      </c>
      <c r="C71" s="113">
        <v>-148.6</v>
      </c>
      <c r="D71" s="102" t="s">
        <v>503</v>
      </c>
      <c r="E71" s="85">
        <v>-49.54</v>
      </c>
      <c r="F71" s="65"/>
      <c r="G71" s="65"/>
      <c r="H71" s="65"/>
    </row>
    <row r="72" spans="1:8">
      <c r="A72" s="96">
        <v>45259</v>
      </c>
      <c r="B72" t="s">
        <v>505</v>
      </c>
      <c r="C72" s="113">
        <v>-244.8</v>
      </c>
      <c r="D72" s="102" t="s">
        <v>503</v>
      </c>
      <c r="E72" s="85">
        <v>-81.599999999999994</v>
      </c>
      <c r="F72" s="65"/>
      <c r="G72" s="65"/>
      <c r="H72" s="65"/>
    </row>
    <row r="73" spans="1:8">
      <c r="A73" s="96">
        <v>45259</v>
      </c>
      <c r="B73" t="s">
        <v>506</v>
      </c>
      <c r="C73" s="113">
        <v>-532.6</v>
      </c>
      <c r="D73" s="102" t="s">
        <v>503</v>
      </c>
      <c r="E73" s="85">
        <v>-177.54</v>
      </c>
      <c r="F73" s="65"/>
      <c r="G73" s="65"/>
      <c r="H73" s="65"/>
    </row>
    <row r="74" spans="1:8">
      <c r="A74" s="96"/>
      <c r="B74" s="94" t="s">
        <v>6</v>
      </c>
      <c r="C74" s="94">
        <v>899</v>
      </c>
      <c r="D74" s="130" t="s">
        <v>507</v>
      </c>
      <c r="E74" s="85">
        <v>-449.5</v>
      </c>
      <c r="F74" s="65"/>
      <c r="G74" s="65"/>
      <c r="H74" s="65"/>
    </row>
    <row r="75" spans="1:8">
      <c r="A75" s="96"/>
      <c r="B75" s="94" t="s">
        <v>508</v>
      </c>
      <c r="C75" s="94"/>
      <c r="D75" s="130" t="s">
        <v>507</v>
      </c>
      <c r="E75" s="85">
        <v>-299.64</v>
      </c>
      <c r="F75" s="65"/>
      <c r="G75" s="65"/>
      <c r="H75" s="65"/>
    </row>
    <row r="76" spans="1:8">
      <c r="A76" s="96"/>
      <c r="B76" s="94" t="s">
        <v>509</v>
      </c>
      <c r="C76" s="94"/>
      <c r="D76" s="130" t="s">
        <v>507</v>
      </c>
      <c r="E76" s="85">
        <v>-546.82000000000005</v>
      </c>
      <c r="F76" s="65"/>
      <c r="G76" s="65"/>
      <c r="H76" s="65"/>
    </row>
    <row r="77" spans="1:8">
      <c r="A77" s="97"/>
      <c r="B77" s="3" t="s">
        <v>286</v>
      </c>
      <c r="C77" s="94"/>
      <c r="D77" s="130" t="s">
        <v>510</v>
      </c>
      <c r="E77" s="85">
        <v>-649.78</v>
      </c>
      <c r="F77" s="65"/>
      <c r="G77" s="65"/>
      <c r="H77" s="65"/>
    </row>
    <row r="78" spans="1:8">
      <c r="A78" s="97"/>
      <c r="B78" s="3" t="s">
        <v>288</v>
      </c>
      <c r="C78" s="94">
        <v>49.98</v>
      </c>
      <c r="D78" s="130" t="s">
        <v>510</v>
      </c>
      <c r="F78" s="65"/>
      <c r="G78" s="65"/>
      <c r="H78" s="65"/>
    </row>
    <row r="79" spans="1:8">
      <c r="A79" s="97"/>
      <c r="B79" s="3"/>
      <c r="C79" s="94"/>
      <c r="F79" s="65"/>
      <c r="G79" s="65"/>
      <c r="H79" s="65"/>
    </row>
    <row r="80" spans="1:8">
      <c r="A80" s="97"/>
      <c r="B80" s="3"/>
      <c r="C80" s="94"/>
      <c r="F80" s="65"/>
      <c r="G80" s="65"/>
      <c r="H80" s="65"/>
    </row>
    <row r="81" spans="1:8">
      <c r="A81" s="97">
        <v>45324</v>
      </c>
      <c r="B81" s="3" t="s">
        <v>511</v>
      </c>
      <c r="C81" s="94"/>
      <c r="E81" s="85">
        <v>-1195</v>
      </c>
      <c r="F81" s="65"/>
      <c r="G81" s="65"/>
      <c r="H81" s="65"/>
    </row>
    <row r="82" spans="1:8">
      <c r="A82" s="97">
        <v>45327</v>
      </c>
      <c r="B82" s="3" t="s">
        <v>512</v>
      </c>
      <c r="C82" s="85">
        <v>-299.99</v>
      </c>
      <c r="F82" s="65"/>
      <c r="G82" s="65"/>
      <c r="H82" s="65"/>
    </row>
    <row r="83" spans="1:8">
      <c r="A83" s="97">
        <v>45336</v>
      </c>
      <c r="B83" s="3" t="s">
        <v>250</v>
      </c>
      <c r="C83" s="94"/>
      <c r="E83" s="85">
        <v>-59483.25</v>
      </c>
      <c r="F83" s="65"/>
      <c r="G83" s="65"/>
      <c r="H83" s="65"/>
    </row>
    <row r="84" spans="1:8">
      <c r="A84" s="97">
        <v>45329</v>
      </c>
      <c r="B84" s="3" t="s">
        <v>513</v>
      </c>
      <c r="C84" s="94"/>
      <c r="E84" s="85">
        <v>-713.25</v>
      </c>
      <c r="F84" s="65"/>
      <c r="G84" s="65"/>
      <c r="H84" s="65"/>
    </row>
    <row r="85" spans="1:8">
      <c r="A85" s="97">
        <v>45327</v>
      </c>
      <c r="B85" s="3" t="s">
        <v>284</v>
      </c>
      <c r="C85" s="94">
        <v>24742.959999999999</v>
      </c>
      <c r="F85" s="65"/>
      <c r="G85" s="65"/>
      <c r="H85" s="65"/>
    </row>
    <row r="86" spans="1:8">
      <c r="A86" s="97"/>
      <c r="B86" s="3"/>
      <c r="C86" s="94"/>
      <c r="F86" s="65"/>
      <c r="G86" s="65"/>
      <c r="H86" s="65"/>
    </row>
    <row r="87" spans="1:8" ht="15">
      <c r="A87" s="97"/>
      <c r="B87" s="3"/>
      <c r="C87" s="94"/>
      <c r="D87" s="108" t="s">
        <v>285</v>
      </c>
      <c r="F87" s="65"/>
      <c r="G87" s="65"/>
      <c r="H87" s="65"/>
    </row>
    <row r="88" spans="1:8">
      <c r="A88" s="97"/>
      <c r="B88" s="3"/>
      <c r="C88" s="94"/>
      <c r="F88" s="65"/>
      <c r="G88" s="65"/>
      <c r="H88" s="65"/>
    </row>
    <row r="89" spans="1:8">
      <c r="A89" s="97"/>
      <c r="B89" s="3"/>
      <c r="C89" s="94"/>
      <c r="F89" s="65"/>
      <c r="G89" s="65"/>
      <c r="H89" s="65"/>
    </row>
    <row r="90" spans="1:8">
      <c r="A90" s="97"/>
      <c r="B90" s="3"/>
      <c r="C90" s="94"/>
      <c r="F90" s="65"/>
      <c r="G90" s="65"/>
      <c r="H90" s="65"/>
    </row>
    <row r="91" spans="1:8">
      <c r="A91" s="97"/>
      <c r="B91" s="3"/>
      <c r="C91" s="94"/>
      <c r="F91" s="65"/>
      <c r="G91" s="65"/>
      <c r="H91" s="65"/>
    </row>
    <row r="92" spans="1:8">
      <c r="A92" s="97"/>
      <c r="B92" s="3"/>
      <c r="C92" s="94"/>
      <c r="F92" s="65"/>
      <c r="G92" s="65"/>
      <c r="H92" s="65"/>
    </row>
    <row r="93" spans="1:8">
      <c r="A93" s="97"/>
      <c r="B93" s="3"/>
      <c r="C93" s="94"/>
      <c r="F93" s="65"/>
      <c r="G93" s="65"/>
      <c r="H93" s="65"/>
    </row>
    <row r="94" spans="1:8">
      <c r="A94" s="97"/>
      <c r="B94" s="3"/>
      <c r="C94" s="94"/>
      <c r="F94" s="65"/>
      <c r="G94" s="65"/>
      <c r="H94" s="65"/>
    </row>
    <row r="95" spans="1:8">
      <c r="A95" s="97"/>
      <c r="B95" s="3"/>
      <c r="C95" s="94"/>
      <c r="F95" s="65"/>
      <c r="G95" s="65"/>
      <c r="H95" s="65"/>
    </row>
    <row r="96" spans="1:8">
      <c r="A96" s="97"/>
      <c r="B96" s="3"/>
      <c r="C96" s="94"/>
      <c r="F96" s="65"/>
      <c r="G96" s="65"/>
      <c r="H96" s="65"/>
    </row>
    <row r="97" spans="1:8">
      <c r="A97" s="97"/>
      <c r="B97" s="3"/>
      <c r="C97" s="94"/>
      <c r="F97" s="65"/>
      <c r="G97" s="65"/>
      <c r="H97" s="65"/>
    </row>
    <row r="106" spans="1:8">
      <c r="A106" s="97"/>
    </row>
    <row r="107" spans="1:8">
      <c r="A107" s="97"/>
    </row>
    <row r="108" spans="1:8">
      <c r="A108" s="76" t="s">
        <v>514</v>
      </c>
      <c r="B108" s="77" t="s">
        <v>171</v>
      </c>
      <c r="C108" s="78">
        <v>2024</v>
      </c>
      <c r="D108" s="79"/>
      <c r="E108" s="80">
        <f>SUM(E109:E127)</f>
        <v>745852.05035699997</v>
      </c>
    </row>
    <row r="109" spans="1:8">
      <c r="A109" s="81">
        <v>45352</v>
      </c>
      <c r="B109" t="s">
        <v>84</v>
      </c>
      <c r="C109" s="2"/>
      <c r="D109" s="2"/>
      <c r="E109" s="2">
        <v>64000</v>
      </c>
    </row>
    <row r="110" spans="1:8">
      <c r="A110" s="81">
        <f t="shared" ref="A110:A127" si="1">A109</f>
        <v>45352</v>
      </c>
      <c r="B110" t="s">
        <v>515</v>
      </c>
      <c r="C110" s="2"/>
      <c r="D110" s="2"/>
      <c r="E110" s="2">
        <v>150845</v>
      </c>
    </row>
    <row r="111" spans="1:8">
      <c r="A111" s="81">
        <f t="shared" si="1"/>
        <v>45352</v>
      </c>
      <c r="B111" t="s">
        <v>173</v>
      </c>
      <c r="C111" s="2"/>
      <c r="D111" s="2"/>
      <c r="E111" s="13">
        <v>5039.78</v>
      </c>
    </row>
    <row r="112" spans="1:8">
      <c r="A112" s="81">
        <f t="shared" si="1"/>
        <v>45352</v>
      </c>
      <c r="B112" t="s">
        <v>174</v>
      </c>
      <c r="C112" s="2"/>
      <c r="D112" s="2"/>
      <c r="E112" s="13">
        <v>0</v>
      </c>
    </row>
    <row r="113" spans="1:5">
      <c r="A113" s="81">
        <f t="shared" si="1"/>
        <v>45352</v>
      </c>
      <c r="B113" t="s">
        <v>310</v>
      </c>
      <c r="C113" s="2"/>
      <c r="D113" s="2"/>
      <c r="E113" s="13">
        <v>0</v>
      </c>
    </row>
    <row r="114" spans="1:5">
      <c r="A114" s="81">
        <f t="shared" si="1"/>
        <v>45352</v>
      </c>
      <c r="B114" t="s">
        <v>175</v>
      </c>
      <c r="C114" s="110"/>
      <c r="D114" s="2"/>
      <c r="E114" s="13">
        <v>0</v>
      </c>
    </row>
    <row r="115" spans="1:5">
      <c r="A115" s="81">
        <f t="shared" si="1"/>
        <v>45352</v>
      </c>
      <c r="B115" t="s">
        <v>60</v>
      </c>
      <c r="C115" s="2"/>
      <c r="D115" s="2"/>
      <c r="E115" s="13">
        <v>0</v>
      </c>
    </row>
    <row r="116" spans="1:5">
      <c r="A116" s="81">
        <f t="shared" si="1"/>
        <v>45352</v>
      </c>
      <c r="B116" t="s">
        <v>311</v>
      </c>
      <c r="C116" s="2" t="s">
        <v>516</v>
      </c>
      <c r="D116" s="2"/>
      <c r="E116" s="13">
        <v>129254.5</v>
      </c>
    </row>
    <row r="117" spans="1:5">
      <c r="A117" s="81">
        <f t="shared" si="1"/>
        <v>45352</v>
      </c>
      <c r="B117" t="s">
        <v>517</v>
      </c>
      <c r="C117" s="2" t="s">
        <v>518</v>
      </c>
      <c r="D117" s="2"/>
      <c r="E117" s="13">
        <v>256.56</v>
      </c>
    </row>
    <row r="118" spans="1:5">
      <c r="A118" s="81">
        <f t="shared" si="1"/>
        <v>45352</v>
      </c>
      <c r="B118" t="s">
        <v>519</v>
      </c>
      <c r="C118" s="81" t="s">
        <v>520</v>
      </c>
      <c r="D118" s="82"/>
      <c r="E118" s="13">
        <v>0</v>
      </c>
    </row>
    <row r="119" spans="1:5">
      <c r="A119" s="81">
        <f t="shared" si="1"/>
        <v>45352</v>
      </c>
      <c r="B119" t="s">
        <v>521</v>
      </c>
      <c r="C119" s="81" t="s">
        <v>522</v>
      </c>
      <c r="D119" s="82"/>
      <c r="E119" s="13">
        <v>588.6</v>
      </c>
    </row>
    <row r="120" spans="1:5">
      <c r="A120" s="81">
        <f t="shared" si="1"/>
        <v>45352</v>
      </c>
      <c r="B120" t="s">
        <v>523</v>
      </c>
      <c r="C120" s="81"/>
      <c r="D120" s="82"/>
      <c r="E120" s="13"/>
    </row>
    <row r="121" spans="1:5">
      <c r="A121" s="81">
        <f t="shared" si="1"/>
        <v>45352</v>
      </c>
      <c r="B121" t="s">
        <v>183</v>
      </c>
      <c r="C121" s="2"/>
      <c r="D121" s="2"/>
      <c r="E121" s="13">
        <v>450</v>
      </c>
    </row>
    <row r="122" spans="1:5">
      <c r="A122" s="81">
        <f t="shared" si="1"/>
        <v>45352</v>
      </c>
      <c r="B122" t="s">
        <v>524</v>
      </c>
      <c r="C122" s="2">
        <v>2017.98</v>
      </c>
      <c r="D122" s="2">
        <v>161</v>
      </c>
      <c r="E122" s="13">
        <f>D122*C122</f>
        <v>324894.78000000003</v>
      </c>
    </row>
    <row r="123" spans="1:5">
      <c r="A123" s="81">
        <f t="shared" si="1"/>
        <v>45352</v>
      </c>
      <c r="B123" t="s">
        <v>525</v>
      </c>
      <c r="C123" s="83">
        <v>30.726199999999999</v>
      </c>
      <c r="D123" s="2">
        <v>850</v>
      </c>
      <c r="E123" s="13">
        <f>D123*C123</f>
        <v>26117.27</v>
      </c>
    </row>
    <row r="124" spans="1:5">
      <c r="A124" s="81">
        <f t="shared" si="1"/>
        <v>45352</v>
      </c>
      <c r="B124" t="s">
        <v>318</v>
      </c>
      <c r="C124" s="83">
        <v>30.725999999999999</v>
      </c>
      <c r="D124" s="2">
        <v>250</v>
      </c>
      <c r="E124" s="13">
        <f>D124*C124</f>
        <v>7681.5</v>
      </c>
    </row>
    <row r="125" spans="1:5">
      <c r="A125" s="81">
        <f t="shared" si="1"/>
        <v>45352</v>
      </c>
      <c r="B125" t="s">
        <v>526</v>
      </c>
      <c r="C125" s="83">
        <v>33.224299999999999</v>
      </c>
      <c r="D125" s="2">
        <v>81.99</v>
      </c>
      <c r="E125" s="13">
        <f>D125*C125</f>
        <v>2724.0603569999998</v>
      </c>
    </row>
    <row r="126" spans="1:5">
      <c r="A126" s="81">
        <f t="shared" si="1"/>
        <v>45352</v>
      </c>
      <c r="B126" t="s">
        <v>187</v>
      </c>
      <c r="C126" s="2"/>
      <c r="D126" s="2"/>
      <c r="E126" s="13">
        <v>30000</v>
      </c>
    </row>
    <row r="127" spans="1:5">
      <c r="A127" s="81">
        <f t="shared" si="1"/>
        <v>45352</v>
      </c>
      <c r="B127" t="s">
        <v>94</v>
      </c>
      <c r="C127" s="2"/>
      <c r="D127" s="2"/>
      <c r="E127" s="13">
        <v>4000</v>
      </c>
    </row>
    <row r="128" spans="1:5">
      <c r="E128" s="113"/>
    </row>
    <row r="129" spans="3:5">
      <c r="C129" s="110"/>
      <c r="D129" s="3"/>
      <c r="E129" s="110"/>
    </row>
    <row r="130" spans="3:5">
      <c r="C130" s="110"/>
      <c r="D130" s="70" t="s">
        <v>189</v>
      </c>
      <c r="E130" s="8">
        <f>SUM(E109:E127)</f>
        <v>745852.05035699997</v>
      </c>
    </row>
    <row r="131" spans="3:5">
      <c r="C131" s="114" t="str">
        <f>A108</f>
        <v>MART</v>
      </c>
      <c r="D131" s="115" t="s">
        <v>188</v>
      </c>
      <c r="E131" s="116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34"/>
  <sheetViews>
    <sheetView topLeftCell="A2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3" customWidth="1"/>
    <col min="1024" max="1024" width="9.140625" customWidth="1"/>
  </cols>
  <sheetData>
    <row r="1" spans="1:8">
      <c r="E1" s="131"/>
      <c r="F1" s="124" t="s">
        <v>120</v>
      </c>
      <c r="G1" s="124" t="s">
        <v>121</v>
      </c>
      <c r="H1" s="124" t="s">
        <v>3</v>
      </c>
    </row>
    <row r="2" spans="1:8">
      <c r="A2" s="3" t="s">
        <v>527</v>
      </c>
      <c r="C2" s="87" t="s">
        <v>191</v>
      </c>
      <c r="D2" s="110">
        <f>SUM(D4:D31)</f>
        <v>19300</v>
      </c>
      <c r="E2" s="110">
        <f>SUM(E4:E31)</f>
        <v>-65325.849999999991</v>
      </c>
      <c r="F2" s="110">
        <f>SUM(F4:F31)</f>
        <v>20543.64</v>
      </c>
      <c r="G2" s="110">
        <f>SUM(G4:G31)</f>
        <v>-69834.739999999991</v>
      </c>
      <c r="H2" s="110">
        <f>F2+G2</f>
        <v>-49291.099999999991</v>
      </c>
    </row>
    <row r="3" spans="1:8">
      <c r="B3" s="70"/>
      <c r="E3" s="110"/>
      <c r="F3" s="110"/>
      <c r="G3" s="110"/>
      <c r="H3" s="110"/>
    </row>
    <row r="4" spans="1:8">
      <c r="A4" s="20">
        <v>45323</v>
      </c>
      <c r="B4" s="43" t="s">
        <v>192</v>
      </c>
      <c r="E4" s="113">
        <v>-152</v>
      </c>
      <c r="F4" s="113"/>
      <c r="G4" s="113">
        <v>-167</v>
      </c>
      <c r="H4" s="110">
        <f t="shared" ref="H4:H30" si="0">H3+F4+G4</f>
        <v>-167</v>
      </c>
    </row>
    <row r="5" spans="1:8">
      <c r="A5" s="20">
        <v>45323</v>
      </c>
      <c r="B5" s="88" t="s">
        <v>216</v>
      </c>
      <c r="C5" s="88"/>
      <c r="D5" s="88"/>
      <c r="E5" s="113">
        <v>-1500</v>
      </c>
      <c r="F5" s="113"/>
      <c r="G5" s="113">
        <v>-1512.13</v>
      </c>
      <c r="H5" s="110">
        <f t="shared" si="0"/>
        <v>-1679.13</v>
      </c>
    </row>
    <row r="6" spans="1:8">
      <c r="A6" s="20">
        <v>45323</v>
      </c>
      <c r="B6" t="s">
        <v>193</v>
      </c>
      <c r="D6" s="102"/>
      <c r="E6" s="113">
        <v>-10000</v>
      </c>
      <c r="F6" s="113"/>
      <c r="G6" s="113">
        <v>-10000</v>
      </c>
      <c r="H6" s="110">
        <f t="shared" si="0"/>
        <v>-11679.130000000001</v>
      </c>
    </row>
    <row r="7" spans="1:8">
      <c r="A7" s="20">
        <v>45323</v>
      </c>
      <c r="B7" s="88" t="s">
        <v>528</v>
      </c>
      <c r="C7" s="88"/>
      <c r="D7" s="88"/>
      <c r="E7" s="113">
        <v>-250</v>
      </c>
      <c r="F7" s="113"/>
      <c r="G7" s="113">
        <v>-250</v>
      </c>
      <c r="H7" s="110">
        <f t="shared" si="0"/>
        <v>-11929.130000000001</v>
      </c>
    </row>
    <row r="8" spans="1:8">
      <c r="A8" s="20">
        <v>45339</v>
      </c>
      <c r="B8" s="88" t="s">
        <v>529</v>
      </c>
      <c r="C8" s="88"/>
      <c r="D8" s="88"/>
      <c r="F8" s="113"/>
      <c r="G8" s="113">
        <v>-2750</v>
      </c>
      <c r="H8" s="110">
        <f t="shared" si="0"/>
        <v>-14679.130000000001</v>
      </c>
    </row>
    <row r="9" spans="1:8">
      <c r="A9" s="20">
        <v>45327</v>
      </c>
      <c r="B9" s="95" t="s">
        <v>213</v>
      </c>
      <c r="E9" s="113">
        <f>E47</f>
        <v>-3900.5699999999997</v>
      </c>
      <c r="F9" s="113"/>
      <c r="G9" s="113">
        <f>E9</f>
        <v>-3900.5699999999997</v>
      </c>
      <c r="H9" s="110">
        <f t="shared" si="0"/>
        <v>-18579.7</v>
      </c>
    </row>
    <row r="10" spans="1:8">
      <c r="A10" s="96">
        <v>45327</v>
      </c>
      <c r="B10" s="95" t="s">
        <v>214</v>
      </c>
      <c r="E10" s="113">
        <f>E64</f>
        <v>-24792.94</v>
      </c>
      <c r="F10" s="113"/>
      <c r="G10" s="113">
        <f>E10</f>
        <v>-24792.94</v>
      </c>
      <c r="H10" s="110">
        <f t="shared" si="0"/>
        <v>-43372.639999999999</v>
      </c>
    </row>
    <row r="11" spans="1:8">
      <c r="A11" s="97">
        <v>45328</v>
      </c>
      <c r="B11" t="s">
        <v>530</v>
      </c>
      <c r="C11" s="110"/>
      <c r="D11" s="110"/>
      <c r="F11" s="113">
        <v>6500</v>
      </c>
      <c r="G11" s="113"/>
      <c r="H11" s="110">
        <f t="shared" si="0"/>
        <v>-36872.639999999999</v>
      </c>
    </row>
    <row r="12" spans="1:8">
      <c r="A12" s="97">
        <v>45329</v>
      </c>
      <c r="B12" s="88" t="s">
        <v>531</v>
      </c>
      <c r="C12" s="88"/>
      <c r="D12" s="88"/>
      <c r="E12" s="113">
        <v>-5375</v>
      </c>
      <c r="F12" s="113"/>
      <c r="G12" s="113">
        <f>E12</f>
        <v>-5375</v>
      </c>
      <c r="H12" s="110">
        <f t="shared" si="0"/>
        <v>-42247.64</v>
      </c>
    </row>
    <row r="13" spans="1:8">
      <c r="A13" s="97">
        <v>45329</v>
      </c>
      <c r="B13" s="88" t="s">
        <v>531</v>
      </c>
      <c r="C13" s="88"/>
      <c r="D13" s="88"/>
      <c r="E13" s="113">
        <v>-2125</v>
      </c>
      <c r="F13" s="113"/>
      <c r="G13" s="113">
        <f>E13</f>
        <v>-2125</v>
      </c>
      <c r="H13" s="110">
        <f t="shared" si="0"/>
        <v>-44372.639999999999</v>
      </c>
    </row>
    <row r="14" spans="1:8">
      <c r="A14" s="20">
        <v>45329</v>
      </c>
      <c r="B14" t="s">
        <v>532</v>
      </c>
      <c r="E14" s="110"/>
      <c r="F14" s="113">
        <v>816.04</v>
      </c>
      <c r="G14" s="113"/>
      <c r="H14" s="110">
        <f t="shared" si="0"/>
        <v>-43556.6</v>
      </c>
    </row>
    <row r="15" spans="1:8">
      <c r="A15" s="132">
        <v>45329</v>
      </c>
      <c r="B15" s="133" t="s">
        <v>533</v>
      </c>
      <c r="C15" s="88"/>
      <c r="E15" s="113">
        <v>-713.25</v>
      </c>
      <c r="F15" s="113"/>
      <c r="G15" s="113">
        <f>E15</f>
        <v>-713.25</v>
      </c>
      <c r="H15" s="110">
        <f t="shared" si="0"/>
        <v>-44269.85</v>
      </c>
    </row>
    <row r="16" spans="1:8">
      <c r="A16" s="96"/>
      <c r="B16" t="s">
        <v>534</v>
      </c>
      <c r="E16" s="110"/>
      <c r="F16" s="110"/>
      <c r="G16" s="110"/>
      <c r="H16" s="110">
        <f t="shared" si="0"/>
        <v>-44269.85</v>
      </c>
    </row>
    <row r="17" spans="1:8">
      <c r="A17" s="20">
        <v>45329</v>
      </c>
      <c r="B17" s="94" t="s">
        <v>211</v>
      </c>
      <c r="C17" s="94" t="s">
        <v>535</v>
      </c>
      <c r="D17" s="94"/>
      <c r="E17" s="113">
        <v>-100</v>
      </c>
      <c r="F17" s="110"/>
      <c r="G17" s="113">
        <v>0</v>
      </c>
      <c r="H17" s="110">
        <f t="shared" si="0"/>
        <v>-44269.85</v>
      </c>
    </row>
    <row r="18" spans="1:8">
      <c r="A18" s="20">
        <v>45334</v>
      </c>
      <c r="B18" s="88" t="s">
        <v>208</v>
      </c>
      <c r="C18" s="88" t="s">
        <v>209</v>
      </c>
      <c r="D18" s="88"/>
      <c r="E18" s="113">
        <v>-150</v>
      </c>
      <c r="F18" s="113"/>
      <c r="G18" s="113">
        <v>-242.76</v>
      </c>
      <c r="H18" s="110">
        <f t="shared" si="0"/>
        <v>-44512.61</v>
      </c>
    </row>
    <row r="19" spans="1:8">
      <c r="A19" s="20">
        <v>45334</v>
      </c>
      <c r="B19" s="95" t="s">
        <v>212</v>
      </c>
      <c r="D19" s="65"/>
      <c r="E19" s="113">
        <f>E42*-1</f>
        <v>-67.09</v>
      </c>
      <c r="G19" s="113">
        <f>E19</f>
        <v>-67.09</v>
      </c>
      <c r="H19" s="110">
        <f t="shared" si="0"/>
        <v>-44579.7</v>
      </c>
    </row>
    <row r="20" spans="1:8">
      <c r="A20" s="20">
        <v>45341</v>
      </c>
      <c r="B20" s="94" t="s">
        <v>210</v>
      </c>
      <c r="C20" s="94" t="s">
        <v>536</v>
      </c>
      <c r="D20" s="94"/>
      <c r="E20" s="113">
        <v>-300</v>
      </c>
      <c r="F20" s="113"/>
      <c r="G20" s="113">
        <v>-1734</v>
      </c>
      <c r="H20" s="110">
        <f t="shared" si="0"/>
        <v>-46313.7</v>
      </c>
    </row>
    <row r="21" spans="1:8">
      <c r="A21" s="132">
        <v>45341</v>
      </c>
      <c r="B21" t="s">
        <v>219</v>
      </c>
      <c r="D21" s="121">
        <v>2800</v>
      </c>
      <c r="F21" s="113">
        <v>2800</v>
      </c>
      <c r="G21" s="110"/>
      <c r="H21" s="110">
        <f t="shared" si="0"/>
        <v>-43513.7</v>
      </c>
    </row>
    <row r="22" spans="1:8">
      <c r="A22" s="20">
        <v>45349</v>
      </c>
      <c r="B22" t="s">
        <v>84</v>
      </c>
      <c r="E22" s="113">
        <v>-5000</v>
      </c>
      <c r="F22" s="113"/>
      <c r="G22" s="113">
        <v>-5200</v>
      </c>
      <c r="H22" s="110">
        <f t="shared" si="0"/>
        <v>-48713.7</v>
      </c>
    </row>
    <row r="23" spans="1:8">
      <c r="A23" s="20">
        <v>45349</v>
      </c>
      <c r="B23" t="s">
        <v>172</v>
      </c>
      <c r="E23" s="113">
        <v>-5000</v>
      </c>
      <c r="F23" s="113"/>
      <c r="G23" s="113">
        <v>-5200</v>
      </c>
      <c r="H23" s="110">
        <f t="shared" si="0"/>
        <v>-53913.7</v>
      </c>
    </row>
    <row r="24" spans="1:8">
      <c r="A24" s="20">
        <v>45349</v>
      </c>
      <c r="B24" t="s">
        <v>217</v>
      </c>
      <c r="E24" s="113">
        <v>-5000</v>
      </c>
      <c r="F24" s="113"/>
      <c r="G24" s="113">
        <v>-5000</v>
      </c>
      <c r="H24" s="110">
        <f t="shared" si="0"/>
        <v>-58913.7</v>
      </c>
    </row>
    <row r="25" spans="1:8">
      <c r="A25" s="20">
        <v>45349</v>
      </c>
      <c r="B25" t="s">
        <v>218</v>
      </c>
      <c r="D25" s="121">
        <v>10000</v>
      </c>
      <c r="F25" s="113">
        <v>10427.6</v>
      </c>
      <c r="G25" s="110"/>
      <c r="H25" s="110">
        <f t="shared" si="0"/>
        <v>-48486.1</v>
      </c>
    </row>
    <row r="26" spans="1:8">
      <c r="A26" s="20">
        <v>45358</v>
      </c>
      <c r="B26" t="s">
        <v>485</v>
      </c>
      <c r="D26" s="102">
        <v>6500</v>
      </c>
      <c r="F26" s="110"/>
      <c r="G26" s="110"/>
      <c r="H26" s="110">
        <f t="shared" si="0"/>
        <v>-48486.1</v>
      </c>
    </row>
    <row r="27" spans="1:8">
      <c r="A27" s="97"/>
      <c r="H27" s="110">
        <f t="shared" si="0"/>
        <v>-48486.1</v>
      </c>
    </row>
    <row r="28" spans="1:8">
      <c r="A28" s="20">
        <v>45351</v>
      </c>
      <c r="B28" s="88" t="s">
        <v>194</v>
      </c>
      <c r="C28" s="88"/>
      <c r="D28" s="88"/>
      <c r="E28" s="110">
        <v>-400</v>
      </c>
      <c r="F28" s="110"/>
      <c r="G28" s="110">
        <v>-300</v>
      </c>
      <c r="H28" s="110">
        <f t="shared" si="0"/>
        <v>-48786.1</v>
      </c>
    </row>
    <row r="29" spans="1:8">
      <c r="A29" s="20">
        <v>45351</v>
      </c>
      <c r="B29" s="88" t="s">
        <v>195</v>
      </c>
      <c r="C29" s="88"/>
      <c r="D29" s="88"/>
      <c r="E29" s="110">
        <v>-500</v>
      </c>
      <c r="F29" s="110"/>
      <c r="G29" s="110">
        <v>-505</v>
      </c>
      <c r="H29" s="110">
        <f t="shared" si="0"/>
        <v>-49291.1</v>
      </c>
    </row>
    <row r="30" spans="1:8">
      <c r="A30" s="127"/>
      <c r="B30" s="105" t="s">
        <v>537</v>
      </c>
      <c r="C30" s="134">
        <v>7000</v>
      </c>
      <c r="D30" s="134"/>
      <c r="F30" s="110"/>
      <c r="G30" s="110"/>
      <c r="H30" s="110">
        <f t="shared" si="0"/>
        <v>-49291.1</v>
      </c>
    </row>
    <row r="31" spans="1:8" ht="15.75">
      <c r="B31" s="99"/>
      <c r="F31" s="65"/>
      <c r="G31" s="65"/>
      <c r="H31" s="110"/>
    </row>
    <row r="32" spans="1:8">
      <c r="G32" s="65"/>
      <c r="H32" s="110"/>
    </row>
    <row r="33" spans="1:8">
      <c r="B33" t="s">
        <v>222</v>
      </c>
      <c r="G33" s="65"/>
      <c r="H33" s="110"/>
    </row>
    <row r="34" spans="1:8">
      <c r="A34" s="78" t="s">
        <v>223</v>
      </c>
      <c r="B34" s="78"/>
      <c r="C34" s="78"/>
      <c r="D34" s="78"/>
      <c r="E34" s="135"/>
      <c r="G34" s="65"/>
      <c r="H34" s="65"/>
    </row>
    <row r="35" spans="1:8">
      <c r="A35" s="97"/>
      <c r="C35" s="98"/>
      <c r="H35" s="65"/>
    </row>
    <row r="36" spans="1:8">
      <c r="A36" s="100">
        <v>44929</v>
      </c>
      <c r="B36" s="101" t="s">
        <v>224</v>
      </c>
      <c r="C36" s="78"/>
      <c r="D36" s="136">
        <f>SUM(D37:D42)</f>
        <v>3749.5300000000007</v>
      </c>
      <c r="E36" s="137">
        <f>SUM(E37:E42)</f>
        <v>3837.4900000000002</v>
      </c>
      <c r="H36" s="65"/>
    </row>
    <row r="37" spans="1:8">
      <c r="A37" s="97"/>
      <c r="B37" s="94" t="s">
        <v>225</v>
      </c>
      <c r="D37" s="2">
        <v>999.4</v>
      </c>
      <c r="E37" s="113">
        <v>999.4</v>
      </c>
      <c r="H37" s="65"/>
    </row>
    <row r="38" spans="1:8">
      <c r="B38" t="s">
        <v>226</v>
      </c>
      <c r="D38" s="2">
        <v>876.64</v>
      </c>
      <c r="E38" s="113">
        <v>875</v>
      </c>
      <c r="F38" s="65"/>
      <c r="G38" s="65"/>
    </row>
    <row r="39" spans="1:8">
      <c r="B39" t="s">
        <v>227</v>
      </c>
      <c r="D39" s="2">
        <v>431.36</v>
      </c>
      <c r="E39" s="113">
        <v>431</v>
      </c>
      <c r="F39" s="65"/>
      <c r="G39" s="65"/>
    </row>
    <row r="40" spans="1:8">
      <c r="A40" s="20">
        <v>45334</v>
      </c>
      <c r="B40" t="s">
        <v>538</v>
      </c>
      <c r="C40" s="113">
        <f>E40-D40</f>
        <v>90.67999999999995</v>
      </c>
      <c r="D40" s="2">
        <v>891.32</v>
      </c>
      <c r="E40" s="113">
        <v>982</v>
      </c>
      <c r="F40" s="65"/>
      <c r="G40" s="65"/>
    </row>
    <row r="41" spans="1:8">
      <c r="B41" t="s">
        <v>229</v>
      </c>
      <c r="D41" s="2">
        <v>483.72</v>
      </c>
      <c r="E41" s="113">
        <v>483</v>
      </c>
      <c r="F41" s="65"/>
      <c r="G41" s="65"/>
    </row>
    <row r="42" spans="1:8">
      <c r="B42" t="s">
        <v>230</v>
      </c>
      <c r="C42" s="94"/>
      <c r="D42" s="2">
        <v>67.09</v>
      </c>
      <c r="E42" s="138">
        <v>67.09</v>
      </c>
      <c r="F42" s="65"/>
      <c r="G42" s="65"/>
    </row>
    <row r="43" spans="1:8">
      <c r="C43" s="94"/>
      <c r="D43" s="94"/>
      <c r="E43" s="110"/>
      <c r="F43" s="65"/>
      <c r="G43" s="65"/>
    </row>
    <row r="45" spans="1:8">
      <c r="B45" s="13"/>
    </row>
    <row r="46" spans="1:8">
      <c r="B46" s="102"/>
    </row>
    <row r="47" spans="1:8">
      <c r="A47" s="78"/>
      <c r="B47" s="77" t="s">
        <v>231</v>
      </c>
      <c r="C47" s="78"/>
      <c r="D47" s="79"/>
      <c r="E47" s="137">
        <f>SUM(E48:E61)</f>
        <v>-3900.5699999999997</v>
      </c>
    </row>
    <row r="48" spans="1:8">
      <c r="G48" s="65"/>
      <c r="H48" s="65"/>
    </row>
    <row r="49" spans="1:8">
      <c r="A49" s="81"/>
      <c r="B49" s="94"/>
      <c r="C49" s="94"/>
      <c r="D49" s="37"/>
      <c r="E49" s="110"/>
      <c r="F49" s="65"/>
      <c r="G49" s="65"/>
      <c r="H49" s="65"/>
    </row>
    <row r="50" spans="1:8">
      <c r="A50" s="81">
        <v>45043</v>
      </c>
      <c r="B50" s="94" t="s">
        <v>539</v>
      </c>
      <c r="C50" s="94">
        <v>10764.57</v>
      </c>
      <c r="D50" s="37" t="s">
        <v>540</v>
      </c>
      <c r="E50" s="110">
        <v>-1196.0899999999999</v>
      </c>
      <c r="G50" s="65"/>
      <c r="H50" s="65"/>
    </row>
    <row r="51" spans="1:8">
      <c r="A51" s="97">
        <v>45187</v>
      </c>
      <c r="B51" s="94" t="s">
        <v>375</v>
      </c>
      <c r="C51" s="94">
        <v>7648.33</v>
      </c>
      <c r="D51" s="139" t="s">
        <v>541</v>
      </c>
      <c r="E51" s="110">
        <v>-849.81</v>
      </c>
      <c r="G51" s="65"/>
      <c r="H51" s="65"/>
    </row>
    <row r="52" spans="1:8">
      <c r="A52" s="97">
        <v>45187</v>
      </c>
      <c r="B52" s="94" t="s">
        <v>491</v>
      </c>
      <c r="C52" s="94">
        <v>11128</v>
      </c>
      <c r="D52" s="139" t="s">
        <v>278</v>
      </c>
      <c r="E52" s="110">
        <v>-1854.67</v>
      </c>
      <c r="G52" s="65"/>
      <c r="H52" s="65"/>
    </row>
    <row r="53" spans="1:8" ht="15">
      <c r="D53" s="108" t="s">
        <v>285</v>
      </c>
      <c r="G53" s="65"/>
      <c r="H53" s="65"/>
    </row>
    <row r="54" spans="1:8">
      <c r="G54" s="65"/>
      <c r="H54" s="65"/>
    </row>
    <row r="55" spans="1:8">
      <c r="G55" s="65"/>
      <c r="H55" s="65"/>
    </row>
    <row r="56" spans="1:8">
      <c r="A56" s="97"/>
      <c r="B56" s="94"/>
      <c r="C56" s="94"/>
      <c r="D56" s="94"/>
      <c r="F56" s="65"/>
      <c r="G56" s="65"/>
      <c r="H56" s="65"/>
    </row>
    <row r="57" spans="1:8">
      <c r="A57" s="97"/>
      <c r="B57" s="94"/>
      <c r="C57" s="94"/>
      <c r="D57" s="94"/>
      <c r="F57" s="65"/>
      <c r="G57" s="65"/>
      <c r="H57" s="65"/>
    </row>
    <row r="58" spans="1:8">
      <c r="A58" s="97"/>
      <c r="B58" s="103"/>
      <c r="C58" s="94"/>
      <c r="D58" s="94"/>
      <c r="F58" s="65"/>
      <c r="G58" s="65"/>
      <c r="H58" s="65"/>
    </row>
    <row r="59" spans="1:8">
      <c r="A59" s="97"/>
      <c r="B59" s="103"/>
      <c r="C59" s="94"/>
      <c r="D59" s="94"/>
      <c r="F59" s="65"/>
      <c r="G59" s="65"/>
      <c r="H59" s="65"/>
    </row>
    <row r="60" spans="1:8">
      <c r="A60" s="97"/>
      <c r="B60" s="103"/>
      <c r="F60" s="65"/>
      <c r="G60" s="65"/>
      <c r="H60" s="65"/>
    </row>
    <row r="61" spans="1:8">
      <c r="A61" s="97"/>
      <c r="B61" s="103"/>
      <c r="C61" s="94"/>
      <c r="D61" s="94"/>
      <c r="F61" s="65"/>
      <c r="G61" s="65"/>
      <c r="H61" s="65"/>
    </row>
    <row r="62" spans="1:8">
      <c r="A62" s="97"/>
      <c r="B62" s="3"/>
      <c r="F62" s="65"/>
      <c r="G62" s="65"/>
      <c r="H62" s="65"/>
    </row>
    <row r="63" spans="1:8">
      <c r="A63" s="97"/>
      <c r="B63" s="94"/>
      <c r="C63" s="94"/>
      <c r="D63" s="94"/>
      <c r="F63" s="65"/>
      <c r="G63" s="65"/>
      <c r="H63" s="65"/>
    </row>
    <row r="64" spans="1:8">
      <c r="A64" s="78"/>
      <c r="B64" s="77" t="s">
        <v>235</v>
      </c>
      <c r="C64" s="78"/>
      <c r="D64" s="78"/>
      <c r="E64" s="140">
        <f>SUM(E65:E102)</f>
        <v>-24792.94</v>
      </c>
      <c r="F64" s="65"/>
      <c r="G64" s="65"/>
    </row>
    <row r="65" spans="1:8">
      <c r="A65" s="97"/>
      <c r="B65" s="94"/>
      <c r="C65" s="94"/>
      <c r="E65" s="110"/>
      <c r="F65" s="65"/>
      <c r="G65" s="65"/>
      <c r="H65" s="65"/>
    </row>
    <row r="66" spans="1:8">
      <c r="A66" s="97">
        <v>45187</v>
      </c>
      <c r="B66" s="94" t="s">
        <v>498</v>
      </c>
      <c r="C66" s="94"/>
      <c r="D66" t="s">
        <v>542</v>
      </c>
      <c r="E66" s="110">
        <v>-3974.44</v>
      </c>
      <c r="G66" s="65"/>
      <c r="H66" s="65"/>
    </row>
    <row r="67" spans="1:8">
      <c r="A67" s="96">
        <v>45214</v>
      </c>
      <c r="B67" t="s">
        <v>471</v>
      </c>
      <c r="D67" t="s">
        <v>543</v>
      </c>
      <c r="E67" s="110">
        <v>-600</v>
      </c>
      <c r="F67" s="65"/>
      <c r="G67" s="65"/>
      <c r="H67" s="65"/>
    </row>
    <row r="68" spans="1:8">
      <c r="A68" s="96">
        <v>45285</v>
      </c>
      <c r="B68" s="94" t="s">
        <v>333</v>
      </c>
      <c r="C68" s="94"/>
      <c r="D68" t="s">
        <v>544</v>
      </c>
      <c r="E68" s="110">
        <v>-3551.66</v>
      </c>
      <c r="F68" s="65"/>
      <c r="G68" s="65"/>
      <c r="H68" s="65"/>
    </row>
    <row r="69" spans="1:8">
      <c r="A69" s="96">
        <v>45259</v>
      </c>
      <c r="B69" t="s">
        <v>502</v>
      </c>
      <c r="C69" s="113">
        <v>-1204.5</v>
      </c>
      <c r="D69" t="s">
        <v>545</v>
      </c>
      <c r="E69" s="110">
        <v>-401.5</v>
      </c>
      <c r="F69" s="65"/>
      <c r="G69" s="65"/>
      <c r="H69" s="65"/>
    </row>
    <row r="70" spans="1:8">
      <c r="A70" s="96">
        <v>45259</v>
      </c>
      <c r="B70" t="s">
        <v>504</v>
      </c>
      <c r="C70" s="113">
        <v>-148.6</v>
      </c>
      <c r="D70" t="s">
        <v>545</v>
      </c>
      <c r="E70" s="110">
        <v>-49.53</v>
      </c>
      <c r="F70" s="65"/>
      <c r="G70" s="65"/>
      <c r="H70" s="65"/>
    </row>
    <row r="71" spans="1:8">
      <c r="A71" s="96">
        <v>45259</v>
      </c>
      <c r="B71" t="s">
        <v>505</v>
      </c>
      <c r="C71" s="113">
        <v>-244.8</v>
      </c>
      <c r="D71" t="s">
        <v>545</v>
      </c>
      <c r="E71" s="110">
        <v>-81.599999999999994</v>
      </c>
      <c r="F71" s="65"/>
      <c r="G71" s="65"/>
      <c r="H71" s="65"/>
    </row>
    <row r="72" spans="1:8">
      <c r="A72" s="96">
        <v>45259</v>
      </c>
      <c r="B72" t="s">
        <v>506</v>
      </c>
      <c r="C72" s="113">
        <v>-532.6</v>
      </c>
      <c r="D72" t="s">
        <v>545</v>
      </c>
      <c r="E72" s="110">
        <v>-177.53</v>
      </c>
      <c r="F72" s="65"/>
      <c r="G72" s="65"/>
      <c r="H72" s="65"/>
    </row>
    <row r="73" spans="1:8">
      <c r="A73" s="96"/>
      <c r="B73" s="94" t="s">
        <v>6</v>
      </c>
      <c r="C73" s="94">
        <v>899</v>
      </c>
      <c r="D73" t="s">
        <v>546</v>
      </c>
      <c r="E73" s="110">
        <v>-449.5</v>
      </c>
      <c r="F73" s="65"/>
      <c r="G73" s="65"/>
      <c r="H73" s="65"/>
    </row>
    <row r="74" spans="1:8">
      <c r="A74" s="96"/>
      <c r="B74" s="94" t="s">
        <v>508</v>
      </c>
      <c r="C74" s="94"/>
      <c r="D74" t="s">
        <v>546</v>
      </c>
      <c r="E74" s="110">
        <v>-299.64</v>
      </c>
      <c r="F74" s="65"/>
      <c r="G74" s="65"/>
      <c r="H74" s="65"/>
    </row>
    <row r="75" spans="1:8">
      <c r="A75" s="96"/>
      <c r="B75" s="94" t="s">
        <v>509</v>
      </c>
      <c r="C75" s="94"/>
      <c r="D75" t="s">
        <v>546</v>
      </c>
      <c r="E75" s="110">
        <v>-546.83000000000004</v>
      </c>
      <c r="F75" s="65"/>
      <c r="G75" s="65"/>
      <c r="H75" s="65"/>
    </row>
    <row r="76" spans="1:8">
      <c r="A76" s="97"/>
      <c r="B76" s="3"/>
      <c r="C76" s="94"/>
      <c r="D76" s="94"/>
      <c r="E76" s="110"/>
      <c r="F76" s="65"/>
      <c r="G76" s="65"/>
      <c r="H76" s="65"/>
    </row>
    <row r="77" spans="1:8">
      <c r="A77" s="97">
        <v>45312</v>
      </c>
      <c r="B77" s="3" t="s">
        <v>354</v>
      </c>
      <c r="C77" s="94"/>
      <c r="D77" s="94"/>
      <c r="E77" s="110">
        <v>-505</v>
      </c>
      <c r="F77" s="65"/>
      <c r="G77" s="65"/>
      <c r="H77" s="65"/>
    </row>
    <row r="78" spans="1:8">
      <c r="A78" s="97">
        <v>45312</v>
      </c>
      <c r="B78" s="3" t="s">
        <v>342</v>
      </c>
      <c r="C78" s="94"/>
      <c r="D78" s="94"/>
      <c r="E78" s="110">
        <v>-223.2</v>
      </c>
      <c r="F78" s="65"/>
      <c r="G78" s="65"/>
      <c r="H78" s="65"/>
    </row>
    <row r="79" spans="1:8">
      <c r="A79" s="97">
        <v>45310</v>
      </c>
      <c r="B79" s="3" t="s">
        <v>354</v>
      </c>
      <c r="C79" s="94"/>
      <c r="D79" s="94"/>
      <c r="E79" s="110">
        <v>-655</v>
      </c>
      <c r="F79" s="65"/>
      <c r="G79" s="65"/>
      <c r="H79" s="65"/>
    </row>
    <row r="80" spans="1:8">
      <c r="A80" s="97">
        <v>45293</v>
      </c>
      <c r="B80" s="3" t="s">
        <v>547</v>
      </c>
      <c r="C80" s="94"/>
      <c r="D80" s="94"/>
      <c r="E80" s="110">
        <v>-480</v>
      </c>
      <c r="F80" s="65"/>
      <c r="G80" s="65"/>
      <c r="H80" s="65"/>
    </row>
    <row r="81" spans="1:8">
      <c r="A81" s="97">
        <v>45293</v>
      </c>
      <c r="B81" s="3" t="s">
        <v>548</v>
      </c>
      <c r="C81" s="94"/>
      <c r="D81" s="94"/>
      <c r="E81" s="110">
        <v>-1200</v>
      </c>
      <c r="F81" s="65"/>
      <c r="G81" s="65"/>
      <c r="H81" s="65"/>
    </row>
    <row r="82" spans="1:8">
      <c r="A82" s="97">
        <v>45293</v>
      </c>
      <c r="B82" s="3" t="s">
        <v>548</v>
      </c>
      <c r="C82" s="94"/>
      <c r="D82" s="94"/>
      <c r="E82" s="110">
        <v>-500</v>
      </c>
      <c r="F82" s="65"/>
      <c r="G82" s="65"/>
      <c r="H82" s="65"/>
    </row>
    <row r="83" spans="1:8">
      <c r="A83" s="97"/>
      <c r="B83" s="3" t="s">
        <v>284</v>
      </c>
      <c r="C83" s="94">
        <v>12474.55</v>
      </c>
      <c r="D83" s="94"/>
      <c r="E83" s="110"/>
      <c r="F83" s="65"/>
      <c r="G83" s="65"/>
      <c r="H83" s="65"/>
    </row>
    <row r="84" spans="1:8">
      <c r="A84" s="97">
        <v>45293</v>
      </c>
      <c r="B84" s="3" t="s">
        <v>549</v>
      </c>
      <c r="C84" s="94"/>
      <c r="D84" s="94"/>
      <c r="E84" s="110">
        <v>-150</v>
      </c>
      <c r="F84" s="65"/>
      <c r="G84" s="65"/>
      <c r="H84" s="65"/>
    </row>
    <row r="85" spans="1:8">
      <c r="A85" s="97">
        <v>45291</v>
      </c>
      <c r="B85" s="3" t="s">
        <v>550</v>
      </c>
      <c r="C85" s="94"/>
      <c r="D85" s="94"/>
      <c r="E85" s="110">
        <v>-60</v>
      </c>
      <c r="F85" s="65"/>
      <c r="G85" s="65"/>
      <c r="H85" s="65"/>
    </row>
    <row r="86" spans="1:8">
      <c r="A86" s="97">
        <v>45290</v>
      </c>
      <c r="B86" s="3" t="s">
        <v>551</v>
      </c>
      <c r="C86" s="94"/>
      <c r="D86" s="94"/>
      <c r="E86" s="110">
        <v>-73</v>
      </c>
      <c r="F86" s="65"/>
      <c r="G86" s="65"/>
      <c r="H86" s="65"/>
    </row>
    <row r="87" spans="1:8">
      <c r="A87" s="97">
        <v>45290</v>
      </c>
      <c r="B87" s="3" t="s">
        <v>551</v>
      </c>
      <c r="C87" s="94"/>
      <c r="D87" s="94"/>
      <c r="E87" s="110">
        <v>-100</v>
      </c>
      <c r="F87" s="65"/>
      <c r="G87" s="65"/>
      <c r="H87" s="65"/>
    </row>
    <row r="88" spans="1:8">
      <c r="A88" s="97">
        <v>45289</v>
      </c>
      <c r="B88" s="3" t="s">
        <v>547</v>
      </c>
      <c r="C88" s="94"/>
      <c r="D88" s="94"/>
      <c r="E88" s="110">
        <v>-944</v>
      </c>
      <c r="F88" s="65"/>
      <c r="G88" s="65"/>
      <c r="H88" s="65"/>
    </row>
    <row r="89" spans="1:8">
      <c r="A89" s="97">
        <v>45288</v>
      </c>
      <c r="B89" s="3" t="s">
        <v>552</v>
      </c>
      <c r="C89" s="94"/>
      <c r="D89" s="94"/>
      <c r="E89" s="110">
        <v>-140</v>
      </c>
      <c r="F89" s="65"/>
      <c r="G89" s="65"/>
      <c r="H89" s="65"/>
    </row>
    <row r="90" spans="1:8">
      <c r="A90" s="97">
        <v>45288</v>
      </c>
      <c r="B90" s="3" t="s">
        <v>553</v>
      </c>
      <c r="C90" s="94"/>
      <c r="D90" s="94"/>
      <c r="E90" s="110">
        <v>-1570.18</v>
      </c>
      <c r="F90" s="65"/>
      <c r="G90" s="65"/>
      <c r="H90" s="65"/>
    </row>
    <row r="91" spans="1:8">
      <c r="A91" s="97">
        <v>45288</v>
      </c>
      <c r="B91" s="3" t="s">
        <v>340</v>
      </c>
      <c r="C91" s="94"/>
      <c r="D91" s="94"/>
      <c r="E91" s="110">
        <v>-169.27</v>
      </c>
      <c r="F91" s="65"/>
      <c r="G91" s="65"/>
      <c r="H91" s="65"/>
    </row>
    <row r="92" spans="1:8">
      <c r="A92" s="97">
        <v>45288</v>
      </c>
      <c r="B92" s="3" t="s">
        <v>554</v>
      </c>
      <c r="C92" s="94"/>
      <c r="D92" s="94"/>
      <c r="E92" s="110">
        <v>-800</v>
      </c>
      <c r="F92" s="65"/>
      <c r="G92" s="65"/>
      <c r="H92" s="65"/>
    </row>
    <row r="93" spans="1:8">
      <c r="A93" s="97">
        <v>45287</v>
      </c>
      <c r="B93" s="3" t="s">
        <v>340</v>
      </c>
      <c r="C93" s="94"/>
      <c r="D93" s="94"/>
      <c r="E93" s="110">
        <v>-438.05</v>
      </c>
      <c r="F93" s="65"/>
      <c r="G93" s="65"/>
      <c r="H93" s="65"/>
    </row>
    <row r="94" spans="1:8">
      <c r="A94" s="97">
        <v>45653</v>
      </c>
      <c r="B94" s="3" t="s">
        <v>293</v>
      </c>
      <c r="C94" s="94"/>
      <c r="D94" s="94">
        <v>185</v>
      </c>
      <c r="E94" s="110">
        <v>-185</v>
      </c>
      <c r="F94" s="65"/>
      <c r="G94" s="65"/>
      <c r="H94" s="65"/>
    </row>
    <row r="95" spans="1:8">
      <c r="A95" s="97">
        <v>45653</v>
      </c>
      <c r="B95" s="3" t="s">
        <v>555</v>
      </c>
      <c r="C95" s="94"/>
      <c r="D95" s="94">
        <v>25.85</v>
      </c>
      <c r="E95" s="110">
        <v>-25.85</v>
      </c>
      <c r="F95" s="65"/>
      <c r="G95" s="65"/>
      <c r="H95" s="65"/>
    </row>
    <row r="96" spans="1:8">
      <c r="A96" s="97">
        <v>45286</v>
      </c>
      <c r="B96" s="3" t="s">
        <v>556</v>
      </c>
      <c r="C96" s="94"/>
      <c r="D96" s="94"/>
      <c r="E96" s="110">
        <v>-160</v>
      </c>
      <c r="F96" s="65"/>
      <c r="G96" s="65"/>
      <c r="H96" s="65"/>
    </row>
    <row r="97" spans="1:8">
      <c r="A97" s="97">
        <v>45286</v>
      </c>
      <c r="B97" s="3" t="s">
        <v>557</v>
      </c>
      <c r="C97" s="94"/>
      <c r="D97" s="94"/>
      <c r="E97" s="110">
        <v>-300</v>
      </c>
      <c r="F97" s="65"/>
      <c r="G97" s="65"/>
      <c r="H97" s="65"/>
    </row>
    <row r="98" spans="1:8">
      <c r="A98" s="97">
        <v>45651</v>
      </c>
      <c r="B98" s="3" t="s">
        <v>558</v>
      </c>
      <c r="C98" s="94"/>
      <c r="D98" s="94">
        <v>112.64</v>
      </c>
      <c r="E98" s="110">
        <v>-112.64</v>
      </c>
      <c r="F98" s="65"/>
      <c r="G98" s="65"/>
      <c r="H98" s="65"/>
    </row>
    <row r="99" spans="1:8">
      <c r="A99" s="97"/>
      <c r="B99" s="3" t="s">
        <v>559</v>
      </c>
      <c r="C99" s="94"/>
      <c r="D99" s="94"/>
      <c r="E99" s="110">
        <v>-193</v>
      </c>
      <c r="F99" s="65"/>
      <c r="G99" s="65"/>
      <c r="H99" s="65"/>
    </row>
    <row r="100" spans="1:8">
      <c r="A100" s="97"/>
      <c r="B100" s="3" t="s">
        <v>560</v>
      </c>
      <c r="C100" s="94"/>
      <c r="D100" s="94"/>
      <c r="E100" s="110">
        <v>-5517.52</v>
      </c>
      <c r="F100" s="65"/>
      <c r="G100" s="65"/>
      <c r="H100" s="65"/>
    </row>
    <row r="101" spans="1:8">
      <c r="A101" s="97"/>
      <c r="B101" s="3" t="s">
        <v>561</v>
      </c>
      <c r="C101" s="94"/>
      <c r="D101" s="94"/>
      <c r="E101" s="110">
        <v>-105</v>
      </c>
      <c r="F101" s="65"/>
      <c r="G101" s="65"/>
      <c r="H101" s="65"/>
    </row>
    <row r="102" spans="1:8">
      <c r="A102" s="97"/>
      <c r="B102" s="3" t="s">
        <v>561</v>
      </c>
      <c r="C102" s="94"/>
      <c r="D102" s="94"/>
      <c r="E102" s="110">
        <v>-54</v>
      </c>
      <c r="F102" s="65"/>
      <c r="G102" s="65"/>
      <c r="H102" s="65"/>
    </row>
    <row r="103" spans="1:8">
      <c r="A103" s="97"/>
      <c r="B103" s="3"/>
      <c r="C103" s="141" t="s">
        <v>562</v>
      </c>
      <c r="D103" s="103">
        <f>SUM(D94:D102)</f>
        <v>323.49</v>
      </c>
      <c r="E103" s="110"/>
      <c r="F103" s="65"/>
      <c r="G103" s="65"/>
      <c r="H103" s="65"/>
    </row>
    <row r="104" spans="1:8" ht="15">
      <c r="A104" s="97"/>
      <c r="B104" s="3"/>
      <c r="C104" s="94"/>
      <c r="D104" s="108" t="s">
        <v>285</v>
      </c>
      <c r="E104" s="110"/>
      <c r="F104" s="65"/>
      <c r="G104" s="65"/>
      <c r="H104" s="65"/>
    </row>
    <row r="105" spans="1:8" ht="15">
      <c r="A105" s="97"/>
      <c r="B105" s="3"/>
      <c r="C105" s="94"/>
      <c r="D105" s="109"/>
      <c r="E105" s="110"/>
      <c r="F105" s="65"/>
      <c r="G105" s="65"/>
      <c r="H105" s="65"/>
    </row>
    <row r="106" spans="1:8" ht="15">
      <c r="A106" s="97"/>
      <c r="B106" s="3"/>
      <c r="C106" s="94"/>
      <c r="D106" s="109"/>
      <c r="E106" s="110"/>
      <c r="F106" s="65"/>
      <c r="G106" s="65"/>
      <c r="H106" s="65"/>
    </row>
    <row r="107" spans="1:8" ht="15">
      <c r="A107" s="97"/>
      <c r="B107" s="3"/>
      <c r="C107" s="94"/>
      <c r="D107" s="109"/>
      <c r="E107" s="110"/>
      <c r="F107" s="65"/>
      <c r="G107" s="65"/>
      <c r="H107" s="65"/>
    </row>
    <row r="108" spans="1:8" ht="15">
      <c r="A108" s="97"/>
      <c r="B108" s="3"/>
      <c r="C108" s="94"/>
      <c r="D108" s="109"/>
      <c r="E108" s="110"/>
      <c r="F108" s="65"/>
      <c r="G108" s="65"/>
      <c r="H108" s="65"/>
    </row>
    <row r="109" spans="1:8">
      <c r="D109" s="70"/>
    </row>
    <row r="111" spans="1:8">
      <c r="A111" s="76" t="s">
        <v>563</v>
      </c>
      <c r="B111" s="77" t="s">
        <v>171</v>
      </c>
      <c r="C111" s="78">
        <v>2024</v>
      </c>
      <c r="D111" s="79"/>
      <c r="E111" s="80">
        <f>SUM(E112:E130)</f>
        <v>809249.830357</v>
      </c>
    </row>
    <row r="112" spans="1:8">
      <c r="A112" s="81">
        <v>45352</v>
      </c>
      <c r="B112" t="s">
        <v>84</v>
      </c>
      <c r="C112" s="2"/>
      <c r="D112" s="2"/>
      <c r="E112" s="13">
        <v>64000</v>
      </c>
    </row>
    <row r="113" spans="1:6">
      <c r="A113" s="81">
        <f t="shared" ref="A113:A130" si="1">A112</f>
        <v>45352</v>
      </c>
      <c r="B113" t="s">
        <v>564</v>
      </c>
      <c r="C113" s="2"/>
      <c r="D113" s="2"/>
      <c r="E113" s="13">
        <v>180345.5</v>
      </c>
      <c r="F113">
        <v>30000</v>
      </c>
    </row>
    <row r="114" spans="1:6">
      <c r="A114" s="81">
        <f t="shared" si="1"/>
        <v>45352</v>
      </c>
      <c r="B114" t="s">
        <v>173</v>
      </c>
      <c r="C114" s="2"/>
      <c r="D114" s="2"/>
      <c r="E114" s="13">
        <v>5039.78</v>
      </c>
      <c r="F114" s="2">
        <f>E114</f>
        <v>5039.78</v>
      </c>
    </row>
    <row r="115" spans="1:6">
      <c r="A115" s="81">
        <f t="shared" si="1"/>
        <v>45352</v>
      </c>
      <c r="B115" t="s">
        <v>174</v>
      </c>
      <c r="C115" s="2"/>
      <c r="D115" s="2"/>
      <c r="E115" s="13">
        <v>0</v>
      </c>
    </row>
    <row r="116" spans="1:6">
      <c r="A116" s="81">
        <f t="shared" si="1"/>
        <v>45352</v>
      </c>
      <c r="B116" t="s">
        <v>310</v>
      </c>
      <c r="C116" s="2"/>
      <c r="D116" s="2"/>
      <c r="E116" s="13">
        <v>0</v>
      </c>
    </row>
    <row r="117" spans="1:6">
      <c r="A117" s="81">
        <f t="shared" si="1"/>
        <v>45352</v>
      </c>
      <c r="B117" t="s">
        <v>175</v>
      </c>
      <c r="C117" s="110"/>
      <c r="D117" s="2"/>
      <c r="E117" s="13">
        <v>0</v>
      </c>
    </row>
    <row r="118" spans="1:6">
      <c r="A118" s="81">
        <f t="shared" si="1"/>
        <v>45352</v>
      </c>
      <c r="B118" t="s">
        <v>60</v>
      </c>
      <c r="C118" s="2" t="s">
        <v>565</v>
      </c>
      <c r="D118" s="2"/>
      <c r="E118" s="13">
        <v>32865.519999999997</v>
      </c>
      <c r="F118" s="2">
        <f>E118</f>
        <v>32865.519999999997</v>
      </c>
    </row>
    <row r="119" spans="1:6">
      <c r="A119" s="81">
        <f t="shared" si="1"/>
        <v>45352</v>
      </c>
      <c r="B119" t="s">
        <v>311</v>
      </c>
      <c r="C119" s="2" t="s">
        <v>516</v>
      </c>
      <c r="D119" s="2"/>
      <c r="E119" s="13">
        <v>129254.5</v>
      </c>
    </row>
    <row r="120" spans="1:6">
      <c r="A120" s="81">
        <f t="shared" si="1"/>
        <v>45352</v>
      </c>
      <c r="B120" t="s">
        <v>517</v>
      </c>
      <c r="C120" s="2" t="s">
        <v>518</v>
      </c>
      <c r="D120" s="2"/>
      <c r="E120" s="13">
        <v>256.56</v>
      </c>
      <c r="F120" s="2">
        <f>E120</f>
        <v>256.56</v>
      </c>
    </row>
    <row r="121" spans="1:6">
      <c r="A121" s="81">
        <f t="shared" si="1"/>
        <v>45352</v>
      </c>
      <c r="B121" t="s">
        <v>519</v>
      </c>
      <c r="C121" s="81" t="s">
        <v>566</v>
      </c>
      <c r="D121" s="82"/>
      <c r="E121" s="13">
        <v>1031.76</v>
      </c>
      <c r="F121" s="2">
        <f>E121</f>
        <v>1031.76</v>
      </c>
    </row>
    <row r="122" spans="1:6">
      <c r="A122" s="81">
        <f t="shared" si="1"/>
        <v>45352</v>
      </c>
      <c r="B122" t="s">
        <v>521</v>
      </c>
      <c r="C122" s="81" t="s">
        <v>522</v>
      </c>
      <c r="D122" s="82"/>
      <c r="E122" s="13">
        <v>588.6</v>
      </c>
    </row>
    <row r="123" spans="1:6">
      <c r="A123" s="81">
        <f t="shared" si="1"/>
        <v>45352</v>
      </c>
      <c r="B123" t="s">
        <v>523</v>
      </c>
      <c r="C123" s="81"/>
      <c r="D123" s="82"/>
      <c r="E123" s="13"/>
    </row>
    <row r="124" spans="1:6">
      <c r="A124" s="81">
        <f t="shared" si="1"/>
        <v>45352</v>
      </c>
      <c r="B124" t="s">
        <v>183</v>
      </c>
      <c r="C124" s="2"/>
      <c r="D124" s="2"/>
      <c r="E124" s="13">
        <v>450</v>
      </c>
      <c r="F124" s="2">
        <f>E124</f>
        <v>450</v>
      </c>
    </row>
    <row r="125" spans="1:6">
      <c r="A125" s="81">
        <f t="shared" si="1"/>
        <v>45352</v>
      </c>
      <c r="B125" t="s">
        <v>524</v>
      </c>
      <c r="C125" s="2">
        <v>2017.98</v>
      </c>
      <c r="D125" s="2">
        <v>161</v>
      </c>
      <c r="E125" s="13">
        <f>D125*C125</f>
        <v>324894.78000000003</v>
      </c>
    </row>
    <row r="126" spans="1:6">
      <c r="A126" s="81">
        <f t="shared" si="1"/>
        <v>45352</v>
      </c>
      <c r="B126" t="s">
        <v>525</v>
      </c>
      <c r="C126" s="83">
        <v>30.726199999999999</v>
      </c>
      <c r="D126" s="2">
        <v>850</v>
      </c>
      <c r="E126" s="13">
        <f>D126*C126</f>
        <v>26117.27</v>
      </c>
      <c r="F126" s="2"/>
    </row>
    <row r="127" spans="1:6">
      <c r="A127" s="81">
        <f t="shared" si="1"/>
        <v>45352</v>
      </c>
      <c r="B127" t="s">
        <v>318</v>
      </c>
      <c r="C127" s="83">
        <v>30.725999999999999</v>
      </c>
      <c r="D127" s="2">
        <v>250</v>
      </c>
      <c r="E127" s="13">
        <f>D127*C127</f>
        <v>7681.5</v>
      </c>
    </row>
    <row r="128" spans="1:6">
      <c r="A128" s="81">
        <f t="shared" si="1"/>
        <v>45352</v>
      </c>
      <c r="B128" t="s">
        <v>526</v>
      </c>
      <c r="C128" s="83">
        <v>33.224299999999999</v>
      </c>
      <c r="D128" s="2">
        <v>81.99</v>
      </c>
      <c r="E128" s="13">
        <f>D128*C128</f>
        <v>2724.0603569999998</v>
      </c>
    </row>
    <row r="129" spans="1:6">
      <c r="A129" s="81">
        <f t="shared" si="1"/>
        <v>45352</v>
      </c>
      <c r="B129" t="s">
        <v>187</v>
      </c>
      <c r="C129" s="2"/>
      <c r="D129" s="2"/>
      <c r="E129" s="13">
        <v>30000</v>
      </c>
      <c r="F129" s="2">
        <f>E129</f>
        <v>30000</v>
      </c>
    </row>
    <row r="130" spans="1:6">
      <c r="A130" s="81">
        <f t="shared" si="1"/>
        <v>45352</v>
      </c>
      <c r="B130" t="s">
        <v>94</v>
      </c>
      <c r="C130" s="2"/>
      <c r="D130" s="2"/>
      <c r="E130" s="13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10"/>
      <c r="D132" s="3"/>
      <c r="E132" s="110"/>
    </row>
    <row r="133" spans="1:6">
      <c r="C133" s="110"/>
      <c r="D133" s="70" t="s">
        <v>189</v>
      </c>
      <c r="E133" s="8">
        <f>SUM(E112:E130)</f>
        <v>809249.830357</v>
      </c>
    </row>
    <row r="134" spans="1:6">
      <c r="C134" s="114" t="str">
        <f>A111</f>
        <v>ŞUBAT</v>
      </c>
      <c r="D134" s="115" t="s">
        <v>188</v>
      </c>
      <c r="E134" s="116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2F0D9"/>
  </sheetPr>
  <dimension ref="A1:H149"/>
  <sheetViews>
    <sheetView topLeftCell="A15" zoomScale="170" zoomScaleNormal="17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10" customWidth="1"/>
    <col min="4" max="4" width="15.5703125" style="110" customWidth="1"/>
    <col min="5" max="5" width="13.140625" style="110" customWidth="1"/>
    <col min="6" max="8" width="12.28515625" style="110"/>
    <col min="1024" max="1024" width="9.140625" customWidth="1"/>
  </cols>
  <sheetData>
    <row r="1" spans="1:8">
      <c r="F1" s="110" t="s">
        <v>120</v>
      </c>
      <c r="G1" s="110" t="s">
        <v>121</v>
      </c>
      <c r="H1" s="110" t="s">
        <v>3</v>
      </c>
    </row>
    <row r="2" spans="1:8">
      <c r="A2" s="3" t="s">
        <v>190</v>
      </c>
      <c r="C2" s="110" t="s">
        <v>191</v>
      </c>
      <c r="D2" s="110">
        <f>SUM(D4:D42)</f>
        <v>340464.6</v>
      </c>
      <c r="E2" s="110">
        <f>SUM(E4:E42)</f>
        <v>-52469.760000000002</v>
      </c>
      <c r="F2" s="110">
        <f>SUM(F4:F42)</f>
        <v>194911.58000000002</v>
      </c>
      <c r="G2" s="110">
        <f>SUM(G4:G42)</f>
        <v>-66377.209999999992</v>
      </c>
      <c r="H2" s="110">
        <f>F2+G2</f>
        <v>128534.37000000002</v>
      </c>
    </row>
    <row r="3" spans="1:8">
      <c r="B3" s="70"/>
    </row>
    <row r="4" spans="1:8">
      <c r="A4" s="96">
        <v>45231</v>
      </c>
      <c r="B4" s="43" t="s">
        <v>192</v>
      </c>
      <c r="E4" s="110">
        <v>-152</v>
      </c>
      <c r="G4" s="110">
        <v>-152</v>
      </c>
      <c r="H4" s="110">
        <f t="shared" ref="H4:H45" si="0">H3+F4+G4</f>
        <v>-152</v>
      </c>
    </row>
    <row r="5" spans="1:8">
      <c r="A5" s="96"/>
      <c r="B5" t="s">
        <v>193</v>
      </c>
      <c r="E5" s="110">
        <v>-10000</v>
      </c>
      <c r="G5" s="110">
        <v>-10000</v>
      </c>
      <c r="H5" s="110">
        <f t="shared" si="0"/>
        <v>-10152</v>
      </c>
    </row>
    <row r="6" spans="1:8">
      <c r="B6" s="88" t="s">
        <v>567</v>
      </c>
      <c r="E6" s="110">
        <v>-250</v>
      </c>
      <c r="G6" s="110">
        <v>-250</v>
      </c>
      <c r="H6" s="110">
        <f t="shared" si="0"/>
        <v>-10402</v>
      </c>
    </row>
    <row r="7" spans="1:8">
      <c r="B7" s="88"/>
      <c r="H7" s="110">
        <f t="shared" si="0"/>
        <v>-10402</v>
      </c>
    </row>
    <row r="8" spans="1:8">
      <c r="B8" s="88" t="s">
        <v>208</v>
      </c>
      <c r="C8" s="110" t="s">
        <v>209</v>
      </c>
      <c r="E8" s="110">
        <v>-150</v>
      </c>
      <c r="G8" s="110">
        <v>0</v>
      </c>
      <c r="H8" s="110">
        <f t="shared" si="0"/>
        <v>-10402</v>
      </c>
    </row>
    <row r="9" spans="1:8">
      <c r="A9" s="96">
        <v>45309</v>
      </c>
      <c r="B9" s="94" t="s">
        <v>210</v>
      </c>
      <c r="C9" s="110" t="s">
        <v>209</v>
      </c>
      <c r="D9" s="110">
        <v>137.30000000000001</v>
      </c>
      <c r="E9" s="110">
        <v>-300</v>
      </c>
      <c r="G9" s="110">
        <v>-1408</v>
      </c>
      <c r="H9" s="110">
        <f t="shared" si="0"/>
        <v>-11810</v>
      </c>
    </row>
    <row r="10" spans="1:8">
      <c r="A10" s="96">
        <v>45299</v>
      </c>
      <c r="B10" s="94" t="s">
        <v>211</v>
      </c>
      <c r="C10" s="110" t="s">
        <v>209</v>
      </c>
      <c r="D10" s="110">
        <v>27.3</v>
      </c>
      <c r="E10" s="110">
        <v>-100</v>
      </c>
      <c r="G10" s="110">
        <v>0</v>
      </c>
      <c r="H10" s="110">
        <f t="shared" si="0"/>
        <v>-11810</v>
      </c>
    </row>
    <row r="11" spans="1:8">
      <c r="B11" s="88"/>
      <c r="H11" s="110">
        <f t="shared" si="0"/>
        <v>-11810</v>
      </c>
    </row>
    <row r="12" spans="1:8">
      <c r="B12" s="95" t="s">
        <v>212</v>
      </c>
      <c r="E12" s="110">
        <f>E55*-1</f>
        <v>-169.14</v>
      </c>
      <c r="G12" s="110">
        <f>E12</f>
        <v>-169.14</v>
      </c>
      <c r="H12" s="110">
        <f t="shared" si="0"/>
        <v>-11979.14</v>
      </c>
    </row>
    <row r="13" spans="1:8">
      <c r="A13" s="96"/>
      <c r="B13" s="95" t="s">
        <v>213</v>
      </c>
      <c r="E13" s="110">
        <f>E60</f>
        <v>-3961.94</v>
      </c>
      <c r="G13" s="110">
        <f>E13</f>
        <v>-3961.94</v>
      </c>
      <c r="H13" s="110">
        <f t="shared" si="0"/>
        <v>-15941.08</v>
      </c>
    </row>
    <row r="14" spans="1:8">
      <c r="A14" s="96">
        <v>45294</v>
      </c>
      <c r="B14" s="95" t="s">
        <v>214</v>
      </c>
      <c r="E14" s="110">
        <f>E77</f>
        <v>-12474.550000000001</v>
      </c>
      <c r="G14" s="110">
        <v>-12474</v>
      </c>
      <c r="H14" s="110">
        <f t="shared" si="0"/>
        <v>-28415.08</v>
      </c>
    </row>
    <row r="15" spans="1:8">
      <c r="A15" s="97">
        <v>45295</v>
      </c>
      <c r="B15" s="88" t="s">
        <v>568</v>
      </c>
      <c r="E15" s="110">
        <v>-5375</v>
      </c>
      <c r="G15" s="110">
        <f>E15</f>
        <v>-5375</v>
      </c>
      <c r="H15" s="110">
        <f t="shared" si="0"/>
        <v>-33790.080000000002</v>
      </c>
    </row>
    <row r="16" spans="1:8">
      <c r="A16" s="97"/>
      <c r="B16" s="88" t="s">
        <v>568</v>
      </c>
      <c r="E16" s="110">
        <v>-2125</v>
      </c>
      <c r="G16" s="110">
        <f>E16</f>
        <v>-2125</v>
      </c>
      <c r="H16" s="110">
        <f t="shared" si="0"/>
        <v>-35915.08</v>
      </c>
    </row>
    <row r="17" spans="1:8">
      <c r="B17" s="88" t="s">
        <v>569</v>
      </c>
      <c r="E17" s="110">
        <v>-1512.13</v>
      </c>
      <c r="G17" s="110">
        <v>-1512.13</v>
      </c>
      <c r="H17" s="110">
        <f t="shared" si="0"/>
        <v>-37427.21</v>
      </c>
    </row>
    <row r="18" spans="1:8">
      <c r="H18" s="110">
        <f t="shared" si="0"/>
        <v>-37427.21</v>
      </c>
    </row>
    <row r="19" spans="1:8">
      <c r="B19" t="s">
        <v>84</v>
      </c>
      <c r="E19" s="110">
        <v>-5000</v>
      </c>
      <c r="G19" s="110">
        <v>-4800</v>
      </c>
      <c r="H19" s="110">
        <f t="shared" si="0"/>
        <v>-42227.21</v>
      </c>
    </row>
    <row r="20" spans="1:8">
      <c r="B20" t="s">
        <v>172</v>
      </c>
      <c r="E20" s="110">
        <v>-5000</v>
      </c>
      <c r="G20" s="110">
        <v>-4800</v>
      </c>
      <c r="H20" s="110">
        <f t="shared" si="0"/>
        <v>-47027.21</v>
      </c>
    </row>
    <row r="21" spans="1:8">
      <c r="B21" t="s">
        <v>217</v>
      </c>
      <c r="E21" s="110">
        <v>-5000</v>
      </c>
      <c r="G21" s="110">
        <v>-5000</v>
      </c>
      <c r="H21" s="110">
        <f t="shared" si="0"/>
        <v>-52027.21</v>
      </c>
    </row>
    <row r="22" spans="1:8">
      <c r="B22" s="88" t="s">
        <v>194</v>
      </c>
      <c r="E22" s="110">
        <v>-400</v>
      </c>
      <c r="G22" s="110">
        <v>-230</v>
      </c>
      <c r="H22" s="110">
        <f t="shared" si="0"/>
        <v>-52257.21</v>
      </c>
    </row>
    <row r="23" spans="1:8">
      <c r="B23" s="88" t="s">
        <v>195</v>
      </c>
      <c r="E23" s="110">
        <v>-500</v>
      </c>
      <c r="G23" s="110">
        <v>-420</v>
      </c>
      <c r="H23" s="110">
        <f t="shared" si="0"/>
        <v>-52677.21</v>
      </c>
    </row>
    <row r="24" spans="1:8">
      <c r="H24" s="110">
        <f t="shared" si="0"/>
        <v>-52677.21</v>
      </c>
    </row>
    <row r="25" spans="1:8">
      <c r="A25" s="96">
        <v>45300</v>
      </c>
      <c r="B25" t="s">
        <v>570</v>
      </c>
      <c r="G25" s="110">
        <v>-5000</v>
      </c>
      <c r="H25" s="110">
        <f t="shared" si="0"/>
        <v>-57677.21</v>
      </c>
    </row>
    <row r="26" spans="1:8">
      <c r="H26" s="110">
        <f t="shared" si="0"/>
        <v>-57677.21</v>
      </c>
    </row>
    <row r="27" spans="1:8">
      <c r="B27" t="s">
        <v>218</v>
      </c>
      <c r="D27" s="113">
        <v>10000</v>
      </c>
      <c r="F27" s="113">
        <v>9611.58</v>
      </c>
      <c r="H27" s="110">
        <f t="shared" si="0"/>
        <v>-48065.63</v>
      </c>
    </row>
    <row r="28" spans="1:8">
      <c r="A28" s="97"/>
      <c r="B28" t="s">
        <v>219</v>
      </c>
      <c r="D28" s="113">
        <v>2800</v>
      </c>
      <c r="F28" s="113">
        <v>2800</v>
      </c>
      <c r="H28" s="110">
        <f t="shared" si="0"/>
        <v>-45265.63</v>
      </c>
    </row>
    <row r="29" spans="1:8">
      <c r="A29" s="81">
        <v>45293</v>
      </c>
      <c r="B29" t="s">
        <v>571</v>
      </c>
      <c r="F29" s="113">
        <v>6500</v>
      </c>
      <c r="H29" s="110">
        <f t="shared" si="0"/>
        <v>-38765.629999999997</v>
      </c>
    </row>
    <row r="30" spans="1:8">
      <c r="A30" s="97">
        <v>45328</v>
      </c>
      <c r="B30" t="s">
        <v>572</v>
      </c>
      <c r="D30" s="113">
        <v>6500</v>
      </c>
      <c r="F30" s="113"/>
      <c r="H30" s="110">
        <f t="shared" si="0"/>
        <v>-38765.629999999997</v>
      </c>
    </row>
    <row r="31" spans="1:8">
      <c r="A31" s="81">
        <v>45294</v>
      </c>
      <c r="B31" t="s">
        <v>573</v>
      </c>
      <c r="F31" s="113">
        <v>6000</v>
      </c>
      <c r="H31" s="110">
        <f t="shared" si="0"/>
        <v>-32765.629999999997</v>
      </c>
    </row>
    <row r="32" spans="1:8">
      <c r="A32" s="127"/>
      <c r="B32" s="105" t="s">
        <v>537</v>
      </c>
      <c r="C32" s="134"/>
      <c r="D32" s="134">
        <v>7000</v>
      </c>
      <c r="E32" s="134"/>
      <c r="F32" s="142"/>
      <c r="H32" s="110">
        <f t="shared" si="0"/>
        <v>-32765.629999999997</v>
      </c>
    </row>
    <row r="33" spans="1:8">
      <c r="B33" t="s">
        <v>574</v>
      </c>
      <c r="D33" s="113">
        <v>170000</v>
      </c>
      <c r="F33" s="113"/>
      <c r="H33" s="110">
        <f t="shared" si="0"/>
        <v>-32765.629999999997</v>
      </c>
    </row>
    <row r="34" spans="1:8">
      <c r="A34" s="96">
        <v>45295</v>
      </c>
      <c r="B34" t="s">
        <v>575</v>
      </c>
      <c r="F34" s="113">
        <v>120000</v>
      </c>
      <c r="H34" s="110">
        <f t="shared" si="0"/>
        <v>87234.37</v>
      </c>
    </row>
    <row r="35" spans="1:8">
      <c r="A35" s="96">
        <v>45296</v>
      </c>
      <c r="B35" t="s">
        <v>575</v>
      </c>
      <c r="F35" s="113">
        <v>26000</v>
      </c>
      <c r="H35" s="110">
        <f t="shared" si="0"/>
        <v>113234.37</v>
      </c>
    </row>
    <row r="36" spans="1:8">
      <c r="A36" s="96">
        <v>45299</v>
      </c>
      <c r="B36" t="s">
        <v>576</v>
      </c>
      <c r="F36" s="113">
        <v>24000</v>
      </c>
      <c r="H36" s="110">
        <f t="shared" si="0"/>
        <v>137234.37</v>
      </c>
    </row>
    <row r="37" spans="1:8">
      <c r="A37" s="96"/>
      <c r="B37" t="s">
        <v>577</v>
      </c>
      <c r="G37" s="110">
        <v>-4000</v>
      </c>
      <c r="H37" s="110">
        <f t="shared" si="0"/>
        <v>133234.37</v>
      </c>
    </row>
    <row r="38" spans="1:8">
      <c r="A38" s="96">
        <v>45321</v>
      </c>
      <c r="B38" t="s">
        <v>577</v>
      </c>
      <c r="G38" s="110">
        <v>-1000</v>
      </c>
      <c r="H38" s="110">
        <f t="shared" si="0"/>
        <v>132234.37</v>
      </c>
    </row>
    <row r="39" spans="1:8">
      <c r="A39" s="96"/>
      <c r="B39" t="s">
        <v>578</v>
      </c>
      <c r="G39" s="110">
        <v>-3700</v>
      </c>
      <c r="H39" s="110">
        <f t="shared" si="0"/>
        <v>128534.37</v>
      </c>
    </row>
    <row r="40" spans="1:8">
      <c r="A40" s="96"/>
      <c r="H40" s="110">
        <f t="shared" si="0"/>
        <v>128534.37</v>
      </c>
    </row>
    <row r="41" spans="1:8">
      <c r="A41" s="20">
        <v>45315</v>
      </c>
      <c r="B41" t="s">
        <v>579</v>
      </c>
      <c r="H41" s="110">
        <f t="shared" si="0"/>
        <v>128534.37</v>
      </c>
    </row>
    <row r="42" spans="1:8">
      <c r="B42" t="s">
        <v>580</v>
      </c>
      <c r="C42" s="110">
        <v>0.234011</v>
      </c>
      <c r="D42" s="110">
        <v>144000</v>
      </c>
      <c r="H42" s="110">
        <f t="shared" si="0"/>
        <v>128534.37</v>
      </c>
    </row>
    <row r="43" spans="1:8">
      <c r="A43" s="81"/>
      <c r="H43" s="110">
        <f t="shared" si="0"/>
        <v>128534.37</v>
      </c>
    </row>
    <row r="44" spans="1:8">
      <c r="A44" s="81"/>
      <c r="H44" s="110">
        <f t="shared" si="0"/>
        <v>128534.37</v>
      </c>
    </row>
    <row r="45" spans="1:8">
      <c r="H45" s="110">
        <f t="shared" si="0"/>
        <v>128534.37</v>
      </c>
    </row>
    <row r="46" spans="1:8">
      <c r="B46" t="s">
        <v>222</v>
      </c>
    </row>
    <row r="47" spans="1:8">
      <c r="A47" s="78" t="s">
        <v>223</v>
      </c>
      <c r="B47" s="78"/>
    </row>
    <row r="48" spans="1:8">
      <c r="A48" s="97"/>
    </row>
    <row r="49" spans="1:5">
      <c r="A49" s="100">
        <v>44929</v>
      </c>
      <c r="B49" s="101" t="s">
        <v>224</v>
      </c>
      <c r="D49" s="110">
        <f>SUM(D50:D55)</f>
        <v>4772.1500000000005</v>
      </c>
      <c r="E49" s="110">
        <f>SUM(E50:E55)</f>
        <v>4742.6400000000003</v>
      </c>
    </row>
    <row r="50" spans="1:5">
      <c r="A50" s="97"/>
      <c r="B50" s="94" t="s">
        <v>225</v>
      </c>
      <c r="C50" s="110" t="s">
        <v>581</v>
      </c>
      <c r="D50" s="110">
        <v>1329.72</v>
      </c>
      <c r="E50" s="110">
        <v>1330</v>
      </c>
    </row>
    <row r="51" spans="1:5">
      <c r="B51" t="s">
        <v>582</v>
      </c>
      <c r="D51" s="110">
        <v>1282.42</v>
      </c>
      <c r="E51" s="110">
        <v>1250</v>
      </c>
    </row>
    <row r="52" spans="1:5">
      <c r="B52" t="s">
        <v>227</v>
      </c>
      <c r="D52" s="110">
        <v>298.67</v>
      </c>
      <c r="E52" s="110">
        <v>298.5</v>
      </c>
    </row>
    <row r="53" spans="1:5">
      <c r="B53" t="s">
        <v>583</v>
      </c>
      <c r="D53" s="110">
        <v>1204.3800000000001</v>
      </c>
      <c r="E53" s="110">
        <v>1205</v>
      </c>
    </row>
    <row r="54" spans="1:5">
      <c r="B54" t="s">
        <v>229</v>
      </c>
      <c r="D54" s="110">
        <v>487.82</v>
      </c>
      <c r="E54" s="110">
        <v>490</v>
      </c>
    </row>
    <row r="55" spans="1:5">
      <c r="B55" t="s">
        <v>230</v>
      </c>
      <c r="D55" s="110">
        <v>169.14</v>
      </c>
      <c r="E55" s="110">
        <v>169.14</v>
      </c>
    </row>
    <row r="58" spans="1:5">
      <c r="B58" s="13"/>
    </row>
    <row r="59" spans="1:5">
      <c r="B59" s="102"/>
    </row>
    <row r="60" spans="1:5">
      <c r="A60" s="78"/>
      <c r="B60" s="77" t="s">
        <v>231</v>
      </c>
      <c r="E60" s="110">
        <f>SUM(E61:E74)</f>
        <v>-3961.94</v>
      </c>
    </row>
    <row r="62" spans="1:5">
      <c r="A62" s="81"/>
      <c r="B62" s="94"/>
    </row>
    <row r="63" spans="1:5">
      <c r="A63" s="81">
        <v>45043</v>
      </c>
      <c r="B63" s="94" t="s">
        <v>539</v>
      </c>
      <c r="C63" s="110">
        <v>10764.57</v>
      </c>
      <c r="D63" s="110" t="s">
        <v>584</v>
      </c>
      <c r="E63" s="110">
        <v>-1196.06</v>
      </c>
    </row>
    <row r="64" spans="1:5">
      <c r="A64" s="97">
        <v>45187</v>
      </c>
      <c r="B64" s="94" t="s">
        <v>375</v>
      </c>
      <c r="C64" s="110">
        <v>7648.33</v>
      </c>
      <c r="D64" s="110" t="s">
        <v>585</v>
      </c>
      <c r="E64" s="110">
        <v>-849.81</v>
      </c>
    </row>
    <row r="65" spans="1:5">
      <c r="A65" s="97">
        <v>45187</v>
      </c>
      <c r="B65" s="94" t="s">
        <v>491</v>
      </c>
      <c r="C65" s="110">
        <v>11128</v>
      </c>
      <c r="D65" s="110" t="s">
        <v>326</v>
      </c>
      <c r="E65" s="110">
        <v>-1854.67</v>
      </c>
    </row>
    <row r="66" spans="1:5">
      <c r="A66" s="81">
        <v>44995</v>
      </c>
      <c r="B66" t="s">
        <v>586</v>
      </c>
      <c r="C66" s="110">
        <v>613.91</v>
      </c>
      <c r="D66" s="110" t="s">
        <v>587</v>
      </c>
      <c r="E66" s="110">
        <v>-61.4</v>
      </c>
    </row>
    <row r="67" spans="1:5">
      <c r="D67" s="110" t="s">
        <v>285</v>
      </c>
    </row>
    <row r="69" spans="1:5">
      <c r="A69" s="97"/>
      <c r="B69" s="94"/>
    </row>
    <row r="70" spans="1:5">
      <c r="A70" s="97"/>
      <c r="B70" s="94"/>
    </row>
    <row r="71" spans="1:5">
      <c r="A71" s="97"/>
      <c r="B71" s="103"/>
    </row>
    <row r="72" spans="1:5">
      <c r="A72" s="97"/>
      <c r="B72" s="103"/>
    </row>
    <row r="73" spans="1:5">
      <c r="A73" s="97"/>
      <c r="B73" s="103"/>
    </row>
    <row r="74" spans="1:5">
      <c r="A74" s="97"/>
      <c r="B74" s="103"/>
    </row>
    <row r="75" spans="1:5">
      <c r="A75" s="97"/>
      <c r="B75" s="3"/>
    </row>
    <row r="76" spans="1:5">
      <c r="A76" s="97"/>
      <c r="B76" s="94"/>
    </row>
    <row r="77" spans="1:5">
      <c r="A77" s="78"/>
      <c r="B77" s="77" t="s">
        <v>235</v>
      </c>
      <c r="E77" s="110">
        <f>SUM(E78:E112)</f>
        <v>-12474.550000000001</v>
      </c>
    </row>
    <row r="78" spans="1:5">
      <c r="A78" s="97"/>
      <c r="B78" s="94"/>
    </row>
    <row r="79" spans="1:5">
      <c r="A79" s="97">
        <v>45187</v>
      </c>
      <c r="B79" s="94" t="s">
        <v>498</v>
      </c>
      <c r="D79" s="110" t="s">
        <v>588</v>
      </c>
      <c r="E79" s="110">
        <v>-3974.44</v>
      </c>
    </row>
    <row r="80" spans="1:5">
      <c r="A80" s="96">
        <v>45214</v>
      </c>
      <c r="B80" t="s">
        <v>471</v>
      </c>
      <c r="D80" s="110" t="s">
        <v>473</v>
      </c>
      <c r="E80" s="110">
        <v>-600</v>
      </c>
    </row>
    <row r="81" spans="1:5">
      <c r="A81" s="97"/>
      <c r="B81" s="3"/>
    </row>
    <row r="82" spans="1:5">
      <c r="A82" s="96">
        <v>45259</v>
      </c>
      <c r="B82" t="s">
        <v>502</v>
      </c>
      <c r="C82" s="110">
        <v>-1204.5</v>
      </c>
      <c r="D82" s="110" t="s">
        <v>589</v>
      </c>
      <c r="E82" s="110">
        <v>-401.5</v>
      </c>
    </row>
    <row r="83" spans="1:5">
      <c r="A83" s="96">
        <v>45259</v>
      </c>
      <c r="B83" t="s">
        <v>504</v>
      </c>
      <c r="C83" s="110">
        <v>-148.6</v>
      </c>
      <c r="D83" s="110" t="s">
        <v>589</v>
      </c>
      <c r="E83" s="110">
        <v>-49.53</v>
      </c>
    </row>
    <row r="84" spans="1:5">
      <c r="A84" s="96">
        <v>45259</v>
      </c>
      <c r="B84" t="s">
        <v>505</v>
      </c>
      <c r="C84" s="110">
        <v>-244.8</v>
      </c>
      <c r="D84" s="110" t="s">
        <v>589</v>
      </c>
      <c r="E84" s="110">
        <v>-81.599999999999994</v>
      </c>
    </row>
    <row r="85" spans="1:5">
      <c r="A85" s="96">
        <v>45259</v>
      </c>
      <c r="B85" t="s">
        <v>506</v>
      </c>
      <c r="C85" s="110">
        <v>-532.6</v>
      </c>
      <c r="D85" s="110" t="s">
        <v>589</v>
      </c>
      <c r="E85" s="110">
        <v>-177.53</v>
      </c>
    </row>
    <row r="86" spans="1:5">
      <c r="A86" s="96">
        <v>45285</v>
      </c>
      <c r="B86" s="94" t="s">
        <v>333</v>
      </c>
    </row>
    <row r="87" spans="1:5">
      <c r="A87" s="97"/>
      <c r="B87" s="3" t="s">
        <v>347</v>
      </c>
      <c r="C87" s="110">
        <v>109.92</v>
      </c>
    </row>
    <row r="88" spans="1:5">
      <c r="A88" s="97">
        <v>45283</v>
      </c>
      <c r="B88" s="3" t="s">
        <v>354</v>
      </c>
      <c r="E88" s="110">
        <v>-90</v>
      </c>
    </row>
    <row r="89" spans="1:5">
      <c r="A89" s="97">
        <v>45283</v>
      </c>
      <c r="B89" s="3" t="s">
        <v>464</v>
      </c>
      <c r="C89" s="110">
        <f>E89</f>
        <v>-105.12</v>
      </c>
      <c r="E89" s="110">
        <v>-105.12</v>
      </c>
    </row>
    <row r="90" spans="1:5">
      <c r="A90" s="97">
        <v>45282</v>
      </c>
      <c r="B90" s="3" t="s">
        <v>464</v>
      </c>
      <c r="C90" s="110">
        <f>E90</f>
        <v>-58.63</v>
      </c>
      <c r="E90" s="110">
        <v>-58.63</v>
      </c>
    </row>
    <row r="91" spans="1:5">
      <c r="A91" s="97">
        <v>45281</v>
      </c>
      <c r="B91" s="3" t="s">
        <v>354</v>
      </c>
      <c r="E91" s="110">
        <v>-110</v>
      </c>
    </row>
    <row r="92" spans="1:5">
      <c r="A92" s="97">
        <v>45281</v>
      </c>
      <c r="B92" s="3" t="s">
        <v>464</v>
      </c>
      <c r="C92" s="110">
        <f>E92</f>
        <v>-70</v>
      </c>
      <c r="E92" s="110">
        <v>-70</v>
      </c>
    </row>
    <row r="93" spans="1:5">
      <c r="A93" s="97">
        <v>45281</v>
      </c>
      <c r="B93" s="3" t="s">
        <v>464</v>
      </c>
      <c r="C93" s="110">
        <f>E93</f>
        <v>-76.66</v>
      </c>
      <c r="E93" s="110">
        <v>-76.66</v>
      </c>
    </row>
    <row r="94" spans="1:5">
      <c r="A94" s="97">
        <v>45279</v>
      </c>
      <c r="B94" s="3" t="s">
        <v>590</v>
      </c>
      <c r="E94" s="110">
        <v>-260</v>
      </c>
    </row>
    <row r="95" spans="1:5">
      <c r="A95" s="97">
        <v>45278</v>
      </c>
      <c r="B95" s="3" t="s">
        <v>464</v>
      </c>
      <c r="C95" s="110">
        <f>E95</f>
        <v>-370</v>
      </c>
      <c r="E95" s="110">
        <v>-370</v>
      </c>
    </row>
    <row r="96" spans="1:5">
      <c r="A96" s="97">
        <v>45276</v>
      </c>
      <c r="B96" s="3" t="s">
        <v>591</v>
      </c>
      <c r="E96" s="110">
        <v>-300</v>
      </c>
    </row>
    <row r="97" spans="1:5">
      <c r="A97" s="97">
        <v>45276</v>
      </c>
      <c r="B97" s="3" t="s">
        <v>464</v>
      </c>
      <c r="C97" s="110">
        <f>E97</f>
        <v>-250</v>
      </c>
      <c r="E97" s="110">
        <v>-250</v>
      </c>
    </row>
    <row r="98" spans="1:5">
      <c r="A98" s="97">
        <v>45275</v>
      </c>
      <c r="B98" s="3" t="s">
        <v>592</v>
      </c>
      <c r="E98" s="110">
        <v>-470</v>
      </c>
    </row>
    <row r="99" spans="1:5">
      <c r="A99" s="97">
        <v>45275</v>
      </c>
      <c r="B99" s="3" t="s">
        <v>593</v>
      </c>
      <c r="E99" s="110">
        <v>-285</v>
      </c>
    </row>
    <row r="100" spans="1:5">
      <c r="A100" s="97">
        <v>45274</v>
      </c>
      <c r="B100" s="3" t="s">
        <v>464</v>
      </c>
      <c r="C100" s="110">
        <f>E100</f>
        <v>-150</v>
      </c>
      <c r="E100" s="110">
        <v>-150</v>
      </c>
    </row>
    <row r="101" spans="1:5">
      <c r="A101" s="97">
        <v>45272</v>
      </c>
      <c r="B101" s="3" t="s">
        <v>594</v>
      </c>
      <c r="E101" s="110">
        <v>-1108.1500000000001</v>
      </c>
    </row>
    <row r="102" spans="1:5">
      <c r="A102" s="97">
        <v>45271</v>
      </c>
      <c r="B102" s="3" t="s">
        <v>464</v>
      </c>
      <c r="C102" s="110">
        <f>E102</f>
        <v>-150</v>
      </c>
      <c r="E102" s="110">
        <v>-150</v>
      </c>
    </row>
    <row r="103" spans="1:5">
      <c r="A103" s="97">
        <v>45270</v>
      </c>
      <c r="B103" s="3" t="s">
        <v>595</v>
      </c>
      <c r="E103" s="110">
        <v>-1551.29</v>
      </c>
    </row>
    <row r="104" spans="1:5">
      <c r="A104" s="97">
        <v>45270</v>
      </c>
      <c r="B104" s="3" t="s">
        <v>596</v>
      </c>
      <c r="E104" s="110">
        <v>-315.10000000000002</v>
      </c>
    </row>
    <row r="105" spans="1:5">
      <c r="A105" s="97">
        <v>45267</v>
      </c>
      <c r="B105" s="3" t="s">
        <v>354</v>
      </c>
      <c r="E105" s="110">
        <v>-300</v>
      </c>
    </row>
    <row r="106" spans="1:5">
      <c r="A106" s="97">
        <v>45266</v>
      </c>
      <c r="B106" s="3" t="s">
        <v>464</v>
      </c>
      <c r="C106" s="110">
        <f>E106</f>
        <v>-200</v>
      </c>
      <c r="E106" s="110">
        <v>-200</v>
      </c>
    </row>
    <row r="107" spans="1:5">
      <c r="A107" s="97">
        <v>45265</v>
      </c>
      <c r="B107" s="3" t="s">
        <v>464</v>
      </c>
      <c r="C107" s="110">
        <f>E107</f>
        <v>-200</v>
      </c>
      <c r="E107" s="110">
        <v>-200</v>
      </c>
    </row>
    <row r="108" spans="1:5">
      <c r="A108" s="97">
        <v>45264</v>
      </c>
      <c r="B108" s="3" t="s">
        <v>284</v>
      </c>
      <c r="D108" s="110">
        <v>11990.16</v>
      </c>
    </row>
    <row r="109" spans="1:5">
      <c r="A109" s="97">
        <v>45260</v>
      </c>
      <c r="B109" s="3" t="s">
        <v>464</v>
      </c>
      <c r="C109" s="110">
        <f>E109</f>
        <v>-200</v>
      </c>
      <c r="E109" s="110">
        <v>-200</v>
      </c>
    </row>
    <row r="110" spans="1:5">
      <c r="A110" s="96">
        <v>45257</v>
      </c>
      <c r="B110" s="3" t="s">
        <v>464</v>
      </c>
      <c r="C110" s="110">
        <f>E110</f>
        <v>-250</v>
      </c>
      <c r="E110" s="110">
        <v>-250</v>
      </c>
    </row>
    <row r="111" spans="1:5">
      <c r="A111" s="96">
        <v>45255</v>
      </c>
      <c r="B111" s="3" t="s">
        <v>464</v>
      </c>
      <c r="C111" s="110">
        <f>E111</f>
        <v>-160</v>
      </c>
      <c r="E111" s="110">
        <v>-160</v>
      </c>
    </row>
    <row r="112" spans="1:5">
      <c r="A112" s="96">
        <v>45254</v>
      </c>
      <c r="B112" s="3" t="s">
        <v>464</v>
      </c>
      <c r="C112" s="110">
        <f>E112</f>
        <v>-160</v>
      </c>
      <c r="E112" s="110">
        <v>-160</v>
      </c>
    </row>
    <row r="113" spans="1:5">
      <c r="D113" s="110" t="s">
        <v>285</v>
      </c>
    </row>
    <row r="114" spans="1:5">
      <c r="B114" s="70" t="s">
        <v>359</v>
      </c>
      <c r="C114" s="110">
        <f>SUM(C89:C113)</f>
        <v>-2400.41</v>
      </c>
    </row>
    <row r="118" spans="1:5">
      <c r="A118" s="76" t="s">
        <v>597</v>
      </c>
      <c r="B118" s="77" t="s">
        <v>171</v>
      </c>
      <c r="C118" s="78">
        <v>2023</v>
      </c>
      <c r="D118" s="79"/>
      <c r="E118" s="80">
        <f>SUM(E119:E135)</f>
        <v>813151.51</v>
      </c>
    </row>
    <row r="119" spans="1:5">
      <c r="A119" s="81">
        <v>45322</v>
      </c>
      <c r="B119" t="s">
        <v>84</v>
      </c>
      <c r="C119" s="2"/>
      <c r="D119" s="2"/>
      <c r="E119" s="13">
        <v>64000</v>
      </c>
    </row>
    <row r="120" spans="1:5">
      <c r="A120" s="81">
        <f>A119</f>
        <v>45322</v>
      </c>
      <c r="B120" t="s">
        <v>598</v>
      </c>
      <c r="C120" s="2"/>
      <c r="D120" s="2"/>
      <c r="E120" s="13">
        <v>210345.5</v>
      </c>
    </row>
    <row r="121" spans="1:5">
      <c r="A121" s="81">
        <f>A120</f>
        <v>45322</v>
      </c>
      <c r="B121" t="s">
        <v>173</v>
      </c>
      <c r="C121" s="2"/>
      <c r="D121" s="2"/>
      <c r="E121" s="13">
        <v>7564.7</v>
      </c>
    </row>
    <row r="122" spans="1:5">
      <c r="A122" s="81">
        <f>A121</f>
        <v>45322</v>
      </c>
      <c r="B122" t="s">
        <v>174</v>
      </c>
      <c r="C122" s="2"/>
      <c r="D122" s="2"/>
      <c r="E122" s="13">
        <v>122.31</v>
      </c>
    </row>
    <row r="123" spans="1:5">
      <c r="A123" s="81">
        <f>A122</f>
        <v>45322</v>
      </c>
      <c r="B123" t="s">
        <v>310</v>
      </c>
      <c r="C123" s="2"/>
      <c r="D123" s="2"/>
      <c r="E123" s="13">
        <v>10000</v>
      </c>
    </row>
    <row r="124" spans="1:5">
      <c r="A124" s="81">
        <f>A123</f>
        <v>45322</v>
      </c>
      <c r="B124" t="s">
        <v>175</v>
      </c>
      <c r="D124" s="2"/>
      <c r="E124" s="13">
        <v>0</v>
      </c>
    </row>
    <row r="125" spans="1:5">
      <c r="A125" s="81">
        <v>45327</v>
      </c>
      <c r="B125" t="s">
        <v>60</v>
      </c>
      <c r="C125" s="2" t="s">
        <v>599</v>
      </c>
      <c r="D125" s="2"/>
      <c r="E125" s="13">
        <v>132120.79</v>
      </c>
    </row>
    <row r="126" spans="1:5">
      <c r="A126" s="81">
        <f>A125</f>
        <v>45327</v>
      </c>
      <c r="B126" t="s">
        <v>600</v>
      </c>
      <c r="C126" s="2"/>
      <c r="D126" s="2"/>
      <c r="E126" s="13">
        <v>0</v>
      </c>
    </row>
    <row r="127" spans="1:5">
      <c r="A127" s="81">
        <v>45327</v>
      </c>
      <c r="B127" t="s">
        <v>601</v>
      </c>
      <c r="C127" s="81">
        <v>45327</v>
      </c>
      <c r="D127" s="82">
        <v>21.7</v>
      </c>
      <c r="E127" s="13">
        <v>513.5</v>
      </c>
    </row>
    <row r="128" spans="1:5">
      <c r="A128" s="81">
        <f>A127</f>
        <v>45327</v>
      </c>
      <c r="B128" t="s">
        <v>602</v>
      </c>
      <c r="C128" s="81">
        <v>45327</v>
      </c>
      <c r="D128" s="82">
        <v>539.29</v>
      </c>
      <c r="E128" s="13">
        <v>5448.3</v>
      </c>
    </row>
    <row r="129" spans="1:5">
      <c r="A129" s="81">
        <v>45327</v>
      </c>
      <c r="B129" t="s">
        <v>183</v>
      </c>
      <c r="C129" s="2"/>
      <c r="D129" s="2"/>
      <c r="E129" s="13">
        <v>500</v>
      </c>
    </row>
    <row r="130" spans="1:5">
      <c r="A130" s="81">
        <v>45327</v>
      </c>
      <c r="B130" t="s">
        <v>603</v>
      </c>
      <c r="C130" s="2">
        <v>1959.94</v>
      </c>
      <c r="D130" s="2">
        <v>161</v>
      </c>
      <c r="E130" s="13">
        <f>D130*C130</f>
        <v>315550.34000000003</v>
      </c>
    </row>
    <row r="131" spans="1:5">
      <c r="A131" s="81">
        <f>A130</f>
        <v>45327</v>
      </c>
      <c r="B131" t="s">
        <v>604</v>
      </c>
      <c r="C131" s="83">
        <v>30.452000000000002</v>
      </c>
      <c r="D131" s="2">
        <v>850</v>
      </c>
      <c r="E131" s="13">
        <f>D131*C131</f>
        <v>25884.2</v>
      </c>
    </row>
    <row r="132" spans="1:5">
      <c r="A132" s="81">
        <f>A131</f>
        <v>45327</v>
      </c>
      <c r="B132" t="s">
        <v>318</v>
      </c>
      <c r="C132" s="83">
        <v>30.452000000000002</v>
      </c>
      <c r="D132" s="2">
        <v>250</v>
      </c>
      <c r="E132" s="13">
        <f>D132*C132</f>
        <v>7613</v>
      </c>
    </row>
    <row r="133" spans="1:5">
      <c r="A133" s="81">
        <f>A131</f>
        <v>45327</v>
      </c>
      <c r="B133" t="s">
        <v>605</v>
      </c>
      <c r="C133" s="83">
        <v>32.3887</v>
      </c>
      <c r="D133" s="2">
        <v>100</v>
      </c>
      <c r="E133" s="13">
        <f>D133*C133</f>
        <v>3238.87</v>
      </c>
    </row>
    <row r="134" spans="1:5">
      <c r="A134" s="81">
        <f>A133</f>
        <v>45327</v>
      </c>
      <c r="B134" t="s">
        <v>187</v>
      </c>
      <c r="C134" s="2"/>
      <c r="D134" s="2"/>
      <c r="E134" s="13">
        <v>30000</v>
      </c>
    </row>
    <row r="135" spans="1:5">
      <c r="A135" s="81">
        <f>A134</f>
        <v>45327</v>
      </c>
      <c r="B135" t="s">
        <v>94</v>
      </c>
      <c r="C135" s="2"/>
      <c r="D135" s="2"/>
      <c r="E135" s="13">
        <v>250</v>
      </c>
    </row>
    <row r="136" spans="1:5">
      <c r="C136" s="114" t="str">
        <f>A118</f>
        <v>OCAK</v>
      </c>
      <c r="D136" s="115" t="s">
        <v>188</v>
      </c>
      <c r="E136" s="116">
        <f>H2</f>
        <v>128534.37000000002</v>
      </c>
    </row>
    <row r="137" spans="1:5">
      <c r="D137" s="3"/>
    </row>
    <row r="138" spans="1:5">
      <c r="D138" s="70" t="s">
        <v>189</v>
      </c>
      <c r="E138" s="8">
        <f>SUM(E119:E135)</f>
        <v>813151.51</v>
      </c>
    </row>
    <row r="140" spans="1:5">
      <c r="B140" t="s">
        <v>606</v>
      </c>
    </row>
    <row r="141" spans="1:5">
      <c r="A141" s="20">
        <v>45317</v>
      </c>
      <c r="B141" t="s">
        <v>607</v>
      </c>
      <c r="C141" s="110">
        <v>12500</v>
      </c>
      <c r="D141" s="110" t="s">
        <v>608</v>
      </c>
      <c r="E141" s="110">
        <v>10000</v>
      </c>
    </row>
    <row r="142" spans="1:5">
      <c r="B142" t="s">
        <v>607</v>
      </c>
      <c r="C142" s="110">
        <v>13400</v>
      </c>
      <c r="D142" s="110" t="s">
        <v>183</v>
      </c>
      <c r="E142" s="110">
        <v>25000</v>
      </c>
    </row>
    <row r="143" spans="1:5">
      <c r="B143" t="s">
        <v>607</v>
      </c>
      <c r="C143" s="110">
        <v>13700</v>
      </c>
      <c r="D143" s="110" t="s">
        <v>609</v>
      </c>
      <c r="E143" s="110">
        <v>10400</v>
      </c>
    </row>
    <row r="144" spans="1:5">
      <c r="B144" t="s">
        <v>607</v>
      </c>
      <c r="C144" s="110">
        <v>5800</v>
      </c>
      <c r="D144" s="110">
        <f>SUM(C141:C144)</f>
        <v>45400</v>
      </c>
      <c r="E144" s="110">
        <f>SUM(E141:E143)</f>
        <v>45400</v>
      </c>
    </row>
    <row r="146" spans="2:4">
      <c r="B146" t="s">
        <v>610</v>
      </c>
      <c r="C146" s="110">
        <v>14400</v>
      </c>
    </row>
    <row r="147" spans="2:4">
      <c r="B147" t="s">
        <v>611</v>
      </c>
      <c r="C147" s="110">
        <v>2800</v>
      </c>
      <c r="D147" s="110">
        <f>SUM(C146:C147)</f>
        <v>17200</v>
      </c>
    </row>
    <row r="148" spans="2:4">
      <c r="B148" t="s">
        <v>612</v>
      </c>
      <c r="C148" s="110">
        <v>200</v>
      </c>
    </row>
    <row r="149" spans="2:4">
      <c r="C149" s="110">
        <f>SUM(C141:C148)</f>
        <v>62800</v>
      </c>
      <c r="D149" s="110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468A1A"/>
  </sheetPr>
  <dimension ref="A1:N35"/>
  <sheetViews>
    <sheetView zoomScale="170" zoomScaleNormal="17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86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143">
        <v>0.23538400000000001</v>
      </c>
      <c r="L1" s="144">
        <f>1-K1</f>
        <v>0.76461599999999996</v>
      </c>
      <c r="M1" s="145"/>
      <c r="N1" s="86" t="s">
        <v>119</v>
      </c>
    </row>
    <row r="2" spans="1:14" ht="15.75">
      <c r="A2" s="21">
        <v>-2022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146" t="s">
        <v>613</v>
      </c>
      <c r="L2" s="147" t="s">
        <v>614</v>
      </c>
      <c r="M2" s="33" t="s">
        <v>124</v>
      </c>
      <c r="N2" s="86">
        <f>F26/1000</f>
        <v>356.02226999999999</v>
      </c>
    </row>
    <row r="3" spans="1:14">
      <c r="A3" t="s">
        <v>125</v>
      </c>
      <c r="B3" s="148">
        <f>'01_23'!D2</f>
        <v>13261</v>
      </c>
      <c r="C3" s="149">
        <f>'01_23'!E2</f>
        <v>-22808.309999999998</v>
      </c>
      <c r="D3" s="150">
        <f>B3+C3</f>
        <v>-9547.3099999999977</v>
      </c>
      <c r="E3" s="148">
        <f>'01_23'!F2</f>
        <v>8049.2</v>
      </c>
      <c r="F3" s="149">
        <f>'01_23'!G2</f>
        <v>-23047.62</v>
      </c>
      <c r="G3" s="151">
        <f>E3+F3</f>
        <v>-14998.419999999998</v>
      </c>
      <c r="H3" s="36"/>
      <c r="I3" s="37" t="s">
        <v>126</v>
      </c>
      <c r="J3">
        <v>78</v>
      </c>
      <c r="K3" s="152"/>
      <c r="L3" s="39"/>
      <c r="M3" s="40">
        <f>J3</f>
        <v>78</v>
      </c>
      <c r="N3" s="86">
        <f>'01_23'!E111/1000</f>
        <v>356.02226999999999</v>
      </c>
    </row>
    <row r="4" spans="1:14">
      <c r="A4" t="s">
        <v>127</v>
      </c>
      <c r="B4" s="148">
        <f>'02_23'!D2</f>
        <v>15761</v>
      </c>
      <c r="C4" s="149">
        <f>'02_23'!E2</f>
        <v>-56286.92</v>
      </c>
      <c r="D4" s="150">
        <f t="shared" ref="D4:D14" si="0">B4+C4+D3</f>
        <v>-50073.229999999996</v>
      </c>
      <c r="E4" s="148">
        <f>'02_23'!F2</f>
        <v>26990.010000000002</v>
      </c>
      <c r="F4" s="149">
        <f>'02_23'!G2</f>
        <v>-77441.489999999991</v>
      </c>
      <c r="G4" s="151">
        <f t="shared" ref="G4:G14" si="1">E4+F4+G3</f>
        <v>-65449.899999999987</v>
      </c>
      <c r="H4" s="36"/>
      <c r="I4" s="37" t="s">
        <v>128</v>
      </c>
      <c r="J4">
        <v>83.16</v>
      </c>
      <c r="K4" s="152">
        <f>J4*$K$1</f>
        <v>19.57453344</v>
      </c>
      <c r="L4" s="42">
        <f>J4-K4</f>
        <v>63.58546656</v>
      </c>
      <c r="M4" s="40"/>
      <c r="N4" s="86">
        <f>'02_23'!E111/1000</f>
        <v>335.74799999999999</v>
      </c>
    </row>
    <row r="5" spans="1:14">
      <c r="A5" t="s">
        <v>129</v>
      </c>
      <c r="B5" s="148">
        <f>'03_23'!D2</f>
        <v>88189</v>
      </c>
      <c r="C5" s="149">
        <f>'03_23'!E2</f>
        <v>-24634.690000000002</v>
      </c>
      <c r="D5" s="150">
        <f t="shared" si="0"/>
        <v>13481.080000000002</v>
      </c>
      <c r="E5" s="148">
        <f>'03_23'!F2</f>
        <v>23139.34</v>
      </c>
      <c r="F5" s="149">
        <f>'03_23'!G2</f>
        <v>-33283.54</v>
      </c>
      <c r="G5" s="151">
        <f t="shared" si="1"/>
        <v>-75594.099999999991</v>
      </c>
      <c r="H5" s="36"/>
      <c r="I5" s="37" t="s">
        <v>130</v>
      </c>
      <c r="J5">
        <v>33</v>
      </c>
      <c r="K5" s="152"/>
      <c r="L5" s="39"/>
      <c r="M5" s="40">
        <v>33</v>
      </c>
      <c r="N5" s="86">
        <f>'03_23'!E111/1000</f>
        <v>310.9323</v>
      </c>
    </row>
    <row r="6" spans="1:14">
      <c r="A6" t="s">
        <v>131</v>
      </c>
      <c r="B6" s="148">
        <f>'04_23'!D2</f>
        <v>20911</v>
      </c>
      <c r="C6" s="149">
        <f>'04_23'!E2</f>
        <v>-54277.093000000001</v>
      </c>
      <c r="D6" s="150">
        <f t="shared" si="0"/>
        <v>-19885.012999999999</v>
      </c>
      <c r="E6" s="148">
        <f>'04_23'!F2</f>
        <v>72630</v>
      </c>
      <c r="F6" s="149">
        <f>'04_23'!G2</f>
        <v>-58332.79</v>
      </c>
      <c r="G6" s="151">
        <f t="shared" si="1"/>
        <v>-61296.889999999992</v>
      </c>
      <c r="H6" s="36"/>
      <c r="I6" s="43" t="s">
        <v>132</v>
      </c>
      <c r="K6" s="153"/>
      <c r="L6" s="39"/>
      <c r="M6" s="44">
        <f>E18/1000</f>
        <v>39.208550000000002</v>
      </c>
      <c r="N6" s="86">
        <f>'04_23'!E111/1000</f>
        <v>367.48341000000005</v>
      </c>
    </row>
    <row r="7" spans="1:14">
      <c r="A7" t="s">
        <v>133</v>
      </c>
      <c r="B7" s="148">
        <f>'05_23'!D2</f>
        <v>17911</v>
      </c>
      <c r="C7" s="149">
        <f>'05_23'!E2</f>
        <v>-20977.52</v>
      </c>
      <c r="D7" s="150">
        <f t="shared" si="0"/>
        <v>-22951.532999999999</v>
      </c>
      <c r="E7" s="148">
        <f>'05_23'!F2</f>
        <v>19800</v>
      </c>
      <c r="F7" s="149">
        <f>'05_23'!G2</f>
        <v>-25248.52</v>
      </c>
      <c r="G7" s="151">
        <f t="shared" si="1"/>
        <v>-66745.409999999989</v>
      </c>
      <c r="H7" s="36"/>
      <c r="I7" s="43" t="s">
        <v>134</v>
      </c>
      <c r="K7" s="152"/>
      <c r="L7" s="42"/>
      <c r="M7" s="44">
        <f>(E19+E20)/1000</f>
        <v>51.93253</v>
      </c>
      <c r="N7" s="86">
        <f>'05_23'!E111/1000</f>
        <v>358.02833999999996</v>
      </c>
    </row>
    <row r="8" spans="1:14">
      <c r="A8" t="s">
        <v>135</v>
      </c>
      <c r="B8" s="148">
        <f>'06_23'!D2</f>
        <v>28744</v>
      </c>
      <c r="C8" s="149">
        <f>'06_23'!E2</f>
        <v>-26572.629999999997</v>
      </c>
      <c r="D8" s="150">
        <f t="shared" si="0"/>
        <v>-20780.162999999997</v>
      </c>
      <c r="E8" s="148">
        <f>'06_23'!F2</f>
        <v>33133</v>
      </c>
      <c r="F8" s="149">
        <f>'06_23'!G2</f>
        <v>-28830.22</v>
      </c>
      <c r="G8" s="151">
        <f t="shared" si="1"/>
        <v>-62442.62999999999</v>
      </c>
      <c r="H8" s="36"/>
      <c r="I8" s="37" t="s">
        <v>136</v>
      </c>
      <c r="J8">
        <v>150</v>
      </c>
      <c r="K8" s="152"/>
      <c r="L8" s="42"/>
      <c r="M8" s="40">
        <f>J8/4</f>
        <v>37.5</v>
      </c>
      <c r="N8" s="86">
        <f>'06_23'!E111/1000</f>
        <v>377.42543000000001</v>
      </c>
    </row>
    <row r="9" spans="1:14">
      <c r="A9" t="s">
        <v>137</v>
      </c>
      <c r="B9" s="148">
        <f>'07_23'!D2</f>
        <v>67911</v>
      </c>
      <c r="C9" s="149">
        <f>'07_23'!E2</f>
        <v>-35277.64</v>
      </c>
      <c r="D9" s="150">
        <f t="shared" si="0"/>
        <v>11853.197000000004</v>
      </c>
      <c r="E9" s="148">
        <f>'07_23'!F2</f>
        <v>70250</v>
      </c>
      <c r="F9" s="149">
        <f>'07_23'!G2</f>
        <v>-42110.31</v>
      </c>
      <c r="G9" s="151">
        <f t="shared" si="1"/>
        <v>-34302.939999999988</v>
      </c>
      <c r="H9" s="36"/>
      <c r="I9" s="37" t="s">
        <v>138</v>
      </c>
      <c r="J9">
        <v>96</v>
      </c>
      <c r="K9" s="152">
        <f>J9*$K$1</f>
        <v>22.596864</v>
      </c>
      <c r="L9" s="42">
        <f>J9-K9</f>
        <v>73.403136000000003</v>
      </c>
      <c r="M9" s="45"/>
      <c r="N9" s="86">
        <f>'07_23'!E111/1000</f>
        <v>433.28658999999999</v>
      </c>
    </row>
    <row r="10" spans="1:14">
      <c r="A10" t="s">
        <v>139</v>
      </c>
      <c r="B10" s="148">
        <f>'08_23'!D2</f>
        <v>87911</v>
      </c>
      <c r="C10" s="149">
        <f>'08_23'!E2</f>
        <v>-32079.01</v>
      </c>
      <c r="D10" s="150">
        <f t="shared" si="0"/>
        <v>67685.187000000005</v>
      </c>
      <c r="E10" s="148">
        <f>'08_23'!F2</f>
        <v>16800</v>
      </c>
      <c r="F10" s="149">
        <f>'08_23'!G2</f>
        <v>-37135.350000000006</v>
      </c>
      <c r="G10" s="151">
        <f t="shared" si="1"/>
        <v>-54638.289999999994</v>
      </c>
      <c r="H10" s="36"/>
      <c r="I10" s="37" t="s">
        <v>140</v>
      </c>
      <c r="J10">
        <v>100</v>
      </c>
      <c r="K10" s="152"/>
      <c r="L10" s="42"/>
      <c r="M10" s="40">
        <v>10</v>
      </c>
      <c r="N10" s="86">
        <f>'08_23'!E111/1000</f>
        <v>399.80056999999999</v>
      </c>
    </row>
    <row r="11" spans="1:14">
      <c r="A11" t="s">
        <v>141</v>
      </c>
      <c r="B11" s="148">
        <f>'09_23'!D2</f>
        <v>133300</v>
      </c>
      <c r="C11" s="149">
        <f>'09_23'!E2</f>
        <v>-31871.02</v>
      </c>
      <c r="D11" s="150">
        <f t="shared" si="0"/>
        <v>169114.16700000002</v>
      </c>
      <c r="E11" s="148">
        <f>'09_23'!F2</f>
        <v>257800</v>
      </c>
      <c r="F11" s="149">
        <f>'09_23'!G2</f>
        <v>-34914.910000000003</v>
      </c>
      <c r="G11" s="151">
        <f t="shared" si="1"/>
        <v>168246.8</v>
      </c>
      <c r="H11" s="36"/>
      <c r="I11" s="37" t="s">
        <v>142</v>
      </c>
      <c r="J11">
        <v>96</v>
      </c>
      <c r="K11" s="152">
        <f>J11*$K$1</f>
        <v>22.596864</v>
      </c>
      <c r="L11" s="42">
        <f>J11-K11</f>
        <v>73.403136000000003</v>
      </c>
      <c r="M11" s="40"/>
      <c r="N11" s="86">
        <f>'09_23'!E111/1000</f>
        <v>604.37009999999998</v>
      </c>
    </row>
    <row r="12" spans="1:14">
      <c r="A12" t="s">
        <v>143</v>
      </c>
      <c r="B12" s="148">
        <f>'10_23'!D2</f>
        <v>32800</v>
      </c>
      <c r="C12" s="149">
        <f>'10_23'!E2</f>
        <v>-44478.170000000006</v>
      </c>
      <c r="D12" s="150">
        <f t="shared" si="0"/>
        <v>157435.997</v>
      </c>
      <c r="E12" s="148">
        <f>'10_23'!F2</f>
        <v>23200</v>
      </c>
      <c r="F12" s="149">
        <f>'10_23'!G2</f>
        <v>-43968.17</v>
      </c>
      <c r="G12" s="151">
        <f t="shared" si="1"/>
        <v>147478.63</v>
      </c>
      <c r="H12" s="36"/>
      <c r="I12" s="37" t="s">
        <v>144</v>
      </c>
      <c r="J12">
        <v>84</v>
      </c>
      <c r="K12" s="152">
        <f>J12*$K$1</f>
        <v>19.772256000000002</v>
      </c>
      <c r="L12" s="42">
        <f>J12-K12</f>
        <v>64.227744000000001</v>
      </c>
      <c r="M12" s="40"/>
      <c r="N12" s="86">
        <f>'10_23'!E111/1000</f>
        <v>610.64972999999998</v>
      </c>
    </row>
    <row r="13" spans="1:14">
      <c r="A13" t="s">
        <v>145</v>
      </c>
      <c r="B13" s="148">
        <f>'11_23'!D2</f>
        <v>262800</v>
      </c>
      <c r="C13" s="149">
        <f>'11_23'!E2</f>
        <v>-98843.11</v>
      </c>
      <c r="D13" s="150">
        <f t="shared" si="0"/>
        <v>321392.88699999999</v>
      </c>
      <c r="E13" s="148">
        <f>'11_23'!F2</f>
        <v>177687.06</v>
      </c>
      <c r="F13" s="149">
        <f>'11_23'!G2</f>
        <v>-242504.11</v>
      </c>
      <c r="G13" s="151">
        <f t="shared" si="1"/>
        <v>82661.580000000016</v>
      </c>
      <c r="H13" s="36"/>
      <c r="I13" s="37" t="s">
        <v>146</v>
      </c>
      <c r="J13">
        <v>135</v>
      </c>
      <c r="K13" s="152">
        <f>J13*$K$1</f>
        <v>31.77684</v>
      </c>
      <c r="L13" s="42">
        <f>J13-K13</f>
        <v>103.22316000000001</v>
      </c>
      <c r="M13" s="45"/>
      <c r="N13" s="86">
        <f>'11_23'!E111/1000</f>
        <v>709.39308499999993</v>
      </c>
    </row>
    <row r="14" spans="1:14">
      <c r="A14" t="s">
        <v>147</v>
      </c>
      <c r="B14" s="148">
        <f>'12_23'!D2</f>
        <v>22800</v>
      </c>
      <c r="C14" s="149">
        <f>'12_23'!E2</f>
        <v>-38101.83</v>
      </c>
      <c r="D14" s="150">
        <f t="shared" si="0"/>
        <v>306091.05699999997</v>
      </c>
      <c r="E14" s="148">
        <f>'12_23'!F2</f>
        <v>16232.529999999999</v>
      </c>
      <c r="F14" s="149">
        <f>'12_23'!G2</f>
        <v>-41854.230000000003</v>
      </c>
      <c r="G14" s="151">
        <f t="shared" si="1"/>
        <v>57039.880000000012</v>
      </c>
      <c r="H14" s="36"/>
      <c r="I14" s="37" t="s">
        <v>148</v>
      </c>
      <c r="K14" s="152">
        <f>J14*$K$1</f>
        <v>0</v>
      </c>
      <c r="L14" s="42">
        <f>J14-K14</f>
        <v>0</v>
      </c>
      <c r="M14" s="45"/>
      <c r="N14" s="86">
        <f>'12_23'!E113/1000</f>
        <v>218.08799999999999</v>
      </c>
    </row>
    <row r="15" spans="1:14">
      <c r="A15" s="48" t="s">
        <v>149</v>
      </c>
      <c r="B15" s="154">
        <f>SUM(B3:B14)</f>
        <v>792299</v>
      </c>
      <c r="C15" s="155">
        <f>SUM(C3:C14)</f>
        <v>-486207.94300000003</v>
      </c>
      <c r="D15" s="156">
        <f>B15+C15</f>
        <v>306091.05699999997</v>
      </c>
      <c r="E15" s="154">
        <f>SUM(E3:E14)</f>
        <v>745711.14000000013</v>
      </c>
      <c r="F15" s="155">
        <f>SUM(F3:F14)</f>
        <v>-688671.26</v>
      </c>
      <c r="G15" s="156">
        <f>E15+F15</f>
        <v>57039.880000000121</v>
      </c>
      <c r="H15" s="36"/>
      <c r="I15" s="157"/>
      <c r="J15" s="157">
        <f>SUM(J3:J14)</f>
        <v>855.16</v>
      </c>
      <c r="K15" s="158">
        <f>SUM(K4:K14)</f>
        <v>116.31735743999999</v>
      </c>
      <c r="L15" s="53">
        <f>SUM(L4:L14)</f>
        <v>377.84264256000006</v>
      </c>
      <c r="M15" s="54">
        <f>SUM(M3:M10)</f>
        <v>249.64107999999999</v>
      </c>
    </row>
    <row r="16" spans="1:14">
      <c r="A16" s="55">
        <v>12</v>
      </c>
      <c r="B16" s="56">
        <f>B15/A16</f>
        <v>66024.916666666672</v>
      </c>
      <c r="C16" s="57">
        <f>C15/A16</f>
        <v>-40517.328583333336</v>
      </c>
      <c r="D16" s="57"/>
      <c r="E16" s="57">
        <f>E15/A16</f>
        <v>62142.595000000008</v>
      </c>
      <c r="F16" s="57">
        <f>F15/A16</f>
        <v>-57389.271666666667</v>
      </c>
      <c r="G16" s="57">
        <f>G15/A16</f>
        <v>4753.3233333333437</v>
      </c>
      <c r="H16" s="58"/>
      <c r="I16" s="159"/>
      <c r="J16" s="57">
        <f>J15/12</f>
        <v>71.263333333333335</v>
      </c>
      <c r="K16" s="160">
        <f>K15/12</f>
        <v>9.6931131199999996</v>
      </c>
      <c r="L16" s="161">
        <f>L15/12</f>
        <v>31.486886880000004</v>
      </c>
      <c r="M16" s="162">
        <f>M15/12</f>
        <v>20.803423333333331</v>
      </c>
      <c r="N16" s="163">
        <f>AVERAGE(N2:N15)</f>
        <v>418.25000730769227</v>
      </c>
    </row>
    <row r="17" spans="2:13">
      <c r="C17" s="2"/>
      <c r="D17" s="2"/>
      <c r="G17" s="65"/>
      <c r="H17" s="65"/>
      <c r="I17" s="37"/>
      <c r="L17" s="164" t="s">
        <v>615</v>
      </c>
      <c r="M17" s="165">
        <f>L15+M15</f>
        <v>627.48372256000005</v>
      </c>
    </row>
    <row r="18" spans="2:13" ht="15">
      <c r="D18" s="66" t="s">
        <v>150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7"/>
      <c r="L18" s="166" t="s">
        <v>616</v>
      </c>
      <c r="M18" s="68">
        <f>M17/12</f>
        <v>52.290310213333335</v>
      </c>
    </row>
    <row r="19" spans="2:13" ht="15">
      <c r="C19" s="10"/>
      <c r="D19" s="69" t="s">
        <v>152</v>
      </c>
      <c r="E19" s="9">
        <f>'07_23'!F26+'08_23'!F22+'09_23'!F21+'10_23'!F23+'11_23'!F21+'12_23'!F28</f>
        <v>44932.53</v>
      </c>
      <c r="F19">
        <f>F18*G18/100</f>
        <v>1397.25</v>
      </c>
      <c r="G19" s="73" t="s">
        <v>617</v>
      </c>
    </row>
    <row r="20" spans="2:13" ht="15">
      <c r="C20" s="10"/>
      <c r="D20" s="69" t="s">
        <v>618</v>
      </c>
      <c r="E20" s="9">
        <v>7000</v>
      </c>
      <c r="G20" s="73"/>
    </row>
    <row r="21" spans="2:13" ht="14.25">
      <c r="D21" s="70" t="s">
        <v>153</v>
      </c>
      <c r="E21" s="13">
        <f>SUM(E18:E20)</f>
        <v>91141.08</v>
      </c>
      <c r="F21" s="75">
        <f>SUM(F18:F19)</f>
        <v>6986.25</v>
      </c>
      <c r="G21" s="75" t="s">
        <v>619</v>
      </c>
    </row>
    <row r="26" spans="2:13">
      <c r="B26" s="78"/>
      <c r="C26" s="77" t="s">
        <v>620</v>
      </c>
      <c r="D26" s="78"/>
      <c r="E26" s="79"/>
      <c r="F26" s="80">
        <f>SUM(F27:F65)</f>
        <v>356022.27</v>
      </c>
    </row>
    <row r="27" spans="2:13">
      <c r="B27" s="97">
        <v>45291</v>
      </c>
      <c r="C27" t="s">
        <v>84</v>
      </c>
      <c r="F27">
        <v>32000</v>
      </c>
    </row>
    <row r="28" spans="2:13">
      <c r="B28" s="97">
        <v>45291</v>
      </c>
      <c r="C28" t="s">
        <v>172</v>
      </c>
      <c r="F28">
        <v>40000</v>
      </c>
    </row>
    <row r="29" spans="2:13">
      <c r="B29" s="97">
        <v>45291</v>
      </c>
      <c r="C29" t="s">
        <v>173</v>
      </c>
      <c r="F29">
        <v>40162.18</v>
      </c>
    </row>
    <row r="30" spans="2:13">
      <c r="B30" s="97">
        <v>45291</v>
      </c>
      <c r="C30" t="s">
        <v>174</v>
      </c>
      <c r="F30">
        <v>44912.09</v>
      </c>
    </row>
    <row r="31" spans="2:13">
      <c r="B31" s="97">
        <v>45291</v>
      </c>
      <c r="C31" t="s">
        <v>237</v>
      </c>
      <c r="D31">
        <v>1093</v>
      </c>
      <c r="E31">
        <v>111</v>
      </c>
      <c r="F31">
        <f>E31*D31</f>
        <v>121323</v>
      </c>
    </row>
    <row r="32" spans="2:13">
      <c r="B32" s="97">
        <v>45291</v>
      </c>
      <c r="C32" t="s">
        <v>238</v>
      </c>
      <c r="D32">
        <v>18.5</v>
      </c>
      <c r="E32">
        <v>850</v>
      </c>
      <c r="F32">
        <f>E32*D32</f>
        <v>15725</v>
      </c>
    </row>
    <row r="33" spans="2:6">
      <c r="B33" s="97">
        <v>45291</v>
      </c>
      <c r="C33" t="s">
        <v>239</v>
      </c>
      <c r="D33">
        <v>19</v>
      </c>
      <c r="E33">
        <v>100</v>
      </c>
      <c r="F33">
        <f>E33*D33</f>
        <v>1900</v>
      </c>
    </row>
    <row r="34" spans="2:6">
      <c r="B34" s="97">
        <v>45291</v>
      </c>
      <c r="C34" t="s">
        <v>240</v>
      </c>
      <c r="F34">
        <v>60000</v>
      </c>
    </row>
    <row r="35" spans="2:6">
      <c r="F35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7" t="s">
        <v>0</v>
      </c>
      <c r="F1" s="4" t="s">
        <v>621</v>
      </c>
      <c r="G1" s="4" t="s">
        <v>3</v>
      </c>
    </row>
    <row r="2" spans="2:7">
      <c r="F2" s="7" t="s">
        <v>284</v>
      </c>
    </row>
    <row r="3" spans="2:7">
      <c r="B3" s="1">
        <v>44873</v>
      </c>
      <c r="C3" t="s">
        <v>622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3">
        <v>2250</v>
      </c>
      <c r="G4" s="2">
        <f t="shared" si="0"/>
        <v>-1000</v>
      </c>
    </row>
    <row r="5" spans="2:7">
      <c r="B5" s="1">
        <v>44873</v>
      </c>
      <c r="C5" t="s">
        <v>623</v>
      </c>
      <c r="F5" s="13"/>
      <c r="G5" s="2">
        <f t="shared" si="0"/>
        <v>-1000</v>
      </c>
    </row>
    <row r="6" spans="2:7">
      <c r="B6" s="1">
        <v>44873</v>
      </c>
      <c r="C6" t="s">
        <v>624</v>
      </c>
      <c r="E6" s="2">
        <v>1111.1099999999999</v>
      </c>
      <c r="F6" s="13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3">
        <v>150</v>
      </c>
      <c r="G7" s="2">
        <f t="shared" si="0"/>
        <v>-38.8900000000001</v>
      </c>
    </row>
    <row r="8" spans="2:7">
      <c r="B8" s="1">
        <v>44903</v>
      </c>
      <c r="C8" t="s">
        <v>625</v>
      </c>
      <c r="E8" s="2">
        <v>1111.1099999999999</v>
      </c>
      <c r="F8" s="13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3">
        <v>2500</v>
      </c>
      <c r="G9" s="2">
        <f t="shared" si="0"/>
        <v>-1427.7800000000002</v>
      </c>
    </row>
    <row r="10" spans="2:7">
      <c r="B10" s="1">
        <v>44934</v>
      </c>
      <c r="C10" t="s">
        <v>626</v>
      </c>
      <c r="E10" s="2">
        <v>1111.1099999999999</v>
      </c>
      <c r="F10" s="13"/>
      <c r="G10" s="2">
        <f t="shared" si="0"/>
        <v>-316.6700000000003</v>
      </c>
    </row>
    <row r="11" spans="2:7">
      <c r="B11" s="1">
        <v>44941</v>
      </c>
      <c r="C11" s="3" t="s">
        <v>627</v>
      </c>
      <c r="D11" s="3"/>
      <c r="F11" s="13">
        <v>1500</v>
      </c>
      <c r="G11" s="2">
        <f t="shared" si="0"/>
        <v>-1816.6700000000003</v>
      </c>
    </row>
    <row r="12" spans="2:7">
      <c r="B12" s="1">
        <v>44957</v>
      </c>
      <c r="C12" t="s">
        <v>628</v>
      </c>
      <c r="E12" s="2">
        <v>225.4</v>
      </c>
      <c r="F12" s="13"/>
      <c r="G12" s="2">
        <f t="shared" si="0"/>
        <v>-1591.2700000000002</v>
      </c>
    </row>
    <row r="13" spans="2:7">
      <c r="B13" s="1">
        <v>44957</v>
      </c>
      <c r="C13" t="s">
        <v>628</v>
      </c>
      <c r="E13" s="2">
        <v>225.4</v>
      </c>
      <c r="F13" s="13"/>
      <c r="G13" s="2">
        <f t="shared" si="0"/>
        <v>-1365.8700000000001</v>
      </c>
    </row>
    <row r="14" spans="2:7">
      <c r="B14" s="1">
        <v>44957</v>
      </c>
      <c r="C14" t="s">
        <v>629</v>
      </c>
      <c r="E14" s="2">
        <v>437.97</v>
      </c>
      <c r="F14" s="13"/>
      <c r="G14" s="2">
        <f t="shared" si="0"/>
        <v>-927.90000000000009</v>
      </c>
    </row>
    <row r="15" spans="2:7">
      <c r="B15" s="1">
        <v>44957</v>
      </c>
      <c r="C15" t="s">
        <v>630</v>
      </c>
      <c r="E15" s="2">
        <v>404.23</v>
      </c>
      <c r="F15" s="13"/>
      <c r="G15" s="2">
        <f t="shared" si="0"/>
        <v>-523.67000000000007</v>
      </c>
    </row>
    <row r="16" spans="2:7">
      <c r="B16" s="1">
        <v>44957</v>
      </c>
      <c r="C16" t="s">
        <v>631</v>
      </c>
      <c r="E16" s="2">
        <v>1135</v>
      </c>
      <c r="F16" s="13"/>
      <c r="G16" s="2">
        <f t="shared" si="0"/>
        <v>611.32999999999993</v>
      </c>
    </row>
    <row r="17" spans="2:7">
      <c r="B17" s="1">
        <v>44965</v>
      </c>
      <c r="C17" t="s">
        <v>632</v>
      </c>
      <c r="E17" s="2">
        <v>1111.1099999999999</v>
      </c>
      <c r="F17" s="13"/>
      <c r="G17" s="2">
        <f t="shared" si="0"/>
        <v>1722.4399999999998</v>
      </c>
    </row>
    <row r="18" spans="2:7">
      <c r="B18" s="1">
        <v>44981</v>
      </c>
      <c r="C18" s="3" t="s">
        <v>483</v>
      </c>
      <c r="D18" s="3"/>
      <c r="F18" s="13">
        <v>2000</v>
      </c>
      <c r="G18" s="2">
        <f t="shared" si="0"/>
        <v>-277.56000000000017</v>
      </c>
    </row>
    <row r="19" spans="2:7">
      <c r="B19" s="1">
        <v>44993</v>
      </c>
      <c r="C19" t="s">
        <v>633</v>
      </c>
      <c r="E19" s="2">
        <v>1111.1099999999999</v>
      </c>
      <c r="F19" s="13"/>
      <c r="G19" s="2">
        <f t="shared" si="0"/>
        <v>833.54999999999973</v>
      </c>
    </row>
    <row r="20" spans="2:7">
      <c r="B20" s="1">
        <v>45024</v>
      </c>
      <c r="C20" t="s">
        <v>634</v>
      </c>
      <c r="E20" s="2">
        <v>1111.1099999999999</v>
      </c>
      <c r="F20" s="13"/>
      <c r="G20" s="2">
        <f t="shared" si="0"/>
        <v>1944.6599999999996</v>
      </c>
    </row>
    <row r="21" spans="2:7">
      <c r="B21" s="1">
        <v>45031</v>
      </c>
      <c r="C21" s="3" t="s">
        <v>483</v>
      </c>
      <c r="D21" s="3"/>
      <c r="F21" s="13">
        <v>6000</v>
      </c>
      <c r="G21" s="2">
        <f t="shared" si="0"/>
        <v>-4055.34</v>
      </c>
    </row>
    <row r="22" spans="2:7">
      <c r="B22" s="1">
        <v>45054</v>
      </c>
      <c r="C22" t="s">
        <v>635</v>
      </c>
      <c r="E22" s="2">
        <v>1111.1099999999999</v>
      </c>
      <c r="F22" s="13"/>
      <c r="G22" s="2">
        <f t="shared" si="0"/>
        <v>-2944.2300000000005</v>
      </c>
    </row>
    <row r="23" spans="2:7">
      <c r="B23" s="1">
        <v>45085</v>
      </c>
      <c r="C23" t="s">
        <v>636</v>
      </c>
      <c r="E23" s="2">
        <v>1111.1099999999999</v>
      </c>
      <c r="F23" s="13"/>
      <c r="G23" s="2">
        <f t="shared" si="0"/>
        <v>-1833.1200000000006</v>
      </c>
    </row>
    <row r="24" spans="2:7">
      <c r="B24" s="1">
        <v>45115</v>
      </c>
      <c r="C24" t="s">
        <v>637</v>
      </c>
      <c r="E24" s="2">
        <v>1111.1199999999999</v>
      </c>
      <c r="F24" s="13"/>
      <c r="G24" s="2">
        <f t="shared" si="0"/>
        <v>-722.00000000000068</v>
      </c>
    </row>
    <row r="25" spans="2:7">
      <c r="B25" s="1">
        <v>45000</v>
      </c>
      <c r="C25" t="s">
        <v>638</v>
      </c>
      <c r="E25" s="2">
        <v>2258</v>
      </c>
      <c r="F25" s="13"/>
      <c r="G25" s="2">
        <f t="shared" si="0"/>
        <v>1535.9999999999993</v>
      </c>
    </row>
    <row r="26" spans="2:7">
      <c r="C26" t="s">
        <v>639</v>
      </c>
      <c r="E26" s="2">
        <v>613</v>
      </c>
      <c r="F26" s="4"/>
      <c r="G26" s="2">
        <f t="shared" si="0"/>
        <v>2148.9999999999991</v>
      </c>
    </row>
    <row r="27" spans="2:7">
      <c r="C27" t="s">
        <v>640</v>
      </c>
      <c r="E27" s="2">
        <v>720</v>
      </c>
      <c r="F27" s="4"/>
      <c r="G27" s="2">
        <f t="shared" si="0"/>
        <v>2868.9999999999991</v>
      </c>
    </row>
    <row r="28" spans="2:7">
      <c r="C28" t="s">
        <v>641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642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643</v>
      </c>
      <c r="E30" s="2">
        <v>2650</v>
      </c>
      <c r="F30" s="4"/>
      <c r="G30" s="2">
        <f t="shared" si="0"/>
        <v>3982.9999999999991</v>
      </c>
    </row>
    <row r="31" spans="2:7">
      <c r="C31" t="s">
        <v>644</v>
      </c>
      <c r="E31" s="2">
        <v>1356</v>
      </c>
      <c r="F31" s="4"/>
      <c r="G31" s="2">
        <f t="shared" si="0"/>
        <v>5338.9999999999991</v>
      </c>
    </row>
    <row r="32" spans="2:7">
      <c r="C32" t="s">
        <v>644</v>
      </c>
      <c r="E32" s="2">
        <v>869</v>
      </c>
      <c r="F32" s="4"/>
      <c r="G32" s="2">
        <f t="shared" si="0"/>
        <v>6207.9999999999991</v>
      </c>
    </row>
    <row r="33" spans="2:7">
      <c r="C33" t="s">
        <v>645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646</v>
      </c>
      <c r="F34" s="4">
        <v>3450</v>
      </c>
      <c r="G34" s="2">
        <f t="shared" si="0"/>
        <v>2757.9999999999991</v>
      </c>
    </row>
    <row r="35" spans="2:7">
      <c r="C35" t="s">
        <v>647</v>
      </c>
      <c r="E35" s="2">
        <v>1750</v>
      </c>
      <c r="F35" s="13"/>
      <c r="G35" s="2">
        <f t="shared" si="0"/>
        <v>4507.9999999999991</v>
      </c>
    </row>
    <row r="36" spans="2:7">
      <c r="B36" s="1">
        <v>45149</v>
      </c>
      <c r="C36" t="s">
        <v>648</v>
      </c>
      <c r="F36" s="13">
        <v>3450</v>
      </c>
      <c r="G36" s="2">
        <f t="shared" si="0"/>
        <v>1057.9999999999991</v>
      </c>
    </row>
    <row r="37" spans="2:7">
      <c r="F37" s="13"/>
      <c r="G37" s="2">
        <f t="shared" si="0"/>
        <v>1057.9999999999991</v>
      </c>
    </row>
    <row r="38" spans="2:7">
      <c r="F38" s="13"/>
    </row>
    <row r="39" spans="2:7" ht="15.75">
      <c r="B39" s="168">
        <v>45168</v>
      </c>
      <c r="D39" s="70" t="s">
        <v>649</v>
      </c>
      <c r="E39" s="2">
        <f>SUM(E3:E37)</f>
        <v>23894</v>
      </c>
      <c r="F39" s="13">
        <f>SUM(F3:F37)</f>
        <v>22836</v>
      </c>
      <c r="G39" s="169">
        <f>E39-F39</f>
        <v>1058</v>
      </c>
    </row>
    <row r="41" spans="2:7">
      <c r="B41" s="1">
        <v>45179</v>
      </c>
      <c r="C41" t="s">
        <v>650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651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652</v>
      </c>
      <c r="F43" s="13">
        <v>3450</v>
      </c>
      <c r="G43" s="2">
        <f t="shared" si="1"/>
        <v>4358</v>
      </c>
    </row>
    <row r="44" spans="2:7">
      <c r="B44" s="1">
        <v>45192</v>
      </c>
      <c r="C44" t="s">
        <v>653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654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655</v>
      </c>
      <c r="E46" s="2">
        <v>573</v>
      </c>
      <c r="G46" s="2">
        <f t="shared" si="1"/>
        <v>4931</v>
      </c>
    </row>
    <row r="47" spans="2:7">
      <c r="C47" t="s">
        <v>656</v>
      </c>
      <c r="D47">
        <v>1500</v>
      </c>
      <c r="G47" s="2">
        <f t="shared" si="1"/>
        <v>4931</v>
      </c>
    </row>
    <row r="48" spans="2:7">
      <c r="C48" t="s">
        <v>657</v>
      </c>
      <c r="E48" s="2">
        <v>1207</v>
      </c>
      <c r="G48" s="2">
        <f t="shared" si="1"/>
        <v>6138</v>
      </c>
    </row>
    <row r="49" spans="2:7">
      <c r="C49" t="s">
        <v>658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659</v>
      </c>
      <c r="F50" s="13">
        <v>3450</v>
      </c>
      <c r="G50" s="2">
        <f t="shared" si="1"/>
        <v>2688</v>
      </c>
    </row>
    <row r="51" spans="2:7">
      <c r="B51" s="1">
        <v>45246</v>
      </c>
      <c r="C51" t="s">
        <v>660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661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662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663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664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595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70">
        <f t="shared" si="1"/>
        <v>1072</v>
      </c>
    </row>
    <row r="59" spans="2:7">
      <c r="G59" s="171"/>
    </row>
    <row r="60" spans="2:7" ht="15">
      <c r="C60" s="172" t="s">
        <v>665</v>
      </c>
      <c r="D60" s="173">
        <f>SUM(D3:D36)+SUM(D41:D52)</f>
        <v>5271</v>
      </c>
      <c r="E60" s="173">
        <f>SUM(E3:E36)+SUM(E41:E56)</f>
        <v>37708</v>
      </c>
      <c r="F60" s="173">
        <f>SUM(F3:F36)+SUM(F41:F56)</f>
        <v>36636</v>
      </c>
      <c r="G60" s="174">
        <f>E60-F60</f>
        <v>1072</v>
      </c>
    </row>
    <row r="61" spans="2:7">
      <c r="D61" s="175" t="s">
        <v>666</v>
      </c>
      <c r="E61" s="176" t="s">
        <v>667</v>
      </c>
      <c r="F61" s="176" t="s">
        <v>668</v>
      </c>
      <c r="G61" s="177" t="s">
        <v>668</v>
      </c>
    </row>
    <row r="62" spans="2:7">
      <c r="D62" s="175" t="s">
        <v>669</v>
      </c>
      <c r="E62" s="176" t="s">
        <v>670</v>
      </c>
      <c r="F62" s="176" t="s">
        <v>97</v>
      </c>
      <c r="G62" s="178" t="s">
        <v>671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9"/>
  <sheetViews>
    <sheetView tabSelected="1"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3" customWidth="1"/>
    <col min="5" max="5" width="12" style="113" customWidth="1"/>
    <col min="6" max="6" width="12.5703125" style="113" customWidth="1"/>
    <col min="7" max="7" width="4.140625" style="179" customWidth="1"/>
    <col min="8" max="8" width="11.85546875" style="113" customWidth="1"/>
    <col min="9" max="9" width="15.5703125" style="113" customWidth="1"/>
    <col min="10" max="10" width="9.140625" customWidth="1"/>
  </cols>
  <sheetData>
    <row r="2" spans="2:9">
      <c r="C2" s="180" t="s">
        <v>672</v>
      </c>
    </row>
    <row r="3" spans="2:9">
      <c r="D3" s="181" t="s">
        <v>673</v>
      </c>
      <c r="E3" s="110" t="s">
        <v>674</v>
      </c>
      <c r="F3" s="181" t="s">
        <v>675</v>
      </c>
      <c r="G3" s="182"/>
      <c r="I3" s="181" t="s">
        <v>676</v>
      </c>
    </row>
    <row r="4" spans="2:9">
      <c r="D4" s="181" t="s">
        <v>677</v>
      </c>
      <c r="E4" s="110" t="s">
        <v>678</v>
      </c>
      <c r="F4" s="181" t="s">
        <v>677</v>
      </c>
      <c r="G4" s="182"/>
      <c r="I4" s="181" t="s">
        <v>678</v>
      </c>
    </row>
    <row r="5" spans="2:9" ht="14.25">
      <c r="E5" s="183">
        <v>119305.95</v>
      </c>
      <c r="F5" s="183"/>
      <c r="G5" s="184"/>
      <c r="H5" s="185" t="s">
        <v>679</v>
      </c>
      <c r="I5" s="186">
        <f>NZN_23!I8*-1</f>
        <v>119305.95484700002</v>
      </c>
    </row>
    <row r="6" spans="2:9" ht="14.25">
      <c r="H6" s="187" t="s">
        <v>680</v>
      </c>
      <c r="I6" s="188">
        <f>I23*-1</f>
        <v>39967</v>
      </c>
    </row>
    <row r="7" spans="2:9" ht="14.25">
      <c r="I7" s="188">
        <f>I6+I5</f>
        <v>159272.95484700002</v>
      </c>
    </row>
    <row r="8" spans="2:9">
      <c r="B8" s="81">
        <v>45295</v>
      </c>
      <c r="C8" t="s">
        <v>681</v>
      </c>
      <c r="D8" s="110">
        <v>10000</v>
      </c>
      <c r="E8" s="113">
        <f>I7-D8</f>
        <v>149272.95484700002</v>
      </c>
      <c r="F8" s="189">
        <v>10000</v>
      </c>
      <c r="G8" s="190"/>
      <c r="H8" s="191" t="s">
        <v>682</v>
      </c>
      <c r="I8" s="191">
        <f t="shared" ref="I8:I19" si="0">I7-F8</f>
        <v>149272.95484700002</v>
      </c>
    </row>
    <row r="9" spans="2:9">
      <c r="B9" s="81">
        <v>45324</v>
      </c>
      <c r="C9" t="s">
        <v>681</v>
      </c>
      <c r="D9" s="110">
        <v>10000</v>
      </c>
      <c r="E9" s="113">
        <f t="shared" ref="E9:E19" si="1">E8-D9</f>
        <v>139272.95484700002</v>
      </c>
      <c r="F9" s="189">
        <v>10000</v>
      </c>
      <c r="H9" s="191" t="s">
        <v>682</v>
      </c>
      <c r="I9" s="113">
        <f t="shared" si="0"/>
        <v>139272.95484700002</v>
      </c>
    </row>
    <row r="10" spans="2:9">
      <c r="B10" s="81">
        <v>45352</v>
      </c>
      <c r="D10" s="110">
        <v>10000</v>
      </c>
      <c r="E10" s="113">
        <f t="shared" si="1"/>
        <v>129272.95484700002</v>
      </c>
      <c r="F10" s="189">
        <v>10000</v>
      </c>
      <c r="H10" s="191" t="s">
        <v>682</v>
      </c>
      <c r="I10" s="113">
        <f t="shared" si="0"/>
        <v>129272.95484700002</v>
      </c>
    </row>
    <row r="11" spans="2:9">
      <c r="B11" s="81">
        <v>45383</v>
      </c>
      <c r="D11" s="110">
        <v>10000</v>
      </c>
      <c r="E11" s="113">
        <f t="shared" si="1"/>
        <v>119272.95484700002</v>
      </c>
      <c r="F11" s="189">
        <v>10000</v>
      </c>
      <c r="H11" s="191" t="s">
        <v>682</v>
      </c>
      <c r="I11" s="113">
        <f t="shared" si="0"/>
        <v>119272.95484700002</v>
      </c>
    </row>
    <row r="12" spans="2:9">
      <c r="B12" s="81">
        <v>45413</v>
      </c>
      <c r="D12" s="110">
        <v>10000</v>
      </c>
      <c r="E12" s="113">
        <f t="shared" si="1"/>
        <v>109272.95484700002</v>
      </c>
      <c r="F12" s="189">
        <v>10000</v>
      </c>
      <c r="H12" s="191" t="s">
        <v>682</v>
      </c>
      <c r="I12" s="113">
        <f t="shared" si="0"/>
        <v>109272.95484700002</v>
      </c>
    </row>
    <row r="13" spans="2:9">
      <c r="B13" s="81">
        <v>45444</v>
      </c>
      <c r="D13" s="110">
        <v>10000</v>
      </c>
      <c r="E13" s="113">
        <f t="shared" si="1"/>
        <v>99272.954847000015</v>
      </c>
      <c r="F13" s="189">
        <v>10000</v>
      </c>
      <c r="H13" s="191" t="s">
        <v>682</v>
      </c>
      <c r="I13" s="113">
        <f t="shared" si="0"/>
        <v>99272.954847000015</v>
      </c>
    </row>
    <row r="14" spans="2:9">
      <c r="B14" s="81">
        <v>45474</v>
      </c>
      <c r="D14" s="110">
        <v>10000</v>
      </c>
      <c r="E14" s="113">
        <f t="shared" si="1"/>
        <v>89272.954847000015</v>
      </c>
      <c r="F14" s="189">
        <v>10000</v>
      </c>
      <c r="H14" s="191" t="s">
        <v>682</v>
      </c>
      <c r="I14" s="113">
        <f t="shared" si="0"/>
        <v>89272.954847000015</v>
      </c>
    </row>
    <row r="15" spans="2:9">
      <c r="B15" s="81">
        <v>45505</v>
      </c>
      <c r="D15" s="110">
        <v>10000</v>
      </c>
      <c r="E15" s="113">
        <f t="shared" si="1"/>
        <v>79272.954847000015</v>
      </c>
      <c r="H15" s="113" t="s">
        <v>1102</v>
      </c>
      <c r="I15" s="113">
        <f t="shared" si="0"/>
        <v>89272.954847000015</v>
      </c>
    </row>
    <row r="16" spans="2:9">
      <c r="B16" s="81">
        <v>45536</v>
      </c>
      <c r="D16" s="110">
        <v>10000</v>
      </c>
      <c r="E16" s="113">
        <f t="shared" si="1"/>
        <v>69272.954847000015</v>
      </c>
      <c r="H16" s="113" t="s">
        <v>1102</v>
      </c>
      <c r="I16" s="113">
        <f t="shared" si="0"/>
        <v>89272.954847000015</v>
      </c>
    </row>
    <row r="17" spans="2:11">
      <c r="B17" s="81">
        <v>45566</v>
      </c>
      <c r="D17" s="110">
        <v>10000</v>
      </c>
      <c r="E17" s="113">
        <f t="shared" si="1"/>
        <v>59272.954847000015</v>
      </c>
      <c r="H17" s="113" t="s">
        <v>1102</v>
      </c>
      <c r="I17" s="113">
        <f t="shared" si="0"/>
        <v>89272.954847000015</v>
      </c>
    </row>
    <row r="18" spans="2:11">
      <c r="B18" s="81">
        <v>45597</v>
      </c>
      <c r="D18" s="110">
        <v>10000</v>
      </c>
      <c r="E18" s="113">
        <f t="shared" si="1"/>
        <v>49272.954847000015</v>
      </c>
      <c r="H18" s="113" t="s">
        <v>1102</v>
      </c>
      <c r="I18" s="113">
        <f t="shared" si="0"/>
        <v>89272.954847000015</v>
      </c>
    </row>
    <row r="19" spans="2:11">
      <c r="B19" s="81">
        <v>45627</v>
      </c>
      <c r="D19" s="110">
        <v>10000</v>
      </c>
      <c r="E19" s="113">
        <f t="shared" si="1"/>
        <v>39272.954847000015</v>
      </c>
      <c r="I19" s="113">
        <f t="shared" si="0"/>
        <v>89272.954847000015</v>
      </c>
    </row>
    <row r="20" spans="2:11">
      <c r="D20" s="110"/>
    </row>
    <row r="21" spans="2:11" ht="15.75">
      <c r="C21" s="192" t="s">
        <v>683</v>
      </c>
      <c r="E21" s="193">
        <v>0.2351</v>
      </c>
      <c r="F21" s="193">
        <f>1-E21</f>
        <v>0.76490000000000002</v>
      </c>
    </row>
    <row r="22" spans="2:11">
      <c r="B22" s="194" t="s">
        <v>684</v>
      </c>
      <c r="C22" s="194" t="s">
        <v>685</v>
      </c>
      <c r="D22" s="195" t="s">
        <v>686</v>
      </c>
      <c r="E22" s="196" t="s">
        <v>687</v>
      </c>
      <c r="F22" s="195" t="s">
        <v>688</v>
      </c>
      <c r="G22" s="197" t="s">
        <v>689</v>
      </c>
      <c r="H22" s="195" t="s">
        <v>690</v>
      </c>
      <c r="I22" s="195" t="s">
        <v>691</v>
      </c>
    </row>
    <row r="23" spans="2:11">
      <c r="B23" s="194"/>
      <c r="C23" s="198" t="s">
        <v>692</v>
      </c>
      <c r="D23" s="199">
        <f>SUBTOTAL(109,D24:D37)</f>
        <v>331000</v>
      </c>
      <c r="E23" s="199">
        <f>SUBTOTAL(109,$E$24:$E$37)</f>
        <v>170000</v>
      </c>
      <c r="F23" s="199">
        <f>SUM(F24:F37)</f>
        <v>-37851.1</v>
      </c>
      <c r="G23" s="200"/>
      <c r="H23" s="199">
        <f>SUBTOTAL(109,$H$24:$H$37)</f>
        <v>-39967</v>
      </c>
      <c r="I23" s="199">
        <f>I24</f>
        <v>-39967</v>
      </c>
      <c r="K23" s="201"/>
    </row>
    <row r="24" spans="2:11">
      <c r="B24" s="202">
        <v>45656</v>
      </c>
      <c r="C24" t="s">
        <v>693</v>
      </c>
      <c r="E24" s="110">
        <f t="shared" ref="E24:E37" si="2">IF(G24=1,$D24,0)</f>
        <v>0</v>
      </c>
      <c r="F24" s="203">
        <f t="shared" ref="F24:F37" si="3">IF(G24=0,D24*$E$21*-1,0)</f>
        <v>0</v>
      </c>
      <c r="G24" s="204">
        <v>0</v>
      </c>
      <c r="H24" s="110">
        <f t="shared" ref="H24:H37" si="4">IF(G24=1,D24*$E$21*-1,0)</f>
        <v>0</v>
      </c>
      <c r="I24" s="113">
        <f t="shared" ref="I24:I36" si="5">I25+H24</f>
        <v>-39967</v>
      </c>
      <c r="K24" s="201"/>
    </row>
    <row r="25" spans="2:11">
      <c r="B25" s="205"/>
      <c r="C25" s="206"/>
      <c r="D25" s="207"/>
      <c r="E25" s="110">
        <f t="shared" si="2"/>
        <v>0</v>
      </c>
      <c r="F25" s="203">
        <f t="shared" si="3"/>
        <v>0</v>
      </c>
      <c r="G25" s="204">
        <v>0</v>
      </c>
      <c r="H25" s="110">
        <f t="shared" si="4"/>
        <v>0</v>
      </c>
      <c r="I25" s="113">
        <f t="shared" si="5"/>
        <v>-39967</v>
      </c>
    </row>
    <row r="26" spans="2:11">
      <c r="B26" s="208"/>
      <c r="C26" s="209"/>
      <c r="D26" s="210"/>
      <c r="E26" s="110">
        <f t="shared" si="2"/>
        <v>0</v>
      </c>
      <c r="F26" s="203">
        <f t="shared" si="3"/>
        <v>0</v>
      </c>
      <c r="G26" s="204">
        <v>0</v>
      </c>
      <c r="H26" s="110">
        <f t="shared" si="4"/>
        <v>0</v>
      </c>
      <c r="I26" s="113">
        <f t="shared" si="5"/>
        <v>-39967</v>
      </c>
    </row>
    <row r="27" spans="2:11">
      <c r="B27" s="208"/>
      <c r="C27" s="209"/>
      <c r="D27" s="210"/>
      <c r="E27" s="110">
        <f t="shared" si="2"/>
        <v>0</v>
      </c>
      <c r="F27" s="203">
        <f t="shared" si="3"/>
        <v>0</v>
      </c>
      <c r="G27" s="204">
        <v>0</v>
      </c>
      <c r="H27" s="110">
        <f t="shared" si="4"/>
        <v>0</v>
      </c>
      <c r="I27" s="113">
        <f t="shared" si="5"/>
        <v>-39967</v>
      </c>
    </row>
    <row r="28" spans="2:11">
      <c r="B28" s="205"/>
      <c r="C28" s="206"/>
      <c r="D28" s="207"/>
      <c r="E28" s="110">
        <f t="shared" si="2"/>
        <v>0</v>
      </c>
      <c r="F28" s="203">
        <f t="shared" si="3"/>
        <v>0</v>
      </c>
      <c r="G28" s="204">
        <v>0</v>
      </c>
      <c r="H28" s="110">
        <f t="shared" si="4"/>
        <v>0</v>
      </c>
      <c r="I28" s="113">
        <f t="shared" si="5"/>
        <v>-39967</v>
      </c>
    </row>
    <row r="29" spans="2:11">
      <c r="B29" s="205"/>
      <c r="C29" s="206" t="s">
        <v>694</v>
      </c>
      <c r="D29" s="207"/>
      <c r="E29" s="110">
        <f t="shared" si="2"/>
        <v>0</v>
      </c>
      <c r="F29" s="203">
        <f t="shared" si="3"/>
        <v>0</v>
      </c>
      <c r="G29" s="204">
        <v>0</v>
      </c>
      <c r="H29" s="110">
        <f t="shared" si="4"/>
        <v>0</v>
      </c>
      <c r="I29" s="113">
        <f t="shared" si="5"/>
        <v>-39967</v>
      </c>
    </row>
    <row r="30" spans="2:11">
      <c r="B30" s="205"/>
      <c r="C30" s="206"/>
      <c r="D30" s="207"/>
      <c r="E30" s="110">
        <f t="shared" si="2"/>
        <v>0</v>
      </c>
      <c r="F30" s="203">
        <f t="shared" si="3"/>
        <v>0</v>
      </c>
      <c r="G30" s="204">
        <v>0</v>
      </c>
      <c r="H30" s="110">
        <f t="shared" si="4"/>
        <v>0</v>
      </c>
      <c r="I30" s="113">
        <f t="shared" si="5"/>
        <v>-39967</v>
      </c>
    </row>
    <row r="31" spans="2:11">
      <c r="B31" s="205"/>
      <c r="C31" s="206"/>
      <c r="D31" s="207"/>
      <c r="E31" s="110">
        <f t="shared" si="2"/>
        <v>0</v>
      </c>
      <c r="F31" s="203">
        <f t="shared" si="3"/>
        <v>0</v>
      </c>
      <c r="G31" s="204">
        <v>0</v>
      </c>
      <c r="H31" s="110">
        <f t="shared" si="4"/>
        <v>0</v>
      </c>
      <c r="I31" s="113">
        <f t="shared" si="5"/>
        <v>-39967</v>
      </c>
    </row>
    <row r="32" spans="2:11">
      <c r="B32" s="208"/>
      <c r="C32" s="209"/>
      <c r="D32" s="210"/>
      <c r="E32" s="110">
        <f t="shared" si="2"/>
        <v>0</v>
      </c>
      <c r="F32" s="203">
        <f t="shared" si="3"/>
        <v>0</v>
      </c>
      <c r="G32" s="204">
        <v>0</v>
      </c>
      <c r="H32" s="110">
        <f t="shared" si="4"/>
        <v>0</v>
      </c>
      <c r="I32" s="113">
        <f t="shared" si="5"/>
        <v>-39967</v>
      </c>
    </row>
    <row r="33" spans="2:11">
      <c r="B33" s="202">
        <v>45321</v>
      </c>
      <c r="C33" s="211" t="s">
        <v>695</v>
      </c>
      <c r="D33" s="212">
        <v>7000</v>
      </c>
      <c r="E33" s="110">
        <f t="shared" si="2"/>
        <v>0</v>
      </c>
      <c r="F33" s="203">
        <f t="shared" si="3"/>
        <v>-1645.7</v>
      </c>
      <c r="G33" s="204">
        <v>0</v>
      </c>
      <c r="H33" s="110">
        <f t="shared" si="4"/>
        <v>0</v>
      </c>
      <c r="I33" s="113">
        <f t="shared" si="5"/>
        <v>-39967</v>
      </c>
    </row>
    <row r="34" spans="2:11">
      <c r="B34" s="208"/>
      <c r="C34" s="209" t="s">
        <v>696</v>
      </c>
      <c r="D34" s="210">
        <v>24000</v>
      </c>
      <c r="E34" s="110">
        <f t="shared" si="2"/>
        <v>24000</v>
      </c>
      <c r="F34" s="203">
        <f t="shared" si="3"/>
        <v>0</v>
      </c>
      <c r="G34" s="204">
        <v>1</v>
      </c>
      <c r="H34" s="110">
        <f t="shared" si="4"/>
        <v>-5642.4</v>
      </c>
      <c r="I34" s="113">
        <f t="shared" si="5"/>
        <v>-39967</v>
      </c>
    </row>
    <row r="35" spans="2:11">
      <c r="B35" s="208">
        <v>45296</v>
      </c>
      <c r="C35" s="209" t="s">
        <v>697</v>
      </c>
      <c r="D35" s="210">
        <v>26000</v>
      </c>
      <c r="E35" s="110">
        <f t="shared" si="2"/>
        <v>26000</v>
      </c>
      <c r="F35" s="203">
        <f t="shared" si="3"/>
        <v>0</v>
      </c>
      <c r="G35" s="204">
        <v>1</v>
      </c>
      <c r="H35" s="110">
        <f t="shared" si="4"/>
        <v>-6112.6</v>
      </c>
      <c r="I35" s="113">
        <f t="shared" si="5"/>
        <v>-34324.6</v>
      </c>
    </row>
    <row r="36" spans="2:11">
      <c r="B36" s="205">
        <v>45295</v>
      </c>
      <c r="C36" s="209" t="s">
        <v>697</v>
      </c>
      <c r="D36" s="207">
        <v>120000</v>
      </c>
      <c r="E36" s="110">
        <f t="shared" si="2"/>
        <v>120000</v>
      </c>
      <c r="F36" s="203">
        <f t="shared" si="3"/>
        <v>0</v>
      </c>
      <c r="G36" s="204">
        <v>1</v>
      </c>
      <c r="H36" s="110">
        <f t="shared" si="4"/>
        <v>-28212</v>
      </c>
      <c r="I36" s="113">
        <f t="shared" si="5"/>
        <v>-28212</v>
      </c>
    </row>
    <row r="37" spans="2:11">
      <c r="B37" s="208">
        <v>45292</v>
      </c>
      <c r="C37" s="209" t="s">
        <v>580</v>
      </c>
      <c r="D37" s="213">
        <v>154000</v>
      </c>
      <c r="E37" s="110">
        <f t="shared" si="2"/>
        <v>0</v>
      </c>
      <c r="F37" s="203">
        <f t="shared" si="3"/>
        <v>-36205.4</v>
      </c>
      <c r="G37" s="214">
        <v>0</v>
      </c>
      <c r="H37" s="110">
        <f t="shared" si="4"/>
        <v>0</v>
      </c>
      <c r="I37" s="113">
        <f>H37</f>
        <v>0</v>
      </c>
    </row>
    <row r="40" spans="2:11">
      <c r="D40" s="110" t="s">
        <v>698</v>
      </c>
      <c r="E40" s="113" t="s">
        <v>699</v>
      </c>
      <c r="F40" s="113" t="s">
        <v>700</v>
      </c>
      <c r="H40" s="215"/>
      <c r="I40" s="215"/>
      <c r="J40" s="216"/>
    </row>
    <row r="41" spans="2:11" ht="15.75">
      <c r="C41" t="s">
        <v>701</v>
      </c>
      <c r="D41" s="217">
        <v>1</v>
      </c>
      <c r="E41" s="218">
        <f>1-F41</f>
        <v>0.76490000000000002</v>
      </c>
      <c r="F41" s="218">
        <f>E21</f>
        <v>0.2351</v>
      </c>
    </row>
    <row r="42" spans="2:11">
      <c r="C42" t="s">
        <v>702</v>
      </c>
      <c r="D42" s="219">
        <f>$D$23*D41</f>
        <v>331000</v>
      </c>
      <c r="E42" s="220">
        <f>$D$23*E41</f>
        <v>253181.9</v>
      </c>
      <c r="F42" s="220">
        <f>$D$23*F41</f>
        <v>77818.100000000006</v>
      </c>
    </row>
    <row r="43" spans="2:11">
      <c r="C43" t="s">
        <v>703</v>
      </c>
      <c r="D43" s="110">
        <f>E43+F43</f>
        <v>170000</v>
      </c>
      <c r="E43" s="113">
        <f>F43/F41*E41</f>
        <v>130033</v>
      </c>
      <c r="F43" s="113">
        <f>$I$23*-1</f>
        <v>39967</v>
      </c>
      <c r="K43" s="65"/>
    </row>
    <row r="44" spans="2:11">
      <c r="C44" t="s">
        <v>704</v>
      </c>
      <c r="D44" s="110">
        <f>D42-D43</f>
        <v>161000</v>
      </c>
      <c r="E44" s="113">
        <f>E42-E43</f>
        <v>123148.9</v>
      </c>
      <c r="F44" s="113">
        <f>F42-F43</f>
        <v>37851.100000000006</v>
      </c>
      <c r="K44" s="65"/>
    </row>
    <row r="45" spans="2:11">
      <c r="D45" s="221"/>
      <c r="E45" s="221"/>
      <c r="F45" s="221"/>
      <c r="K45" s="65"/>
    </row>
    <row r="46" spans="2:11">
      <c r="K46" s="65"/>
    </row>
    <row r="47" spans="2:11">
      <c r="D47" s="181" t="s">
        <v>705</v>
      </c>
      <c r="E47" s="181" t="s">
        <v>706</v>
      </c>
      <c r="F47" s="181" t="s">
        <v>707</v>
      </c>
      <c r="K47" s="65"/>
    </row>
    <row r="48" spans="2:11">
      <c r="E48" s="187"/>
      <c r="K48" s="65"/>
    </row>
    <row r="49" spans="3:6">
      <c r="C49" s="65" t="s">
        <v>615</v>
      </c>
      <c r="D49" s="113">
        <f>E43</f>
        <v>130033</v>
      </c>
      <c r="E49" s="113">
        <v>2.5000000000000001E-2</v>
      </c>
      <c r="F49" s="113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0" t="s">
        <v>672</v>
      </c>
    </row>
    <row r="3" spans="2:11">
      <c r="D3" s="102"/>
      <c r="E3" s="102"/>
      <c r="I3" s="65"/>
    </row>
    <row r="4" spans="2:11">
      <c r="E4" s="102"/>
      <c r="I4" s="65"/>
    </row>
    <row r="5" spans="2:11" ht="15.75">
      <c r="C5" s="192" t="s">
        <v>683</v>
      </c>
      <c r="E5" s="222">
        <v>0.2351</v>
      </c>
      <c r="F5" s="222">
        <f>1-E5</f>
        <v>0.76490000000000002</v>
      </c>
      <c r="I5" s="65"/>
    </row>
    <row r="6" spans="2:11">
      <c r="B6" t="s">
        <v>684</v>
      </c>
      <c r="C6" t="s">
        <v>685</v>
      </c>
      <c r="D6" s="37" t="s">
        <v>686</v>
      </c>
      <c r="E6" s="130" t="s">
        <v>687</v>
      </c>
      <c r="F6" s="37" t="s">
        <v>688</v>
      </c>
      <c r="G6" s="223" t="s">
        <v>689</v>
      </c>
      <c r="H6" s="37" t="s">
        <v>690</v>
      </c>
      <c r="I6" s="224" t="s">
        <v>691</v>
      </c>
    </row>
    <row r="7" spans="2:11">
      <c r="K7" s="201"/>
    </row>
    <row r="8" spans="2:11" ht="15.75">
      <c r="B8" s="202">
        <v>45290</v>
      </c>
      <c r="C8" t="s">
        <v>693</v>
      </c>
      <c r="D8">
        <v>-5843.55</v>
      </c>
      <c r="E8" s="84">
        <f t="shared" ref="E8:E25" si="0">IF(G8=1,$D8,0)</f>
        <v>-5843.55</v>
      </c>
      <c r="F8" s="225">
        <f t="shared" ref="F8:F25" si="1">IF(G8=0,D8*$E$5*-1,0)</f>
        <v>0</v>
      </c>
      <c r="G8" s="223">
        <v>1</v>
      </c>
      <c r="H8" s="84">
        <f t="shared" ref="H8:H25" si="2">IF(G8=1,D8*$E$5*-1,0)</f>
        <v>1373.8186050000002</v>
      </c>
      <c r="I8" s="226">
        <f t="shared" ref="I8:I25" si="3">I9+H8</f>
        <v>-119305.95484700002</v>
      </c>
      <c r="K8" s="201"/>
    </row>
    <row r="9" spans="2:11">
      <c r="B9" s="227">
        <v>45290</v>
      </c>
      <c r="C9" s="228" t="s">
        <v>708</v>
      </c>
      <c r="D9" s="229">
        <v>135000</v>
      </c>
      <c r="E9" s="84">
        <f t="shared" si="0"/>
        <v>135000</v>
      </c>
      <c r="F9" s="225">
        <f t="shared" si="1"/>
        <v>0</v>
      </c>
      <c r="G9" s="223">
        <v>1</v>
      </c>
      <c r="H9" s="84">
        <f t="shared" si="2"/>
        <v>-31738.5</v>
      </c>
      <c r="I9" s="65">
        <f t="shared" si="3"/>
        <v>-120679.77345200001</v>
      </c>
    </row>
    <row r="10" spans="2:11">
      <c r="B10" s="230">
        <v>45260</v>
      </c>
      <c r="C10" s="231" t="s">
        <v>709</v>
      </c>
      <c r="D10" s="232"/>
      <c r="E10" s="233">
        <f t="shared" si="0"/>
        <v>0</v>
      </c>
      <c r="F10" s="234">
        <f t="shared" si="1"/>
        <v>0</v>
      </c>
      <c r="G10" s="235">
        <v>0</v>
      </c>
      <c r="H10" s="233">
        <f t="shared" si="2"/>
        <v>0</v>
      </c>
      <c r="I10" s="232">
        <f t="shared" si="3"/>
        <v>-88941.273452000009</v>
      </c>
    </row>
    <row r="11" spans="2:11">
      <c r="B11" s="227">
        <v>45236</v>
      </c>
      <c r="C11" s="228" t="s">
        <v>710</v>
      </c>
      <c r="D11" s="229">
        <v>15887.06</v>
      </c>
      <c r="E11" s="84">
        <f t="shared" si="0"/>
        <v>15887.06</v>
      </c>
      <c r="F11" s="225">
        <f t="shared" si="1"/>
        <v>0</v>
      </c>
      <c r="G11" s="223">
        <v>1</v>
      </c>
      <c r="H11" s="84">
        <f t="shared" si="2"/>
        <v>-3735.047806</v>
      </c>
      <c r="I11" s="65">
        <f t="shared" si="3"/>
        <v>-88941.273452000009</v>
      </c>
    </row>
    <row r="12" spans="2:11">
      <c r="B12" s="227">
        <v>45195</v>
      </c>
      <c r="C12" s="228" t="s">
        <v>711</v>
      </c>
      <c r="D12" s="229">
        <v>84000</v>
      </c>
      <c r="E12" s="84">
        <f t="shared" si="0"/>
        <v>84000</v>
      </c>
      <c r="F12" s="225">
        <f t="shared" si="1"/>
        <v>0</v>
      </c>
      <c r="G12" s="223">
        <v>1</v>
      </c>
      <c r="H12" s="84">
        <f t="shared" si="2"/>
        <v>-19748.400000000001</v>
      </c>
      <c r="I12" s="65">
        <f t="shared" si="3"/>
        <v>-85206.225646000006</v>
      </c>
    </row>
    <row r="13" spans="2:11">
      <c r="B13" s="227">
        <v>45229</v>
      </c>
      <c r="C13" s="228" t="s">
        <v>712</v>
      </c>
      <c r="D13" s="229">
        <v>10000</v>
      </c>
      <c r="E13" s="84">
        <f t="shared" si="0"/>
        <v>10000</v>
      </c>
      <c r="F13" s="225">
        <f t="shared" si="1"/>
        <v>0</v>
      </c>
      <c r="G13" s="223">
        <v>1</v>
      </c>
      <c r="H13" s="84">
        <f t="shared" si="2"/>
        <v>-2351</v>
      </c>
      <c r="I13" s="65">
        <f t="shared" si="3"/>
        <v>-65457.825645999998</v>
      </c>
    </row>
    <row r="14" spans="2:11">
      <c r="B14" s="227">
        <v>45194</v>
      </c>
      <c r="C14" s="228" t="s">
        <v>712</v>
      </c>
      <c r="D14" s="229">
        <v>3000</v>
      </c>
      <c r="E14" s="84">
        <f t="shared" si="0"/>
        <v>3000</v>
      </c>
      <c r="F14" s="225">
        <f t="shared" si="1"/>
        <v>0</v>
      </c>
      <c r="G14" s="223">
        <v>1</v>
      </c>
      <c r="H14" s="84">
        <f t="shared" si="2"/>
        <v>-705.3</v>
      </c>
      <c r="I14" s="65">
        <f t="shared" si="3"/>
        <v>-63106.825645999998</v>
      </c>
    </row>
    <row r="15" spans="2:11">
      <c r="B15" s="227">
        <v>45192</v>
      </c>
      <c r="C15" s="228" t="s">
        <v>712</v>
      </c>
      <c r="D15" s="229">
        <v>83000</v>
      </c>
      <c r="E15" s="84">
        <f t="shared" si="0"/>
        <v>83000</v>
      </c>
      <c r="F15" s="225">
        <f t="shared" si="1"/>
        <v>0</v>
      </c>
      <c r="G15" s="223">
        <v>1</v>
      </c>
      <c r="H15" s="84">
        <f t="shared" si="2"/>
        <v>-19513.3</v>
      </c>
      <c r="I15" s="65">
        <f t="shared" si="3"/>
        <v>-62401.525645999995</v>
      </c>
    </row>
    <row r="16" spans="2:11">
      <c r="B16" s="202">
        <v>45321</v>
      </c>
      <c r="C16" s="211" t="s">
        <v>695</v>
      </c>
      <c r="D16" s="155">
        <v>7000</v>
      </c>
      <c r="E16" s="84">
        <f t="shared" si="0"/>
        <v>0</v>
      </c>
      <c r="F16" s="225">
        <f t="shared" si="1"/>
        <v>-1645.7</v>
      </c>
      <c r="G16" s="223">
        <v>0</v>
      </c>
      <c r="H16" s="84">
        <f t="shared" si="2"/>
        <v>0</v>
      </c>
      <c r="I16" s="65">
        <f t="shared" si="3"/>
        <v>-42888.225645999992</v>
      </c>
    </row>
    <row r="17" spans="2:10">
      <c r="B17" s="227">
        <v>45290</v>
      </c>
      <c r="C17" s="228" t="s">
        <v>713</v>
      </c>
      <c r="D17" s="229">
        <v>6000</v>
      </c>
      <c r="E17" s="84">
        <f t="shared" si="0"/>
        <v>6000</v>
      </c>
      <c r="F17" s="225">
        <f t="shared" si="1"/>
        <v>0</v>
      </c>
      <c r="G17" s="223">
        <v>1</v>
      </c>
      <c r="H17" s="84">
        <f t="shared" si="2"/>
        <v>-1410.6</v>
      </c>
      <c r="I17" s="65">
        <f t="shared" si="3"/>
        <v>-42888.225645999992</v>
      </c>
    </row>
    <row r="18" spans="2:10">
      <c r="B18" s="227">
        <v>45260</v>
      </c>
      <c r="C18" s="228" t="s">
        <v>714</v>
      </c>
      <c r="D18" s="229">
        <v>6000</v>
      </c>
      <c r="E18" s="84">
        <f t="shared" si="0"/>
        <v>6000</v>
      </c>
      <c r="F18" s="225">
        <f t="shared" si="1"/>
        <v>0</v>
      </c>
      <c r="G18" s="223">
        <v>1</v>
      </c>
      <c r="H18" s="84">
        <f t="shared" si="2"/>
        <v>-1410.6</v>
      </c>
      <c r="I18" s="65">
        <f t="shared" si="3"/>
        <v>-41477.625645999993</v>
      </c>
    </row>
    <row r="19" spans="2:10">
      <c r="B19" s="227">
        <v>45229</v>
      </c>
      <c r="C19" s="228" t="s">
        <v>715</v>
      </c>
      <c r="D19" s="229">
        <v>6000</v>
      </c>
      <c r="E19" s="84">
        <f t="shared" si="0"/>
        <v>6000</v>
      </c>
      <c r="F19" s="225">
        <f t="shared" si="1"/>
        <v>0</v>
      </c>
      <c r="G19" s="223">
        <v>1</v>
      </c>
      <c r="H19" s="84">
        <f t="shared" si="2"/>
        <v>-1410.6</v>
      </c>
      <c r="I19" s="65">
        <f t="shared" si="3"/>
        <v>-40067.025645999995</v>
      </c>
    </row>
    <row r="20" spans="2:10">
      <c r="B20" s="227">
        <v>45199</v>
      </c>
      <c r="C20" s="228" t="s">
        <v>695</v>
      </c>
      <c r="D20" s="229">
        <v>6000</v>
      </c>
      <c r="E20" s="84">
        <f t="shared" si="0"/>
        <v>6000</v>
      </c>
      <c r="F20" s="225">
        <f t="shared" si="1"/>
        <v>0</v>
      </c>
      <c r="G20" s="223">
        <v>1</v>
      </c>
      <c r="H20" s="84">
        <f t="shared" si="2"/>
        <v>-1410.6</v>
      </c>
      <c r="I20" s="65">
        <f t="shared" si="3"/>
        <v>-38656.425645999996</v>
      </c>
    </row>
    <row r="21" spans="2:10">
      <c r="B21" s="227">
        <v>45171</v>
      </c>
      <c r="C21" s="228" t="s">
        <v>695</v>
      </c>
      <c r="D21" s="229">
        <v>65000</v>
      </c>
      <c r="E21" s="84">
        <f t="shared" si="0"/>
        <v>65000</v>
      </c>
      <c r="F21" s="225">
        <f t="shared" si="1"/>
        <v>0</v>
      </c>
      <c r="G21" s="223">
        <v>1</v>
      </c>
      <c r="H21" s="84">
        <f t="shared" si="2"/>
        <v>-15281.5</v>
      </c>
      <c r="I21" s="65">
        <f t="shared" si="3"/>
        <v>-37245.825645999998</v>
      </c>
    </row>
    <row r="22" spans="2:10">
      <c r="B22" s="227">
        <v>45122</v>
      </c>
      <c r="C22" s="228" t="s">
        <v>716</v>
      </c>
      <c r="D22" s="229">
        <v>50000</v>
      </c>
      <c r="E22" s="84">
        <f t="shared" si="0"/>
        <v>50000</v>
      </c>
      <c r="F22" s="225">
        <f t="shared" si="1"/>
        <v>0</v>
      </c>
      <c r="G22" s="223">
        <v>1</v>
      </c>
      <c r="H22" s="84">
        <f t="shared" si="2"/>
        <v>-11755</v>
      </c>
      <c r="I22" s="65">
        <f t="shared" si="3"/>
        <v>-21964.325646000001</v>
      </c>
    </row>
    <row r="23" spans="2:10">
      <c r="B23" s="228"/>
      <c r="C23" s="228" t="s">
        <v>717</v>
      </c>
      <c r="D23" s="229">
        <v>28080</v>
      </c>
      <c r="E23" s="84">
        <f t="shared" si="0"/>
        <v>28080</v>
      </c>
      <c r="F23" s="225">
        <f t="shared" si="1"/>
        <v>0</v>
      </c>
      <c r="G23" s="223">
        <v>1</v>
      </c>
      <c r="H23" s="84">
        <f t="shared" si="2"/>
        <v>-6601.6080000000002</v>
      </c>
      <c r="I23" s="65">
        <f t="shared" si="3"/>
        <v>-10209.325646000001</v>
      </c>
    </row>
    <row r="24" spans="2:10">
      <c r="B24" s="228"/>
      <c r="C24" s="228" t="s">
        <v>718</v>
      </c>
      <c r="D24" s="229">
        <v>8425.4599999999991</v>
      </c>
      <c r="E24" s="84">
        <f t="shared" si="0"/>
        <v>8425.4599999999991</v>
      </c>
      <c r="F24" s="225">
        <f t="shared" si="1"/>
        <v>0</v>
      </c>
      <c r="G24" s="223">
        <v>1</v>
      </c>
      <c r="H24" s="84">
        <f t="shared" si="2"/>
        <v>-1980.8256459999998</v>
      </c>
      <c r="I24" s="65">
        <f t="shared" si="3"/>
        <v>-3607.7176460000001</v>
      </c>
    </row>
    <row r="25" spans="2:10">
      <c r="B25" s="227">
        <v>44963</v>
      </c>
      <c r="C25" s="228" t="s">
        <v>719</v>
      </c>
      <c r="D25" s="229">
        <v>6920</v>
      </c>
      <c r="E25" s="84">
        <f t="shared" si="0"/>
        <v>6920</v>
      </c>
      <c r="F25" s="225">
        <f t="shared" si="1"/>
        <v>0</v>
      </c>
      <c r="G25" s="236">
        <v>1</v>
      </c>
      <c r="H25" s="84">
        <f t="shared" si="2"/>
        <v>-1626.8920000000001</v>
      </c>
      <c r="I25" s="65">
        <f t="shared" si="3"/>
        <v>-1626.8920000000001</v>
      </c>
    </row>
    <row r="27" spans="2:10">
      <c r="C27" t="s">
        <v>692</v>
      </c>
      <c r="D27" s="65">
        <f>SUBTOTAL(109,$D$7:$D$26)</f>
        <v>514468.97000000003</v>
      </c>
      <c r="E27" s="65">
        <f>SUBTOTAL(109,$E$9:$E$26)</f>
        <v>513312.52</v>
      </c>
      <c r="F27" s="65">
        <f>SUM(F8:F25)</f>
        <v>-1645.7</v>
      </c>
      <c r="H27" s="65">
        <f>SUBTOTAL(109,$H$7:$H$26)</f>
        <v>-119305.95484700004</v>
      </c>
      <c r="I27" s="65"/>
    </row>
    <row r="28" spans="2:10">
      <c r="C28" t="s">
        <v>720</v>
      </c>
      <c r="D28" s="65"/>
      <c r="E28" s="65">
        <f>E8</f>
        <v>-5843.55</v>
      </c>
      <c r="F28" s="65"/>
      <c r="H28" s="65"/>
      <c r="I28" s="65"/>
    </row>
    <row r="29" spans="2:10">
      <c r="C29" t="s">
        <v>721</v>
      </c>
      <c r="D29" s="65"/>
      <c r="E29" s="65">
        <f>E28+E27</f>
        <v>507468.97000000003</v>
      </c>
      <c r="F29" s="65"/>
      <c r="H29" s="65"/>
      <c r="I29" s="65"/>
    </row>
    <row r="30" spans="2:10">
      <c r="D30" s="65"/>
      <c r="E30" s="65"/>
      <c r="F30" s="65"/>
      <c r="H30" s="65"/>
      <c r="I30" s="65"/>
    </row>
    <row r="31" spans="2:10">
      <c r="D31" s="84" t="s">
        <v>698</v>
      </c>
      <c r="E31" s="65" t="s">
        <v>699</v>
      </c>
      <c r="F31" s="65" t="s">
        <v>700</v>
      </c>
      <c r="H31" s="237"/>
      <c r="I31" s="237"/>
      <c r="J31" s="216"/>
    </row>
    <row r="32" spans="2:10" ht="15.75">
      <c r="C32" t="s">
        <v>701</v>
      </c>
      <c r="D32" s="238">
        <v>1</v>
      </c>
      <c r="E32" s="239">
        <f>1-F32</f>
        <v>0.76490000000000002</v>
      </c>
      <c r="F32" s="239">
        <v>0.2351</v>
      </c>
      <c r="I32" s="65"/>
    </row>
    <row r="33" spans="3:11">
      <c r="C33" t="s">
        <v>702</v>
      </c>
      <c r="D33" s="240">
        <f>$D$27*D32</f>
        <v>514468.97000000003</v>
      </c>
      <c r="E33" s="241">
        <f>$D$27*E32</f>
        <v>393517.31515300006</v>
      </c>
      <c r="F33" s="241">
        <f>$D$27*F32</f>
        <v>120951.65484700001</v>
      </c>
      <c r="I33" s="65"/>
    </row>
    <row r="34" spans="3:11">
      <c r="C34" t="s">
        <v>703</v>
      </c>
      <c r="D34" s="84">
        <f>E34+F34</f>
        <v>507468.9700000002</v>
      </c>
      <c r="E34" s="65">
        <f>F34/F32*E32</f>
        <v>388163.01515300019</v>
      </c>
      <c r="F34" s="65">
        <f>$H$27*-1</f>
        <v>119305.95484700004</v>
      </c>
      <c r="H34" s="242"/>
      <c r="I34" s="65"/>
      <c r="K34" s="65"/>
    </row>
    <row r="35" spans="3:11">
      <c r="C35" t="s">
        <v>704</v>
      </c>
      <c r="D35" s="84">
        <f>D33-D34</f>
        <v>6999.9999999998254</v>
      </c>
      <c r="E35" s="65">
        <f>E33-E34</f>
        <v>5354.2999999998719</v>
      </c>
      <c r="F35" s="65">
        <f>F33-F34</f>
        <v>1645.699999999968</v>
      </c>
      <c r="H35" s="65"/>
      <c r="I35" s="65"/>
      <c r="K35" s="65"/>
    </row>
    <row r="36" spans="3:11">
      <c r="D36" s="243"/>
      <c r="E36" s="243"/>
      <c r="F36" s="243"/>
      <c r="H36" s="65"/>
      <c r="I36" s="65"/>
      <c r="K36" s="65"/>
    </row>
    <row r="37" spans="3:11">
      <c r="I37" s="65"/>
      <c r="K37" s="65"/>
    </row>
    <row r="38" spans="3:11">
      <c r="D38" s="70" t="s">
        <v>705</v>
      </c>
      <c r="E38" s="70" t="s">
        <v>706</v>
      </c>
      <c r="F38" s="70" t="s">
        <v>707</v>
      </c>
      <c r="H38" s="65"/>
      <c r="I38" s="65"/>
      <c r="K38" s="65"/>
    </row>
    <row r="39" spans="3:11">
      <c r="C39" t="s">
        <v>722</v>
      </c>
      <c r="D39" s="65">
        <f>F34</f>
        <v>119305.95484700004</v>
      </c>
      <c r="E39" s="244">
        <v>2.5000000000000001E-2</v>
      </c>
      <c r="F39" s="65">
        <f>D39*E39</f>
        <v>2982.6488711750012</v>
      </c>
      <c r="I39" s="65"/>
      <c r="K39" s="65"/>
    </row>
    <row r="40" spans="3:11">
      <c r="C40" s="65" t="s">
        <v>615</v>
      </c>
      <c r="D40" s="65">
        <f>E34</f>
        <v>388163.01515300019</v>
      </c>
      <c r="E40" s="98">
        <v>2.5000000000000001E-2</v>
      </c>
      <c r="F40" s="65">
        <f>D40*E40</f>
        <v>9704.0753788250058</v>
      </c>
      <c r="I40" s="65"/>
    </row>
    <row r="41" spans="3:11">
      <c r="F41" s="65"/>
      <c r="H41" s="65"/>
      <c r="I41" s="65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31"/>
  <sheetViews>
    <sheetView topLeftCell="A12"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723</v>
      </c>
      <c r="C2" s="87" t="s">
        <v>191</v>
      </c>
      <c r="D2" s="240">
        <f>SUM(D5:D35)</f>
        <v>22800</v>
      </c>
      <c r="E2" s="240">
        <f>SUM(E5:E35)</f>
        <v>-38101.83</v>
      </c>
      <c r="F2" s="240">
        <f>SUM(F5:F35)</f>
        <v>16232.529999999999</v>
      </c>
      <c r="G2" s="240">
        <f>SUM(G5:G35)</f>
        <v>-41854.230000000003</v>
      </c>
      <c r="H2" s="240">
        <f>F2+G2</f>
        <v>-25621.700000000004</v>
      </c>
    </row>
    <row r="3" spans="1:8">
      <c r="B3" s="70"/>
      <c r="H3" s="65"/>
    </row>
    <row r="4" spans="1:8">
      <c r="A4" s="96">
        <v>45259</v>
      </c>
      <c r="B4" s="245" t="s">
        <v>192</v>
      </c>
      <c r="C4" t="s">
        <v>724</v>
      </c>
      <c r="E4" s="65">
        <v>-152</v>
      </c>
      <c r="G4" s="65">
        <v>-152</v>
      </c>
      <c r="H4" s="65">
        <f t="shared" ref="H4:H35" si="0">H3+F4+G4</f>
        <v>-152</v>
      </c>
    </row>
    <row r="5" spans="1:8">
      <c r="A5" s="96">
        <v>45260</v>
      </c>
      <c r="B5" s="88" t="s">
        <v>194</v>
      </c>
      <c r="C5" s="88"/>
      <c r="D5" s="88"/>
      <c r="E5" s="65">
        <v>-400</v>
      </c>
      <c r="G5">
        <v>-240</v>
      </c>
      <c r="H5" s="65">
        <f t="shared" si="0"/>
        <v>-392</v>
      </c>
    </row>
    <row r="6" spans="1:8">
      <c r="A6" s="96">
        <v>45260</v>
      </c>
      <c r="B6" s="88" t="s">
        <v>195</v>
      </c>
      <c r="C6" s="88"/>
      <c r="D6" s="88"/>
      <c r="E6" s="65">
        <v>-500</v>
      </c>
      <c r="G6">
        <v>-455</v>
      </c>
      <c r="H6" s="65">
        <f t="shared" si="0"/>
        <v>-847</v>
      </c>
    </row>
    <row r="7" spans="1:8">
      <c r="A7" s="96">
        <v>45264</v>
      </c>
      <c r="B7" s="88" t="s">
        <v>725</v>
      </c>
      <c r="C7" s="88"/>
      <c r="D7" s="88"/>
      <c r="E7" s="65">
        <v>-250</v>
      </c>
      <c r="G7" s="65">
        <f>E7</f>
        <v>-250</v>
      </c>
      <c r="H7" s="65">
        <f t="shared" si="0"/>
        <v>-1097</v>
      </c>
    </row>
    <row r="8" spans="1:8">
      <c r="B8" s="88" t="s">
        <v>726</v>
      </c>
      <c r="C8" s="88"/>
      <c r="D8" s="88"/>
      <c r="E8" s="84"/>
      <c r="H8" s="65">
        <f t="shared" si="0"/>
        <v>-1097</v>
      </c>
    </row>
    <row r="9" spans="1:8">
      <c r="B9" s="88" t="s">
        <v>727</v>
      </c>
      <c r="C9" s="88"/>
      <c r="D9" s="88"/>
      <c r="E9" s="84"/>
      <c r="H9" s="65">
        <f t="shared" si="0"/>
        <v>-1097</v>
      </c>
    </row>
    <row r="10" spans="1:8">
      <c r="B10" s="88" t="s">
        <v>207</v>
      </c>
      <c r="C10" s="88"/>
      <c r="D10" s="88"/>
      <c r="E10" s="84"/>
      <c r="H10" s="65">
        <f t="shared" si="0"/>
        <v>-1097</v>
      </c>
    </row>
    <row r="11" spans="1:8">
      <c r="B11" s="95" t="s">
        <v>212</v>
      </c>
      <c r="D11" s="65"/>
      <c r="E11" s="65">
        <f>E52*-1</f>
        <v>-138.01</v>
      </c>
      <c r="F11" s="65"/>
      <c r="G11" s="65">
        <f t="shared" ref="G11:G16" si="1">E11</f>
        <v>-138.01</v>
      </c>
      <c r="H11" s="65">
        <f t="shared" si="0"/>
        <v>-1235.01</v>
      </c>
    </row>
    <row r="12" spans="1:8">
      <c r="B12" s="95" t="s">
        <v>213</v>
      </c>
      <c r="E12" s="65">
        <f>E58</f>
        <v>-4628.58</v>
      </c>
      <c r="F12" s="65"/>
      <c r="G12" s="65">
        <f t="shared" si="1"/>
        <v>-4628.58</v>
      </c>
      <c r="H12" s="65">
        <f t="shared" si="0"/>
        <v>-5863.59</v>
      </c>
    </row>
    <row r="13" spans="1:8">
      <c r="A13" s="96">
        <v>45264</v>
      </c>
      <c r="B13" s="95" t="s">
        <v>214</v>
      </c>
      <c r="E13" s="65">
        <f>E81</f>
        <v>-11990.160000000002</v>
      </c>
      <c r="G13" s="65">
        <f t="shared" si="1"/>
        <v>-11990.160000000002</v>
      </c>
      <c r="H13" s="65">
        <f t="shared" si="0"/>
        <v>-17853.75</v>
      </c>
    </row>
    <row r="14" spans="1:8">
      <c r="A14" s="81"/>
      <c r="B14" s="88" t="s">
        <v>728</v>
      </c>
      <c r="C14" s="88"/>
      <c r="D14" s="88"/>
      <c r="E14" s="65">
        <v>-5375</v>
      </c>
      <c r="G14" s="65">
        <f t="shared" si="1"/>
        <v>-5375</v>
      </c>
      <c r="H14" s="65">
        <f t="shared" si="0"/>
        <v>-23228.75</v>
      </c>
    </row>
    <row r="15" spans="1:8">
      <c r="A15" s="81"/>
      <c r="B15" s="88" t="s">
        <v>728</v>
      </c>
      <c r="C15" s="88"/>
      <c r="D15" s="88"/>
      <c r="E15" s="65">
        <v>-2125</v>
      </c>
      <c r="G15" s="65">
        <f t="shared" si="1"/>
        <v>-2125</v>
      </c>
      <c r="H15" s="65">
        <f t="shared" si="0"/>
        <v>-25353.75</v>
      </c>
    </row>
    <row r="16" spans="1:8">
      <c r="B16" s="88" t="s">
        <v>729</v>
      </c>
      <c r="C16" s="88"/>
      <c r="D16" s="88"/>
      <c r="E16" s="65">
        <v>-945.08</v>
      </c>
      <c r="F16" s="84"/>
      <c r="G16" s="65">
        <f t="shared" si="1"/>
        <v>-945.08</v>
      </c>
      <c r="H16" s="65">
        <f t="shared" si="0"/>
        <v>-26298.83</v>
      </c>
    </row>
    <row r="17" spans="1:8">
      <c r="B17" s="88" t="s">
        <v>208</v>
      </c>
      <c r="C17" s="88"/>
      <c r="D17" s="88"/>
      <c r="E17" s="65">
        <v>-150</v>
      </c>
      <c r="F17" s="84"/>
      <c r="G17" s="65">
        <v>-133.4</v>
      </c>
      <c r="H17" s="65">
        <f t="shared" si="0"/>
        <v>-26432.230000000003</v>
      </c>
    </row>
    <row r="18" spans="1:8">
      <c r="B18" s="94" t="s">
        <v>210</v>
      </c>
      <c r="C18" s="94"/>
      <c r="D18" s="94"/>
      <c r="E18" s="65">
        <v>-1000</v>
      </c>
      <c r="F18" s="84"/>
      <c r="G18" s="65">
        <v>-621</v>
      </c>
      <c r="H18" s="65">
        <f t="shared" si="0"/>
        <v>-27053.230000000003</v>
      </c>
    </row>
    <row r="19" spans="1:8">
      <c r="B19" s="94" t="s">
        <v>211</v>
      </c>
      <c r="C19" s="94"/>
      <c r="D19" s="94"/>
      <c r="E19" s="65">
        <v>-100</v>
      </c>
      <c r="F19" s="84"/>
      <c r="G19" s="65">
        <v>0</v>
      </c>
      <c r="H19" s="65">
        <f t="shared" si="0"/>
        <v>-27053.230000000003</v>
      </c>
    </row>
    <row r="20" spans="1:8">
      <c r="A20" s="96">
        <v>45272</v>
      </c>
      <c r="B20" s="94" t="s">
        <v>84</v>
      </c>
      <c r="C20" s="94"/>
      <c r="D20" s="94"/>
      <c r="E20" s="84"/>
      <c r="F20" s="84"/>
      <c r="G20" s="65">
        <v>-3512</v>
      </c>
      <c r="H20" s="65">
        <f t="shared" si="0"/>
        <v>-30565.230000000003</v>
      </c>
    </row>
    <row r="21" spans="1:8">
      <c r="A21" s="96">
        <v>45287</v>
      </c>
      <c r="B21" t="s">
        <v>84</v>
      </c>
      <c r="E21" s="65">
        <v>-3500</v>
      </c>
      <c r="F21" s="65"/>
      <c r="G21" s="65">
        <v>-3512</v>
      </c>
      <c r="H21" s="65">
        <f t="shared" si="0"/>
        <v>-34077.230000000003</v>
      </c>
    </row>
    <row r="22" spans="1:8">
      <c r="A22" s="96">
        <v>45287</v>
      </c>
      <c r="B22" t="s">
        <v>172</v>
      </c>
      <c r="E22" s="65">
        <v>-3500</v>
      </c>
      <c r="F22" s="65"/>
      <c r="G22" s="65">
        <v>-3512</v>
      </c>
      <c r="H22" s="65">
        <f t="shared" si="0"/>
        <v>-37589.230000000003</v>
      </c>
    </row>
    <row r="23" spans="1:8">
      <c r="B23" t="s">
        <v>217</v>
      </c>
      <c r="E23" s="65">
        <v>-3500</v>
      </c>
      <c r="F23" s="65"/>
      <c r="G23" s="65">
        <v>-3512</v>
      </c>
      <c r="H23" s="65">
        <f t="shared" si="0"/>
        <v>-41101.230000000003</v>
      </c>
    </row>
    <row r="24" spans="1:8">
      <c r="B24" t="s">
        <v>730</v>
      </c>
      <c r="E24" s="84"/>
      <c r="F24" s="65"/>
      <c r="G24" s="65">
        <v>-155</v>
      </c>
      <c r="H24" s="65">
        <f t="shared" si="0"/>
        <v>-41256.230000000003</v>
      </c>
    </row>
    <row r="25" spans="1:8">
      <c r="A25" s="96">
        <v>45655</v>
      </c>
      <c r="B25" s="88" t="s">
        <v>194</v>
      </c>
      <c r="C25" s="88"/>
      <c r="D25" s="88"/>
      <c r="E25" s="84"/>
      <c r="F25" s="65"/>
      <c r="G25" s="65">
        <v>-250</v>
      </c>
      <c r="H25" s="65">
        <f t="shared" si="0"/>
        <v>-41506.230000000003</v>
      </c>
    </row>
    <row r="26" spans="1:8">
      <c r="A26" s="96">
        <v>45655</v>
      </c>
      <c r="B26" s="88" t="s">
        <v>195</v>
      </c>
      <c r="C26" s="88"/>
      <c r="D26" s="88"/>
      <c r="E26" s="84"/>
      <c r="F26" s="65"/>
      <c r="G26" s="65">
        <v>-500</v>
      </c>
      <c r="H26" s="65">
        <f t="shared" si="0"/>
        <v>-42006.23</v>
      </c>
    </row>
    <row r="27" spans="1:8">
      <c r="E27" s="84"/>
      <c r="F27" s="65"/>
      <c r="G27" s="65"/>
      <c r="H27" s="65">
        <f t="shared" si="0"/>
        <v>-42006.23</v>
      </c>
    </row>
    <row r="28" spans="1:8">
      <c r="B28" t="s">
        <v>218</v>
      </c>
      <c r="D28" s="121">
        <v>7500</v>
      </c>
      <c r="F28" s="65">
        <v>7432.53</v>
      </c>
      <c r="G28" s="65"/>
      <c r="H28" s="65">
        <f t="shared" si="0"/>
        <v>-34573.700000000004</v>
      </c>
    </row>
    <row r="29" spans="1:8">
      <c r="A29" s="96">
        <v>45275</v>
      </c>
      <c r="B29" t="s">
        <v>731</v>
      </c>
      <c r="D29" s="121">
        <v>2800</v>
      </c>
      <c r="F29" s="65">
        <v>2800</v>
      </c>
      <c r="G29" s="65"/>
      <c r="H29" s="65">
        <f t="shared" si="0"/>
        <v>-31773.700000000004</v>
      </c>
    </row>
    <row r="30" spans="1:8">
      <c r="A30" s="81">
        <v>45293</v>
      </c>
      <c r="B30" t="s">
        <v>571</v>
      </c>
      <c r="D30" s="121">
        <v>6500</v>
      </c>
      <c r="F30" s="65"/>
      <c r="G30" s="65"/>
      <c r="H30" s="65">
        <f t="shared" si="0"/>
        <v>-31773.700000000004</v>
      </c>
    </row>
    <row r="31" spans="1:8">
      <c r="A31" s="81"/>
      <c r="D31" s="102"/>
      <c r="H31" s="65">
        <f t="shared" si="0"/>
        <v>-31773.700000000004</v>
      </c>
    </row>
    <row r="32" spans="1:8">
      <c r="A32" s="81">
        <v>45294</v>
      </c>
      <c r="B32" t="s">
        <v>573</v>
      </c>
      <c r="D32" s="121">
        <v>6000</v>
      </c>
      <c r="F32" s="65"/>
      <c r="G32" s="65"/>
      <c r="H32" s="65">
        <f t="shared" si="0"/>
        <v>-31773.700000000004</v>
      </c>
    </row>
    <row r="33" spans="1:8">
      <c r="A33" s="81">
        <v>45266</v>
      </c>
      <c r="B33" t="s">
        <v>732</v>
      </c>
      <c r="D33" s="102"/>
      <c r="F33" s="65">
        <v>6000</v>
      </c>
      <c r="G33" s="65"/>
      <c r="H33" s="65">
        <f t="shared" si="0"/>
        <v>-25773.700000000004</v>
      </c>
    </row>
    <row r="34" spans="1:8">
      <c r="D34" s="102"/>
      <c r="F34" s="65"/>
      <c r="G34" s="65"/>
      <c r="H34" s="65">
        <f t="shared" si="0"/>
        <v>-25773.700000000004</v>
      </c>
    </row>
    <row r="35" spans="1:8">
      <c r="D35" s="102"/>
      <c r="F35" s="65"/>
      <c r="G35" s="65"/>
      <c r="H35" s="65">
        <f t="shared" si="0"/>
        <v>-25773.700000000004</v>
      </c>
    </row>
    <row r="41" spans="1:8">
      <c r="A41" s="78" t="s">
        <v>223</v>
      </c>
      <c r="B41" s="78"/>
      <c r="C41" s="78"/>
      <c r="D41" s="78"/>
      <c r="E41" s="79"/>
      <c r="G41" s="65"/>
      <c r="H41" s="65"/>
    </row>
    <row r="42" spans="1:8">
      <c r="A42" s="246"/>
      <c r="B42" s="246"/>
      <c r="C42" s="246"/>
      <c r="D42" s="246"/>
      <c r="E42" s="247"/>
      <c r="H42" s="65"/>
    </row>
    <row r="43" spans="1:8">
      <c r="A43" s="246"/>
      <c r="B43" s="246"/>
      <c r="C43" s="248"/>
      <c r="D43" s="246"/>
      <c r="E43" s="246"/>
      <c r="H43" s="65"/>
    </row>
    <row r="44" spans="1:8">
      <c r="A44" s="246"/>
      <c r="B44" s="246"/>
      <c r="C44" s="248"/>
      <c r="D44" s="246"/>
      <c r="E44" s="246"/>
      <c r="H44" s="65"/>
    </row>
    <row r="45" spans="1:8">
      <c r="C45" s="98"/>
      <c r="H45" s="65"/>
    </row>
    <row r="46" spans="1:8">
      <c r="A46" s="249">
        <v>44929</v>
      </c>
      <c r="B46" s="101" t="s">
        <v>224</v>
      </c>
      <c r="C46" s="78"/>
      <c r="D46" s="136">
        <f>SUM(D47:D54)</f>
        <v>5357.51</v>
      </c>
      <c r="E46" s="136">
        <f>SUM(E47:E53)</f>
        <v>5360.01</v>
      </c>
      <c r="H46" s="65"/>
    </row>
    <row r="47" spans="1:8">
      <c r="B47" t="s">
        <v>733</v>
      </c>
      <c r="C47" t="s">
        <v>94</v>
      </c>
      <c r="D47">
        <v>947.93</v>
      </c>
      <c r="E47" s="65">
        <v>950</v>
      </c>
      <c r="F47" s="65"/>
      <c r="G47" s="65"/>
    </row>
    <row r="48" spans="1:8">
      <c r="B48" t="s">
        <v>226</v>
      </c>
      <c r="C48" t="s">
        <v>734</v>
      </c>
      <c r="D48">
        <v>1830.06</v>
      </c>
      <c r="E48" s="65">
        <v>1830</v>
      </c>
      <c r="F48" s="65"/>
      <c r="G48" s="65"/>
    </row>
    <row r="49" spans="1:8">
      <c r="B49" t="s">
        <v>227</v>
      </c>
      <c r="C49" t="s">
        <v>734</v>
      </c>
      <c r="D49">
        <v>209.55</v>
      </c>
      <c r="E49">
        <v>210</v>
      </c>
      <c r="F49" s="65"/>
      <c r="G49" s="65"/>
    </row>
    <row r="50" spans="1:8">
      <c r="B50" t="s">
        <v>228</v>
      </c>
      <c r="C50" t="s">
        <v>735</v>
      </c>
      <c r="D50">
        <v>1732.62</v>
      </c>
      <c r="E50">
        <v>1732</v>
      </c>
      <c r="F50" s="65"/>
      <c r="G50" s="65"/>
    </row>
    <row r="51" spans="1:8">
      <c r="B51" t="s">
        <v>229</v>
      </c>
      <c r="C51" t="s">
        <v>734</v>
      </c>
      <c r="D51">
        <v>499.34</v>
      </c>
      <c r="E51">
        <v>500</v>
      </c>
      <c r="F51" s="65"/>
      <c r="G51" s="65"/>
    </row>
    <row r="52" spans="1:8">
      <c r="B52" t="s">
        <v>230</v>
      </c>
      <c r="C52" s="94"/>
      <c r="D52" s="94">
        <v>138.01</v>
      </c>
      <c r="E52">
        <v>138.01</v>
      </c>
      <c r="F52" s="65"/>
      <c r="G52" s="65"/>
    </row>
    <row r="53" spans="1:8">
      <c r="C53" s="94"/>
      <c r="E53" s="94"/>
      <c r="F53" s="65"/>
      <c r="G53" s="65"/>
    </row>
    <row r="54" spans="1:8">
      <c r="C54" s="94"/>
      <c r="D54" s="94"/>
    </row>
    <row r="56" spans="1:8">
      <c r="B56" s="13"/>
    </row>
    <row r="57" spans="1:8">
      <c r="B57" s="102"/>
    </row>
    <row r="58" spans="1:8">
      <c r="A58" s="78"/>
      <c r="B58" s="77" t="s">
        <v>231</v>
      </c>
      <c r="C58" s="78"/>
      <c r="D58" s="79"/>
      <c r="E58" s="250">
        <f>SUM(E59:E78)</f>
        <v>-4628.58</v>
      </c>
      <c r="F58" s="80">
        <f>SUM(F59:F78)</f>
        <v>0</v>
      </c>
    </row>
    <row r="59" spans="1:8">
      <c r="C59" s="94"/>
      <c r="D59" s="94"/>
      <c r="E59" s="84"/>
      <c r="G59" s="65"/>
      <c r="H59" s="65"/>
    </row>
    <row r="60" spans="1:8">
      <c r="A60" s="81">
        <v>44995</v>
      </c>
      <c r="B60" t="s">
        <v>586</v>
      </c>
      <c r="C60">
        <v>613.91</v>
      </c>
      <c r="D60" s="37" t="s">
        <v>736</v>
      </c>
      <c r="E60" s="84">
        <v>-61.39</v>
      </c>
      <c r="F60" s="65"/>
      <c r="G60" s="65"/>
      <c r="H60" s="65"/>
    </row>
    <row r="61" spans="1:8">
      <c r="F61" s="65"/>
      <c r="G61" s="65"/>
      <c r="H61" s="65"/>
    </row>
    <row r="62" spans="1:8">
      <c r="A62" s="81">
        <v>45043</v>
      </c>
      <c r="B62" s="94" t="s">
        <v>539</v>
      </c>
      <c r="C62" s="94">
        <v>10764.57</v>
      </c>
      <c r="D62" s="37" t="s">
        <v>252</v>
      </c>
      <c r="E62" s="84">
        <v>-1196.06</v>
      </c>
      <c r="F62" s="65"/>
      <c r="G62" s="65"/>
      <c r="H62" s="65"/>
    </row>
    <row r="63" spans="1:8">
      <c r="A63" s="81">
        <v>45078</v>
      </c>
      <c r="B63" s="94" t="s">
        <v>737</v>
      </c>
      <c r="D63" s="139" t="s">
        <v>258</v>
      </c>
      <c r="E63" s="84">
        <v>-666.65</v>
      </c>
      <c r="F63" s="65"/>
      <c r="G63" s="65"/>
      <c r="H63" s="65"/>
    </row>
    <row r="64" spans="1:8">
      <c r="A64" s="97">
        <v>45187</v>
      </c>
      <c r="B64" s="94" t="s">
        <v>375</v>
      </c>
      <c r="C64" s="94">
        <v>7648.33</v>
      </c>
      <c r="D64" s="139" t="s">
        <v>738</v>
      </c>
      <c r="E64" s="84">
        <v>-849.81</v>
      </c>
      <c r="F64" s="65"/>
      <c r="G64" s="65"/>
      <c r="H64" s="65"/>
    </row>
    <row r="65" spans="1:8">
      <c r="A65" s="97">
        <v>45187</v>
      </c>
      <c r="B65" s="94" t="s">
        <v>491</v>
      </c>
      <c r="C65" s="94">
        <v>11128</v>
      </c>
      <c r="D65" s="139" t="s">
        <v>739</v>
      </c>
      <c r="E65" s="84">
        <v>-1854.67</v>
      </c>
      <c r="F65" s="65"/>
      <c r="G65" s="65"/>
      <c r="H65" s="65"/>
    </row>
    <row r="66" spans="1:8" ht="15">
      <c r="A66" s="97"/>
      <c r="B66" s="94"/>
      <c r="C66" s="94"/>
      <c r="D66" s="108" t="s">
        <v>285</v>
      </c>
      <c r="E66" s="84"/>
      <c r="F66" s="65"/>
      <c r="G66" s="65"/>
      <c r="H66" s="65"/>
    </row>
    <row r="67" spans="1:8">
      <c r="A67" s="97"/>
      <c r="B67" s="94"/>
      <c r="C67" s="94"/>
      <c r="D67" s="139"/>
      <c r="E67" s="84"/>
      <c r="F67" s="65"/>
      <c r="G67" s="65"/>
      <c r="H67" s="65"/>
    </row>
    <row r="68" spans="1:8">
      <c r="A68" s="97"/>
      <c r="B68" s="94"/>
      <c r="C68" s="94"/>
      <c r="D68" s="139"/>
      <c r="E68" s="84"/>
      <c r="F68" s="65"/>
      <c r="G68" s="65"/>
      <c r="H68" s="65"/>
    </row>
    <row r="69" spans="1:8">
      <c r="A69" s="97"/>
      <c r="B69" s="94"/>
      <c r="C69" s="94"/>
      <c r="D69" s="139"/>
      <c r="E69" s="84"/>
      <c r="F69" s="65"/>
      <c r="G69" s="65"/>
      <c r="H69" s="65"/>
    </row>
    <row r="70" spans="1:8">
      <c r="A70" s="97"/>
      <c r="B70" s="94"/>
      <c r="C70" s="94"/>
      <c r="D70" s="139"/>
      <c r="E70" s="84"/>
      <c r="F70" s="65"/>
      <c r="G70" s="65"/>
      <c r="H70" s="65"/>
    </row>
    <row r="71" spans="1:8">
      <c r="A71" s="97"/>
      <c r="B71" s="94"/>
      <c r="C71" s="94"/>
      <c r="D71" s="139"/>
      <c r="E71" s="84"/>
      <c r="F71" s="65"/>
      <c r="G71" s="65"/>
      <c r="H71" s="65"/>
    </row>
    <row r="72" spans="1:8">
      <c r="A72" s="97"/>
      <c r="B72" s="94"/>
      <c r="C72" s="94"/>
      <c r="D72" s="139"/>
      <c r="E72" s="84"/>
      <c r="F72" s="65"/>
      <c r="G72" s="65"/>
      <c r="H72" s="65"/>
    </row>
    <row r="73" spans="1:8">
      <c r="A73" s="97"/>
      <c r="B73" s="94"/>
      <c r="C73" s="94"/>
      <c r="D73" s="139"/>
      <c r="E73" s="84"/>
      <c r="F73" s="65"/>
      <c r="G73" s="65"/>
      <c r="H73" s="65"/>
    </row>
    <row r="74" spans="1:8">
      <c r="B74" s="94"/>
      <c r="C74" s="94"/>
      <c r="D74" s="94"/>
      <c r="E74" s="84"/>
      <c r="F74" s="65"/>
      <c r="G74" s="65"/>
      <c r="H74" s="65"/>
    </row>
    <row r="75" spans="1:8">
      <c r="C75" s="94"/>
      <c r="D75" s="94"/>
      <c r="E75" s="84"/>
      <c r="F75" s="65"/>
      <c r="G75" s="65"/>
      <c r="H75" s="65"/>
    </row>
    <row r="76" spans="1:8">
      <c r="E76" s="84"/>
    </row>
    <row r="77" spans="1:8">
      <c r="E77" s="84"/>
    </row>
    <row r="78" spans="1:8">
      <c r="E78" s="84"/>
    </row>
    <row r="79" spans="1:8">
      <c r="D79" s="37"/>
    </row>
    <row r="81" spans="1:8">
      <c r="A81" s="78"/>
      <c r="B81" s="77" t="s">
        <v>235</v>
      </c>
      <c r="C81" s="78"/>
      <c r="D81" s="78"/>
      <c r="E81" s="136">
        <f>SUM(E82:E107)</f>
        <v>-11990.160000000002</v>
      </c>
      <c r="F81" s="80">
        <f>SUM(F82:F90)</f>
        <v>0</v>
      </c>
    </row>
    <row r="82" spans="1:8">
      <c r="A82" s="97">
        <v>45217</v>
      </c>
      <c r="B82" s="94" t="s">
        <v>498</v>
      </c>
      <c r="C82" s="94"/>
      <c r="D82" t="s">
        <v>740</v>
      </c>
      <c r="E82" s="84">
        <v>-3974.44</v>
      </c>
      <c r="F82" s="65"/>
      <c r="G82" s="65"/>
      <c r="H82" s="65"/>
    </row>
    <row r="83" spans="1:8">
      <c r="A83" s="96">
        <v>45214</v>
      </c>
      <c r="B83" t="s">
        <v>471</v>
      </c>
      <c r="D83" t="s">
        <v>741</v>
      </c>
      <c r="E83" s="84">
        <v>-600</v>
      </c>
      <c r="F83" s="65"/>
      <c r="G83" s="65"/>
      <c r="H83" s="65"/>
    </row>
    <row r="84" spans="1:8">
      <c r="B84" s="103"/>
      <c r="E84" s="84"/>
    </row>
    <row r="85" spans="1:8">
      <c r="A85" s="96">
        <v>45226</v>
      </c>
      <c r="B85" t="s">
        <v>742</v>
      </c>
      <c r="E85" s="84">
        <v>-1046.0999999999999</v>
      </c>
    </row>
    <row r="86" spans="1:8">
      <c r="A86" s="96">
        <v>45226</v>
      </c>
      <c r="B86" t="s">
        <v>742</v>
      </c>
      <c r="E86" s="84">
        <v>-1046.0999999999999</v>
      </c>
    </row>
    <row r="87" spans="1:8">
      <c r="A87" s="96">
        <v>45224</v>
      </c>
      <c r="B87" t="s">
        <v>467</v>
      </c>
      <c r="D87">
        <v>160</v>
      </c>
      <c r="E87" s="84">
        <v>-160</v>
      </c>
    </row>
    <row r="88" spans="1:8">
      <c r="A88" s="96">
        <v>45225</v>
      </c>
      <c r="B88" t="s">
        <v>467</v>
      </c>
      <c r="D88">
        <v>200</v>
      </c>
      <c r="E88" s="84">
        <v>-200</v>
      </c>
    </row>
    <row r="89" spans="1:8">
      <c r="A89" s="96">
        <v>45225</v>
      </c>
      <c r="B89" t="s">
        <v>743</v>
      </c>
      <c r="E89" s="84">
        <v>-200</v>
      </c>
    </row>
    <row r="90" spans="1:8">
      <c r="A90" s="96">
        <v>45226</v>
      </c>
      <c r="B90" t="s">
        <v>467</v>
      </c>
      <c r="D90" s="37">
        <v>150</v>
      </c>
      <c r="E90" s="84">
        <v>-150</v>
      </c>
    </row>
    <row r="91" spans="1:8">
      <c r="A91" s="96">
        <v>45227</v>
      </c>
      <c r="B91" t="s">
        <v>467</v>
      </c>
      <c r="D91" s="37">
        <v>100</v>
      </c>
      <c r="E91" s="84">
        <v>-100</v>
      </c>
    </row>
    <row r="92" spans="1:8">
      <c r="A92" s="96">
        <v>45227</v>
      </c>
      <c r="B92" t="s">
        <v>464</v>
      </c>
      <c r="D92">
        <v>70</v>
      </c>
      <c r="E92" s="84">
        <v>-70</v>
      </c>
    </row>
    <row r="93" spans="1:8">
      <c r="A93" s="96">
        <v>45229</v>
      </c>
      <c r="B93" t="s">
        <v>467</v>
      </c>
      <c r="D93">
        <v>200</v>
      </c>
      <c r="E93" s="84">
        <v>-200</v>
      </c>
    </row>
    <row r="94" spans="1:8">
      <c r="A94" s="96">
        <v>45229</v>
      </c>
      <c r="B94" t="s">
        <v>744</v>
      </c>
      <c r="D94">
        <v>95.49</v>
      </c>
      <c r="E94" s="84">
        <v>-95.49</v>
      </c>
    </row>
    <row r="95" spans="1:8">
      <c r="A95" s="96">
        <v>45232</v>
      </c>
      <c r="B95" t="s">
        <v>467</v>
      </c>
      <c r="D95">
        <v>250</v>
      </c>
      <c r="E95" s="84">
        <v>-250</v>
      </c>
    </row>
    <row r="96" spans="1:8">
      <c r="A96" s="96">
        <v>45233</v>
      </c>
      <c r="B96" t="s">
        <v>467</v>
      </c>
      <c r="D96">
        <v>180</v>
      </c>
      <c r="E96" s="84">
        <v>-160</v>
      </c>
    </row>
    <row r="97" spans="1:5">
      <c r="A97" s="96">
        <v>45234</v>
      </c>
      <c r="B97" t="s">
        <v>467</v>
      </c>
      <c r="D97">
        <v>320</v>
      </c>
      <c r="E97" s="84">
        <v>-320</v>
      </c>
    </row>
    <row r="98" spans="1:5">
      <c r="A98" s="96">
        <v>45237</v>
      </c>
      <c r="B98" t="s">
        <v>467</v>
      </c>
      <c r="D98">
        <v>200</v>
      </c>
      <c r="E98" s="84">
        <v>-200</v>
      </c>
    </row>
    <row r="99" spans="1:5">
      <c r="A99" s="96">
        <v>45237</v>
      </c>
      <c r="B99" t="s">
        <v>24</v>
      </c>
      <c r="E99" s="84">
        <v>-500</v>
      </c>
    </row>
    <row r="100" spans="1:5">
      <c r="A100" s="96">
        <v>45237</v>
      </c>
      <c r="B100" t="s">
        <v>745</v>
      </c>
      <c r="E100" s="84">
        <v>-180</v>
      </c>
    </row>
    <row r="101" spans="1:5">
      <c r="A101" s="96">
        <v>45238</v>
      </c>
      <c r="B101" t="s">
        <v>467</v>
      </c>
      <c r="D101">
        <v>160</v>
      </c>
      <c r="E101" s="84">
        <v>-160</v>
      </c>
    </row>
    <row r="102" spans="1:5">
      <c r="A102" s="96">
        <v>45239</v>
      </c>
      <c r="B102" t="s">
        <v>467</v>
      </c>
      <c r="D102">
        <v>250</v>
      </c>
      <c r="E102" s="84">
        <v>-250</v>
      </c>
    </row>
    <row r="103" spans="1:5">
      <c r="A103" s="96">
        <v>45240</v>
      </c>
      <c r="B103" t="s">
        <v>467</v>
      </c>
      <c r="D103">
        <v>160</v>
      </c>
      <c r="E103" s="84">
        <v>-160</v>
      </c>
    </row>
    <row r="104" spans="1:5">
      <c r="A104" s="96">
        <v>45241</v>
      </c>
      <c r="B104" t="s">
        <v>467</v>
      </c>
      <c r="D104">
        <v>250</v>
      </c>
      <c r="E104" s="84">
        <v>-250</v>
      </c>
    </row>
    <row r="105" spans="1:5">
      <c r="A105" s="96">
        <v>45244</v>
      </c>
      <c r="B105" t="s">
        <v>746</v>
      </c>
      <c r="E105" s="84">
        <v>-1144.1099999999999</v>
      </c>
    </row>
    <row r="106" spans="1:5">
      <c r="A106" s="96">
        <v>45245</v>
      </c>
      <c r="B106" t="s">
        <v>747</v>
      </c>
      <c r="E106" s="84">
        <v>-373.92</v>
      </c>
    </row>
    <row r="107" spans="1:5">
      <c r="A107" s="96">
        <v>45253</v>
      </c>
      <c r="B107" t="s">
        <v>467</v>
      </c>
      <c r="D107">
        <v>200</v>
      </c>
      <c r="E107" s="84">
        <v>-200</v>
      </c>
    </row>
    <row r="108" spans="1:5">
      <c r="E108" s="84"/>
    </row>
    <row r="109" spans="1:5">
      <c r="B109" t="s">
        <v>748</v>
      </c>
      <c r="D109">
        <f>SUM(D87:D108)</f>
        <v>2945.49</v>
      </c>
      <c r="E109" s="84"/>
    </row>
    <row r="110" spans="1:5" ht="15">
      <c r="D110" s="108" t="s">
        <v>285</v>
      </c>
    </row>
    <row r="111" spans="1:5">
      <c r="A111" s="76" t="s">
        <v>170</v>
      </c>
      <c r="B111" s="77" t="s">
        <v>171</v>
      </c>
      <c r="C111" s="78">
        <v>2023</v>
      </c>
      <c r="D111" s="79"/>
      <c r="E111" s="80">
        <f>SUM(E112:E128)</f>
        <v>698220.30499999993</v>
      </c>
    </row>
    <row r="112" spans="1:5">
      <c r="A112" s="81">
        <v>45290</v>
      </c>
      <c r="B112" t="s">
        <v>84</v>
      </c>
      <c r="C112" s="2"/>
      <c r="D112" s="2"/>
      <c r="E112" s="13">
        <v>64000</v>
      </c>
    </row>
    <row r="113" spans="1:5">
      <c r="A113" s="81">
        <f t="shared" ref="A113:A122" si="2">A112</f>
        <v>45290</v>
      </c>
      <c r="B113" t="s">
        <v>172</v>
      </c>
      <c r="C113" s="2"/>
      <c r="D113" s="2"/>
      <c r="E113" s="13">
        <v>218088</v>
      </c>
    </row>
    <row r="114" spans="1:5">
      <c r="A114" s="81">
        <f t="shared" si="2"/>
        <v>45290</v>
      </c>
      <c r="B114" t="s">
        <v>173</v>
      </c>
      <c r="C114" s="2"/>
      <c r="D114" s="2"/>
      <c r="E114" s="13">
        <v>3609.29</v>
      </c>
    </row>
    <row r="115" spans="1:5">
      <c r="A115" s="81">
        <f t="shared" si="2"/>
        <v>45290</v>
      </c>
      <c r="B115" t="s">
        <v>174</v>
      </c>
      <c r="C115" s="2"/>
      <c r="D115" s="2"/>
      <c r="E115" s="13">
        <v>122.31</v>
      </c>
    </row>
    <row r="116" spans="1:5">
      <c r="A116" s="81">
        <f t="shared" si="2"/>
        <v>45290</v>
      </c>
      <c r="B116" t="s">
        <v>175</v>
      </c>
      <c r="D116" s="2"/>
      <c r="E116" s="13">
        <v>6267.13</v>
      </c>
    </row>
    <row r="117" spans="1:5">
      <c r="A117" s="81">
        <f t="shared" si="2"/>
        <v>45290</v>
      </c>
      <c r="B117" t="s">
        <v>60</v>
      </c>
      <c r="C117" s="2" t="s">
        <v>176</v>
      </c>
      <c r="D117" s="2"/>
      <c r="E117" s="13">
        <v>21088.49</v>
      </c>
    </row>
    <row r="118" spans="1:5">
      <c r="A118" s="81">
        <f t="shared" si="2"/>
        <v>45290</v>
      </c>
      <c r="B118" t="s">
        <v>177</v>
      </c>
      <c r="C118" s="2" t="s">
        <v>178</v>
      </c>
      <c r="D118" s="2"/>
      <c r="E118" s="13">
        <v>5587.73</v>
      </c>
    </row>
    <row r="119" spans="1:5">
      <c r="A119" s="81">
        <f t="shared" si="2"/>
        <v>45290</v>
      </c>
      <c r="B119" t="s">
        <v>179</v>
      </c>
      <c r="C119" s="81">
        <v>45295</v>
      </c>
      <c r="D119" s="82">
        <v>-629.36</v>
      </c>
      <c r="E119" s="13">
        <v>4752.22</v>
      </c>
    </row>
    <row r="120" spans="1:5">
      <c r="A120" s="81">
        <f t="shared" si="2"/>
        <v>45290</v>
      </c>
      <c r="B120" t="s">
        <v>180</v>
      </c>
      <c r="C120" s="81">
        <v>45295</v>
      </c>
      <c r="D120" s="82">
        <v>-52.52</v>
      </c>
      <c r="E120" s="13">
        <v>315.38</v>
      </c>
    </row>
    <row r="121" spans="1:5">
      <c r="A121" s="81">
        <f t="shared" si="2"/>
        <v>45290</v>
      </c>
      <c r="B121" t="s">
        <v>181</v>
      </c>
      <c r="C121" s="81">
        <v>45295</v>
      </c>
      <c r="D121" s="82">
        <v>-196</v>
      </c>
      <c r="E121" s="13">
        <v>295.8</v>
      </c>
    </row>
    <row r="122" spans="1:5">
      <c r="A122" s="81">
        <f t="shared" si="2"/>
        <v>45290</v>
      </c>
      <c r="B122" t="s">
        <v>182</v>
      </c>
      <c r="C122" s="81">
        <v>45295</v>
      </c>
      <c r="D122" s="82">
        <v>-669.7</v>
      </c>
      <c r="E122" s="13">
        <v>4239.3</v>
      </c>
    </row>
    <row r="123" spans="1:5">
      <c r="A123" s="81">
        <f>A116</f>
        <v>45290</v>
      </c>
      <c r="B123" t="s">
        <v>183</v>
      </c>
      <c r="C123" s="2"/>
      <c r="D123" s="2"/>
      <c r="E123" s="13">
        <v>1000</v>
      </c>
    </row>
    <row r="124" spans="1:5">
      <c r="A124" s="81">
        <f>A115</f>
        <v>45290</v>
      </c>
      <c r="B124" t="s">
        <v>184</v>
      </c>
      <c r="C124" s="2">
        <v>1928.59</v>
      </c>
      <c r="D124" s="2">
        <v>161</v>
      </c>
      <c r="E124" s="13">
        <f>D124*C124</f>
        <v>310502.99</v>
      </c>
    </row>
    <row r="125" spans="1:5">
      <c r="A125" s="81">
        <f>A124</f>
        <v>45290</v>
      </c>
      <c r="B125" t="s">
        <v>185</v>
      </c>
      <c r="C125" s="83">
        <v>29.2927</v>
      </c>
      <c r="D125" s="2">
        <v>850</v>
      </c>
      <c r="E125" s="13">
        <f>D125*C125</f>
        <v>24898.794999999998</v>
      </c>
    </row>
    <row r="126" spans="1:5">
      <c r="A126" s="81">
        <f>A125</f>
        <v>45290</v>
      </c>
      <c r="B126" t="s">
        <v>186</v>
      </c>
      <c r="C126" s="83">
        <v>32.028700000000001</v>
      </c>
      <c r="D126" s="2">
        <v>100</v>
      </c>
      <c r="E126" s="13">
        <f>D126*C126</f>
        <v>3202.87</v>
      </c>
    </row>
    <row r="127" spans="1:5">
      <c r="A127" s="81">
        <f>A126</f>
        <v>45290</v>
      </c>
      <c r="B127" t="s">
        <v>187</v>
      </c>
      <c r="C127" s="2"/>
      <c r="D127" s="2"/>
      <c r="E127" s="13">
        <v>30000</v>
      </c>
    </row>
    <row r="128" spans="1:5">
      <c r="A128" s="81">
        <f>A127</f>
        <v>45290</v>
      </c>
      <c r="B128" t="s">
        <v>94</v>
      </c>
      <c r="C128" s="2"/>
      <c r="D128" s="2"/>
      <c r="E128" s="13">
        <v>250</v>
      </c>
    </row>
    <row r="129" spans="3:5">
      <c r="C129" s="3" t="str">
        <f>A111</f>
        <v>ARALIK</v>
      </c>
      <c r="D129" s="70" t="s">
        <v>188</v>
      </c>
      <c r="E129" s="84">
        <f>H33</f>
        <v>-25773.700000000004</v>
      </c>
    </row>
    <row r="130" spans="3:5">
      <c r="D130" s="3"/>
    </row>
    <row r="131" spans="3:5">
      <c r="D131" s="70" t="s">
        <v>189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H125"/>
  <sheetViews>
    <sheetView topLeftCell="A13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749</v>
      </c>
      <c r="C2" s="87" t="s">
        <v>191</v>
      </c>
      <c r="D2" s="240">
        <f>SUM(D5:D36)</f>
        <v>262800</v>
      </c>
      <c r="E2" s="240">
        <f>SUM(E4:E27)</f>
        <v>-98843.11</v>
      </c>
      <c r="F2" s="240">
        <f>SUM(F5:F37)</f>
        <v>177687.06</v>
      </c>
      <c r="G2" s="240">
        <f>SUM(G4:G37)</f>
        <v>-242504.11</v>
      </c>
      <c r="H2" s="240">
        <f>F2+G2</f>
        <v>-64817.049999999988</v>
      </c>
    </row>
    <row r="3" spans="1:8">
      <c r="B3" s="70"/>
      <c r="H3" s="65"/>
    </row>
    <row r="4" spans="1:8">
      <c r="A4" s="96">
        <v>45231</v>
      </c>
      <c r="B4" s="245" t="s">
        <v>192</v>
      </c>
      <c r="E4" s="65">
        <v>-152</v>
      </c>
      <c r="G4" s="65">
        <v>-152</v>
      </c>
      <c r="H4" s="65">
        <f t="shared" ref="H4:H33" si="0">H3+F4+G4</f>
        <v>-152</v>
      </c>
    </row>
    <row r="5" spans="1:8">
      <c r="A5" s="96">
        <v>45232</v>
      </c>
      <c r="B5" s="88" t="s">
        <v>194</v>
      </c>
      <c r="C5" s="88"/>
      <c r="D5" s="88"/>
      <c r="E5" s="65">
        <v>-400</v>
      </c>
      <c r="G5" s="65">
        <v>-277</v>
      </c>
      <c r="H5" s="65">
        <f t="shared" si="0"/>
        <v>-429</v>
      </c>
    </row>
    <row r="6" spans="1:8">
      <c r="A6" s="96">
        <v>45232</v>
      </c>
      <c r="B6" s="88" t="s">
        <v>195</v>
      </c>
      <c r="C6" s="88"/>
      <c r="D6" s="88"/>
      <c r="E6" s="65">
        <v>-500</v>
      </c>
      <c r="G6" s="65">
        <v>-512</v>
      </c>
      <c r="H6" s="65">
        <f t="shared" si="0"/>
        <v>-941</v>
      </c>
    </row>
    <row r="7" spans="1:8">
      <c r="A7" s="96">
        <v>45231</v>
      </c>
      <c r="B7" s="88" t="s">
        <v>750</v>
      </c>
      <c r="C7" s="88"/>
      <c r="D7" s="88"/>
      <c r="E7" s="65">
        <v>-250</v>
      </c>
      <c r="G7" s="65">
        <v>-250</v>
      </c>
      <c r="H7" s="65">
        <f t="shared" si="0"/>
        <v>-1191</v>
      </c>
    </row>
    <row r="8" spans="1:8">
      <c r="B8" s="95" t="s">
        <v>212</v>
      </c>
      <c r="D8" s="65"/>
      <c r="E8" s="65">
        <f>E49*-1</f>
        <v>-51.54</v>
      </c>
      <c r="F8" s="65"/>
      <c r="G8" s="65">
        <f>E8</f>
        <v>-51.54</v>
      </c>
      <c r="H8" s="65">
        <f t="shared" si="0"/>
        <v>-1242.54</v>
      </c>
    </row>
    <row r="9" spans="1:8">
      <c r="B9" s="95" t="s">
        <v>213</v>
      </c>
      <c r="E9" s="65">
        <f>E55</f>
        <v>-5698.99</v>
      </c>
      <c r="F9" s="65"/>
      <c r="G9" s="65">
        <f>E9</f>
        <v>-5698.99</v>
      </c>
      <c r="H9" s="65">
        <f t="shared" si="0"/>
        <v>-6941.53</v>
      </c>
    </row>
    <row r="10" spans="1:8">
      <c r="A10" s="96">
        <v>45232</v>
      </c>
      <c r="B10" s="95" t="s">
        <v>214</v>
      </c>
      <c r="E10" s="65">
        <f>E71</f>
        <v>-71595.5</v>
      </c>
      <c r="G10" s="65">
        <f>E10</f>
        <v>-71595.5</v>
      </c>
      <c r="H10" s="65">
        <f t="shared" si="0"/>
        <v>-78537.03</v>
      </c>
    </row>
    <row r="11" spans="1:8">
      <c r="A11" s="97"/>
      <c r="B11" s="88" t="s">
        <v>751</v>
      </c>
      <c r="C11" s="88"/>
      <c r="D11" s="88"/>
      <c r="E11" s="65">
        <v>-5375</v>
      </c>
      <c r="G11" s="65">
        <v>-5375</v>
      </c>
      <c r="H11" s="65">
        <f t="shared" si="0"/>
        <v>-83912.03</v>
      </c>
    </row>
    <row r="12" spans="1:8">
      <c r="A12" s="97"/>
      <c r="B12" s="88" t="s">
        <v>751</v>
      </c>
      <c r="C12" s="88"/>
      <c r="D12" s="88"/>
      <c r="E12" s="65">
        <v>-2125</v>
      </c>
      <c r="G12" s="65">
        <v>-2125</v>
      </c>
      <c r="H12" s="65">
        <f t="shared" si="0"/>
        <v>-86037.03</v>
      </c>
    </row>
    <row r="13" spans="1:8">
      <c r="A13" s="96">
        <v>45231</v>
      </c>
      <c r="B13" s="88" t="s">
        <v>752</v>
      </c>
      <c r="C13" s="88"/>
      <c r="D13" s="88"/>
      <c r="E13" s="65">
        <v>-945.08</v>
      </c>
      <c r="F13" s="84"/>
      <c r="G13" s="65">
        <v>-945.08</v>
      </c>
      <c r="H13" s="65">
        <f t="shared" si="0"/>
        <v>-86982.11</v>
      </c>
    </row>
    <row r="14" spans="1:8">
      <c r="B14" s="88" t="s">
        <v>208</v>
      </c>
      <c r="C14" s="88"/>
      <c r="D14" s="88"/>
      <c r="E14" s="65">
        <v>-150</v>
      </c>
      <c r="F14" s="84"/>
      <c r="G14" s="65">
        <v>0</v>
      </c>
      <c r="H14" s="65">
        <f t="shared" si="0"/>
        <v>-86982.11</v>
      </c>
    </row>
    <row r="15" spans="1:8">
      <c r="B15" s="94" t="s">
        <v>210</v>
      </c>
      <c r="C15" s="94"/>
      <c r="D15" s="94"/>
      <c r="E15" s="65">
        <v>-1000</v>
      </c>
      <c r="F15" s="84"/>
      <c r="G15" s="65">
        <v>0</v>
      </c>
      <c r="H15" s="65">
        <f t="shared" si="0"/>
        <v>-86982.11</v>
      </c>
    </row>
    <row r="16" spans="1:8">
      <c r="B16" s="94" t="s">
        <v>211</v>
      </c>
      <c r="C16" s="94"/>
      <c r="D16" s="94"/>
      <c r="E16" s="65">
        <v>-100</v>
      </c>
      <c r="F16" s="84"/>
      <c r="G16" s="65">
        <v>0</v>
      </c>
      <c r="H16" s="65">
        <f t="shared" si="0"/>
        <v>-86982.11</v>
      </c>
    </row>
    <row r="17" spans="1:8">
      <c r="B17" t="s">
        <v>84</v>
      </c>
      <c r="E17" s="65">
        <v>-3500</v>
      </c>
      <c r="F17" s="65"/>
      <c r="G17" s="65">
        <v>-3511</v>
      </c>
      <c r="H17" s="65">
        <f t="shared" si="0"/>
        <v>-90493.11</v>
      </c>
    </row>
    <row r="18" spans="1:8">
      <c r="B18" t="s">
        <v>172</v>
      </c>
      <c r="E18" s="65">
        <v>-3500</v>
      </c>
      <c r="F18" s="65"/>
      <c r="G18" s="65">
        <v>-3511</v>
      </c>
      <c r="H18" s="65">
        <f t="shared" si="0"/>
        <v>-94004.11</v>
      </c>
    </row>
    <row r="19" spans="1:8">
      <c r="B19" t="s">
        <v>217</v>
      </c>
      <c r="E19" s="65">
        <v>-3500</v>
      </c>
      <c r="F19" s="65"/>
      <c r="G19" s="65">
        <v>-3500</v>
      </c>
      <c r="H19" s="65">
        <f t="shared" si="0"/>
        <v>-97504.11</v>
      </c>
    </row>
    <row r="20" spans="1:8">
      <c r="A20" s="96">
        <v>45236</v>
      </c>
      <c r="B20" t="s">
        <v>753</v>
      </c>
      <c r="E20" s="84"/>
      <c r="F20" s="65">
        <v>15887.06</v>
      </c>
      <c r="G20" s="65"/>
      <c r="H20" s="65">
        <f t="shared" si="0"/>
        <v>-81617.05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-74117.05</v>
      </c>
    </row>
    <row r="22" spans="1:8">
      <c r="A22" s="96">
        <v>45232</v>
      </c>
      <c r="B22" t="s">
        <v>754</v>
      </c>
      <c r="C22" t="s">
        <v>755</v>
      </c>
      <c r="D22" s="121">
        <v>2800</v>
      </c>
      <c r="F22" s="65">
        <v>2800</v>
      </c>
      <c r="G22" s="65"/>
      <c r="H22" s="65">
        <f t="shared" si="0"/>
        <v>-71317.05</v>
      </c>
    </row>
    <row r="23" spans="1:8">
      <c r="B23" t="s">
        <v>756</v>
      </c>
      <c r="D23" s="121">
        <v>6500</v>
      </c>
      <c r="F23" s="65">
        <v>6500</v>
      </c>
      <c r="G23" s="65"/>
      <c r="H23" s="65">
        <f t="shared" si="0"/>
        <v>-64817.05</v>
      </c>
    </row>
    <row r="24" spans="1:8">
      <c r="A24" s="97">
        <v>45231</v>
      </c>
      <c r="B24" t="s">
        <v>757</v>
      </c>
      <c r="D24" s="121"/>
      <c r="G24" s="65"/>
      <c r="H24" s="65">
        <f t="shared" si="0"/>
        <v>-64817.05</v>
      </c>
    </row>
    <row r="25" spans="1:8">
      <c r="A25" s="97">
        <v>45260</v>
      </c>
      <c r="B25" t="s">
        <v>758</v>
      </c>
      <c r="D25" s="121">
        <v>240000</v>
      </c>
      <c r="F25" s="65">
        <v>135000</v>
      </c>
      <c r="G25" s="65"/>
      <c r="H25" s="65">
        <f t="shared" si="0"/>
        <v>70182.95</v>
      </c>
    </row>
    <row r="26" spans="1:8">
      <c r="A26" s="97"/>
      <c r="D26" s="121"/>
      <c r="F26" s="65"/>
      <c r="G26" s="65">
        <v>-135000</v>
      </c>
      <c r="H26" s="65">
        <f t="shared" si="0"/>
        <v>-64817.05</v>
      </c>
    </row>
    <row r="27" spans="1:8">
      <c r="A27" s="97">
        <v>45266</v>
      </c>
      <c r="B27" t="s">
        <v>759</v>
      </c>
      <c r="D27" s="121">
        <v>6000</v>
      </c>
      <c r="G27" s="65"/>
      <c r="H27" s="65">
        <f t="shared" si="0"/>
        <v>-64817.05</v>
      </c>
    </row>
    <row r="28" spans="1:8">
      <c r="A28" s="81">
        <v>45258</v>
      </c>
      <c r="B28" t="s">
        <v>760</v>
      </c>
      <c r="D28" s="121"/>
      <c r="F28" s="65">
        <v>10000</v>
      </c>
      <c r="H28" s="65">
        <f t="shared" si="0"/>
        <v>-54817.05</v>
      </c>
    </row>
    <row r="29" spans="1:8">
      <c r="A29" s="81">
        <v>45258</v>
      </c>
      <c r="B29" t="s">
        <v>761</v>
      </c>
      <c r="D29" s="121"/>
      <c r="F29" s="65"/>
      <c r="G29" s="65">
        <v>-10000</v>
      </c>
      <c r="H29" s="65">
        <f t="shared" si="0"/>
        <v>-64817.05</v>
      </c>
    </row>
    <row r="30" spans="1:8">
      <c r="A30" s="96">
        <v>45259</v>
      </c>
      <c r="B30" t="s">
        <v>502</v>
      </c>
      <c r="C30" t="s">
        <v>724</v>
      </c>
      <c r="E30" s="65">
        <v>-1204.5</v>
      </c>
      <c r="H30" s="65">
        <f t="shared" si="0"/>
        <v>-64817.05</v>
      </c>
    </row>
    <row r="31" spans="1:8">
      <c r="A31" s="96">
        <v>45259</v>
      </c>
      <c r="B31" t="s">
        <v>504</v>
      </c>
      <c r="C31" t="s">
        <v>724</v>
      </c>
      <c r="E31" s="65">
        <v>-148.6</v>
      </c>
      <c r="H31" s="65">
        <f t="shared" si="0"/>
        <v>-64817.05</v>
      </c>
    </row>
    <row r="32" spans="1:8">
      <c r="A32" s="96">
        <v>45259</v>
      </c>
      <c r="B32" t="s">
        <v>505</v>
      </c>
      <c r="C32" t="s">
        <v>724</v>
      </c>
      <c r="E32" s="65">
        <v>-244.8</v>
      </c>
      <c r="H32" s="65">
        <f t="shared" si="0"/>
        <v>-64817.05</v>
      </c>
    </row>
    <row r="33" spans="1:8">
      <c r="A33" s="96">
        <v>45259</v>
      </c>
      <c r="B33" t="s">
        <v>762</v>
      </c>
      <c r="C33" t="s">
        <v>724</v>
      </c>
      <c r="E33" s="65">
        <v>-532.6</v>
      </c>
      <c r="F33" s="65"/>
      <c r="G33" s="65"/>
      <c r="H33" s="65">
        <f t="shared" si="0"/>
        <v>-64817.05</v>
      </c>
    </row>
    <row r="34" spans="1:8">
      <c r="F34" s="65"/>
      <c r="G34" s="65"/>
      <c r="H34" s="65"/>
    </row>
    <row r="35" spans="1:8">
      <c r="F35" s="65"/>
      <c r="G35" s="65"/>
      <c r="H35" s="65"/>
    </row>
    <row r="36" spans="1:8">
      <c r="E36" s="65"/>
      <c r="G36" s="65"/>
      <c r="H36" s="65"/>
    </row>
    <row r="37" spans="1:8">
      <c r="B37" t="s">
        <v>222</v>
      </c>
      <c r="E37" s="65"/>
      <c r="G37" s="65"/>
      <c r="H37" s="65"/>
    </row>
    <row r="38" spans="1:8">
      <c r="A38" s="78" t="s">
        <v>223</v>
      </c>
      <c r="B38" s="78"/>
      <c r="C38" s="78"/>
      <c r="D38" s="78"/>
      <c r="E38" s="79"/>
      <c r="G38" s="65"/>
      <c r="H38" s="65"/>
    </row>
    <row r="39" spans="1:8">
      <c r="A39" s="251"/>
      <c r="B39" s="246"/>
      <c r="C39" s="246"/>
      <c r="D39" s="246"/>
      <c r="E39" s="247"/>
      <c r="H39" s="65"/>
    </row>
    <row r="40" spans="1:8">
      <c r="A40" s="251"/>
      <c r="B40" s="246"/>
      <c r="C40" s="248"/>
      <c r="D40" s="246"/>
      <c r="E40" s="246"/>
      <c r="H40" s="65"/>
    </row>
    <row r="41" spans="1:8">
      <c r="A41" s="251"/>
      <c r="B41" s="246"/>
      <c r="C41" s="248"/>
      <c r="D41" s="246"/>
      <c r="E41" s="246"/>
      <c r="H41" s="65"/>
    </row>
    <row r="42" spans="1:8">
      <c r="A42" s="97"/>
      <c r="C42" s="98"/>
      <c r="H42" s="65"/>
    </row>
    <row r="43" spans="1:8">
      <c r="A43" s="100">
        <v>44929</v>
      </c>
      <c r="B43" s="101" t="s">
        <v>224</v>
      </c>
      <c r="C43" s="78"/>
      <c r="D43" s="136">
        <f>SUM(D44:D51)</f>
        <v>3906.8500000000004</v>
      </c>
      <c r="E43" s="136">
        <f>SUM(E44:E51)</f>
        <v>3907.8</v>
      </c>
      <c r="H43" s="65"/>
    </row>
    <row r="44" spans="1:8">
      <c r="B44" t="s">
        <v>733</v>
      </c>
      <c r="D44">
        <v>628.12</v>
      </c>
      <c r="E44" s="65">
        <v>630</v>
      </c>
      <c r="F44" s="65"/>
      <c r="G44" s="65"/>
    </row>
    <row r="45" spans="1:8">
      <c r="B45" t="s">
        <v>226</v>
      </c>
      <c r="D45">
        <v>1539.74</v>
      </c>
      <c r="E45" s="65">
        <v>1540</v>
      </c>
      <c r="F45" s="65"/>
      <c r="G45" s="65"/>
    </row>
    <row r="46" spans="1:8">
      <c r="B46" t="s">
        <v>227</v>
      </c>
      <c r="D46">
        <v>165.4</v>
      </c>
      <c r="E46">
        <v>165</v>
      </c>
      <c r="F46" s="65"/>
      <c r="G46" s="65"/>
    </row>
    <row r="47" spans="1:8">
      <c r="B47" t="s">
        <v>228</v>
      </c>
      <c r="D47">
        <v>1142.79</v>
      </c>
      <c r="E47">
        <v>1142</v>
      </c>
      <c r="F47" s="65"/>
      <c r="G47" s="65"/>
    </row>
    <row r="48" spans="1:8">
      <c r="B48" t="s">
        <v>229</v>
      </c>
      <c r="D48" s="3">
        <v>379.26</v>
      </c>
      <c r="E48">
        <v>379.26</v>
      </c>
      <c r="F48" s="65"/>
      <c r="G48" s="65"/>
    </row>
    <row r="49" spans="1:8">
      <c r="B49" t="s">
        <v>230</v>
      </c>
      <c r="C49" s="94"/>
      <c r="D49" s="94">
        <v>51.54</v>
      </c>
      <c r="E49">
        <v>51.54</v>
      </c>
      <c r="F49" s="65"/>
      <c r="G49" s="65"/>
    </row>
    <row r="50" spans="1:8">
      <c r="C50" s="94"/>
      <c r="E50" s="94"/>
      <c r="F50" s="65"/>
      <c r="G50" s="65"/>
    </row>
    <row r="51" spans="1:8">
      <c r="C51" s="94"/>
      <c r="D51" s="94"/>
      <c r="E51" s="84"/>
      <c r="F51" s="65"/>
      <c r="G51" s="65"/>
    </row>
    <row r="53" spans="1:8">
      <c r="B53" s="13"/>
    </row>
    <row r="54" spans="1:8">
      <c r="B54" s="102"/>
    </row>
    <row r="55" spans="1:8">
      <c r="A55" s="78"/>
      <c r="B55" s="77" t="s">
        <v>231</v>
      </c>
      <c r="C55" s="78"/>
      <c r="D55" s="79"/>
      <c r="E55" s="80">
        <f>SUM(E56:E68)</f>
        <v>-5698.99</v>
      </c>
    </row>
    <row r="56" spans="1:8">
      <c r="A56" s="97"/>
      <c r="C56" s="94"/>
      <c r="D56" s="94"/>
      <c r="E56" s="84"/>
      <c r="G56" s="65"/>
      <c r="H56" s="65"/>
    </row>
    <row r="57" spans="1:8">
      <c r="A57" s="97">
        <v>44995</v>
      </c>
      <c r="B57" t="s">
        <v>586</v>
      </c>
      <c r="C57">
        <v>613.91</v>
      </c>
      <c r="D57" s="37" t="s">
        <v>763</v>
      </c>
      <c r="E57" s="84">
        <v>-61.39</v>
      </c>
      <c r="F57" s="65"/>
      <c r="G57" s="65"/>
      <c r="H57" s="65"/>
    </row>
    <row r="58" spans="1:8">
      <c r="A58" s="97">
        <v>45043</v>
      </c>
      <c r="B58" s="94" t="s">
        <v>764</v>
      </c>
      <c r="C58" s="94">
        <v>3299</v>
      </c>
      <c r="D58" s="37" t="s">
        <v>765</v>
      </c>
      <c r="E58" s="84">
        <v>-549.85</v>
      </c>
      <c r="F58" s="65"/>
      <c r="G58" s="65"/>
      <c r="H58" s="65"/>
    </row>
    <row r="59" spans="1:8">
      <c r="A59" s="97">
        <v>45043</v>
      </c>
      <c r="B59" s="94" t="s">
        <v>539</v>
      </c>
      <c r="C59" s="94">
        <v>10764.57</v>
      </c>
      <c r="D59" s="37" t="s">
        <v>490</v>
      </c>
      <c r="E59" s="84">
        <v>-1196.06</v>
      </c>
      <c r="F59" s="65"/>
      <c r="G59" s="65"/>
      <c r="H59" s="65"/>
    </row>
    <row r="60" spans="1:8">
      <c r="A60" s="97">
        <v>45044</v>
      </c>
      <c r="B60" t="s">
        <v>766</v>
      </c>
      <c r="C60" s="94">
        <v>3123.29</v>
      </c>
      <c r="D60" s="139" t="s">
        <v>765</v>
      </c>
      <c r="E60" s="84">
        <v>-520.54</v>
      </c>
      <c r="F60" s="65"/>
      <c r="G60" s="65"/>
      <c r="H60" s="65"/>
    </row>
    <row r="61" spans="1:8">
      <c r="A61" s="97">
        <v>45078</v>
      </c>
      <c r="B61" s="94" t="s">
        <v>737</v>
      </c>
      <c r="D61" s="139" t="s">
        <v>278</v>
      </c>
      <c r="E61" s="84">
        <v>-666.67</v>
      </c>
      <c r="F61" s="65"/>
      <c r="G61" s="65"/>
      <c r="H61" s="65"/>
    </row>
    <row r="62" spans="1:8">
      <c r="A62" s="97">
        <v>45187</v>
      </c>
      <c r="B62" s="94" t="s">
        <v>375</v>
      </c>
      <c r="C62" s="94">
        <v>7648.33</v>
      </c>
      <c r="D62" s="139" t="s">
        <v>422</v>
      </c>
      <c r="E62" s="84">
        <v>-849.81</v>
      </c>
      <c r="F62" s="65"/>
      <c r="G62" s="65"/>
      <c r="H62" s="65"/>
    </row>
    <row r="63" spans="1:8">
      <c r="A63" s="97">
        <v>45187</v>
      </c>
      <c r="B63" s="94" t="s">
        <v>491</v>
      </c>
      <c r="C63" s="94">
        <v>11128</v>
      </c>
      <c r="D63" s="139" t="s">
        <v>420</v>
      </c>
      <c r="E63" s="84">
        <v>-1854.67</v>
      </c>
      <c r="F63" s="65"/>
      <c r="G63" s="65"/>
      <c r="H63" s="65"/>
    </row>
    <row r="64" spans="1:8">
      <c r="A64" s="97">
        <v>45204</v>
      </c>
      <c r="B64" s="94" t="s">
        <v>284</v>
      </c>
      <c r="C64" s="94">
        <v>-6481.59</v>
      </c>
      <c r="D64" s="94"/>
      <c r="E64" s="84"/>
      <c r="F64" s="65"/>
      <c r="G64" s="65"/>
      <c r="H64" s="65"/>
    </row>
    <row r="65" spans="1:8">
      <c r="A65" s="97"/>
      <c r="C65" s="94"/>
      <c r="D65" s="94"/>
      <c r="E65" s="84"/>
      <c r="F65" s="65"/>
      <c r="G65" s="65"/>
      <c r="H65" s="65"/>
    </row>
    <row r="66" spans="1:8" ht="15">
      <c r="A66" s="97"/>
      <c r="D66" s="108" t="s">
        <v>285</v>
      </c>
      <c r="E66" s="84"/>
    </row>
    <row r="67" spans="1:8">
      <c r="A67" s="97"/>
      <c r="E67" s="84"/>
    </row>
    <row r="69" spans="1:8">
      <c r="D69" s="37"/>
    </row>
    <row r="71" spans="1:8">
      <c r="A71" s="78"/>
      <c r="B71" s="77" t="s">
        <v>235</v>
      </c>
      <c r="C71" s="78"/>
      <c r="D71" s="78"/>
      <c r="E71" s="80">
        <f>SUM(E72:E104)</f>
        <v>-71595.5</v>
      </c>
    </row>
    <row r="72" spans="1:8">
      <c r="A72" s="97">
        <v>45026</v>
      </c>
      <c r="B72" t="s">
        <v>767</v>
      </c>
      <c r="C72">
        <v>1140.99</v>
      </c>
      <c r="D72" t="s">
        <v>472</v>
      </c>
      <c r="E72" s="84">
        <v>-190.14</v>
      </c>
      <c r="F72" s="65"/>
      <c r="G72" s="65"/>
      <c r="H72" s="65"/>
    </row>
    <row r="73" spans="1:8">
      <c r="A73" s="96">
        <v>45141</v>
      </c>
      <c r="B73" t="s">
        <v>768</v>
      </c>
      <c r="D73" s="37" t="s">
        <v>769</v>
      </c>
      <c r="E73" s="84">
        <v>-181.84</v>
      </c>
      <c r="F73" s="65"/>
      <c r="G73" s="65"/>
      <c r="H73" s="65"/>
    </row>
    <row r="74" spans="1:8">
      <c r="A74" s="97">
        <v>45217</v>
      </c>
      <c r="B74" s="94" t="s">
        <v>498</v>
      </c>
      <c r="C74" s="94"/>
      <c r="D74" t="s">
        <v>741</v>
      </c>
      <c r="E74" s="84">
        <v>-3974.44</v>
      </c>
      <c r="F74" s="65"/>
      <c r="G74" s="65"/>
      <c r="H74" s="65"/>
    </row>
    <row r="75" spans="1:8">
      <c r="A75" s="97">
        <v>45194</v>
      </c>
      <c r="B75" s="94" t="s">
        <v>250</v>
      </c>
      <c r="C75" s="94"/>
      <c r="D75" s="94"/>
      <c r="E75" s="84">
        <v>-59483.25</v>
      </c>
    </row>
    <row r="76" spans="1:8">
      <c r="A76" s="96">
        <v>45214</v>
      </c>
      <c r="B76" t="s">
        <v>471</v>
      </c>
      <c r="D76" t="s">
        <v>770</v>
      </c>
      <c r="E76" s="84">
        <v>-600</v>
      </c>
      <c r="F76" s="65"/>
    </row>
    <row r="77" spans="1:8">
      <c r="A77" s="96">
        <v>45198</v>
      </c>
      <c r="B77" t="s">
        <v>467</v>
      </c>
      <c r="E77" s="84">
        <v>-160</v>
      </c>
    </row>
    <row r="78" spans="1:8">
      <c r="A78" s="96">
        <v>45201</v>
      </c>
      <c r="B78" t="s">
        <v>771</v>
      </c>
      <c r="E78" s="84">
        <v>-1180</v>
      </c>
    </row>
    <row r="79" spans="1:8">
      <c r="A79" s="96">
        <v>45204</v>
      </c>
      <c r="B79" t="s">
        <v>772</v>
      </c>
      <c r="E79" s="84">
        <v>-713.25</v>
      </c>
    </row>
    <row r="80" spans="1:8">
      <c r="A80" s="96">
        <v>45204</v>
      </c>
      <c r="B80" t="s">
        <v>772</v>
      </c>
      <c r="E80" s="84">
        <v>-713.25</v>
      </c>
    </row>
    <row r="81" spans="1:5">
      <c r="A81" s="96">
        <v>45194</v>
      </c>
      <c r="B81" t="s">
        <v>467</v>
      </c>
      <c r="D81" s="37"/>
      <c r="E81" s="84">
        <v>-200</v>
      </c>
    </row>
    <row r="82" spans="1:5">
      <c r="A82" s="96">
        <v>45225</v>
      </c>
      <c r="B82" t="s">
        <v>467</v>
      </c>
      <c r="D82" s="37"/>
      <c r="E82" s="84">
        <v>-160</v>
      </c>
    </row>
    <row r="83" spans="1:5">
      <c r="A83" s="96">
        <v>45226</v>
      </c>
      <c r="B83" t="s">
        <v>467</v>
      </c>
      <c r="E83" s="84">
        <v>-200</v>
      </c>
    </row>
    <row r="84" spans="1:5">
      <c r="A84" s="96">
        <v>45227</v>
      </c>
      <c r="B84" t="s">
        <v>467</v>
      </c>
      <c r="E84" s="84">
        <v>-200</v>
      </c>
    </row>
    <row r="85" spans="1:5">
      <c r="A85" s="96">
        <v>45227</v>
      </c>
      <c r="B85" t="s">
        <v>354</v>
      </c>
      <c r="E85" s="84">
        <v>-245</v>
      </c>
    </row>
    <row r="86" spans="1:5">
      <c r="A86" s="96">
        <v>45228</v>
      </c>
      <c r="B86" t="s">
        <v>467</v>
      </c>
      <c r="E86" s="84">
        <v>-160</v>
      </c>
    </row>
    <row r="87" spans="1:5">
      <c r="A87" s="96">
        <v>45228</v>
      </c>
      <c r="B87" t="s">
        <v>773</v>
      </c>
      <c r="E87" s="84">
        <v>-33.65</v>
      </c>
    </row>
    <row r="88" spans="1:5">
      <c r="A88" s="96">
        <v>45201</v>
      </c>
      <c r="B88" t="s">
        <v>467</v>
      </c>
      <c r="E88" s="84">
        <v>-160</v>
      </c>
    </row>
    <row r="89" spans="1:5">
      <c r="A89" s="96">
        <v>45201</v>
      </c>
      <c r="B89" t="s">
        <v>284</v>
      </c>
      <c r="C89">
        <v>-16000.55</v>
      </c>
      <c r="E89" s="84"/>
    </row>
    <row r="90" spans="1:5">
      <c r="A90" s="96">
        <v>45202</v>
      </c>
      <c r="B90" t="s">
        <v>467</v>
      </c>
      <c r="E90" s="84">
        <v>-250</v>
      </c>
    </row>
    <row r="91" spans="1:5">
      <c r="A91" s="96">
        <v>45204</v>
      </c>
      <c r="B91" t="s">
        <v>467</v>
      </c>
      <c r="E91" s="84">
        <v>-300</v>
      </c>
    </row>
    <row r="92" spans="1:5">
      <c r="A92" s="96">
        <v>45205</v>
      </c>
      <c r="B92" t="s">
        <v>467</v>
      </c>
      <c r="E92" s="84">
        <v>-250</v>
      </c>
    </row>
    <row r="93" spans="1:5">
      <c r="A93" s="96">
        <v>45206</v>
      </c>
      <c r="B93" t="s">
        <v>467</v>
      </c>
      <c r="E93" s="84">
        <v>-250</v>
      </c>
    </row>
    <row r="94" spans="1:5">
      <c r="A94" s="96">
        <v>45206</v>
      </c>
      <c r="B94" t="s">
        <v>774</v>
      </c>
      <c r="E94" s="84">
        <v>-107.32</v>
      </c>
    </row>
    <row r="95" spans="1:5">
      <c r="A95" s="96">
        <v>45210</v>
      </c>
      <c r="B95" t="s">
        <v>467</v>
      </c>
      <c r="E95" s="84">
        <v>-200</v>
      </c>
    </row>
    <row r="96" spans="1:5">
      <c r="A96" s="96">
        <v>45215</v>
      </c>
      <c r="B96" t="s">
        <v>467</v>
      </c>
      <c r="E96" s="84">
        <v>-160</v>
      </c>
    </row>
    <row r="97" spans="1:5">
      <c r="A97" s="96">
        <v>45216</v>
      </c>
      <c r="B97" t="s">
        <v>467</v>
      </c>
      <c r="E97" s="84">
        <v>-160</v>
      </c>
    </row>
    <row r="98" spans="1:5">
      <c r="A98" s="96">
        <v>45217</v>
      </c>
      <c r="B98" t="s">
        <v>467</v>
      </c>
      <c r="E98" s="84">
        <v>-160</v>
      </c>
    </row>
    <row r="99" spans="1:5">
      <c r="A99" s="96">
        <v>45218</v>
      </c>
      <c r="B99" t="s">
        <v>467</v>
      </c>
      <c r="E99" s="84">
        <v>-200</v>
      </c>
    </row>
    <row r="100" spans="1:5">
      <c r="A100" s="96">
        <v>45219</v>
      </c>
      <c r="B100" t="s">
        <v>467</v>
      </c>
      <c r="E100" s="84">
        <v>-165</v>
      </c>
    </row>
    <row r="101" spans="1:5">
      <c r="A101" s="96">
        <v>45219</v>
      </c>
      <c r="B101" t="s">
        <v>773</v>
      </c>
      <c r="E101" s="84">
        <v>-93.36</v>
      </c>
    </row>
    <row r="102" spans="1:5">
      <c r="A102" s="96">
        <v>45220</v>
      </c>
      <c r="B102" t="s">
        <v>467</v>
      </c>
      <c r="E102" s="84">
        <v>-165</v>
      </c>
    </row>
    <row r="103" spans="1:5">
      <c r="A103" s="96">
        <v>45220</v>
      </c>
      <c r="B103" t="s">
        <v>775</v>
      </c>
      <c r="E103" s="84">
        <v>-80</v>
      </c>
    </row>
    <row r="104" spans="1:5">
      <c r="A104" s="96">
        <v>45221</v>
      </c>
      <c r="B104" t="s">
        <v>776</v>
      </c>
      <c r="E104" s="84">
        <v>-500</v>
      </c>
    </row>
    <row r="105" spans="1:5" ht="15">
      <c r="D105" s="108" t="s">
        <v>285</v>
      </c>
    </row>
    <row r="107" spans="1:5">
      <c r="B107" t="s">
        <v>777</v>
      </c>
      <c r="E107" s="84">
        <v>3707.01</v>
      </c>
    </row>
    <row r="108" spans="1:5">
      <c r="B108" t="s">
        <v>778</v>
      </c>
      <c r="E108" s="84">
        <v>540</v>
      </c>
    </row>
    <row r="109" spans="1:5">
      <c r="E109" s="65">
        <f>SUM(E107:E108)</f>
        <v>4247.01</v>
      </c>
    </row>
    <row r="111" spans="1:5">
      <c r="A111" s="76" t="s">
        <v>779</v>
      </c>
      <c r="B111" s="77" t="s">
        <v>171</v>
      </c>
      <c r="C111" s="78">
        <v>2023</v>
      </c>
      <c r="D111" s="79"/>
      <c r="E111" s="80">
        <f>SUM(E112:E122)</f>
        <v>709393.08499999996</v>
      </c>
    </row>
    <row r="112" spans="1:5">
      <c r="A112" s="81">
        <v>45260</v>
      </c>
      <c r="B112" t="s">
        <v>84</v>
      </c>
      <c r="C112" s="2"/>
      <c r="D112" s="2"/>
      <c r="E112" s="13">
        <v>64000</v>
      </c>
    </row>
    <row r="113" spans="1:5">
      <c r="A113" s="81">
        <f>A112</f>
        <v>45260</v>
      </c>
      <c r="B113" t="s">
        <v>780</v>
      </c>
      <c r="C113" s="2">
        <v>145000</v>
      </c>
      <c r="D113" s="2"/>
      <c r="E113" s="13">
        <v>218088</v>
      </c>
    </row>
    <row r="114" spans="1:5">
      <c r="A114" s="81">
        <f>A113</f>
        <v>45260</v>
      </c>
      <c r="B114" t="s">
        <v>173</v>
      </c>
      <c r="C114" s="2"/>
      <c r="D114" s="2"/>
      <c r="E114" s="13">
        <v>37657.35</v>
      </c>
    </row>
    <row r="115" spans="1:5">
      <c r="A115" s="81">
        <f>A114</f>
        <v>45260</v>
      </c>
      <c r="B115" t="s">
        <v>174</v>
      </c>
      <c r="C115" s="2"/>
      <c r="D115" s="2"/>
      <c r="E115" s="13">
        <v>64.31</v>
      </c>
    </row>
    <row r="116" spans="1:5">
      <c r="A116" s="81">
        <v>45260</v>
      </c>
      <c r="B116" t="s">
        <v>175</v>
      </c>
      <c r="C116" s="2"/>
      <c r="D116" s="2"/>
      <c r="E116" s="13">
        <v>3242.78</v>
      </c>
    </row>
    <row r="117" spans="1:5">
      <c r="A117" s="81">
        <v>45260</v>
      </c>
      <c r="B117" t="s">
        <v>183</v>
      </c>
      <c r="C117" s="2"/>
      <c r="D117" s="2"/>
      <c r="E117" s="13">
        <v>1000</v>
      </c>
    </row>
    <row r="118" spans="1:5">
      <c r="A118" s="81">
        <f>A115</f>
        <v>45260</v>
      </c>
      <c r="B118" t="s">
        <v>184</v>
      </c>
      <c r="C118" s="2">
        <v>1851.05</v>
      </c>
      <c r="D118" s="2">
        <v>161</v>
      </c>
      <c r="E118" s="13">
        <f>D118*C118</f>
        <v>298019.05</v>
      </c>
    </row>
    <row r="119" spans="1:5">
      <c r="A119" s="81">
        <f>A118</f>
        <v>45260</v>
      </c>
      <c r="B119" t="s">
        <v>781</v>
      </c>
      <c r="C119" s="83">
        <v>28.198699999999999</v>
      </c>
      <c r="D119" s="2">
        <v>850</v>
      </c>
      <c r="E119" s="13">
        <f>D119*C119</f>
        <v>23968.895</v>
      </c>
    </row>
    <row r="120" spans="1:5">
      <c r="A120" s="81">
        <f>A119</f>
        <v>45260</v>
      </c>
      <c r="B120" t="s">
        <v>782</v>
      </c>
      <c r="C120" s="83">
        <v>31.027000000000001</v>
      </c>
      <c r="D120" s="2">
        <v>100</v>
      </c>
      <c r="E120" s="13">
        <f>D120*C120</f>
        <v>3102.7000000000003</v>
      </c>
    </row>
    <row r="121" spans="1:5">
      <c r="A121" s="81">
        <f>A120</f>
        <v>45260</v>
      </c>
      <c r="B121" t="s">
        <v>187</v>
      </c>
      <c r="C121" s="2"/>
      <c r="D121" s="2"/>
      <c r="E121" s="13">
        <v>60000</v>
      </c>
    </row>
    <row r="122" spans="1:5">
      <c r="A122" s="81">
        <f>A121</f>
        <v>45260</v>
      </c>
      <c r="B122" t="s">
        <v>94</v>
      </c>
      <c r="C122" s="2"/>
      <c r="D122" s="2"/>
      <c r="E122" s="13">
        <v>250</v>
      </c>
    </row>
    <row r="123" spans="1:5">
      <c r="C123" s="3" t="str">
        <f>A111</f>
        <v>KASIM</v>
      </c>
      <c r="D123" s="70" t="s">
        <v>188</v>
      </c>
      <c r="E123" s="84">
        <f>H33</f>
        <v>-64817.05</v>
      </c>
    </row>
    <row r="124" spans="1:5">
      <c r="D124" s="3"/>
    </row>
    <row r="125" spans="1:5">
      <c r="D125" s="70" t="s">
        <v>189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783</v>
      </c>
      <c r="C2" s="87" t="s">
        <v>191</v>
      </c>
      <c r="D2" s="240">
        <f>SUM(D4:D32)</f>
        <v>32800</v>
      </c>
      <c r="E2" s="240">
        <f>SUM(E4:E32)</f>
        <v>-44478.170000000006</v>
      </c>
      <c r="F2" s="240">
        <f>SUM(F4:F32)</f>
        <v>23200</v>
      </c>
      <c r="G2" s="240">
        <f>SUM(G4:G32)</f>
        <v>-43968.17</v>
      </c>
      <c r="H2" s="240">
        <f>F2+G2</f>
        <v>-20768.169999999998</v>
      </c>
    </row>
    <row r="3" spans="1:8">
      <c r="B3" s="70"/>
      <c r="H3" s="65"/>
    </row>
    <row r="4" spans="1:8">
      <c r="A4" s="81">
        <v>45201</v>
      </c>
      <c r="B4" s="88" t="s">
        <v>194</v>
      </c>
      <c r="C4" s="88"/>
      <c r="D4" s="88"/>
      <c r="E4" s="65">
        <v>-400</v>
      </c>
      <c r="G4" s="65">
        <v>-327</v>
      </c>
      <c r="H4" s="65">
        <f t="shared" ref="H4:H29" si="0">H3+F4+G4</f>
        <v>-327</v>
      </c>
    </row>
    <row r="5" spans="1:8">
      <c r="A5" s="81">
        <v>45201</v>
      </c>
      <c r="B5" s="88" t="s">
        <v>195</v>
      </c>
      <c r="C5" s="88"/>
      <c r="D5" s="88"/>
      <c r="E5" s="65">
        <v>-500</v>
      </c>
      <c r="G5" s="65">
        <v>-593</v>
      </c>
      <c r="H5" s="65">
        <f t="shared" si="0"/>
        <v>-920</v>
      </c>
    </row>
    <row r="6" spans="1:8">
      <c r="A6" s="81">
        <v>45201</v>
      </c>
      <c r="B6" s="88" t="s">
        <v>784</v>
      </c>
      <c r="C6" s="88"/>
      <c r="D6" s="88"/>
      <c r="E6" s="65">
        <v>-137.19999999999999</v>
      </c>
      <c r="G6" s="65">
        <v>-137.19999999999999</v>
      </c>
      <c r="H6" s="65">
        <f t="shared" si="0"/>
        <v>-1057.2</v>
      </c>
    </row>
    <row r="7" spans="1:8">
      <c r="A7" s="81">
        <v>45201</v>
      </c>
      <c r="B7" s="88" t="s">
        <v>785</v>
      </c>
      <c r="C7" s="88"/>
      <c r="D7" s="88"/>
      <c r="E7" s="65">
        <v>-1180</v>
      </c>
      <c r="G7" s="65">
        <v>-1180</v>
      </c>
      <c r="H7" s="65">
        <f t="shared" si="0"/>
        <v>-2237.1999999999998</v>
      </c>
    </row>
    <row r="8" spans="1:8">
      <c r="A8" s="81">
        <v>45201</v>
      </c>
      <c r="B8" s="88" t="s">
        <v>786</v>
      </c>
      <c r="C8" s="88"/>
      <c r="D8" s="88"/>
      <c r="E8" s="65">
        <v>-250</v>
      </c>
      <c r="G8" s="65">
        <v>-250</v>
      </c>
      <c r="H8" s="65">
        <f t="shared" si="0"/>
        <v>-2487.1999999999998</v>
      </c>
    </row>
    <row r="9" spans="1:8">
      <c r="B9" s="95" t="s">
        <v>212</v>
      </c>
      <c r="D9" s="65"/>
      <c r="E9" s="65">
        <f>D45*-1</f>
        <v>-33.729999999999997</v>
      </c>
      <c r="F9" s="65"/>
      <c r="G9" s="65">
        <f>E9</f>
        <v>-33.729999999999997</v>
      </c>
      <c r="H9" s="65">
        <f t="shared" si="0"/>
        <v>-2520.9299999999998</v>
      </c>
    </row>
    <row r="10" spans="1:8">
      <c r="B10" s="95" t="s">
        <v>213</v>
      </c>
      <c r="E10" s="65">
        <f>E51</f>
        <v>-6481.6100000000006</v>
      </c>
      <c r="F10" s="65"/>
      <c r="G10" s="65">
        <v>-6481.61</v>
      </c>
      <c r="H10" s="65">
        <f t="shared" si="0"/>
        <v>-9002.5399999999991</v>
      </c>
    </row>
    <row r="11" spans="1:8">
      <c r="B11" s="95" t="s">
        <v>214</v>
      </c>
      <c r="E11" s="65">
        <f>E68</f>
        <v>-16000.550000000001</v>
      </c>
      <c r="G11" s="65">
        <v>-16000.55</v>
      </c>
      <c r="H11" s="65">
        <f t="shared" si="0"/>
        <v>-25003.089999999997</v>
      </c>
    </row>
    <row r="12" spans="1:8">
      <c r="A12" s="81">
        <v>44933</v>
      </c>
      <c r="B12" s="88" t="s">
        <v>787</v>
      </c>
      <c r="C12" s="88"/>
      <c r="D12" s="88"/>
      <c r="E12" s="65">
        <v>-5375</v>
      </c>
      <c r="G12" s="65">
        <v>-5375</v>
      </c>
      <c r="H12" s="65">
        <f t="shared" si="0"/>
        <v>-30378.089999999997</v>
      </c>
    </row>
    <row r="13" spans="1:8">
      <c r="B13" s="88" t="s">
        <v>788</v>
      </c>
      <c r="C13" s="88"/>
      <c r="D13" s="88"/>
      <c r="E13" s="65">
        <v>-2125</v>
      </c>
      <c r="G13" s="65">
        <v>-2125</v>
      </c>
      <c r="H13" s="65">
        <f t="shared" si="0"/>
        <v>-32503.089999999997</v>
      </c>
    </row>
    <row r="14" spans="1:8">
      <c r="B14" s="88" t="s">
        <v>789</v>
      </c>
      <c r="C14" s="88"/>
      <c r="D14" s="88"/>
      <c r="E14" s="65">
        <v>-945.08</v>
      </c>
      <c r="F14" s="84"/>
      <c r="G14" s="65">
        <v>-945.08</v>
      </c>
      <c r="H14" s="65">
        <f t="shared" si="0"/>
        <v>-33448.17</v>
      </c>
    </row>
    <row r="15" spans="1:8">
      <c r="B15" s="88" t="s">
        <v>208</v>
      </c>
      <c r="C15" s="88" t="s">
        <v>209</v>
      </c>
      <c r="D15" s="88"/>
      <c r="E15" s="65">
        <v>-150</v>
      </c>
      <c r="F15" s="84"/>
      <c r="G15" s="65"/>
      <c r="H15" s="65">
        <f t="shared" si="0"/>
        <v>-33448.17</v>
      </c>
    </row>
    <row r="16" spans="1:8">
      <c r="B16" s="94" t="s">
        <v>210</v>
      </c>
      <c r="C16" s="94" t="s">
        <v>209</v>
      </c>
      <c r="D16" s="94"/>
      <c r="E16" s="65">
        <v>-300</v>
      </c>
      <c r="F16" s="84"/>
      <c r="G16" s="65"/>
      <c r="H16" s="65">
        <f t="shared" si="0"/>
        <v>-33448.17</v>
      </c>
    </row>
    <row r="17" spans="1:8">
      <c r="B17" s="94" t="s">
        <v>211</v>
      </c>
      <c r="C17" s="94" t="s">
        <v>209</v>
      </c>
      <c r="D17" s="94"/>
      <c r="E17" s="65">
        <v>-100</v>
      </c>
      <c r="F17" s="84"/>
      <c r="G17" s="65"/>
      <c r="H17" s="65">
        <f t="shared" si="0"/>
        <v>-33448.17</v>
      </c>
    </row>
    <row r="18" spans="1:8">
      <c r="B18" t="s">
        <v>84</v>
      </c>
      <c r="E18" s="65">
        <v>-3500</v>
      </c>
      <c r="F18" s="65"/>
      <c r="G18" s="65">
        <v>-3510</v>
      </c>
      <c r="H18" s="65">
        <f t="shared" si="0"/>
        <v>-36958.17</v>
      </c>
    </row>
    <row r="19" spans="1:8">
      <c r="B19" t="s">
        <v>790</v>
      </c>
      <c r="E19" s="65"/>
      <c r="F19" s="65"/>
      <c r="G19" s="65"/>
      <c r="H19" s="65">
        <f t="shared" si="0"/>
        <v>-36958.17</v>
      </c>
    </row>
    <row r="20" spans="1:8">
      <c r="B20" t="s">
        <v>172</v>
      </c>
      <c r="E20" s="65">
        <v>-3500</v>
      </c>
      <c r="F20" s="65"/>
      <c r="G20" s="65">
        <v>-3510</v>
      </c>
      <c r="H20" s="65">
        <f t="shared" si="0"/>
        <v>-40468.17</v>
      </c>
    </row>
    <row r="21" spans="1:8">
      <c r="B21" t="s">
        <v>217</v>
      </c>
      <c r="E21" s="65">
        <v>-3500</v>
      </c>
      <c r="F21" s="65"/>
      <c r="G21" s="65">
        <v>-3500</v>
      </c>
      <c r="H21" s="65">
        <f t="shared" si="0"/>
        <v>-43968.17</v>
      </c>
    </row>
    <row r="22" spans="1:8">
      <c r="E22" s="84"/>
      <c r="F22" s="65"/>
      <c r="G22" s="65"/>
      <c r="H22" s="65">
        <f t="shared" si="0"/>
        <v>-43968.17</v>
      </c>
    </row>
    <row r="23" spans="1:8">
      <c r="B23" t="s">
        <v>218</v>
      </c>
      <c r="D23" s="121">
        <v>7500</v>
      </c>
      <c r="F23" s="65">
        <v>7500</v>
      </c>
      <c r="G23" s="65"/>
      <c r="H23" s="65">
        <f t="shared" si="0"/>
        <v>-36468.17</v>
      </c>
    </row>
    <row r="24" spans="1:8">
      <c r="A24" s="81">
        <v>45232</v>
      </c>
      <c r="B24" t="s">
        <v>791</v>
      </c>
      <c r="C24" t="s">
        <v>755</v>
      </c>
      <c r="D24" s="121">
        <v>2800</v>
      </c>
      <c r="F24" s="65">
        <v>2800</v>
      </c>
      <c r="G24" s="65"/>
      <c r="H24" s="65">
        <f t="shared" si="0"/>
        <v>-33668.17</v>
      </c>
    </row>
    <row r="25" spans="1:8">
      <c r="B25" t="s">
        <v>792</v>
      </c>
      <c r="D25" s="121">
        <v>6500</v>
      </c>
      <c r="F25" s="65">
        <v>6500</v>
      </c>
      <c r="G25" s="65"/>
      <c r="H25" s="65">
        <f t="shared" si="0"/>
        <v>-27168.17</v>
      </c>
    </row>
    <row r="26" spans="1:8">
      <c r="A26" s="81">
        <v>45236</v>
      </c>
      <c r="B26" t="s">
        <v>793</v>
      </c>
      <c r="D26" s="121">
        <v>6000</v>
      </c>
      <c r="F26" s="65">
        <v>6000</v>
      </c>
      <c r="H26" s="65">
        <f t="shared" si="0"/>
        <v>-21168.17</v>
      </c>
    </row>
    <row r="27" spans="1:8">
      <c r="A27" s="81">
        <v>45229</v>
      </c>
      <c r="B27" t="s">
        <v>760</v>
      </c>
      <c r="D27" s="121">
        <v>10000</v>
      </c>
      <c r="F27" s="65"/>
      <c r="G27" s="65"/>
      <c r="H27" s="65">
        <f t="shared" si="0"/>
        <v>-21168.17</v>
      </c>
    </row>
    <row r="28" spans="1:8">
      <c r="A28" s="81"/>
      <c r="B28" t="s">
        <v>794</v>
      </c>
      <c r="D28" s="102"/>
      <c r="F28" s="65"/>
      <c r="G28" s="65"/>
      <c r="H28" s="65">
        <f t="shared" si="0"/>
        <v>-21168.17</v>
      </c>
    </row>
    <row r="29" spans="1:8">
      <c r="A29" s="81">
        <v>45227</v>
      </c>
      <c r="B29" t="s">
        <v>795</v>
      </c>
      <c r="D29" s="102"/>
      <c r="F29" s="65">
        <v>400</v>
      </c>
      <c r="H29" s="65">
        <f t="shared" si="0"/>
        <v>-20768.169999999998</v>
      </c>
    </row>
    <row r="30" spans="1:8">
      <c r="D30" s="65"/>
      <c r="F30" s="65"/>
      <c r="G30" s="65"/>
      <c r="H30" s="65"/>
    </row>
    <row r="31" spans="1:8" ht="15.75">
      <c r="B31" s="99"/>
      <c r="F31" s="65"/>
      <c r="G31" s="65"/>
      <c r="H31" s="65"/>
    </row>
    <row r="32" spans="1:8">
      <c r="E32" s="65"/>
      <c r="G32" s="65"/>
      <c r="H32" s="65"/>
    </row>
    <row r="33" spans="1:8">
      <c r="B33" t="s">
        <v>222</v>
      </c>
      <c r="E33" s="65"/>
      <c r="G33" s="65"/>
      <c r="H33" s="65"/>
    </row>
    <row r="34" spans="1:8">
      <c r="A34" s="78" t="s">
        <v>223</v>
      </c>
      <c r="B34" s="78"/>
      <c r="C34" s="78"/>
      <c r="D34" s="78"/>
      <c r="E34" s="79"/>
      <c r="G34" s="65"/>
      <c r="H34" s="65"/>
    </row>
    <row r="35" spans="1:8">
      <c r="A35" s="246"/>
      <c r="B35" s="246"/>
      <c r="C35" s="246"/>
      <c r="D35" s="246"/>
      <c r="E35" s="247"/>
      <c r="H35" s="65"/>
    </row>
    <row r="36" spans="1:8">
      <c r="A36" s="246"/>
      <c r="B36" s="246"/>
      <c r="C36" s="248"/>
      <c r="D36" s="246"/>
      <c r="E36" s="246"/>
      <c r="H36" s="65"/>
    </row>
    <row r="37" spans="1:8">
      <c r="A37" s="246"/>
      <c r="B37" s="246"/>
      <c r="C37" s="248"/>
      <c r="D37" s="246"/>
      <c r="E37" s="246"/>
      <c r="H37" s="65"/>
    </row>
    <row r="38" spans="1:8">
      <c r="C38" s="98"/>
      <c r="H38" s="65"/>
    </row>
    <row r="39" spans="1:8">
      <c r="A39" s="249">
        <v>44929</v>
      </c>
      <c r="B39" s="101" t="s">
        <v>224</v>
      </c>
      <c r="C39" s="78"/>
      <c r="D39" s="136">
        <f>SUM(D40:D47)</f>
        <v>3425.3799999999997</v>
      </c>
      <c r="E39" s="136">
        <f>SUM(E40:E47)</f>
        <v>3422.73</v>
      </c>
      <c r="H39" s="65"/>
    </row>
    <row r="40" spans="1:8">
      <c r="B40" t="s">
        <v>733</v>
      </c>
      <c r="D40">
        <v>578.66</v>
      </c>
      <c r="E40" s="65">
        <v>578</v>
      </c>
      <c r="F40" s="65"/>
      <c r="G40" s="65"/>
    </row>
    <row r="41" spans="1:8">
      <c r="B41" t="s">
        <v>226</v>
      </c>
      <c r="D41">
        <v>1237.75</v>
      </c>
      <c r="E41" s="65">
        <v>1237</v>
      </c>
      <c r="F41" s="65"/>
      <c r="G41" s="65"/>
    </row>
    <row r="42" spans="1:8">
      <c r="B42" t="s">
        <v>227</v>
      </c>
      <c r="D42">
        <v>155.32</v>
      </c>
      <c r="E42">
        <v>155</v>
      </c>
      <c r="F42" s="65"/>
      <c r="G42" s="65"/>
    </row>
    <row r="43" spans="1:8">
      <c r="B43" t="s">
        <v>228</v>
      </c>
      <c r="D43">
        <v>1102.24</v>
      </c>
      <c r="E43">
        <v>1102</v>
      </c>
      <c r="F43" s="65"/>
      <c r="G43" s="65"/>
    </row>
    <row r="44" spans="1:8">
      <c r="B44" t="s">
        <v>229</v>
      </c>
      <c r="D44">
        <v>317.68</v>
      </c>
      <c r="E44">
        <v>317</v>
      </c>
      <c r="F44" s="65"/>
      <c r="G44" s="65"/>
    </row>
    <row r="45" spans="1:8">
      <c r="B45" t="s">
        <v>230</v>
      </c>
      <c r="C45" s="94"/>
      <c r="D45" s="94">
        <v>33.729999999999997</v>
      </c>
      <c r="E45">
        <v>33.729999999999997</v>
      </c>
      <c r="F45" s="65"/>
      <c r="G45" s="65"/>
    </row>
    <row r="46" spans="1:8">
      <c r="C46" s="94"/>
      <c r="E46" s="94"/>
      <c r="F46" s="65"/>
      <c r="G46" s="65"/>
    </row>
    <row r="47" spans="1:8">
      <c r="C47" s="94"/>
      <c r="D47" s="94"/>
      <c r="E47" s="84"/>
      <c r="F47" s="65"/>
      <c r="G47" s="65"/>
    </row>
    <row r="49" spans="1:8">
      <c r="B49" s="13"/>
    </row>
    <row r="50" spans="1:8">
      <c r="B50" s="102"/>
    </row>
    <row r="51" spans="1:8">
      <c r="A51" s="78"/>
      <c r="B51" s="77" t="s">
        <v>231</v>
      </c>
      <c r="C51" s="78"/>
      <c r="D51" s="79"/>
      <c r="E51" s="80">
        <f>SUM(E52:E65)</f>
        <v>-6481.6100000000006</v>
      </c>
    </row>
    <row r="52" spans="1:8">
      <c r="A52" s="81">
        <v>44995</v>
      </c>
      <c r="B52" t="s">
        <v>586</v>
      </c>
      <c r="C52">
        <v>613.91</v>
      </c>
      <c r="D52" s="37" t="s">
        <v>796</v>
      </c>
      <c r="E52" s="84">
        <v>-61.39</v>
      </c>
      <c r="G52" s="65"/>
      <c r="H52" s="65"/>
    </row>
    <row r="53" spans="1:8">
      <c r="A53" s="81">
        <v>45043</v>
      </c>
      <c r="B53" s="94" t="s">
        <v>764</v>
      </c>
      <c r="C53" s="94">
        <v>3299</v>
      </c>
      <c r="D53" s="37" t="s">
        <v>278</v>
      </c>
      <c r="E53" s="84">
        <v>-549.83000000000004</v>
      </c>
      <c r="F53" s="65"/>
      <c r="G53" s="65"/>
      <c r="H53" s="65"/>
    </row>
    <row r="54" spans="1:8">
      <c r="A54" s="81">
        <v>45043</v>
      </c>
      <c r="B54" s="94" t="s">
        <v>539</v>
      </c>
      <c r="C54" s="94">
        <v>10764.57</v>
      </c>
      <c r="D54" s="37" t="s">
        <v>541</v>
      </c>
      <c r="E54" s="84">
        <v>-1196.06</v>
      </c>
      <c r="F54" s="65"/>
      <c r="G54" s="65"/>
      <c r="H54" s="65"/>
    </row>
    <row r="55" spans="1:8">
      <c r="A55" s="81">
        <v>45044</v>
      </c>
      <c r="B55" t="s">
        <v>766</v>
      </c>
      <c r="C55" s="94">
        <v>3123.29</v>
      </c>
      <c r="D55" s="139" t="s">
        <v>278</v>
      </c>
      <c r="E55" s="84">
        <v>-520.54999999999995</v>
      </c>
      <c r="F55" s="65"/>
      <c r="G55" s="65"/>
      <c r="H55" s="65"/>
    </row>
    <row r="56" spans="1:8">
      <c r="A56" s="81">
        <v>45078</v>
      </c>
      <c r="B56" s="94" t="s">
        <v>737</v>
      </c>
      <c r="D56" s="139" t="s">
        <v>326</v>
      </c>
      <c r="E56" s="84">
        <v>-666.67</v>
      </c>
      <c r="F56" s="65"/>
      <c r="G56" s="65"/>
      <c r="H56" s="65"/>
    </row>
    <row r="57" spans="1:8">
      <c r="A57" s="81">
        <v>45168</v>
      </c>
      <c r="B57" s="94" t="s">
        <v>293</v>
      </c>
      <c r="D57" s="139"/>
      <c r="E57" s="84">
        <v>-250</v>
      </c>
      <c r="F57" s="65"/>
      <c r="G57" s="65"/>
      <c r="H57" s="65"/>
    </row>
    <row r="58" spans="1:8">
      <c r="A58" s="81">
        <v>45077</v>
      </c>
      <c r="B58" s="94" t="s">
        <v>797</v>
      </c>
      <c r="C58" s="94">
        <v>148.6</v>
      </c>
      <c r="D58" s="139" t="s">
        <v>798</v>
      </c>
      <c r="E58" s="84">
        <v>-37.15</v>
      </c>
      <c r="F58" s="65"/>
      <c r="G58" s="65"/>
      <c r="H58" s="65"/>
    </row>
    <row r="59" spans="1:8">
      <c r="A59" s="81">
        <v>45077</v>
      </c>
      <c r="B59" s="94" t="s">
        <v>799</v>
      </c>
      <c r="C59" s="94">
        <v>244.8</v>
      </c>
      <c r="D59" s="139" t="s">
        <v>798</v>
      </c>
      <c r="E59" s="84">
        <v>-61.2</v>
      </c>
      <c r="F59" s="65"/>
      <c r="G59" s="65"/>
      <c r="H59" s="65"/>
    </row>
    <row r="60" spans="1:8">
      <c r="A60" s="81">
        <v>45077</v>
      </c>
      <c r="B60" s="94" t="s">
        <v>800</v>
      </c>
      <c r="C60" s="94">
        <v>1204.5</v>
      </c>
      <c r="D60" s="139" t="s">
        <v>798</v>
      </c>
      <c r="E60" s="84">
        <v>-301.13</v>
      </c>
      <c r="F60" s="65"/>
      <c r="G60" s="65"/>
      <c r="H60" s="65"/>
    </row>
    <row r="61" spans="1:8">
      <c r="A61" s="81">
        <v>45077</v>
      </c>
      <c r="B61" t="s">
        <v>801</v>
      </c>
      <c r="C61" s="94">
        <v>532.6</v>
      </c>
      <c r="D61" s="139" t="s">
        <v>798</v>
      </c>
      <c r="E61" s="84">
        <v>-133.15</v>
      </c>
      <c r="F61" s="65"/>
      <c r="G61" s="65"/>
      <c r="H61" s="65"/>
    </row>
    <row r="62" spans="1:8">
      <c r="A62" s="81">
        <v>45173</v>
      </c>
      <c r="B62" s="94" t="s">
        <v>802</v>
      </c>
      <c r="C62" s="94">
        <v>7338.29</v>
      </c>
      <c r="D62" s="94"/>
      <c r="E62" s="84"/>
      <c r="F62" s="65"/>
      <c r="G62" s="65"/>
      <c r="H62" s="65"/>
    </row>
    <row r="63" spans="1:8">
      <c r="A63" s="81">
        <v>45187</v>
      </c>
      <c r="B63" s="94" t="s">
        <v>375</v>
      </c>
      <c r="C63" s="94">
        <v>7648.33</v>
      </c>
      <c r="D63" s="139" t="s">
        <v>803</v>
      </c>
      <c r="E63" s="84">
        <v>-849.81</v>
      </c>
      <c r="F63" s="65"/>
    </row>
    <row r="64" spans="1:8">
      <c r="A64" s="81">
        <v>45187</v>
      </c>
      <c r="B64" s="94" t="s">
        <v>804</v>
      </c>
      <c r="C64" s="94">
        <v>11128</v>
      </c>
      <c r="D64" s="139" t="s">
        <v>459</v>
      </c>
      <c r="E64" s="84">
        <v>-1854.67</v>
      </c>
      <c r="F64" s="65"/>
    </row>
    <row r="66" spans="1:9" ht="15">
      <c r="D66" s="108" t="s">
        <v>285</v>
      </c>
    </row>
    <row r="68" spans="1:9">
      <c r="A68" s="78"/>
      <c r="B68" s="77" t="s">
        <v>235</v>
      </c>
      <c r="C68" s="78"/>
      <c r="D68" s="78"/>
      <c r="E68" s="80">
        <f>SUM(E69:E104)</f>
        <v>-16000.550000000001</v>
      </c>
    </row>
    <row r="69" spans="1:9">
      <c r="A69" s="81">
        <v>45026</v>
      </c>
      <c r="B69" t="s">
        <v>767</v>
      </c>
      <c r="C69">
        <v>1140.99</v>
      </c>
      <c r="D69" t="s">
        <v>500</v>
      </c>
      <c r="E69" s="84">
        <v>-190.17</v>
      </c>
      <c r="F69" s="65"/>
      <c r="G69" s="65"/>
      <c r="H69" s="65"/>
    </row>
    <row r="70" spans="1:9">
      <c r="A70" s="81">
        <v>45141</v>
      </c>
      <c r="B70" t="s">
        <v>768</v>
      </c>
      <c r="D70" s="37" t="s">
        <v>805</v>
      </c>
      <c r="E70" s="84">
        <v>-181.83</v>
      </c>
      <c r="F70" s="65"/>
      <c r="G70" s="65"/>
      <c r="H70" s="65"/>
    </row>
    <row r="71" spans="1:9">
      <c r="A71" s="81">
        <v>45187</v>
      </c>
      <c r="B71" s="94" t="s">
        <v>806</v>
      </c>
      <c r="C71" s="94"/>
      <c r="D71" t="s">
        <v>770</v>
      </c>
      <c r="E71" s="84">
        <v>-3974.44</v>
      </c>
      <c r="G71" s="65"/>
      <c r="H71" s="65"/>
      <c r="I71" s="65"/>
    </row>
    <row r="72" spans="1:9">
      <c r="A72" s="81">
        <v>45187</v>
      </c>
      <c r="B72" s="94" t="s">
        <v>807</v>
      </c>
      <c r="C72" s="94"/>
      <c r="D72" s="94"/>
      <c r="E72" s="84">
        <v>-573.17999999999995</v>
      </c>
      <c r="F72" s="65"/>
      <c r="G72" s="65"/>
      <c r="H72" s="65"/>
    </row>
    <row r="73" spans="1:9">
      <c r="A73" s="81">
        <v>45163</v>
      </c>
      <c r="B73" s="94"/>
      <c r="C73" s="94"/>
      <c r="D73" s="94"/>
      <c r="E73" s="84">
        <v>-525</v>
      </c>
      <c r="F73" s="65"/>
      <c r="G73" s="65"/>
    </row>
    <row r="74" spans="1:9">
      <c r="A74" s="81">
        <v>45163</v>
      </c>
      <c r="B74" s="94"/>
      <c r="C74" s="94"/>
      <c r="D74" s="94"/>
      <c r="E74" s="84">
        <v>-200</v>
      </c>
      <c r="F74" s="65"/>
    </row>
    <row r="75" spans="1:9">
      <c r="A75" s="81">
        <v>45164</v>
      </c>
      <c r="B75" s="94"/>
      <c r="C75" s="94"/>
      <c r="D75" s="94"/>
      <c r="E75" s="84">
        <v>-200</v>
      </c>
      <c r="F75" s="65"/>
    </row>
    <row r="76" spans="1:9">
      <c r="A76" s="81">
        <v>45165</v>
      </c>
      <c r="B76" s="94" t="s">
        <v>808</v>
      </c>
      <c r="C76" s="94"/>
      <c r="D76" s="94"/>
      <c r="E76" s="84">
        <v>-200</v>
      </c>
      <c r="F76" s="65"/>
    </row>
    <row r="77" spans="1:9">
      <c r="A77" s="81">
        <v>45165</v>
      </c>
      <c r="B77" s="94" t="s">
        <v>809</v>
      </c>
      <c r="C77" s="94"/>
      <c r="D77" s="94"/>
      <c r="E77" s="84">
        <v>-300</v>
      </c>
      <c r="F77" s="65"/>
    </row>
    <row r="78" spans="1:9">
      <c r="A78" s="81">
        <v>45167</v>
      </c>
      <c r="B78" s="94" t="s">
        <v>810</v>
      </c>
      <c r="C78" s="94"/>
      <c r="D78" s="94"/>
      <c r="E78" s="84">
        <v>-70</v>
      </c>
      <c r="F78" s="65"/>
      <c r="G78" s="65"/>
      <c r="H78" s="65"/>
    </row>
    <row r="79" spans="1:9">
      <c r="A79" s="81">
        <v>45169</v>
      </c>
      <c r="B79" s="94" t="s">
        <v>811</v>
      </c>
      <c r="C79" s="94"/>
      <c r="D79" s="94"/>
      <c r="E79" s="84">
        <v>-300</v>
      </c>
      <c r="F79" s="65"/>
      <c r="G79" s="65"/>
      <c r="H79" s="65"/>
    </row>
    <row r="80" spans="1:9">
      <c r="A80" s="81">
        <v>45169</v>
      </c>
      <c r="B80" s="94"/>
      <c r="C80" s="94"/>
      <c r="D80" s="94"/>
      <c r="E80" s="84">
        <v>-200</v>
      </c>
      <c r="F80" s="65"/>
      <c r="G80" s="65"/>
      <c r="H80" s="65"/>
    </row>
    <row r="81" spans="1:8">
      <c r="A81" s="81">
        <v>45170</v>
      </c>
      <c r="B81" s="94" t="s">
        <v>284</v>
      </c>
      <c r="C81" s="94">
        <v>-3842.65</v>
      </c>
      <c r="D81" s="94"/>
      <c r="E81" s="84"/>
      <c r="F81" s="65"/>
      <c r="G81" s="65"/>
      <c r="H81" s="65"/>
    </row>
    <row r="82" spans="1:8">
      <c r="A82" s="81">
        <v>45170</v>
      </c>
      <c r="B82" s="94"/>
      <c r="C82" s="94"/>
      <c r="D82" s="94"/>
      <c r="E82" s="84">
        <v>-200</v>
      </c>
      <c r="F82" s="65"/>
      <c r="G82" s="65"/>
      <c r="H82" s="65"/>
    </row>
    <row r="83" spans="1:8">
      <c r="A83" s="81">
        <v>45171</v>
      </c>
      <c r="B83" s="94"/>
      <c r="C83" s="94"/>
      <c r="D83" s="94"/>
      <c r="E83" s="84">
        <v>-180</v>
      </c>
      <c r="F83" s="65"/>
      <c r="G83" s="65"/>
      <c r="H83" s="65"/>
    </row>
    <row r="84" spans="1:8">
      <c r="A84" s="81">
        <v>45172</v>
      </c>
      <c r="B84" s="94" t="s">
        <v>340</v>
      </c>
      <c r="C84" s="94"/>
      <c r="D84" s="94"/>
      <c r="E84" s="84">
        <v>-339.4</v>
      </c>
      <c r="F84" s="65"/>
      <c r="G84" s="65"/>
      <c r="H84" s="65"/>
    </row>
    <row r="85" spans="1:8">
      <c r="A85" s="81">
        <v>45174</v>
      </c>
      <c r="B85" s="94"/>
      <c r="C85" s="94"/>
      <c r="D85" s="94"/>
      <c r="E85" s="84">
        <v>-250</v>
      </c>
      <c r="F85" s="65"/>
      <c r="G85" s="65"/>
      <c r="H85" s="65"/>
    </row>
    <row r="86" spans="1:8">
      <c r="A86" s="81">
        <v>45175</v>
      </c>
      <c r="B86" s="103"/>
      <c r="E86" s="84">
        <v>-200</v>
      </c>
    </row>
    <row r="87" spans="1:8">
      <c r="A87" s="81">
        <v>45177</v>
      </c>
      <c r="E87" s="84">
        <v>-200</v>
      </c>
    </row>
    <row r="88" spans="1:8">
      <c r="A88" s="81">
        <v>45179</v>
      </c>
      <c r="B88" t="s">
        <v>812</v>
      </c>
      <c r="E88" s="84">
        <v>-529.98</v>
      </c>
    </row>
    <row r="89" spans="1:8">
      <c r="A89" s="81">
        <v>45179</v>
      </c>
      <c r="B89" t="s">
        <v>812</v>
      </c>
      <c r="E89" s="84">
        <v>-2351.9499999999998</v>
      </c>
    </row>
    <row r="90" spans="1:8">
      <c r="A90" s="81">
        <v>45180</v>
      </c>
      <c r="B90" t="s">
        <v>813</v>
      </c>
      <c r="E90" s="84">
        <v>-200</v>
      </c>
    </row>
    <row r="91" spans="1:8">
      <c r="A91" s="81">
        <v>45181</v>
      </c>
      <c r="E91" s="84">
        <v>-165</v>
      </c>
    </row>
    <row r="92" spans="1:8">
      <c r="A92" s="81">
        <v>45182</v>
      </c>
      <c r="B92" t="s">
        <v>813</v>
      </c>
      <c r="D92" s="37"/>
      <c r="E92" s="84">
        <v>-200</v>
      </c>
    </row>
    <row r="93" spans="1:8">
      <c r="A93" s="81">
        <v>45183</v>
      </c>
      <c r="D93" s="37"/>
      <c r="E93" s="84">
        <v>-200</v>
      </c>
    </row>
    <row r="94" spans="1:8">
      <c r="A94" s="81">
        <v>45184</v>
      </c>
      <c r="B94" t="s">
        <v>814</v>
      </c>
      <c r="E94" s="84">
        <v>-578</v>
      </c>
    </row>
    <row r="95" spans="1:8">
      <c r="A95" s="81">
        <v>45184</v>
      </c>
      <c r="B95" t="s">
        <v>815</v>
      </c>
      <c r="E95" s="84">
        <v>-1000</v>
      </c>
    </row>
    <row r="96" spans="1:8">
      <c r="A96" s="81">
        <v>45184</v>
      </c>
      <c r="E96" s="84">
        <v>-250</v>
      </c>
    </row>
    <row r="97" spans="1:5">
      <c r="A97" s="81">
        <v>45185</v>
      </c>
      <c r="E97" s="84">
        <v>-200</v>
      </c>
    </row>
    <row r="98" spans="1:5">
      <c r="A98" s="81">
        <v>45187</v>
      </c>
      <c r="E98" s="84">
        <v>-160</v>
      </c>
    </row>
    <row r="99" spans="1:5">
      <c r="A99" s="81">
        <v>45188</v>
      </c>
      <c r="E99" s="84">
        <v>-250</v>
      </c>
    </row>
    <row r="100" spans="1:5">
      <c r="A100" s="81">
        <v>45189</v>
      </c>
      <c r="E100" s="84">
        <v>-160</v>
      </c>
    </row>
    <row r="101" spans="1:5">
      <c r="A101" s="81">
        <v>45191</v>
      </c>
      <c r="B101" t="s">
        <v>816</v>
      </c>
      <c r="E101" s="84">
        <v>-230</v>
      </c>
    </row>
    <row r="102" spans="1:5">
      <c r="A102" s="81">
        <v>45191</v>
      </c>
      <c r="B102" t="s">
        <v>817</v>
      </c>
      <c r="E102" s="84">
        <v>-382</v>
      </c>
    </row>
    <row r="103" spans="1:5">
      <c r="A103" s="81">
        <v>45191</v>
      </c>
      <c r="B103" t="s">
        <v>818</v>
      </c>
      <c r="E103" s="84">
        <v>-699.6</v>
      </c>
    </row>
    <row r="104" spans="1:5">
      <c r="A104" s="81">
        <v>45192</v>
      </c>
      <c r="B104" t="s">
        <v>464</v>
      </c>
      <c r="E104" s="84">
        <v>-160</v>
      </c>
    </row>
    <row r="106" spans="1:5" ht="15">
      <c r="D106" s="108" t="s">
        <v>285</v>
      </c>
    </row>
    <row r="111" spans="1:5">
      <c r="A111" s="76" t="s">
        <v>819</v>
      </c>
      <c r="B111" s="77" t="s">
        <v>171</v>
      </c>
      <c r="C111" s="78">
        <v>2023</v>
      </c>
      <c r="D111" s="79"/>
      <c r="E111" s="80">
        <f>SUM(E112:E121)</f>
        <v>610649.73</v>
      </c>
    </row>
    <row r="112" spans="1:5">
      <c r="A112" s="81">
        <v>45230</v>
      </c>
      <c r="B112" t="s">
        <v>84</v>
      </c>
      <c r="C112" s="2"/>
      <c r="D112" s="2"/>
      <c r="E112" s="13">
        <v>64000</v>
      </c>
    </row>
    <row r="113" spans="1:5">
      <c r="A113" s="81">
        <v>45230</v>
      </c>
      <c r="B113" t="s">
        <v>820</v>
      </c>
      <c r="C113" s="2"/>
      <c r="D113" s="2"/>
      <c r="E113" s="13">
        <v>73088</v>
      </c>
    </row>
    <row r="114" spans="1:5">
      <c r="A114" s="81">
        <v>45230</v>
      </c>
      <c r="B114" t="s">
        <v>173</v>
      </c>
      <c r="C114" s="2"/>
      <c r="D114" s="2"/>
      <c r="E114" s="13">
        <v>20950.34</v>
      </c>
    </row>
    <row r="115" spans="1:5">
      <c r="A115" s="81">
        <v>45230</v>
      </c>
      <c r="B115" t="s">
        <v>174</v>
      </c>
      <c r="C115" s="2"/>
      <c r="D115" s="2"/>
      <c r="E115" s="13">
        <v>73011.39</v>
      </c>
    </row>
    <row r="116" spans="1:5">
      <c r="A116" s="81">
        <v>45230</v>
      </c>
      <c r="B116" t="s">
        <v>821</v>
      </c>
      <c r="C116" s="2">
        <v>1800</v>
      </c>
      <c r="D116" s="2">
        <v>111</v>
      </c>
      <c r="E116" s="13">
        <f>D116*C116</f>
        <v>199800</v>
      </c>
    </row>
    <row r="117" spans="1:5">
      <c r="B117" t="s">
        <v>822</v>
      </c>
      <c r="C117" s="2">
        <v>1800</v>
      </c>
      <c r="D117" s="2">
        <v>50</v>
      </c>
      <c r="E117" s="13">
        <f>D117*C117</f>
        <v>90000</v>
      </c>
    </row>
    <row r="118" spans="1:5">
      <c r="A118" s="81">
        <v>45230</v>
      </c>
      <c r="B118" t="s">
        <v>823</v>
      </c>
      <c r="C118" s="83">
        <v>28</v>
      </c>
      <c r="D118" s="2">
        <v>850</v>
      </c>
      <c r="E118" s="13">
        <f>D118*C118</f>
        <v>23800</v>
      </c>
    </row>
    <row r="119" spans="1:5">
      <c r="A119" s="81">
        <v>45230</v>
      </c>
      <c r="B119" t="s">
        <v>824</v>
      </c>
      <c r="C119" s="83">
        <v>30</v>
      </c>
      <c r="D119" s="2">
        <v>100</v>
      </c>
      <c r="E119" s="13">
        <f>D119*C119</f>
        <v>3000</v>
      </c>
    </row>
    <row r="120" spans="1:5">
      <c r="A120" s="81">
        <v>45230</v>
      </c>
      <c r="B120" t="s">
        <v>187</v>
      </c>
      <c r="C120" s="2"/>
      <c r="D120" s="2"/>
      <c r="E120" s="13">
        <v>60000</v>
      </c>
    </row>
    <row r="121" spans="1:5">
      <c r="A121" s="81">
        <v>45230</v>
      </c>
      <c r="B121" t="s">
        <v>94</v>
      </c>
      <c r="C121" s="2"/>
      <c r="D121" s="2"/>
      <c r="E121" s="13">
        <v>3000</v>
      </c>
    </row>
    <row r="122" spans="1:5">
      <c r="C122" s="3" t="s">
        <v>819</v>
      </c>
      <c r="D122" s="70" t="s">
        <v>188</v>
      </c>
      <c r="E122" s="84">
        <f>H41</f>
        <v>0</v>
      </c>
    </row>
    <row r="123" spans="1:5">
      <c r="D123" s="3"/>
    </row>
    <row r="124" spans="1:5">
      <c r="D124" s="70" t="s">
        <v>189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825</v>
      </c>
      <c r="C2" s="87" t="s">
        <v>191</v>
      </c>
      <c r="D2" s="240">
        <f>SUM(D4:D38)</f>
        <v>133300</v>
      </c>
      <c r="E2" s="240">
        <f>SUM(E4:E37)</f>
        <v>-31871.02</v>
      </c>
      <c r="F2" s="240">
        <f>SUM(F4:F44)</f>
        <v>257800</v>
      </c>
      <c r="G2" s="240">
        <f>SUM(G4:G44)</f>
        <v>-34914.910000000003</v>
      </c>
      <c r="H2" s="240">
        <f>F2+G2</f>
        <v>222885.09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-317</v>
      </c>
      <c r="H4" s="65">
        <f t="shared" ref="H4:H40" si="0">H3+F4+G4</f>
        <v>-317</v>
      </c>
    </row>
    <row r="5" spans="1:8">
      <c r="B5" s="88" t="s">
        <v>195</v>
      </c>
      <c r="C5" s="88"/>
      <c r="D5" s="88"/>
      <c r="E5" s="65">
        <v>-500</v>
      </c>
      <c r="G5" s="65">
        <v>-559</v>
      </c>
      <c r="H5" s="65">
        <f t="shared" si="0"/>
        <v>-876</v>
      </c>
    </row>
    <row r="6" spans="1:8">
      <c r="B6" s="88" t="s">
        <v>826</v>
      </c>
      <c r="C6" s="88"/>
      <c r="D6" s="88"/>
      <c r="E6" s="65">
        <v>-250</v>
      </c>
      <c r="G6" s="65">
        <v>-250</v>
      </c>
      <c r="H6" s="65">
        <f t="shared" si="0"/>
        <v>-1126</v>
      </c>
    </row>
    <row r="7" spans="1:8">
      <c r="B7" s="95" t="s">
        <v>212</v>
      </c>
      <c r="D7" s="65"/>
      <c r="E7" s="65">
        <f>D56*-1</f>
        <v>-44.99</v>
      </c>
      <c r="F7" s="65"/>
      <c r="G7" s="65">
        <f>E56*-1</f>
        <v>-44.99</v>
      </c>
      <c r="H7" s="65">
        <f t="shared" si="0"/>
        <v>-1170.99</v>
      </c>
    </row>
    <row r="8" spans="1:8">
      <c r="B8" s="95" t="s">
        <v>213</v>
      </c>
      <c r="E8" s="65">
        <f>E62</f>
        <v>-7338.2899999999991</v>
      </c>
      <c r="F8" s="65"/>
      <c r="G8" s="65">
        <v>-7338.29</v>
      </c>
      <c r="H8" s="65">
        <f t="shared" si="0"/>
        <v>-8509.2800000000007</v>
      </c>
    </row>
    <row r="9" spans="1:8">
      <c r="A9" s="96">
        <v>45173</v>
      </c>
      <c r="B9" s="95" t="s">
        <v>214</v>
      </c>
      <c r="E9" s="65">
        <f>E87</f>
        <v>-3842.66</v>
      </c>
      <c r="G9" s="65">
        <v>-3842.65</v>
      </c>
      <c r="H9" s="65">
        <f t="shared" si="0"/>
        <v>-12351.93</v>
      </c>
    </row>
    <row r="10" spans="1:8">
      <c r="A10" s="97">
        <v>45173</v>
      </c>
      <c r="B10" s="88" t="s">
        <v>827</v>
      </c>
      <c r="C10" s="88"/>
      <c r="D10" s="88"/>
      <c r="E10" s="65">
        <v>-5375</v>
      </c>
      <c r="G10" s="65">
        <v>-5375</v>
      </c>
      <c r="H10" s="65">
        <f t="shared" si="0"/>
        <v>-17726.93</v>
      </c>
    </row>
    <row r="11" spans="1:8">
      <c r="A11" s="97"/>
      <c r="B11" s="88" t="s">
        <v>827</v>
      </c>
      <c r="C11" s="88"/>
      <c r="D11" s="88"/>
      <c r="E11" s="65">
        <v>-2125</v>
      </c>
      <c r="G11" s="65">
        <v>-2125</v>
      </c>
      <c r="H11" s="65">
        <f t="shared" si="0"/>
        <v>-19851.93</v>
      </c>
    </row>
    <row r="12" spans="1:8">
      <c r="B12" s="88" t="s">
        <v>828</v>
      </c>
      <c r="C12" s="88"/>
      <c r="D12" s="88"/>
      <c r="E12" s="65">
        <v>-945.08</v>
      </c>
      <c r="F12" s="84"/>
      <c r="G12" s="65">
        <v>-945.08</v>
      </c>
      <c r="H12" s="65">
        <f t="shared" si="0"/>
        <v>-20797.010000000002</v>
      </c>
    </row>
    <row r="13" spans="1:8">
      <c r="B13" s="88" t="s">
        <v>208</v>
      </c>
      <c r="C13" s="88" t="s">
        <v>209</v>
      </c>
      <c r="D13" s="88"/>
      <c r="E13" s="65">
        <v>-150</v>
      </c>
      <c r="F13" s="84"/>
      <c r="G13" s="65"/>
      <c r="H13" s="65">
        <f t="shared" si="0"/>
        <v>-20797.010000000002</v>
      </c>
    </row>
    <row r="14" spans="1:8">
      <c r="B14" s="94" t="s">
        <v>210</v>
      </c>
      <c r="C14" s="94" t="s">
        <v>209</v>
      </c>
      <c r="D14" s="94"/>
      <c r="E14" s="65">
        <v>-300</v>
      </c>
      <c r="F14" s="84"/>
      <c r="G14" s="65"/>
      <c r="H14" s="65">
        <f t="shared" si="0"/>
        <v>-20797.010000000002</v>
      </c>
    </row>
    <row r="15" spans="1:8">
      <c r="B15" s="94" t="s">
        <v>211</v>
      </c>
      <c r="C15" s="94" t="s">
        <v>209</v>
      </c>
      <c r="D15" s="94"/>
      <c r="E15" s="65">
        <v>-100</v>
      </c>
      <c r="F15" s="84"/>
      <c r="G15" s="65"/>
      <c r="H15" s="65">
        <f t="shared" si="0"/>
        <v>-20797.010000000002</v>
      </c>
    </row>
    <row r="16" spans="1:8">
      <c r="B16" t="s">
        <v>84</v>
      </c>
      <c r="E16" s="65">
        <v>-3500</v>
      </c>
      <c r="F16" s="65"/>
      <c r="G16" s="65">
        <v>-3509</v>
      </c>
      <c r="H16" s="65">
        <f t="shared" si="0"/>
        <v>-24306.010000000002</v>
      </c>
    </row>
    <row r="17" spans="1:8">
      <c r="B17" t="s">
        <v>84</v>
      </c>
      <c r="E17" s="65"/>
      <c r="F17" s="65"/>
      <c r="G17" s="65">
        <v>-3509</v>
      </c>
      <c r="H17" s="65">
        <f t="shared" si="0"/>
        <v>-27815.010000000002</v>
      </c>
    </row>
    <row r="18" spans="1:8">
      <c r="B18" t="s">
        <v>172</v>
      </c>
      <c r="E18" s="65">
        <v>-3500</v>
      </c>
      <c r="F18" s="65"/>
      <c r="G18" s="65">
        <v>-3509</v>
      </c>
      <c r="H18" s="65">
        <f t="shared" si="0"/>
        <v>-31324.010000000002</v>
      </c>
    </row>
    <row r="19" spans="1:8">
      <c r="B19" t="s">
        <v>217</v>
      </c>
      <c r="E19" s="65">
        <v>-3500</v>
      </c>
      <c r="F19" s="65"/>
      <c r="G19" s="65">
        <v>-3500</v>
      </c>
      <c r="H19" s="65">
        <f t="shared" si="0"/>
        <v>-34824.01</v>
      </c>
    </row>
    <row r="20" spans="1:8">
      <c r="E20" s="84"/>
      <c r="F20" s="65"/>
      <c r="G20" s="65"/>
      <c r="H20" s="65">
        <f t="shared" si="0"/>
        <v>-34824.01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-27324.010000000002</v>
      </c>
    </row>
    <row r="22" spans="1:8">
      <c r="A22" s="97">
        <v>45202</v>
      </c>
      <c r="B22" t="s">
        <v>219</v>
      </c>
      <c r="D22" s="121">
        <v>2800</v>
      </c>
      <c r="F22" s="65">
        <v>2800</v>
      </c>
      <c r="G22" s="65"/>
      <c r="H22" s="65">
        <f t="shared" si="0"/>
        <v>-24524.010000000002</v>
      </c>
    </row>
    <row r="23" spans="1:8">
      <c r="A23" s="97">
        <v>45204</v>
      </c>
      <c r="B23" t="s">
        <v>829</v>
      </c>
      <c r="D23" s="121">
        <v>6500</v>
      </c>
      <c r="F23" s="65">
        <v>6500</v>
      </c>
      <c r="G23" s="65"/>
      <c r="H23" s="65">
        <f t="shared" si="0"/>
        <v>-18024.010000000002</v>
      </c>
    </row>
    <row r="24" spans="1:8">
      <c r="A24" s="97">
        <v>45170</v>
      </c>
      <c r="B24" t="s">
        <v>830</v>
      </c>
      <c r="D24" s="121">
        <v>37500</v>
      </c>
      <c r="F24" s="65"/>
      <c r="G24" s="65"/>
      <c r="H24" s="65">
        <f t="shared" si="0"/>
        <v>-18024.010000000002</v>
      </c>
    </row>
    <row r="25" spans="1:8">
      <c r="A25" s="97">
        <v>45199</v>
      </c>
      <c r="B25" t="s">
        <v>256</v>
      </c>
      <c r="D25" s="121">
        <v>70000</v>
      </c>
      <c r="G25" s="65"/>
      <c r="H25" s="65">
        <f t="shared" si="0"/>
        <v>-18024.010000000002</v>
      </c>
    </row>
    <row r="26" spans="1:8">
      <c r="A26" s="97"/>
      <c r="B26" t="s">
        <v>831</v>
      </c>
      <c r="D26" s="102"/>
      <c r="G26" s="65"/>
      <c r="H26" s="65">
        <f t="shared" si="0"/>
        <v>-18024.010000000002</v>
      </c>
    </row>
    <row r="27" spans="1:8">
      <c r="A27" s="97"/>
      <c r="B27" t="s">
        <v>832</v>
      </c>
      <c r="D27" s="102"/>
      <c r="F27" s="65">
        <v>83000</v>
      </c>
      <c r="G27" s="65"/>
      <c r="H27" s="65">
        <f t="shared" si="0"/>
        <v>64975.99</v>
      </c>
    </row>
    <row r="28" spans="1:8">
      <c r="A28" s="97"/>
      <c r="B28" t="s">
        <v>833</v>
      </c>
      <c r="D28" s="121">
        <v>3000</v>
      </c>
      <c r="F28">
        <v>3000</v>
      </c>
      <c r="G28" s="65"/>
      <c r="H28" s="65">
        <f t="shared" si="0"/>
        <v>67975.989999999991</v>
      </c>
    </row>
    <row r="29" spans="1:8">
      <c r="A29" s="97"/>
      <c r="B29" t="s">
        <v>834</v>
      </c>
      <c r="G29" s="65"/>
      <c r="H29" s="65">
        <f t="shared" si="0"/>
        <v>67975.989999999991</v>
      </c>
    </row>
    <row r="30" spans="1:8">
      <c r="A30" s="96">
        <v>45171</v>
      </c>
      <c r="B30" t="s">
        <v>835</v>
      </c>
      <c r="D30" s="102"/>
      <c r="F30" s="65">
        <v>65000</v>
      </c>
      <c r="G30" s="65"/>
      <c r="H30" s="65">
        <f t="shared" si="0"/>
        <v>132975.99</v>
      </c>
    </row>
    <row r="31" spans="1:8">
      <c r="A31" s="97">
        <v>45199</v>
      </c>
      <c r="B31" t="s">
        <v>836</v>
      </c>
      <c r="D31" s="121">
        <v>6000</v>
      </c>
      <c r="F31">
        <v>6000</v>
      </c>
      <c r="G31" s="65"/>
      <c r="H31" s="65">
        <f t="shared" si="0"/>
        <v>138975.99</v>
      </c>
    </row>
    <row r="32" spans="1:8">
      <c r="A32" s="97"/>
      <c r="B32" t="s">
        <v>837</v>
      </c>
      <c r="D32" s="102"/>
      <c r="G32" s="65"/>
      <c r="H32" s="65">
        <f t="shared" si="0"/>
        <v>138975.99</v>
      </c>
    </row>
    <row r="33" spans="1:8">
      <c r="A33" s="97"/>
      <c r="B33" t="s">
        <v>838</v>
      </c>
      <c r="D33" s="102"/>
      <c r="G33" s="65"/>
      <c r="H33" s="65">
        <f t="shared" si="0"/>
        <v>138975.99</v>
      </c>
    </row>
    <row r="34" spans="1:8">
      <c r="A34" s="97"/>
      <c r="B34" t="s">
        <v>839</v>
      </c>
      <c r="D34" s="102"/>
      <c r="G34" s="65"/>
      <c r="H34" s="65">
        <f t="shared" si="0"/>
        <v>138975.99</v>
      </c>
    </row>
    <row r="35" spans="1:8">
      <c r="A35" s="97"/>
      <c r="B35" t="s">
        <v>537</v>
      </c>
      <c r="D35" s="102"/>
      <c r="G35" s="65"/>
      <c r="H35" s="65">
        <f t="shared" si="0"/>
        <v>138975.99</v>
      </c>
    </row>
    <row r="36" spans="1:8">
      <c r="A36" s="96">
        <v>45173</v>
      </c>
      <c r="B36" t="s">
        <v>840</v>
      </c>
      <c r="D36" s="65"/>
      <c r="F36" s="65"/>
      <c r="G36" s="65">
        <v>-90.9</v>
      </c>
      <c r="H36" s="65">
        <f t="shared" si="0"/>
        <v>138885.09</v>
      </c>
    </row>
    <row r="37" spans="1:8">
      <c r="A37" s="97">
        <v>45196</v>
      </c>
      <c r="B37" t="s">
        <v>841</v>
      </c>
      <c r="F37" s="65">
        <v>74000</v>
      </c>
      <c r="G37" s="65"/>
      <c r="H37" s="65">
        <f t="shared" si="0"/>
        <v>212885.09</v>
      </c>
    </row>
    <row r="38" spans="1:8">
      <c r="A38" s="97">
        <v>45196</v>
      </c>
      <c r="B38" t="s">
        <v>842</v>
      </c>
      <c r="E38" s="65"/>
      <c r="F38">
        <v>10000</v>
      </c>
      <c r="G38" s="65"/>
      <c r="H38" s="65">
        <f t="shared" si="0"/>
        <v>222885.09</v>
      </c>
    </row>
    <row r="39" spans="1:8">
      <c r="A39" s="97"/>
      <c r="E39" s="65"/>
      <c r="G39" s="65"/>
      <c r="H39" s="65">
        <f t="shared" si="0"/>
        <v>222885.09</v>
      </c>
    </row>
    <row r="40" spans="1:8">
      <c r="A40" s="97"/>
      <c r="E40" s="65"/>
      <c r="G40" s="65"/>
      <c r="H40" s="84">
        <f t="shared" si="0"/>
        <v>222885.09</v>
      </c>
    </row>
    <row r="41" spans="1:8">
      <c r="A41" s="97"/>
      <c r="E41" s="65"/>
      <c r="G41" s="65"/>
      <c r="H41" s="65"/>
    </row>
    <row r="42" spans="1:8">
      <c r="A42" s="97"/>
      <c r="E42" s="65"/>
      <c r="G42" s="65"/>
      <c r="H42" s="65"/>
    </row>
    <row r="43" spans="1:8">
      <c r="A43" s="97"/>
      <c r="E43" s="65"/>
      <c r="G43" s="65"/>
      <c r="H43" s="65"/>
    </row>
    <row r="44" spans="1:8">
      <c r="B44" t="s">
        <v>222</v>
      </c>
      <c r="E44" s="65"/>
      <c r="G44" s="65"/>
      <c r="H44" s="65"/>
    </row>
    <row r="45" spans="1:8">
      <c r="A45" s="78" t="s">
        <v>223</v>
      </c>
      <c r="B45" s="78"/>
      <c r="C45" s="78"/>
      <c r="D45" s="78"/>
      <c r="E45" s="79"/>
      <c r="G45" s="65"/>
      <c r="H45" s="65"/>
    </row>
    <row r="46" spans="1:8">
      <c r="A46" s="251"/>
      <c r="B46" s="246"/>
      <c r="C46" s="246"/>
      <c r="D46" s="246"/>
      <c r="E46" s="247"/>
      <c r="H46" s="65"/>
    </row>
    <row r="47" spans="1:8">
      <c r="A47" s="251"/>
      <c r="B47" s="246"/>
      <c r="C47" s="248"/>
      <c r="D47" s="246"/>
      <c r="E47" s="246"/>
      <c r="H47" s="65"/>
    </row>
    <row r="48" spans="1:8">
      <c r="A48" s="251"/>
      <c r="B48" s="246"/>
      <c r="C48" s="248"/>
      <c r="D48" s="246"/>
      <c r="E48" s="246"/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224</v>
      </c>
      <c r="C50" s="78"/>
      <c r="D50" s="136">
        <f>SUM(D51:D58)</f>
        <v>3502.0099999999998</v>
      </c>
      <c r="E50" s="136">
        <f>SUM(E51:E58)</f>
        <v>3502.0099999999998</v>
      </c>
      <c r="H50" s="65"/>
    </row>
    <row r="51" spans="1:8">
      <c r="B51" t="s">
        <v>733</v>
      </c>
      <c r="D51">
        <v>673.8</v>
      </c>
      <c r="E51" s="65">
        <v>673.8</v>
      </c>
      <c r="F51" s="65"/>
      <c r="G51" s="65"/>
    </row>
    <row r="52" spans="1:8">
      <c r="B52" t="s">
        <v>226</v>
      </c>
      <c r="D52">
        <v>1165.77</v>
      </c>
      <c r="E52" s="65">
        <v>1165.77</v>
      </c>
      <c r="F52" s="65"/>
      <c r="G52" s="65"/>
    </row>
    <row r="53" spans="1:8">
      <c r="B53" t="s">
        <v>227</v>
      </c>
      <c r="D53">
        <v>106.22</v>
      </c>
      <c r="E53">
        <v>106.22</v>
      </c>
      <c r="F53" s="65"/>
      <c r="G53" s="65"/>
    </row>
    <row r="54" spans="1:8">
      <c r="B54" t="s">
        <v>228</v>
      </c>
      <c r="D54">
        <v>1157.58</v>
      </c>
      <c r="E54">
        <v>1157.58</v>
      </c>
      <c r="F54" s="65"/>
      <c r="G54" s="65"/>
    </row>
    <row r="55" spans="1:8">
      <c r="B55" t="s">
        <v>229</v>
      </c>
      <c r="D55">
        <v>353.65</v>
      </c>
      <c r="E55">
        <v>353.65</v>
      </c>
      <c r="F55" s="65"/>
      <c r="G55" s="65"/>
    </row>
    <row r="56" spans="1:8">
      <c r="B56" t="s">
        <v>230</v>
      </c>
      <c r="D56" s="94">
        <v>44.99</v>
      </c>
      <c r="E56">
        <v>44.99</v>
      </c>
      <c r="F56" s="65"/>
      <c r="G56" s="65"/>
    </row>
    <row r="57" spans="1:8">
      <c r="C57" s="94"/>
      <c r="E57" s="94"/>
      <c r="F57" s="65"/>
      <c r="G57" s="65"/>
    </row>
    <row r="58" spans="1:8">
      <c r="C58" s="94"/>
      <c r="D58" s="94"/>
      <c r="E58" s="84"/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231</v>
      </c>
      <c r="C62" s="78"/>
      <c r="D62" s="79"/>
      <c r="E62" s="136">
        <f>SUM(E63:E84)</f>
        <v>-7338.2899999999991</v>
      </c>
    </row>
    <row r="63" spans="1:8">
      <c r="A63" s="97"/>
      <c r="C63" s="94"/>
      <c r="D63" s="94"/>
      <c r="E63" s="84"/>
      <c r="G63" s="65"/>
      <c r="H63" s="65"/>
    </row>
    <row r="64" spans="1:8">
      <c r="A64" s="97">
        <v>44995</v>
      </c>
      <c r="B64" t="s">
        <v>586</v>
      </c>
      <c r="C64">
        <v>613.91</v>
      </c>
      <c r="D64" s="37" t="s">
        <v>843</v>
      </c>
      <c r="E64" s="84">
        <v>-61.39</v>
      </c>
      <c r="F64" s="65"/>
      <c r="G64" s="65"/>
      <c r="H64" s="65"/>
    </row>
    <row r="65" spans="1:8">
      <c r="A65" s="97">
        <v>44995</v>
      </c>
      <c r="B65" t="s">
        <v>844</v>
      </c>
      <c r="C65">
        <v>2258.94</v>
      </c>
      <c r="D65" s="37" t="s">
        <v>258</v>
      </c>
      <c r="E65" s="84">
        <v>-376.49</v>
      </c>
      <c r="F65" s="65"/>
      <c r="G65" s="65"/>
      <c r="H65" s="65"/>
    </row>
    <row r="66" spans="1:8">
      <c r="A66" s="97">
        <v>45043</v>
      </c>
      <c r="B66" s="94" t="s">
        <v>764</v>
      </c>
      <c r="C66" s="94">
        <v>3299</v>
      </c>
      <c r="D66" s="37" t="s">
        <v>326</v>
      </c>
      <c r="E66" s="84">
        <v>-549.83000000000004</v>
      </c>
      <c r="F66" s="65"/>
      <c r="G66" s="65"/>
      <c r="H66" s="65"/>
    </row>
    <row r="67" spans="1:8">
      <c r="A67" s="97">
        <v>45043</v>
      </c>
      <c r="B67" s="94" t="s">
        <v>539</v>
      </c>
      <c r="C67" s="94">
        <v>10764.57</v>
      </c>
      <c r="D67" s="37" t="s">
        <v>585</v>
      </c>
      <c r="E67" s="84">
        <v>-1196.06</v>
      </c>
      <c r="F67" s="65"/>
      <c r="G67" s="65"/>
      <c r="H67" s="65"/>
    </row>
    <row r="68" spans="1:8">
      <c r="A68" s="97">
        <v>45044</v>
      </c>
      <c r="B68" t="s">
        <v>766</v>
      </c>
      <c r="C68" s="94">
        <v>3123.29</v>
      </c>
      <c r="D68" s="139" t="s">
        <v>326</v>
      </c>
      <c r="E68" s="84">
        <v>-520.54999999999995</v>
      </c>
      <c r="F68" s="65"/>
      <c r="G68" s="65"/>
      <c r="H68" s="65"/>
    </row>
    <row r="69" spans="1:8">
      <c r="A69" s="97">
        <v>45078</v>
      </c>
      <c r="B69" s="94" t="s">
        <v>737</v>
      </c>
      <c r="D69" s="139" t="s">
        <v>739</v>
      </c>
      <c r="E69" s="84">
        <v>-666.67</v>
      </c>
      <c r="F69" s="65"/>
      <c r="G69" s="65"/>
      <c r="H69" s="65"/>
    </row>
    <row r="70" spans="1:8">
      <c r="A70" s="97">
        <v>45077</v>
      </c>
      <c r="B70" s="94" t="s">
        <v>797</v>
      </c>
      <c r="C70" s="94">
        <v>148.6</v>
      </c>
      <c r="D70" s="139" t="s">
        <v>845</v>
      </c>
      <c r="E70" s="84">
        <v>-37.15</v>
      </c>
      <c r="F70" s="65"/>
      <c r="G70" s="65"/>
      <c r="H70" s="65"/>
    </row>
    <row r="71" spans="1:8">
      <c r="A71" s="97">
        <v>45077</v>
      </c>
      <c r="B71" s="94" t="s">
        <v>799</v>
      </c>
      <c r="C71" s="94">
        <v>244.8</v>
      </c>
      <c r="D71" s="139" t="s">
        <v>845</v>
      </c>
      <c r="E71" s="84">
        <v>-61.2</v>
      </c>
      <c r="F71" s="65"/>
      <c r="G71" s="65"/>
      <c r="H71" s="65"/>
    </row>
    <row r="72" spans="1:8">
      <c r="A72" s="97">
        <v>45077</v>
      </c>
      <c r="B72" s="94" t="s">
        <v>800</v>
      </c>
      <c r="C72" s="94">
        <v>1204.5</v>
      </c>
      <c r="D72" s="139" t="s">
        <v>845</v>
      </c>
      <c r="E72" s="84">
        <v>-301.13</v>
      </c>
      <c r="F72" s="65"/>
      <c r="G72" s="65"/>
      <c r="H72" s="65"/>
    </row>
    <row r="73" spans="1:8">
      <c r="A73" s="97">
        <v>45077</v>
      </c>
      <c r="B73" t="s">
        <v>801</v>
      </c>
      <c r="C73" s="94">
        <v>532.6</v>
      </c>
      <c r="D73" s="139" t="s">
        <v>845</v>
      </c>
      <c r="E73" s="84">
        <v>-133.15</v>
      </c>
      <c r="F73" s="65"/>
    </row>
    <row r="74" spans="1:8">
      <c r="A74" s="97">
        <v>45139</v>
      </c>
      <c r="B74" s="94" t="s">
        <v>846</v>
      </c>
      <c r="E74" s="84">
        <v>-260.02</v>
      </c>
    </row>
    <row r="75" spans="1:8">
      <c r="A75" s="96">
        <v>45139</v>
      </c>
      <c r="B75" s="94" t="s">
        <v>847</v>
      </c>
      <c r="E75" s="84">
        <v>-116.6</v>
      </c>
    </row>
    <row r="76" spans="1:8">
      <c r="A76" s="96">
        <v>45139</v>
      </c>
      <c r="B76" s="94" t="s">
        <v>847</v>
      </c>
      <c r="E76" s="84">
        <v>-23.75</v>
      </c>
    </row>
    <row r="77" spans="1:8">
      <c r="A77" s="96">
        <v>45140</v>
      </c>
      <c r="B77" s="94" t="s">
        <v>848</v>
      </c>
      <c r="E77" s="84">
        <v>-600</v>
      </c>
    </row>
    <row r="78" spans="1:8">
      <c r="A78" s="96">
        <v>45147</v>
      </c>
      <c r="B78" s="94">
        <v>2240</v>
      </c>
      <c r="E78" s="84">
        <v>-165.4</v>
      </c>
    </row>
    <row r="79" spans="1:8">
      <c r="A79" s="96">
        <v>45148</v>
      </c>
      <c r="B79" s="94" t="s">
        <v>849</v>
      </c>
      <c r="E79" s="84">
        <v>-71</v>
      </c>
    </row>
    <row r="80" spans="1:8">
      <c r="A80" s="96">
        <v>45153</v>
      </c>
      <c r="B80" s="94" t="s">
        <v>850</v>
      </c>
      <c r="E80" s="84">
        <v>-1806</v>
      </c>
    </row>
    <row r="81" spans="1:8">
      <c r="A81" s="96">
        <v>45158</v>
      </c>
      <c r="B81" s="94" t="s">
        <v>851</v>
      </c>
      <c r="E81" s="84">
        <v>-160.9</v>
      </c>
    </row>
    <row r="82" spans="1:8">
      <c r="A82" s="96">
        <v>45160</v>
      </c>
      <c r="B82" s="94" t="s">
        <v>852</v>
      </c>
      <c r="D82" s="37"/>
      <c r="E82" s="84">
        <v>-231</v>
      </c>
    </row>
    <row r="83" spans="1:8" ht="15">
      <c r="A83" s="96"/>
      <c r="B83" s="94"/>
      <c r="D83" s="108" t="s">
        <v>285</v>
      </c>
      <c r="E83" s="84"/>
    </row>
    <row r="84" spans="1:8">
      <c r="A84" s="96"/>
      <c r="B84" s="94"/>
      <c r="D84" s="37"/>
      <c r="E84" s="84"/>
    </row>
    <row r="85" spans="1:8">
      <c r="A85" s="96"/>
      <c r="B85" s="94"/>
      <c r="D85" s="37"/>
      <c r="E85" s="84"/>
    </row>
    <row r="87" spans="1:8">
      <c r="A87" s="78"/>
      <c r="B87" s="77" t="s">
        <v>235</v>
      </c>
      <c r="C87" s="78"/>
      <c r="D87" s="78"/>
      <c r="E87" s="80">
        <f>SUM(E88:E108)</f>
        <v>-3842.66</v>
      </c>
    </row>
    <row r="88" spans="1:8">
      <c r="A88" s="97">
        <v>45026</v>
      </c>
      <c r="B88" t="s">
        <v>767</v>
      </c>
      <c r="C88">
        <v>1140.99</v>
      </c>
      <c r="D88" t="s">
        <v>543</v>
      </c>
      <c r="E88">
        <v>-190.17</v>
      </c>
      <c r="F88" s="65"/>
      <c r="G88" s="65"/>
      <c r="H88" s="65"/>
    </row>
    <row r="89" spans="1:8">
      <c r="A89" s="97">
        <v>45133</v>
      </c>
      <c r="B89" s="94" t="s">
        <v>853</v>
      </c>
      <c r="C89" s="94"/>
      <c r="D89" s="94"/>
      <c r="E89" s="84">
        <v>-245</v>
      </c>
      <c r="F89" s="65"/>
      <c r="G89" s="65"/>
      <c r="H89" s="65"/>
    </row>
    <row r="90" spans="1:8">
      <c r="A90" s="97">
        <v>45134</v>
      </c>
      <c r="B90" s="94" t="s">
        <v>467</v>
      </c>
      <c r="C90" s="94"/>
      <c r="D90" s="94"/>
      <c r="E90" s="84">
        <v>-150</v>
      </c>
      <c r="F90" s="65"/>
      <c r="G90" s="65"/>
      <c r="H90" s="65"/>
    </row>
    <row r="91" spans="1:8">
      <c r="A91" s="97">
        <v>45135</v>
      </c>
      <c r="B91" s="94" t="s">
        <v>854</v>
      </c>
      <c r="C91" s="94"/>
      <c r="D91" s="94"/>
      <c r="E91" s="84">
        <v>-555.87</v>
      </c>
      <c r="F91" s="65"/>
      <c r="G91" s="65"/>
      <c r="H91" s="65"/>
    </row>
    <row r="92" spans="1:8">
      <c r="A92" s="97">
        <v>45135</v>
      </c>
      <c r="B92" s="94" t="s">
        <v>855</v>
      </c>
      <c r="C92" s="94"/>
      <c r="D92" s="94"/>
      <c r="E92" s="84">
        <v>-328</v>
      </c>
      <c r="F92" s="65"/>
      <c r="G92" s="65"/>
      <c r="H92" s="65"/>
    </row>
    <row r="93" spans="1:8">
      <c r="A93" s="97">
        <v>45136</v>
      </c>
      <c r="B93" s="103" t="s">
        <v>301</v>
      </c>
      <c r="E93" s="84">
        <v>-42.15</v>
      </c>
      <c r="F93" s="65"/>
    </row>
    <row r="94" spans="1:8">
      <c r="A94" s="97">
        <v>45136</v>
      </c>
      <c r="B94" t="s">
        <v>856</v>
      </c>
      <c r="E94">
        <v>-400</v>
      </c>
      <c r="F94" s="65"/>
    </row>
    <row r="95" spans="1:8">
      <c r="A95" s="97">
        <v>45136</v>
      </c>
      <c r="B95" t="s">
        <v>857</v>
      </c>
      <c r="E95">
        <v>-266</v>
      </c>
      <c r="F95" s="65"/>
    </row>
    <row r="96" spans="1:8">
      <c r="A96" s="97">
        <v>45199</v>
      </c>
      <c r="B96" t="s">
        <v>858</v>
      </c>
      <c r="E96">
        <v>-489.97</v>
      </c>
      <c r="F96" s="65"/>
    </row>
    <row r="97" spans="1:6">
      <c r="A97" s="97">
        <v>45139</v>
      </c>
      <c r="B97" t="s">
        <v>284</v>
      </c>
      <c r="C97">
        <v>6556.63</v>
      </c>
    </row>
    <row r="98" spans="1:6">
      <c r="E98">
        <v>-156.47999999999999</v>
      </c>
    </row>
    <row r="99" spans="1:6">
      <c r="A99" s="96">
        <v>45141</v>
      </c>
      <c r="B99" t="s">
        <v>768</v>
      </c>
      <c r="D99" s="37" t="s">
        <v>859</v>
      </c>
      <c r="E99">
        <v>-181.83</v>
      </c>
    </row>
    <row r="100" spans="1:6">
      <c r="A100" s="96">
        <v>45141</v>
      </c>
      <c r="B100" t="s">
        <v>464</v>
      </c>
      <c r="D100" s="37"/>
      <c r="E100">
        <v>-150</v>
      </c>
    </row>
    <row r="101" spans="1:6">
      <c r="A101" s="96">
        <v>45143</v>
      </c>
      <c r="B101" t="s">
        <v>464</v>
      </c>
      <c r="E101">
        <v>-150</v>
      </c>
    </row>
    <row r="102" spans="1:6">
      <c r="A102" s="96">
        <v>45143</v>
      </c>
      <c r="B102" t="s">
        <v>301</v>
      </c>
      <c r="E102">
        <v>-337.19</v>
      </c>
    </row>
    <row r="103" spans="1:6">
      <c r="A103" s="96">
        <v>45161</v>
      </c>
      <c r="B103" t="s">
        <v>464</v>
      </c>
      <c r="E103">
        <v>-200</v>
      </c>
    </row>
    <row r="104" spans="1:6" ht="15">
      <c r="D104" s="108" t="s">
        <v>285</v>
      </c>
    </row>
    <row r="111" spans="1:6">
      <c r="A111" s="76" t="s">
        <v>860</v>
      </c>
      <c r="B111" s="77" t="s">
        <v>171</v>
      </c>
      <c r="C111" s="78">
        <v>2023</v>
      </c>
      <c r="D111" s="79"/>
      <c r="E111" s="80">
        <f>SUM(E112:E120)</f>
        <v>604370.1</v>
      </c>
    </row>
    <row r="112" spans="1:6">
      <c r="A112" s="97">
        <v>45169</v>
      </c>
      <c r="B112" t="s">
        <v>84</v>
      </c>
      <c r="C112" s="2"/>
      <c r="D112" s="2"/>
      <c r="E112" s="13">
        <v>64000</v>
      </c>
      <c r="F112">
        <v>0</v>
      </c>
    </row>
    <row r="113" spans="1:6">
      <c r="A113" s="97">
        <v>45169</v>
      </c>
      <c r="B113" t="s">
        <v>861</v>
      </c>
      <c r="C113" s="2"/>
      <c r="D113" s="2"/>
      <c r="E113" s="13">
        <v>63088</v>
      </c>
      <c r="F113">
        <v>0</v>
      </c>
    </row>
    <row r="114" spans="1:6">
      <c r="A114" s="97">
        <v>45169</v>
      </c>
      <c r="B114" t="s">
        <v>173</v>
      </c>
      <c r="C114" s="2"/>
      <c r="D114" s="2"/>
      <c r="E114" s="13">
        <v>126493.51</v>
      </c>
      <c r="F114">
        <v>0</v>
      </c>
    </row>
    <row r="115" spans="1:6">
      <c r="A115" s="97">
        <v>45169</v>
      </c>
      <c r="B115" t="s">
        <v>174</v>
      </c>
      <c r="C115" s="2"/>
      <c r="D115" s="2"/>
      <c r="E115" s="13">
        <v>359.59</v>
      </c>
      <c r="F115">
        <v>0</v>
      </c>
    </row>
    <row r="116" spans="1:6">
      <c r="A116" s="97">
        <v>45169</v>
      </c>
      <c r="B116" t="s">
        <v>821</v>
      </c>
      <c r="C116" s="2">
        <v>1573</v>
      </c>
      <c r="D116" s="2">
        <v>111</v>
      </c>
      <c r="E116" s="13">
        <f>D116*C116</f>
        <v>174603</v>
      </c>
      <c r="F116">
        <v>0</v>
      </c>
    </row>
    <row r="117" spans="1:6">
      <c r="A117" s="97">
        <v>45169</v>
      </c>
      <c r="B117" t="s">
        <v>823</v>
      </c>
      <c r="C117" s="83">
        <v>26.76</v>
      </c>
      <c r="D117" s="2">
        <v>850</v>
      </c>
      <c r="E117" s="13">
        <f>D117*C117</f>
        <v>22746</v>
      </c>
      <c r="F117">
        <v>0</v>
      </c>
    </row>
    <row r="118" spans="1:6">
      <c r="A118" s="97">
        <v>45169</v>
      </c>
      <c r="B118" t="s">
        <v>824</v>
      </c>
      <c r="C118" s="83">
        <v>28.3</v>
      </c>
      <c r="D118" s="2">
        <v>100</v>
      </c>
      <c r="E118" s="13">
        <f>D118*C118</f>
        <v>2830</v>
      </c>
      <c r="F118">
        <v>0</v>
      </c>
    </row>
    <row r="119" spans="1:6">
      <c r="A119" s="97">
        <v>45192</v>
      </c>
      <c r="B119" t="s">
        <v>187</v>
      </c>
      <c r="C119" s="2"/>
      <c r="D119" s="2"/>
      <c r="E119" s="13">
        <v>146650</v>
      </c>
      <c r="F119">
        <v>0</v>
      </c>
    </row>
    <row r="120" spans="1:6">
      <c r="A120" s="97">
        <v>45192</v>
      </c>
      <c r="B120" t="s">
        <v>94</v>
      </c>
      <c r="C120" s="2"/>
      <c r="D120" s="2"/>
      <c r="E120" s="13">
        <v>3600</v>
      </c>
    </row>
    <row r="121" spans="1:6">
      <c r="C121" s="3" t="str">
        <f>A111</f>
        <v>EYLÜL</v>
      </c>
      <c r="D121" s="70" t="s">
        <v>188</v>
      </c>
      <c r="E121" s="84">
        <f>H40</f>
        <v>222885.09</v>
      </c>
    </row>
    <row r="122" spans="1:6">
      <c r="D122" s="3"/>
    </row>
    <row r="123" spans="1:6">
      <c r="D123" s="70" t="s">
        <v>189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862</v>
      </c>
      <c r="C2" s="87" t="s">
        <v>191</v>
      </c>
      <c r="D2" s="240">
        <f>SUM(D4:D30)</f>
        <v>87911</v>
      </c>
      <c r="E2" s="240">
        <f>SUM(E4:E29)</f>
        <v>-32079.01</v>
      </c>
      <c r="F2" s="240">
        <f>SUM(F4:F31)</f>
        <v>16800</v>
      </c>
      <c r="G2" s="240">
        <f>SUM(G4:G31)</f>
        <v>-37135.350000000006</v>
      </c>
      <c r="H2" s="240">
        <f>F2+G2</f>
        <v>-20335.350000000006</v>
      </c>
    </row>
    <row r="3" spans="1:8">
      <c r="B3" s="70"/>
      <c r="H3" s="65"/>
    </row>
    <row r="4" spans="1:8">
      <c r="A4" s="96">
        <v>45141</v>
      </c>
      <c r="B4" s="88" t="s">
        <v>194</v>
      </c>
      <c r="C4" s="88"/>
      <c r="D4" s="88"/>
      <c r="E4" s="65">
        <v>-400</v>
      </c>
      <c r="G4" s="65">
        <v>-311</v>
      </c>
      <c r="H4" s="65">
        <f t="shared" ref="H4:H28" si="0">H3+F4+G4</f>
        <v>-311</v>
      </c>
    </row>
    <row r="5" spans="1:8">
      <c r="A5" s="96">
        <v>45141</v>
      </c>
      <c r="B5" s="88" t="s">
        <v>195</v>
      </c>
      <c r="C5" s="88"/>
      <c r="D5" s="88"/>
      <c r="E5" s="65">
        <v>-500</v>
      </c>
      <c r="G5" s="65">
        <v>-520</v>
      </c>
      <c r="H5" s="65">
        <f t="shared" si="0"/>
        <v>-831</v>
      </c>
    </row>
    <row r="6" spans="1:8">
      <c r="B6" s="88" t="s">
        <v>863</v>
      </c>
      <c r="C6" s="88"/>
      <c r="D6" s="88"/>
      <c r="E6" s="65">
        <v>-250</v>
      </c>
      <c r="G6" s="65">
        <v>-250</v>
      </c>
      <c r="H6" s="65">
        <f t="shared" si="0"/>
        <v>-1081</v>
      </c>
    </row>
    <row r="7" spans="1:8">
      <c r="B7" s="95" t="s">
        <v>212</v>
      </c>
      <c r="D7" s="65">
        <f>D37</f>
        <v>0</v>
      </c>
      <c r="E7" s="2"/>
      <c r="F7" s="65">
        <f>E37</f>
        <v>0</v>
      </c>
      <c r="G7" s="65"/>
      <c r="H7" s="65">
        <f t="shared" si="0"/>
        <v>-1081</v>
      </c>
    </row>
    <row r="8" spans="1:8">
      <c r="B8" s="95" t="s">
        <v>213</v>
      </c>
      <c r="E8" s="65">
        <f>E49</f>
        <v>-5147.6399999999985</v>
      </c>
      <c r="F8" s="65"/>
      <c r="G8" s="65">
        <v>-5147.6400000000003</v>
      </c>
      <c r="H8" s="65">
        <f t="shared" si="0"/>
        <v>-6228.64</v>
      </c>
    </row>
    <row r="9" spans="1:8">
      <c r="B9" s="95" t="s">
        <v>214</v>
      </c>
      <c r="E9" s="65">
        <f>E67</f>
        <v>-6556.6299999999992</v>
      </c>
      <c r="G9" s="65">
        <v>-6556.63</v>
      </c>
      <c r="H9" s="65">
        <f t="shared" si="0"/>
        <v>-12785.27</v>
      </c>
    </row>
    <row r="10" spans="1:8">
      <c r="A10" s="97">
        <v>45139</v>
      </c>
      <c r="B10" s="88" t="s">
        <v>864</v>
      </c>
      <c r="C10" s="88"/>
      <c r="D10" s="88"/>
      <c r="E10" s="65">
        <v>-5375</v>
      </c>
      <c r="G10" s="65">
        <v>-5375</v>
      </c>
      <c r="H10" s="65">
        <f t="shared" si="0"/>
        <v>-18160.27</v>
      </c>
    </row>
    <row r="11" spans="1:8">
      <c r="A11" s="97">
        <v>45139</v>
      </c>
      <c r="B11" s="88" t="s">
        <v>864</v>
      </c>
      <c r="C11" s="88"/>
      <c r="D11" s="88"/>
      <c r="E11" s="65">
        <v>-2125</v>
      </c>
      <c r="G11" s="65">
        <v>-2125</v>
      </c>
      <c r="H11" s="65">
        <f t="shared" si="0"/>
        <v>-20285.27</v>
      </c>
    </row>
    <row r="12" spans="1:8">
      <c r="B12" s="88" t="s">
        <v>865</v>
      </c>
      <c r="C12" s="88"/>
      <c r="D12" s="88"/>
      <c r="E12" s="65">
        <v>-674.74</v>
      </c>
      <c r="F12" s="84"/>
      <c r="G12" s="65">
        <v>-945.08</v>
      </c>
      <c r="H12" s="65">
        <f t="shared" si="0"/>
        <v>-21230.350000000002</v>
      </c>
    </row>
    <row r="13" spans="1:8">
      <c r="B13" s="88" t="s">
        <v>208</v>
      </c>
      <c r="C13" s="88" t="s">
        <v>209</v>
      </c>
      <c r="D13" s="88"/>
      <c r="E13" s="65">
        <v>-150</v>
      </c>
      <c r="F13" s="84"/>
      <c r="G13" s="65">
        <v>0</v>
      </c>
      <c r="H13" s="65">
        <f t="shared" si="0"/>
        <v>-21230.350000000002</v>
      </c>
    </row>
    <row r="14" spans="1:8">
      <c r="B14" s="94" t="s">
        <v>210</v>
      </c>
      <c r="C14" s="94" t="s">
        <v>209</v>
      </c>
      <c r="D14" s="94"/>
      <c r="E14" s="65">
        <v>-300</v>
      </c>
      <c r="F14" s="84"/>
      <c r="G14" s="65">
        <v>0</v>
      </c>
      <c r="H14" s="65">
        <f t="shared" si="0"/>
        <v>-21230.350000000002</v>
      </c>
    </row>
    <row r="15" spans="1:8">
      <c r="B15" s="94" t="s">
        <v>211</v>
      </c>
      <c r="C15" s="94" t="s">
        <v>209</v>
      </c>
      <c r="D15" s="94"/>
      <c r="E15" s="65">
        <v>-100</v>
      </c>
      <c r="F15" s="84"/>
      <c r="G15" s="65">
        <v>0</v>
      </c>
      <c r="H15" s="65">
        <f t="shared" si="0"/>
        <v>-21230.350000000002</v>
      </c>
    </row>
    <row r="16" spans="1:8">
      <c r="A16" s="96">
        <v>45152</v>
      </c>
      <c r="B16" s="88" t="s">
        <v>447</v>
      </c>
      <c r="G16" s="65">
        <v>-139</v>
      </c>
      <c r="H16" s="65">
        <f t="shared" si="0"/>
        <v>-21369.350000000002</v>
      </c>
    </row>
    <row r="17" spans="1:8">
      <c r="H17" s="65">
        <f t="shared" si="0"/>
        <v>-21369.350000000002</v>
      </c>
    </row>
    <row r="18" spans="1:8">
      <c r="B18" t="s">
        <v>84</v>
      </c>
      <c r="E18" s="65">
        <v>-3500</v>
      </c>
      <c r="F18" s="65"/>
      <c r="G18" s="65">
        <v>-3508</v>
      </c>
      <c r="H18" s="65">
        <f t="shared" si="0"/>
        <v>-24877.350000000002</v>
      </c>
    </row>
    <row r="19" spans="1:8">
      <c r="B19" t="s">
        <v>172</v>
      </c>
      <c r="E19" s="65">
        <v>-3500</v>
      </c>
      <c r="F19" s="65"/>
      <c r="G19" s="65">
        <v>-3508</v>
      </c>
      <c r="H19" s="65">
        <f t="shared" si="0"/>
        <v>-28385.350000000002</v>
      </c>
    </row>
    <row r="20" spans="1:8">
      <c r="B20" t="s">
        <v>217</v>
      </c>
      <c r="E20" s="65">
        <v>-3500</v>
      </c>
      <c r="F20" s="65"/>
      <c r="G20" s="65">
        <v>-3500</v>
      </c>
      <c r="H20" s="65">
        <f t="shared" si="0"/>
        <v>-31885.350000000002</v>
      </c>
    </row>
    <row r="21" spans="1:8">
      <c r="B21" t="s">
        <v>2</v>
      </c>
      <c r="D21">
        <v>1111</v>
      </c>
      <c r="E21" s="84"/>
      <c r="F21" s="65"/>
      <c r="G21" s="65"/>
      <c r="H21" s="65">
        <f t="shared" si="0"/>
        <v>-31885.350000000002</v>
      </c>
    </row>
    <row r="22" spans="1:8">
      <c r="B22" t="s">
        <v>218</v>
      </c>
      <c r="D22" s="121">
        <v>7500</v>
      </c>
      <c r="F22" s="65">
        <v>7500</v>
      </c>
      <c r="G22" s="65"/>
      <c r="H22" s="65">
        <f t="shared" si="0"/>
        <v>-24385.350000000002</v>
      </c>
    </row>
    <row r="23" spans="1:8">
      <c r="B23" t="s">
        <v>219</v>
      </c>
      <c r="D23" s="121">
        <v>2800</v>
      </c>
      <c r="F23" s="65">
        <v>2800</v>
      </c>
      <c r="G23" s="65"/>
      <c r="H23" s="65">
        <f t="shared" si="0"/>
        <v>-21585.350000000002</v>
      </c>
    </row>
    <row r="24" spans="1:8">
      <c r="B24" t="s">
        <v>866</v>
      </c>
      <c r="D24" s="121">
        <v>6500</v>
      </c>
      <c r="F24" s="65">
        <v>6500</v>
      </c>
      <c r="G24" s="65"/>
      <c r="H24" s="65">
        <f t="shared" si="0"/>
        <v>-15085.350000000002</v>
      </c>
    </row>
    <row r="25" spans="1:8">
      <c r="A25" s="97">
        <v>45167</v>
      </c>
      <c r="B25" t="s">
        <v>867</v>
      </c>
      <c r="D25" s="102"/>
      <c r="F25" s="65"/>
      <c r="G25" s="65"/>
      <c r="H25" s="65">
        <f t="shared" si="0"/>
        <v>-15085.350000000002</v>
      </c>
    </row>
    <row r="26" spans="1:8">
      <c r="B26" t="s">
        <v>868</v>
      </c>
      <c r="D26" s="102"/>
      <c r="F26" s="65"/>
      <c r="G26" s="65"/>
      <c r="H26" s="65">
        <f t="shared" si="0"/>
        <v>-15085.350000000002</v>
      </c>
    </row>
    <row r="27" spans="1:8">
      <c r="A27" s="97"/>
      <c r="B27" t="s">
        <v>869</v>
      </c>
      <c r="D27" s="121">
        <v>70000</v>
      </c>
      <c r="G27" s="65"/>
      <c r="H27" s="65">
        <f t="shared" si="0"/>
        <v>-15085.350000000002</v>
      </c>
    </row>
    <row r="28" spans="1:8">
      <c r="B28" t="s">
        <v>870</v>
      </c>
      <c r="D28" s="102"/>
      <c r="F28" s="65"/>
      <c r="G28" s="65">
        <v>-5250</v>
      </c>
      <c r="H28" s="65">
        <f t="shared" si="0"/>
        <v>-20335.350000000002</v>
      </c>
    </row>
    <row r="29" spans="1:8" ht="15.75">
      <c r="B29" s="99"/>
      <c r="F29" s="65"/>
      <c r="G29" s="65"/>
      <c r="H29" s="65"/>
    </row>
    <row r="30" spans="1:8">
      <c r="E30" s="65"/>
      <c r="G30" s="65"/>
      <c r="H30" s="65"/>
    </row>
    <row r="31" spans="1:8">
      <c r="B31" t="s">
        <v>222</v>
      </c>
      <c r="E31" s="65"/>
      <c r="G31" s="65"/>
      <c r="H31" s="65"/>
    </row>
    <row r="32" spans="1:8">
      <c r="A32" s="78" t="s">
        <v>223</v>
      </c>
      <c r="B32" s="78"/>
      <c r="C32" s="78"/>
      <c r="D32" s="78"/>
      <c r="E32" s="79"/>
      <c r="G32" s="65"/>
      <c r="H32" s="65"/>
    </row>
    <row r="33" spans="1:8">
      <c r="A33" s="251"/>
      <c r="B33" s="246"/>
      <c r="C33" s="246"/>
      <c r="D33" s="246"/>
      <c r="E33" s="247"/>
      <c r="H33" s="65"/>
    </row>
    <row r="34" spans="1:8">
      <c r="A34" s="251"/>
      <c r="B34" s="246"/>
      <c r="C34" s="248"/>
      <c r="D34" s="246"/>
      <c r="E34" s="246"/>
      <c r="H34" s="65"/>
    </row>
    <row r="35" spans="1:8">
      <c r="A35" s="251"/>
      <c r="B35" s="246"/>
      <c r="C35" s="248"/>
      <c r="D35" s="246"/>
      <c r="E35" s="246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224</v>
      </c>
      <c r="C37" s="78"/>
      <c r="D37" s="136">
        <f>SUM(D38:D45)</f>
        <v>0</v>
      </c>
      <c r="E37" s="136">
        <f>SUM(E38:E45)</f>
        <v>0</v>
      </c>
      <c r="H37" s="65"/>
    </row>
    <row r="38" spans="1:8">
      <c r="B38" t="s">
        <v>733</v>
      </c>
      <c r="E38" s="65"/>
      <c r="F38" s="65"/>
      <c r="G38" s="65"/>
    </row>
    <row r="39" spans="1:8">
      <c r="B39" t="s">
        <v>226</v>
      </c>
      <c r="E39" s="65"/>
      <c r="F39" s="65"/>
      <c r="G39" s="65"/>
    </row>
    <row r="40" spans="1:8">
      <c r="B40" t="s">
        <v>227</v>
      </c>
      <c r="F40" s="65"/>
      <c r="G40" s="65"/>
    </row>
    <row r="41" spans="1:8">
      <c r="B41" t="s">
        <v>228</v>
      </c>
      <c r="F41" s="65"/>
      <c r="G41" s="65"/>
    </row>
    <row r="42" spans="1:8">
      <c r="B42" t="s">
        <v>229</v>
      </c>
      <c r="F42" s="65"/>
      <c r="G42" s="65"/>
    </row>
    <row r="43" spans="1:8">
      <c r="B43" t="s">
        <v>230</v>
      </c>
      <c r="C43" s="94"/>
      <c r="D43" s="94"/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231</v>
      </c>
      <c r="C49" s="78"/>
      <c r="D49" s="79"/>
      <c r="E49" s="80">
        <f>SUM(E50:E64)</f>
        <v>-5147.6399999999985</v>
      </c>
    </row>
    <row r="50" spans="1:8">
      <c r="A50" s="97">
        <v>44873</v>
      </c>
      <c r="B50" t="s">
        <v>871</v>
      </c>
      <c r="C50" s="94"/>
      <c r="D50" s="94" t="s">
        <v>540</v>
      </c>
      <c r="E50" s="84">
        <v>-1111.1199999999999</v>
      </c>
      <c r="G50" s="65"/>
      <c r="H50" s="65"/>
    </row>
    <row r="51" spans="1:8">
      <c r="A51" s="97">
        <v>44995</v>
      </c>
      <c r="B51" t="s">
        <v>586</v>
      </c>
      <c r="C51">
        <v>613.91</v>
      </c>
      <c r="D51" s="37" t="s">
        <v>872</v>
      </c>
      <c r="E51" s="84">
        <v>-61.39</v>
      </c>
      <c r="F51" s="65"/>
      <c r="G51" s="65"/>
      <c r="H51" s="65"/>
    </row>
    <row r="52" spans="1:8">
      <c r="A52" s="97">
        <v>44995</v>
      </c>
      <c r="B52" t="s">
        <v>844</v>
      </c>
      <c r="C52">
        <v>2258.94</v>
      </c>
      <c r="D52" s="37" t="s">
        <v>278</v>
      </c>
      <c r="E52" s="84">
        <v>-376.49</v>
      </c>
      <c r="F52" s="65"/>
      <c r="G52" s="65"/>
      <c r="H52" s="65"/>
    </row>
    <row r="53" spans="1:8">
      <c r="A53" s="97">
        <v>45043</v>
      </c>
      <c r="B53" s="94" t="s">
        <v>764</v>
      </c>
      <c r="C53" s="94">
        <v>3299</v>
      </c>
      <c r="D53" s="37" t="s">
        <v>739</v>
      </c>
      <c r="E53" s="84">
        <v>-549.83000000000004</v>
      </c>
      <c r="F53" s="65"/>
      <c r="G53" s="65"/>
      <c r="H53" s="65"/>
    </row>
    <row r="54" spans="1:8">
      <c r="A54" s="97">
        <v>45043</v>
      </c>
      <c r="B54" s="94" t="s">
        <v>539</v>
      </c>
      <c r="C54" s="94">
        <v>10764.57</v>
      </c>
      <c r="D54" s="37" t="s">
        <v>738</v>
      </c>
      <c r="E54" s="84">
        <v>-1196.06</v>
      </c>
      <c r="F54" s="65"/>
      <c r="G54" s="65"/>
      <c r="H54" s="65"/>
    </row>
    <row r="55" spans="1:8">
      <c r="A55" s="97">
        <v>45044</v>
      </c>
      <c r="B55" t="s">
        <v>766</v>
      </c>
      <c r="C55" s="94">
        <v>3123.29</v>
      </c>
      <c r="D55" s="139" t="s">
        <v>739</v>
      </c>
      <c r="E55" s="84">
        <v>-520.54999999999995</v>
      </c>
      <c r="F55" s="65"/>
      <c r="G55" s="65"/>
      <c r="H55" s="65"/>
    </row>
    <row r="56" spans="1:8">
      <c r="A56" s="97">
        <v>45078</v>
      </c>
      <c r="B56" s="94" t="s">
        <v>737</v>
      </c>
      <c r="D56" s="139" t="s">
        <v>420</v>
      </c>
      <c r="E56" s="84">
        <v>-666.67</v>
      </c>
      <c r="F56" s="65"/>
      <c r="G56" s="65"/>
      <c r="H56" s="65"/>
    </row>
    <row r="57" spans="1:8">
      <c r="A57" s="97">
        <v>45077</v>
      </c>
      <c r="B57" s="94" t="s">
        <v>797</v>
      </c>
      <c r="C57" s="94">
        <v>148.6</v>
      </c>
      <c r="D57" s="139" t="s">
        <v>873</v>
      </c>
      <c r="E57" s="84">
        <v>-37.15</v>
      </c>
      <c r="F57" s="65"/>
      <c r="G57" s="65"/>
      <c r="H57" s="65"/>
    </row>
    <row r="58" spans="1:8">
      <c r="A58" s="97">
        <v>45077</v>
      </c>
      <c r="B58" s="94" t="s">
        <v>799</v>
      </c>
      <c r="C58" s="94">
        <v>244.8</v>
      </c>
      <c r="D58" s="139" t="s">
        <v>873</v>
      </c>
      <c r="E58" s="84">
        <v>-61.2</v>
      </c>
      <c r="F58" s="65"/>
      <c r="G58" s="65"/>
      <c r="H58" s="65"/>
    </row>
    <row r="59" spans="1:8">
      <c r="A59" s="97">
        <v>45077</v>
      </c>
      <c r="B59" s="94" t="s">
        <v>800</v>
      </c>
      <c r="C59" s="94">
        <v>1204.5</v>
      </c>
      <c r="D59" s="139" t="s">
        <v>873</v>
      </c>
      <c r="E59" s="84">
        <v>-301.13</v>
      </c>
      <c r="F59" s="65"/>
      <c r="G59" s="65"/>
      <c r="H59" s="65"/>
    </row>
    <row r="60" spans="1:8">
      <c r="A60" s="97">
        <v>45077</v>
      </c>
      <c r="B60" t="s">
        <v>801</v>
      </c>
      <c r="C60" s="94">
        <v>532.6</v>
      </c>
      <c r="D60" s="139" t="s">
        <v>873</v>
      </c>
      <c r="E60" s="84">
        <v>-133.15</v>
      </c>
      <c r="F60" s="65"/>
      <c r="G60" s="65"/>
      <c r="H60" s="65"/>
    </row>
    <row r="61" spans="1:8">
      <c r="A61" s="97"/>
      <c r="C61" s="94"/>
      <c r="D61" s="94"/>
      <c r="E61" s="84"/>
      <c r="F61" s="65"/>
      <c r="G61" s="65"/>
      <c r="H61" s="65"/>
    </row>
    <row r="62" spans="1:8">
      <c r="A62" s="97">
        <v>45112</v>
      </c>
      <c r="B62" t="s">
        <v>874</v>
      </c>
      <c r="E62" s="84">
        <v>-132.9</v>
      </c>
    </row>
    <row r="63" spans="1:8">
      <c r="A63" s="97"/>
      <c r="D63" s="3" t="s">
        <v>285</v>
      </c>
      <c r="E63" s="84"/>
    </row>
    <row r="65" spans="1:8">
      <c r="D65" s="37"/>
    </row>
    <row r="67" spans="1:8">
      <c r="A67" s="78"/>
      <c r="B67" s="77" t="s">
        <v>235</v>
      </c>
      <c r="C67" s="78"/>
      <c r="D67" s="78"/>
      <c r="E67" s="80">
        <f>SUM(E68:E91)</f>
        <v>-6556.6299999999992</v>
      </c>
    </row>
    <row r="68" spans="1:8">
      <c r="A68" s="97">
        <v>45026</v>
      </c>
      <c r="B68" t="s">
        <v>767</v>
      </c>
      <c r="C68">
        <v>1140.99</v>
      </c>
      <c r="D68" t="s">
        <v>875</v>
      </c>
      <c r="E68">
        <v>-190.17</v>
      </c>
      <c r="F68" s="65"/>
      <c r="G68" s="65"/>
      <c r="H68" s="65"/>
    </row>
    <row r="69" spans="1:8">
      <c r="A69" s="97">
        <v>45105</v>
      </c>
      <c r="B69" s="252" t="s">
        <v>876</v>
      </c>
      <c r="C69" s="94"/>
      <c r="D69" s="94"/>
      <c r="E69" s="84">
        <v>-27.99</v>
      </c>
      <c r="F69" s="65"/>
      <c r="G69" s="65"/>
      <c r="H69" s="65"/>
    </row>
    <row r="70" spans="1:8">
      <c r="A70" s="97">
        <v>45107</v>
      </c>
      <c r="B70" s="252" t="s">
        <v>877</v>
      </c>
      <c r="C70" s="94"/>
      <c r="D70" s="94"/>
      <c r="E70" s="84">
        <v>-900</v>
      </c>
      <c r="F70" s="65"/>
      <c r="G70" s="65"/>
      <c r="H70" s="65"/>
    </row>
    <row r="71" spans="1:8">
      <c r="A71" s="97">
        <v>45108</v>
      </c>
      <c r="B71" s="252" t="s">
        <v>878</v>
      </c>
      <c r="C71" s="94"/>
      <c r="D71" s="94"/>
      <c r="E71" s="84">
        <v>-207.59</v>
      </c>
      <c r="F71" s="65"/>
      <c r="G71" s="65"/>
      <c r="H71" s="65"/>
    </row>
    <row r="72" spans="1:8">
      <c r="A72" s="97">
        <v>45111</v>
      </c>
      <c r="B72" s="94" t="s">
        <v>879</v>
      </c>
      <c r="C72" s="94">
        <v>3730.59</v>
      </c>
      <c r="D72" s="94"/>
      <c r="E72" s="84"/>
      <c r="F72" s="65"/>
      <c r="G72" s="65"/>
      <c r="H72" s="65"/>
    </row>
    <row r="73" spans="1:8">
      <c r="A73" s="97">
        <v>45113</v>
      </c>
      <c r="B73" s="103" t="s">
        <v>284</v>
      </c>
      <c r="C73" s="10">
        <v>5595.88</v>
      </c>
      <c r="E73" s="84"/>
    </row>
    <row r="74" spans="1:8">
      <c r="C74" s="3">
        <f>SUM(C72:C73)</f>
        <v>9326.4700000000012</v>
      </c>
    </row>
    <row r="75" spans="1:8">
      <c r="A75" s="97">
        <v>45115</v>
      </c>
      <c r="B75" t="s">
        <v>595</v>
      </c>
      <c r="E75">
        <v>-1356.36</v>
      </c>
    </row>
    <row r="76" spans="1:8">
      <c r="A76" s="97">
        <v>45115</v>
      </c>
      <c r="B76" t="s">
        <v>595</v>
      </c>
      <c r="E76">
        <v>-1120</v>
      </c>
    </row>
    <row r="77" spans="1:8">
      <c r="B77" t="s">
        <v>880</v>
      </c>
    </row>
    <row r="78" spans="1:8">
      <c r="A78" s="97">
        <v>45116</v>
      </c>
      <c r="B78" t="s">
        <v>881</v>
      </c>
      <c r="E78">
        <v>-437</v>
      </c>
    </row>
    <row r="79" spans="1:8">
      <c r="A79" s="97">
        <v>45116</v>
      </c>
      <c r="B79" t="s">
        <v>595</v>
      </c>
      <c r="D79" s="37"/>
      <c r="E79">
        <v>-863</v>
      </c>
    </row>
    <row r="80" spans="1:8">
      <c r="A80" s="97">
        <v>45119</v>
      </c>
      <c r="B80" t="s">
        <v>340</v>
      </c>
      <c r="D80" s="37"/>
      <c r="E80">
        <v>-146.88999999999999</v>
      </c>
    </row>
    <row r="81" spans="1:5">
      <c r="A81" s="97">
        <v>45119</v>
      </c>
      <c r="B81" t="s">
        <v>467</v>
      </c>
      <c r="E81">
        <v>-150</v>
      </c>
    </row>
    <row r="82" spans="1:5">
      <c r="A82" s="97">
        <v>45120</v>
      </c>
      <c r="B82" t="s">
        <v>467</v>
      </c>
      <c r="E82">
        <v>-150</v>
      </c>
    </row>
    <row r="83" spans="1:5">
      <c r="A83" s="97">
        <v>45121</v>
      </c>
      <c r="B83" t="s">
        <v>467</v>
      </c>
      <c r="E83">
        <v>-150</v>
      </c>
    </row>
    <row r="84" spans="1:5">
      <c r="A84" s="97">
        <v>45124</v>
      </c>
      <c r="B84" t="s">
        <v>467</v>
      </c>
      <c r="E84">
        <v>-150</v>
      </c>
    </row>
    <row r="85" spans="1:5">
      <c r="A85" s="97">
        <v>45125</v>
      </c>
      <c r="B85" t="s">
        <v>467</v>
      </c>
      <c r="E85">
        <v>-160</v>
      </c>
    </row>
    <row r="86" spans="1:5">
      <c r="A86" s="97">
        <v>45129</v>
      </c>
      <c r="B86" t="s">
        <v>340</v>
      </c>
      <c r="E86">
        <v>-20.059999999999999</v>
      </c>
    </row>
    <row r="87" spans="1:5">
      <c r="A87" s="97">
        <v>45130</v>
      </c>
      <c r="B87" t="s">
        <v>882</v>
      </c>
      <c r="E87">
        <v>-275.54000000000002</v>
      </c>
    </row>
    <row r="88" spans="1:5">
      <c r="A88" s="97">
        <v>45130</v>
      </c>
      <c r="B88" t="s">
        <v>774</v>
      </c>
      <c r="E88">
        <v>-212.45</v>
      </c>
    </row>
    <row r="89" spans="1:5">
      <c r="A89" s="97">
        <v>45131</v>
      </c>
      <c r="B89" t="s">
        <v>356</v>
      </c>
      <c r="E89">
        <v>-4.57</v>
      </c>
    </row>
    <row r="90" spans="1:5">
      <c r="A90" s="97">
        <v>45131</v>
      </c>
      <c r="B90" t="s">
        <v>883</v>
      </c>
      <c r="E90">
        <v>-4.57</v>
      </c>
    </row>
    <row r="91" spans="1:5">
      <c r="A91" s="97">
        <v>45131</v>
      </c>
      <c r="B91" t="s">
        <v>358</v>
      </c>
      <c r="E91">
        <v>-30.44</v>
      </c>
    </row>
    <row r="92" spans="1:5">
      <c r="D92" s="3" t="s">
        <v>285</v>
      </c>
    </row>
    <row r="111" spans="1:5">
      <c r="A111" s="76" t="s">
        <v>884</v>
      </c>
      <c r="B111" s="77" t="s">
        <v>171</v>
      </c>
      <c r="C111" s="78">
        <v>2023</v>
      </c>
      <c r="D111" s="79"/>
      <c r="E111" s="80">
        <f>SUM(E112:E120)</f>
        <v>399800.57</v>
      </c>
    </row>
    <row r="112" spans="1:5">
      <c r="A112" s="97">
        <v>45169</v>
      </c>
      <c r="B112" t="s">
        <v>84</v>
      </c>
      <c r="C112" s="2"/>
      <c r="D112" s="2"/>
      <c r="E112" s="13">
        <v>64000</v>
      </c>
    </row>
    <row r="113" spans="1:5">
      <c r="A113" s="97">
        <v>45169</v>
      </c>
      <c r="B113" t="s">
        <v>885</v>
      </c>
      <c r="C113" s="2"/>
      <c r="D113" s="2"/>
      <c r="E113" s="13">
        <v>53088</v>
      </c>
    </row>
    <row r="114" spans="1:5">
      <c r="A114" s="97">
        <v>45169</v>
      </c>
      <c r="B114" t="s">
        <v>173</v>
      </c>
      <c r="C114" s="2"/>
      <c r="D114" s="2"/>
      <c r="E114" s="13">
        <v>28245.88</v>
      </c>
    </row>
    <row r="115" spans="1:5">
      <c r="A115" s="97">
        <v>45169</v>
      </c>
      <c r="B115" t="s">
        <v>174</v>
      </c>
      <c r="C115" s="2"/>
      <c r="D115" s="2"/>
      <c r="E115" s="13">
        <v>450.49</v>
      </c>
    </row>
    <row r="116" spans="1:5">
      <c r="A116" s="97">
        <v>45169</v>
      </c>
      <c r="B116" t="s">
        <v>821</v>
      </c>
      <c r="C116" s="2">
        <v>1600</v>
      </c>
      <c r="D116" s="2">
        <v>111</v>
      </c>
      <c r="E116" s="13">
        <f>D116*C116</f>
        <v>177600</v>
      </c>
    </row>
    <row r="117" spans="1:5">
      <c r="A117" s="97">
        <v>45169</v>
      </c>
      <c r="B117" t="s">
        <v>886</v>
      </c>
      <c r="C117" s="83">
        <v>26.308</v>
      </c>
      <c r="D117" s="2">
        <v>850</v>
      </c>
      <c r="E117" s="13">
        <f>D117*C117</f>
        <v>22361.8</v>
      </c>
    </row>
    <row r="118" spans="1:5">
      <c r="A118" s="97">
        <v>45169</v>
      </c>
      <c r="B118" t="s">
        <v>887</v>
      </c>
      <c r="C118" s="83">
        <v>28.544</v>
      </c>
      <c r="D118" s="2">
        <v>100</v>
      </c>
      <c r="E118" s="13">
        <f>D118*C118</f>
        <v>2854.4</v>
      </c>
    </row>
    <row r="119" spans="1:5">
      <c r="A119" s="97">
        <v>45169</v>
      </c>
      <c r="B119" t="s">
        <v>187</v>
      </c>
      <c r="C119" s="2"/>
      <c r="D119" s="2"/>
      <c r="E119" s="13">
        <v>50850</v>
      </c>
    </row>
    <row r="120" spans="1:5">
      <c r="A120" s="97"/>
      <c r="B120" t="s">
        <v>94</v>
      </c>
      <c r="C120" s="2"/>
      <c r="D120" s="2"/>
      <c r="E120" s="13">
        <v>350</v>
      </c>
    </row>
    <row r="121" spans="1:5">
      <c r="C121" s="3" t="str">
        <f>A111</f>
        <v>AĞUSTOS</v>
      </c>
      <c r="D121" s="70" t="s">
        <v>188</v>
      </c>
      <c r="E121" s="65">
        <f>H13</f>
        <v>-21230.350000000002</v>
      </c>
    </row>
    <row r="122" spans="1:5">
      <c r="D122" s="3"/>
    </row>
    <row r="123" spans="1:5">
      <c r="D123" s="70" t="s">
        <v>189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4"/>
      <c r="F1" s="124" t="s">
        <v>120</v>
      </c>
      <c r="G1" s="124" t="s">
        <v>121</v>
      </c>
      <c r="H1" s="124" t="s">
        <v>3</v>
      </c>
    </row>
    <row r="2" spans="1:9">
      <c r="A2" s="3" t="s">
        <v>888</v>
      </c>
      <c r="C2" s="87" t="s">
        <v>191</v>
      </c>
      <c r="D2" s="240">
        <f>SUM(D4:D34)</f>
        <v>67911</v>
      </c>
      <c r="E2" s="240">
        <f>SUM(E4:E33)</f>
        <v>-35277.64</v>
      </c>
      <c r="F2" s="240">
        <f>SUM(F4:F35)</f>
        <v>70250</v>
      </c>
      <c r="G2" s="240">
        <f>SUM(G4:G35)</f>
        <v>-42110.31</v>
      </c>
      <c r="H2" s="240">
        <f>F2+G2</f>
        <v>28139.690000000002</v>
      </c>
    </row>
    <row r="3" spans="1:9">
      <c r="B3" s="70"/>
      <c r="H3" s="65"/>
    </row>
    <row r="4" spans="1:9">
      <c r="B4" s="88" t="s">
        <v>194</v>
      </c>
      <c r="C4" s="88"/>
      <c r="D4" s="88"/>
      <c r="E4" s="65">
        <v>-400</v>
      </c>
      <c r="G4" s="65">
        <v>-400</v>
      </c>
      <c r="H4" s="65">
        <f t="shared" ref="H4:H30" si="0">H3+F4+G4</f>
        <v>-400</v>
      </c>
    </row>
    <row r="5" spans="1:9">
      <c r="B5" s="88" t="s">
        <v>195</v>
      </c>
      <c r="C5" s="88"/>
      <c r="D5" s="88"/>
      <c r="E5" s="65">
        <v>-500</v>
      </c>
      <c r="G5" s="65">
        <v>-198</v>
      </c>
      <c r="H5" s="65">
        <f t="shared" si="0"/>
        <v>-598</v>
      </c>
    </row>
    <row r="6" spans="1:9">
      <c r="B6" s="88" t="s">
        <v>889</v>
      </c>
      <c r="C6" s="88"/>
      <c r="D6" s="88"/>
      <c r="E6" s="65">
        <v>-250</v>
      </c>
      <c r="G6" s="65">
        <v>-254</v>
      </c>
      <c r="H6" s="65">
        <f t="shared" si="0"/>
        <v>-852</v>
      </c>
    </row>
    <row r="7" spans="1:9">
      <c r="A7" s="96">
        <v>45112</v>
      </c>
      <c r="B7" s="88" t="s">
        <v>890</v>
      </c>
      <c r="C7" s="88"/>
      <c r="D7" s="88"/>
      <c r="E7" s="84"/>
      <c r="G7" s="65">
        <v>-3500</v>
      </c>
      <c r="H7" s="65">
        <f t="shared" si="0"/>
        <v>-4352</v>
      </c>
    </row>
    <row r="8" spans="1:9">
      <c r="A8" s="96">
        <v>45112</v>
      </c>
      <c r="B8" s="88" t="s">
        <v>891</v>
      </c>
      <c r="C8" s="88"/>
      <c r="D8" s="88"/>
      <c r="E8" s="84"/>
      <c r="G8" s="65">
        <v>-3500</v>
      </c>
      <c r="H8" s="65">
        <f t="shared" si="0"/>
        <v>-7852</v>
      </c>
    </row>
    <row r="9" spans="1:9">
      <c r="B9" s="95" t="s">
        <v>212</v>
      </c>
      <c r="E9" s="65">
        <f>D47*-1</f>
        <v>-32.700000000000003</v>
      </c>
      <c r="G9" s="65">
        <f>E9</f>
        <v>-32.700000000000003</v>
      </c>
      <c r="H9" s="65">
        <f t="shared" si="0"/>
        <v>-7884.7</v>
      </c>
    </row>
    <row r="10" spans="1:9">
      <c r="A10" s="96">
        <v>45112</v>
      </c>
      <c r="B10" s="95" t="s">
        <v>213</v>
      </c>
      <c r="E10" s="65">
        <f>E53</f>
        <v>-6143.73</v>
      </c>
      <c r="F10" s="65"/>
      <c r="G10" s="65">
        <v>-6143.73</v>
      </c>
      <c r="H10" s="65">
        <f t="shared" si="0"/>
        <v>-14028.43</v>
      </c>
    </row>
    <row r="11" spans="1:9">
      <c r="A11" s="96">
        <v>45111</v>
      </c>
      <c r="B11" s="95" t="s">
        <v>214</v>
      </c>
      <c r="E11" s="65">
        <f>E69</f>
        <v>-9326.4700000000012</v>
      </c>
      <c r="H11" s="65">
        <f t="shared" si="0"/>
        <v>-14028.43</v>
      </c>
    </row>
    <row r="12" spans="1:9">
      <c r="A12" s="96">
        <v>45111</v>
      </c>
      <c r="B12" s="95" t="s">
        <v>892</v>
      </c>
      <c r="E12" s="65"/>
      <c r="G12" s="65">
        <v>-3730.59</v>
      </c>
      <c r="H12" s="65">
        <f t="shared" si="0"/>
        <v>-17759.02</v>
      </c>
    </row>
    <row r="13" spans="1:9">
      <c r="A13" s="96">
        <v>45113</v>
      </c>
      <c r="B13" s="253" t="s">
        <v>893</v>
      </c>
      <c r="E13" s="65"/>
      <c r="G13" s="65">
        <v>-5595.88</v>
      </c>
      <c r="H13" s="65">
        <f t="shared" si="0"/>
        <v>-23354.9</v>
      </c>
      <c r="I13" s="216"/>
    </row>
    <row r="14" spans="1:9">
      <c r="A14" s="97">
        <v>45113</v>
      </c>
      <c r="B14" s="88" t="s">
        <v>894</v>
      </c>
      <c r="C14" s="88" t="s">
        <v>895</v>
      </c>
      <c r="D14" s="88"/>
      <c r="E14" s="65">
        <v>-5375</v>
      </c>
      <c r="G14" s="65">
        <v>-5375</v>
      </c>
      <c r="H14" s="65">
        <f t="shared" si="0"/>
        <v>-28729.9</v>
      </c>
    </row>
    <row r="15" spans="1:9">
      <c r="A15" s="97">
        <v>45113</v>
      </c>
      <c r="B15" s="88" t="s">
        <v>894</v>
      </c>
      <c r="C15" s="88"/>
      <c r="D15" s="88"/>
      <c r="E15" s="65">
        <v>-2125</v>
      </c>
      <c r="G15" s="65">
        <v>-2125</v>
      </c>
      <c r="H15" s="65">
        <f t="shared" si="0"/>
        <v>-30854.9</v>
      </c>
    </row>
    <row r="16" spans="1:9">
      <c r="A16" s="96">
        <v>45112</v>
      </c>
      <c r="B16" s="88" t="s">
        <v>896</v>
      </c>
      <c r="C16" s="88"/>
      <c r="D16" s="88"/>
      <c r="E16" s="65">
        <v>-674.74</v>
      </c>
      <c r="F16" s="84"/>
      <c r="G16" s="65">
        <v>-955.41</v>
      </c>
      <c r="H16" s="65">
        <f t="shared" si="0"/>
        <v>-31810.31</v>
      </c>
    </row>
    <row r="17" spans="1:8">
      <c r="B17" s="88" t="s">
        <v>208</v>
      </c>
      <c r="C17" s="88" t="s">
        <v>209</v>
      </c>
      <c r="D17" s="88"/>
      <c r="E17" s="65">
        <v>-150</v>
      </c>
      <c r="F17" s="84"/>
      <c r="G17" s="65">
        <v>0</v>
      </c>
      <c r="H17" s="65">
        <f t="shared" si="0"/>
        <v>-31810.31</v>
      </c>
    </row>
    <row r="18" spans="1:8">
      <c r="B18" s="94" t="s">
        <v>210</v>
      </c>
      <c r="C18" s="94"/>
      <c r="D18" s="94"/>
      <c r="E18" s="65">
        <v>-300</v>
      </c>
      <c r="F18" s="84"/>
      <c r="G18" s="65">
        <v>0</v>
      </c>
      <c r="H18" s="65">
        <f t="shared" si="0"/>
        <v>-31810.31</v>
      </c>
    </row>
    <row r="19" spans="1:8">
      <c r="B19" s="94" t="s">
        <v>211</v>
      </c>
      <c r="C19" s="94"/>
      <c r="D19" s="94"/>
      <c r="E19" s="65">
        <v>-100</v>
      </c>
      <c r="F19" s="84"/>
      <c r="G19" s="65">
        <v>0</v>
      </c>
      <c r="H19" s="65">
        <f t="shared" si="0"/>
        <v>-31810.31</v>
      </c>
    </row>
    <row r="20" spans="1:8">
      <c r="B20" t="s">
        <v>84</v>
      </c>
      <c r="E20" s="65">
        <v>-3300</v>
      </c>
      <c r="F20" s="65"/>
      <c r="G20" s="65">
        <v>-3500</v>
      </c>
      <c r="H20" s="65">
        <f t="shared" si="0"/>
        <v>-35310.31</v>
      </c>
    </row>
    <row r="21" spans="1:8">
      <c r="B21" t="s">
        <v>172</v>
      </c>
      <c r="E21" s="65">
        <v>-3300</v>
      </c>
      <c r="F21" s="65"/>
      <c r="G21" s="65">
        <v>-3500</v>
      </c>
      <c r="H21" s="65">
        <f t="shared" si="0"/>
        <v>-38810.31</v>
      </c>
    </row>
    <row r="22" spans="1:8">
      <c r="B22" t="s">
        <v>217</v>
      </c>
      <c r="E22" s="65">
        <v>-3300</v>
      </c>
      <c r="F22" s="65"/>
      <c r="G22" s="65">
        <v>-3300</v>
      </c>
      <c r="H22" s="65">
        <f t="shared" si="0"/>
        <v>-42110.31</v>
      </c>
    </row>
    <row r="23" spans="1:8">
      <c r="A23" s="97">
        <v>45122</v>
      </c>
      <c r="B23" t="s">
        <v>897</v>
      </c>
      <c r="D23" s="2">
        <v>50000</v>
      </c>
      <c r="E23" s="84"/>
      <c r="F23" s="65">
        <v>50000</v>
      </c>
      <c r="G23" s="65"/>
      <c r="H23" s="65">
        <f t="shared" si="0"/>
        <v>7889.6900000000023</v>
      </c>
    </row>
    <row r="24" spans="1:8">
      <c r="B24" t="s">
        <v>2</v>
      </c>
      <c r="D24" s="2">
        <v>1111</v>
      </c>
      <c r="E24" s="84"/>
      <c r="F24" s="65"/>
      <c r="G24" s="65"/>
      <c r="H24" s="65">
        <f t="shared" si="0"/>
        <v>7889.6900000000023</v>
      </c>
    </row>
    <row r="25" spans="1:8">
      <c r="A25" s="97">
        <v>45119</v>
      </c>
      <c r="B25" t="s">
        <v>898</v>
      </c>
      <c r="D25" s="13"/>
      <c r="E25" s="84"/>
      <c r="F25" s="65">
        <v>3450</v>
      </c>
      <c r="G25" s="65"/>
      <c r="H25" s="65">
        <f t="shared" si="0"/>
        <v>11339.690000000002</v>
      </c>
    </row>
    <row r="26" spans="1:8">
      <c r="B26" t="s">
        <v>218</v>
      </c>
      <c r="D26" s="121">
        <v>7500</v>
      </c>
      <c r="F26" s="65">
        <v>7500</v>
      </c>
      <c r="G26" s="65"/>
      <c r="H26" s="65">
        <f t="shared" si="0"/>
        <v>18839.690000000002</v>
      </c>
    </row>
    <row r="27" spans="1:8">
      <c r="B27" t="s">
        <v>899</v>
      </c>
      <c r="D27" s="121">
        <v>2800</v>
      </c>
      <c r="F27" s="65">
        <v>2800</v>
      </c>
      <c r="G27" s="65"/>
      <c r="H27" s="65">
        <f t="shared" si="0"/>
        <v>21639.690000000002</v>
      </c>
    </row>
    <row r="28" spans="1:8">
      <c r="B28" t="s">
        <v>900</v>
      </c>
      <c r="D28" s="121">
        <v>6500</v>
      </c>
      <c r="F28" s="65">
        <v>6500</v>
      </c>
      <c r="G28" s="65"/>
      <c r="H28" s="65">
        <f t="shared" si="0"/>
        <v>28139.690000000002</v>
      </c>
    </row>
    <row r="29" spans="1:8">
      <c r="D29" s="102"/>
      <c r="H29" s="65">
        <f t="shared" si="0"/>
        <v>28139.690000000002</v>
      </c>
    </row>
    <row r="30" spans="1:8">
      <c r="D30" s="102"/>
      <c r="F30" s="65"/>
      <c r="G30" s="65"/>
      <c r="H30" s="65">
        <f t="shared" si="0"/>
        <v>28139.690000000002</v>
      </c>
    </row>
    <row r="31" spans="1:8">
      <c r="A31" s="97"/>
      <c r="D31" s="102"/>
      <c r="H31" s="65"/>
    </row>
    <row r="32" spans="1:8">
      <c r="D32" s="65"/>
      <c r="F32" s="65"/>
      <c r="G32" s="65"/>
      <c r="H32" s="65"/>
    </row>
    <row r="33" spans="1:8" ht="15.75">
      <c r="B33" s="99"/>
      <c r="F33" s="65"/>
      <c r="G33" s="65"/>
      <c r="H33" s="65"/>
    </row>
    <row r="34" spans="1:8">
      <c r="E34" s="65"/>
      <c r="G34" s="65"/>
      <c r="H34" s="65"/>
    </row>
    <row r="35" spans="1:8">
      <c r="B35" t="s">
        <v>222</v>
      </c>
      <c r="E35" s="65"/>
      <c r="G35" s="65"/>
      <c r="H35" s="65"/>
    </row>
    <row r="36" spans="1:8">
      <c r="A36" s="78" t="s">
        <v>223</v>
      </c>
      <c r="B36" s="78"/>
      <c r="C36" s="78"/>
      <c r="D36" s="78"/>
      <c r="E36" s="79"/>
      <c r="G36" s="65"/>
      <c r="H36" s="65"/>
    </row>
    <row r="37" spans="1:8">
      <c r="A37" s="251"/>
      <c r="B37" s="246"/>
      <c r="C37" s="246"/>
      <c r="D37" s="246"/>
      <c r="E37" s="247"/>
      <c r="H37" s="65"/>
    </row>
    <row r="38" spans="1:8">
      <c r="A38" s="251"/>
      <c r="B38" s="246"/>
      <c r="C38" s="248"/>
      <c r="D38" s="246"/>
      <c r="E38" s="246"/>
      <c r="H38" s="65"/>
    </row>
    <row r="39" spans="1:8">
      <c r="A39" s="251"/>
      <c r="B39" s="246"/>
      <c r="C39" s="248"/>
      <c r="D39" s="246"/>
      <c r="E39" s="246"/>
      <c r="H39" s="65"/>
    </row>
    <row r="40" spans="1:8">
      <c r="A40" s="97"/>
      <c r="C40" s="98"/>
      <c r="H40" s="65"/>
    </row>
    <row r="41" spans="1:8">
      <c r="A41" s="100">
        <v>44929</v>
      </c>
      <c r="B41" s="101" t="s">
        <v>224</v>
      </c>
      <c r="C41" s="78"/>
      <c r="D41" s="136">
        <f>SUM(D42:D49)</f>
        <v>3120.43</v>
      </c>
      <c r="E41" s="136">
        <f>SUM(E42:E49)</f>
        <v>1344.7</v>
      </c>
      <c r="H41" s="65"/>
    </row>
    <row r="42" spans="1:8">
      <c r="B42" t="s">
        <v>733</v>
      </c>
      <c r="D42">
        <v>547.27</v>
      </c>
      <c r="E42" s="65"/>
      <c r="F42" s="65"/>
      <c r="G42" s="65"/>
    </row>
    <row r="43" spans="1:8">
      <c r="B43" t="s">
        <v>226</v>
      </c>
      <c r="D43">
        <v>990.96</v>
      </c>
      <c r="E43" s="65">
        <v>990</v>
      </c>
      <c r="F43" s="65"/>
      <c r="G43" s="65"/>
    </row>
    <row r="44" spans="1:8">
      <c r="B44" t="s">
        <v>227</v>
      </c>
      <c r="D44">
        <v>112.16</v>
      </c>
      <c r="F44" s="65"/>
      <c r="G44" s="65"/>
    </row>
    <row r="45" spans="1:8">
      <c r="B45" t="s">
        <v>228</v>
      </c>
      <c r="D45">
        <v>1115.05</v>
      </c>
      <c r="F45" s="65"/>
      <c r="G45" s="65"/>
    </row>
    <row r="46" spans="1:8">
      <c r="B46" t="s">
        <v>229</v>
      </c>
      <c r="D46">
        <v>322.29000000000002</v>
      </c>
      <c r="E46">
        <v>322</v>
      </c>
      <c r="F46" s="65"/>
      <c r="G46" s="65"/>
    </row>
    <row r="47" spans="1:8">
      <c r="B47" t="s">
        <v>230</v>
      </c>
      <c r="C47" s="94"/>
      <c r="D47" s="94">
        <v>32.700000000000003</v>
      </c>
      <c r="E47">
        <v>32.700000000000003</v>
      </c>
      <c r="F47" s="65"/>
      <c r="G47" s="65"/>
    </row>
    <row r="48" spans="1:8">
      <c r="C48" s="94"/>
      <c r="E48" s="94"/>
      <c r="F48" s="65"/>
      <c r="G48" s="65"/>
    </row>
    <row r="49" spans="1:8">
      <c r="C49" s="94"/>
      <c r="D49" s="94"/>
      <c r="E49" s="84"/>
      <c r="F49" s="65"/>
      <c r="G49" s="65"/>
    </row>
    <row r="51" spans="1:8">
      <c r="B51" s="13"/>
    </row>
    <row r="52" spans="1:8">
      <c r="B52" s="102"/>
    </row>
    <row r="53" spans="1:8">
      <c r="A53" s="78"/>
      <c r="B53" s="77" t="s">
        <v>231</v>
      </c>
      <c r="C53" s="78"/>
      <c r="D53" s="79"/>
      <c r="E53" s="80">
        <f>SUM(E54:E66)</f>
        <v>-6143.73</v>
      </c>
    </row>
    <row r="54" spans="1:8">
      <c r="A54" s="97">
        <v>44873</v>
      </c>
      <c r="B54" t="s">
        <v>871</v>
      </c>
      <c r="C54" s="94"/>
      <c r="D54" s="94" t="s">
        <v>247</v>
      </c>
      <c r="E54" s="84">
        <v>-1111.1099999999999</v>
      </c>
      <c r="G54" s="65"/>
      <c r="H54" s="65"/>
    </row>
    <row r="55" spans="1:8">
      <c r="A55" s="97">
        <v>44995</v>
      </c>
      <c r="B55" t="s">
        <v>586</v>
      </c>
      <c r="C55">
        <v>613.91</v>
      </c>
      <c r="D55" s="37" t="s">
        <v>901</v>
      </c>
      <c r="E55" s="84">
        <v>-61.39</v>
      </c>
      <c r="F55" s="65"/>
      <c r="G55" s="65"/>
      <c r="H55" s="65"/>
    </row>
    <row r="56" spans="1:8">
      <c r="A56" s="97">
        <v>44995</v>
      </c>
      <c r="B56" t="s">
        <v>844</v>
      </c>
      <c r="C56">
        <v>2258.94</v>
      </c>
      <c r="D56" s="37" t="s">
        <v>326</v>
      </c>
      <c r="E56" s="84">
        <v>-376.49</v>
      </c>
      <c r="F56" s="65"/>
      <c r="G56" s="65"/>
      <c r="H56" s="65"/>
    </row>
    <row r="57" spans="1:8">
      <c r="A57" s="97">
        <v>45043</v>
      </c>
      <c r="B57" s="94" t="s">
        <v>764</v>
      </c>
      <c r="C57" s="94">
        <v>3299</v>
      </c>
      <c r="D57" s="37" t="s">
        <v>420</v>
      </c>
      <c r="E57" s="84">
        <v>-549.83000000000004</v>
      </c>
      <c r="F57" s="65"/>
      <c r="G57" s="65"/>
      <c r="H57" s="65"/>
    </row>
    <row r="58" spans="1:8">
      <c r="A58" s="97">
        <v>45043</v>
      </c>
      <c r="B58" s="94" t="s">
        <v>539</v>
      </c>
      <c r="C58" s="94">
        <v>10764.57</v>
      </c>
      <c r="D58" s="37" t="s">
        <v>422</v>
      </c>
      <c r="E58" s="84">
        <v>-1196.06</v>
      </c>
      <c r="F58" s="65"/>
      <c r="G58" s="65"/>
      <c r="H58" s="65"/>
    </row>
    <row r="59" spans="1:8">
      <c r="A59" s="97">
        <v>45044</v>
      </c>
      <c r="B59" t="s">
        <v>766</v>
      </c>
      <c r="C59" s="94">
        <v>3123.29</v>
      </c>
      <c r="D59" s="139" t="s">
        <v>420</v>
      </c>
      <c r="E59" s="84">
        <v>-520.54999999999995</v>
      </c>
      <c r="F59" s="65"/>
      <c r="G59" s="65"/>
      <c r="H59" s="65"/>
    </row>
    <row r="60" spans="1:8">
      <c r="A60" s="97">
        <v>45077</v>
      </c>
      <c r="B60" s="94" t="s">
        <v>797</v>
      </c>
      <c r="C60" s="94">
        <v>148.6</v>
      </c>
      <c r="D60" s="139" t="s">
        <v>902</v>
      </c>
      <c r="E60" s="84">
        <v>-37.15</v>
      </c>
      <c r="F60" s="65"/>
      <c r="G60" s="65"/>
      <c r="H60" s="65"/>
    </row>
    <row r="61" spans="1:8">
      <c r="A61" s="97">
        <v>45077</v>
      </c>
      <c r="B61" s="94" t="s">
        <v>799</v>
      </c>
      <c r="C61" s="94">
        <v>244.8</v>
      </c>
      <c r="D61" s="139" t="s">
        <v>902</v>
      </c>
      <c r="E61" s="84">
        <v>-61.2</v>
      </c>
      <c r="F61" s="65"/>
      <c r="G61" s="65"/>
      <c r="H61" s="65"/>
    </row>
    <row r="62" spans="1:8">
      <c r="A62" s="97">
        <v>45077</v>
      </c>
      <c r="B62" s="94" t="s">
        <v>800</v>
      </c>
      <c r="C62" s="94">
        <v>1204.5</v>
      </c>
      <c r="D62" s="139" t="s">
        <v>902</v>
      </c>
      <c r="E62" s="84">
        <v>-301.13</v>
      </c>
      <c r="F62" s="65"/>
      <c r="G62" s="65"/>
      <c r="H62" s="65"/>
    </row>
    <row r="63" spans="1:8">
      <c r="A63" s="97">
        <v>45077</v>
      </c>
      <c r="B63" t="s">
        <v>801</v>
      </c>
      <c r="C63" s="94">
        <v>532.6</v>
      </c>
      <c r="D63" s="139" t="s">
        <v>902</v>
      </c>
      <c r="E63" s="84">
        <v>-133.15</v>
      </c>
      <c r="F63" s="65"/>
      <c r="G63" s="65"/>
      <c r="H63" s="65"/>
    </row>
    <row r="64" spans="1:8">
      <c r="A64" s="97">
        <v>45078</v>
      </c>
      <c r="B64" s="94" t="s">
        <v>737</v>
      </c>
      <c r="D64" s="139" t="s">
        <v>459</v>
      </c>
      <c r="E64" s="84">
        <v>-666.67</v>
      </c>
      <c r="F64" s="65"/>
    </row>
    <row r="65" spans="1:8">
      <c r="A65" s="97">
        <v>45091</v>
      </c>
      <c r="B65" s="94" t="s">
        <v>903</v>
      </c>
      <c r="E65" s="84">
        <v>-1129</v>
      </c>
      <c r="F65" s="65"/>
    </row>
    <row r="66" spans="1:8">
      <c r="A66" s="97"/>
      <c r="B66" s="94"/>
      <c r="D66" s="3" t="s">
        <v>285</v>
      </c>
      <c r="E66" s="84"/>
      <c r="F66" s="65"/>
    </row>
    <row r="67" spans="1:8">
      <c r="D67" s="37"/>
    </row>
    <row r="69" spans="1:8">
      <c r="A69" s="78"/>
      <c r="B69" s="77" t="s">
        <v>235</v>
      </c>
      <c r="C69" s="78"/>
      <c r="D69" s="78"/>
      <c r="E69" s="80">
        <f>SUM(E70:E97)</f>
        <v>-9326.4700000000012</v>
      </c>
    </row>
    <row r="70" spans="1:8">
      <c r="A70" s="97">
        <v>45026</v>
      </c>
      <c r="B70" t="s">
        <v>767</v>
      </c>
      <c r="C70">
        <v>1140.99</v>
      </c>
      <c r="D70" t="s">
        <v>741</v>
      </c>
      <c r="E70">
        <v>-190.17</v>
      </c>
      <c r="F70" s="65"/>
      <c r="G70" s="65"/>
      <c r="H70" s="65"/>
    </row>
    <row r="71" spans="1:8">
      <c r="A71" s="97">
        <v>45070</v>
      </c>
      <c r="B71" s="94" t="s">
        <v>904</v>
      </c>
      <c r="C71" s="94"/>
      <c r="D71" s="94"/>
      <c r="E71" s="84">
        <v>-350</v>
      </c>
      <c r="F71" s="65"/>
      <c r="G71" s="65"/>
      <c r="H71" s="65"/>
    </row>
    <row r="72" spans="1:8">
      <c r="A72" s="97">
        <v>45070</v>
      </c>
      <c r="B72" s="94" t="s">
        <v>905</v>
      </c>
      <c r="C72" s="94"/>
      <c r="D72" s="94"/>
      <c r="E72" s="84">
        <v>-63.15</v>
      </c>
      <c r="F72" s="65"/>
      <c r="G72" s="65"/>
      <c r="H72" s="65"/>
    </row>
    <row r="73" spans="1:8">
      <c r="A73" s="97">
        <v>45072</v>
      </c>
      <c r="B73" s="94" t="s">
        <v>906</v>
      </c>
      <c r="C73" s="94"/>
      <c r="D73" s="94"/>
      <c r="E73" s="84">
        <v>-200</v>
      </c>
      <c r="F73" s="65"/>
      <c r="G73" s="65"/>
      <c r="H73" s="65"/>
    </row>
    <row r="74" spans="1:8">
      <c r="A74" s="97">
        <v>45075</v>
      </c>
      <c r="B74" s="94" t="s">
        <v>906</v>
      </c>
      <c r="C74" s="94"/>
      <c r="D74" s="94"/>
      <c r="E74" s="84">
        <v>-150</v>
      </c>
      <c r="F74" s="65"/>
      <c r="G74" s="65"/>
      <c r="H74" s="65"/>
    </row>
    <row r="75" spans="1:8">
      <c r="A75" s="97">
        <v>45077</v>
      </c>
      <c r="B75" s="103" t="s">
        <v>906</v>
      </c>
      <c r="E75" s="84">
        <v>-225</v>
      </c>
    </row>
    <row r="76" spans="1:8">
      <c r="B76" s="94" t="s">
        <v>97</v>
      </c>
      <c r="C76">
        <v>-1207</v>
      </c>
    </row>
    <row r="77" spans="1:8">
      <c r="A77" s="96">
        <v>45080</v>
      </c>
      <c r="B77" s="94" t="s">
        <v>906</v>
      </c>
      <c r="E77" s="84">
        <v>-180</v>
      </c>
    </row>
    <row r="78" spans="1:8">
      <c r="A78" s="96">
        <v>45080</v>
      </c>
      <c r="B78" s="94" t="s">
        <v>907</v>
      </c>
      <c r="E78" s="84">
        <v>-850</v>
      </c>
    </row>
    <row r="79" spans="1:8">
      <c r="A79" s="96">
        <v>45082</v>
      </c>
      <c r="B79" s="94" t="s">
        <v>908</v>
      </c>
      <c r="E79" s="84">
        <v>-112.11</v>
      </c>
    </row>
    <row r="80" spans="1:8">
      <c r="A80" s="96">
        <v>45082</v>
      </c>
      <c r="B80" s="94" t="s">
        <v>906</v>
      </c>
      <c r="E80" s="84">
        <v>-150</v>
      </c>
    </row>
    <row r="81" spans="1:5">
      <c r="A81" s="96">
        <v>45084</v>
      </c>
      <c r="B81" s="94" t="s">
        <v>906</v>
      </c>
      <c r="D81" s="37"/>
      <c r="E81" s="84">
        <v>-250</v>
      </c>
    </row>
    <row r="82" spans="1:5">
      <c r="A82" s="96">
        <v>45085</v>
      </c>
      <c r="B82" s="94" t="s">
        <v>906</v>
      </c>
      <c r="D82" s="37"/>
      <c r="E82" s="84">
        <v>-250</v>
      </c>
    </row>
    <row r="83" spans="1:5">
      <c r="A83" s="96">
        <v>45086</v>
      </c>
      <c r="B83" t="s">
        <v>909</v>
      </c>
      <c r="E83" s="84">
        <v>-1420</v>
      </c>
    </row>
    <row r="84" spans="1:5">
      <c r="A84" s="96">
        <v>45087</v>
      </c>
      <c r="B84" t="s">
        <v>910</v>
      </c>
      <c r="E84" s="84">
        <v>-242.56</v>
      </c>
    </row>
    <row r="85" spans="1:5">
      <c r="A85" s="96">
        <v>45089</v>
      </c>
      <c r="B85" t="s">
        <v>911</v>
      </c>
      <c r="E85" s="84">
        <v>-167.19</v>
      </c>
    </row>
    <row r="86" spans="1:5">
      <c r="A86" s="96">
        <v>45091</v>
      </c>
      <c r="B86" t="s">
        <v>906</v>
      </c>
      <c r="E86" s="84">
        <v>-200</v>
      </c>
    </row>
    <row r="87" spans="1:5">
      <c r="A87" s="96">
        <v>45091</v>
      </c>
      <c r="B87" t="s">
        <v>908</v>
      </c>
      <c r="E87" s="84">
        <v>-61.41</v>
      </c>
    </row>
    <row r="88" spans="1:5">
      <c r="A88" s="96">
        <v>45092</v>
      </c>
      <c r="B88" t="s">
        <v>906</v>
      </c>
      <c r="E88" s="84">
        <v>-200</v>
      </c>
    </row>
    <row r="89" spans="1:5">
      <c r="A89" s="97">
        <v>45095</v>
      </c>
      <c r="B89" t="s">
        <v>912</v>
      </c>
      <c r="E89" s="84">
        <v>-257</v>
      </c>
    </row>
    <row r="90" spans="1:5">
      <c r="A90" s="97">
        <v>45096</v>
      </c>
      <c r="B90" t="s">
        <v>467</v>
      </c>
      <c r="E90" s="84">
        <v>-250</v>
      </c>
    </row>
    <row r="91" spans="1:5">
      <c r="A91" s="97">
        <v>45097</v>
      </c>
      <c r="B91" t="s">
        <v>913</v>
      </c>
      <c r="E91" s="84">
        <v>-110</v>
      </c>
    </row>
    <row r="92" spans="1:5">
      <c r="A92" s="97">
        <v>45098</v>
      </c>
      <c r="B92" t="s">
        <v>914</v>
      </c>
      <c r="E92" s="84">
        <v>-405</v>
      </c>
    </row>
    <row r="93" spans="1:5">
      <c r="A93" s="97">
        <v>45099</v>
      </c>
      <c r="B93" t="s">
        <v>915</v>
      </c>
      <c r="E93" s="84">
        <v>-820</v>
      </c>
    </row>
    <row r="94" spans="1:5">
      <c r="A94" s="97">
        <v>45099</v>
      </c>
      <c r="B94" t="s">
        <v>916</v>
      </c>
      <c r="E94" s="84">
        <v>-599</v>
      </c>
    </row>
    <row r="95" spans="1:5">
      <c r="A95" s="97">
        <v>45099</v>
      </c>
      <c r="B95" t="s">
        <v>917</v>
      </c>
      <c r="E95" s="84">
        <v>-8</v>
      </c>
    </row>
    <row r="96" spans="1:5">
      <c r="A96" s="97">
        <v>45099</v>
      </c>
      <c r="B96" t="s">
        <v>917</v>
      </c>
      <c r="E96" s="84">
        <v>-1197.3800000000001</v>
      </c>
    </row>
    <row r="97" spans="1:5">
      <c r="A97" s="97">
        <v>45100</v>
      </c>
      <c r="B97" t="s">
        <v>918</v>
      </c>
      <c r="E97" s="84">
        <v>-418.5</v>
      </c>
    </row>
    <row r="98" spans="1:5">
      <c r="D98" s="3" t="s">
        <v>285</v>
      </c>
    </row>
    <row r="110" spans="1:5">
      <c r="D110" s="37"/>
    </row>
    <row r="111" spans="1:5">
      <c r="A111" s="76" t="s">
        <v>919</v>
      </c>
      <c r="B111" s="77" t="s">
        <v>171</v>
      </c>
      <c r="C111" s="78">
        <v>2023</v>
      </c>
      <c r="D111" s="79"/>
      <c r="E111" s="80">
        <f>SUM(E112:E120)</f>
        <v>433286.58999999997</v>
      </c>
    </row>
    <row r="112" spans="1:5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885</v>
      </c>
      <c r="C113" s="2"/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12372.88</v>
      </c>
    </row>
    <row r="115" spans="1:5">
      <c r="A115" s="97">
        <v>45077</v>
      </c>
      <c r="B115" t="s">
        <v>174</v>
      </c>
      <c r="C115" s="2"/>
      <c r="D115" s="2"/>
      <c r="E115" s="13">
        <v>26868.21</v>
      </c>
    </row>
    <row r="116" spans="1:5">
      <c r="A116" s="97">
        <v>45077</v>
      </c>
      <c r="B116" t="s">
        <v>821</v>
      </c>
      <c r="C116" s="2">
        <v>1647</v>
      </c>
      <c r="D116" s="2">
        <v>111</v>
      </c>
      <c r="E116" s="13">
        <f>D116*C116</f>
        <v>182817</v>
      </c>
    </row>
    <row r="117" spans="1:5">
      <c r="A117" s="97">
        <v>45077</v>
      </c>
      <c r="B117" t="s">
        <v>920</v>
      </c>
      <c r="C117" s="2">
        <v>26.73</v>
      </c>
      <c r="D117" s="2">
        <v>850</v>
      </c>
      <c r="E117" s="13">
        <f>D117*C117</f>
        <v>22720.5</v>
      </c>
    </row>
    <row r="118" spans="1:5">
      <c r="A118" s="97">
        <v>45077</v>
      </c>
      <c r="B118" t="s">
        <v>921</v>
      </c>
      <c r="C118" s="2">
        <v>29.2</v>
      </c>
      <c r="D118" s="2">
        <v>100</v>
      </c>
      <c r="E118" s="13">
        <f>D118*C118</f>
        <v>2920</v>
      </c>
    </row>
    <row r="119" spans="1:5">
      <c r="A119" s="97">
        <v>45077</v>
      </c>
      <c r="B119" t="s">
        <v>187</v>
      </c>
      <c r="C119" s="2"/>
      <c r="D119" s="2"/>
      <c r="E119" s="13">
        <v>67500</v>
      </c>
    </row>
    <row r="120" spans="1:5">
      <c r="A120" s="97"/>
      <c r="B120" t="s">
        <v>94</v>
      </c>
      <c r="C120" s="2"/>
      <c r="D120" s="2"/>
      <c r="E120" s="13">
        <v>1000</v>
      </c>
    </row>
    <row r="121" spans="1:5">
      <c r="C121" s="3" t="str">
        <f>A111</f>
        <v>TEMMUZ</v>
      </c>
      <c r="D121" s="70" t="s">
        <v>188</v>
      </c>
      <c r="E121" s="65">
        <f>H13</f>
        <v>-23354.9</v>
      </c>
    </row>
    <row r="122" spans="1:5">
      <c r="D122" s="3"/>
    </row>
    <row r="123" spans="1:5">
      <c r="D123" s="70" t="s">
        <v>189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922</v>
      </c>
      <c r="C2" s="87" t="s">
        <v>191</v>
      </c>
      <c r="D2" s="240">
        <f>SUM(D4:D30)</f>
        <v>28744</v>
      </c>
      <c r="E2" s="240">
        <f>SUM(E4:E29)</f>
        <v>-26572.629999999997</v>
      </c>
      <c r="F2" s="240">
        <f>SUM(F4:F31)</f>
        <v>33133</v>
      </c>
      <c r="G2" s="240">
        <f>SUM(G4:G31)</f>
        <v>-28830.22</v>
      </c>
      <c r="H2" s="240">
        <f>F2+G2</f>
        <v>4302.7799999999988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-204</v>
      </c>
      <c r="H4" s="65">
        <f t="shared" ref="H4:H29" si="0">H3+F4+G4</f>
        <v>-204</v>
      </c>
    </row>
    <row r="5" spans="1:8">
      <c r="B5" s="88" t="s">
        <v>195</v>
      </c>
      <c r="C5" s="88"/>
      <c r="D5" s="88"/>
      <c r="E5" s="65">
        <v>-500</v>
      </c>
      <c r="G5" s="65">
        <v>-411</v>
      </c>
      <c r="H5" s="65">
        <f t="shared" si="0"/>
        <v>-615</v>
      </c>
    </row>
    <row r="6" spans="1:8">
      <c r="A6" s="96">
        <v>45082</v>
      </c>
      <c r="B6" s="88" t="s">
        <v>923</v>
      </c>
      <c r="C6" s="88"/>
      <c r="D6" s="88"/>
      <c r="E6" s="65">
        <v>-250</v>
      </c>
      <c r="G6" s="65">
        <v>-250</v>
      </c>
      <c r="H6" s="65">
        <f t="shared" si="0"/>
        <v>-865</v>
      </c>
    </row>
    <row r="7" spans="1:8">
      <c r="B7" s="95" t="s">
        <v>212</v>
      </c>
      <c r="C7" s="88"/>
      <c r="D7" s="65"/>
      <c r="E7" s="65">
        <v>-44</v>
      </c>
      <c r="F7" s="65"/>
      <c r="G7" s="65">
        <v>-44</v>
      </c>
      <c r="H7" s="65">
        <f t="shared" si="0"/>
        <v>-909</v>
      </c>
    </row>
    <row r="8" spans="1:8">
      <c r="A8" s="96">
        <v>45082</v>
      </c>
      <c r="B8" s="95" t="s">
        <v>213</v>
      </c>
      <c r="C8" s="88"/>
      <c r="E8" s="65">
        <f>E49</f>
        <v>-4946.47</v>
      </c>
      <c r="F8" s="65"/>
      <c r="G8" s="65">
        <v>-4946.47</v>
      </c>
      <c r="H8" s="65">
        <f t="shared" si="0"/>
        <v>-5855.47</v>
      </c>
    </row>
    <row r="9" spans="1:8">
      <c r="A9" s="96">
        <v>45082</v>
      </c>
      <c r="B9" s="95" t="s">
        <v>214</v>
      </c>
      <c r="C9" s="88"/>
      <c r="E9" s="65">
        <f>E84</f>
        <v>-1207.42</v>
      </c>
      <c r="G9" s="65">
        <v>-1207.42</v>
      </c>
      <c r="H9" s="65">
        <f t="shared" si="0"/>
        <v>-7062.89</v>
      </c>
    </row>
    <row r="10" spans="1:8">
      <c r="A10" s="97">
        <v>45084</v>
      </c>
      <c r="B10" s="88" t="s">
        <v>370</v>
      </c>
      <c r="D10" s="88"/>
      <c r="E10" s="65">
        <v>-5375</v>
      </c>
      <c r="G10" s="65">
        <v>-5375</v>
      </c>
      <c r="H10" s="65">
        <f t="shared" si="0"/>
        <v>-12437.89</v>
      </c>
    </row>
    <row r="11" spans="1:8">
      <c r="A11" s="97"/>
      <c r="B11" s="88" t="s">
        <v>924</v>
      </c>
      <c r="C11" s="88"/>
      <c r="D11" s="88"/>
      <c r="E11" s="65">
        <v>-2125</v>
      </c>
      <c r="G11" s="65">
        <v>-2125</v>
      </c>
      <c r="H11" s="65">
        <f t="shared" si="0"/>
        <v>-14562.89</v>
      </c>
    </row>
    <row r="12" spans="1:8">
      <c r="A12" s="97"/>
      <c r="B12" s="88" t="s">
        <v>925</v>
      </c>
      <c r="C12" s="88"/>
      <c r="D12" s="88"/>
      <c r="E12" s="84"/>
      <c r="G12" s="65">
        <v>-16.059999999999999</v>
      </c>
      <c r="H12" s="65">
        <f t="shared" si="0"/>
        <v>-14578.949999999999</v>
      </c>
    </row>
    <row r="13" spans="1:8">
      <c r="A13" s="96">
        <v>45078</v>
      </c>
      <c r="B13" s="88" t="s">
        <v>368</v>
      </c>
      <c r="C13" s="88"/>
      <c r="D13" s="88"/>
      <c r="E13" s="65">
        <v>-674.74</v>
      </c>
      <c r="F13" s="84"/>
      <c r="G13" s="65">
        <v>-670.27</v>
      </c>
      <c r="H13" s="65">
        <f t="shared" si="0"/>
        <v>-15249.22</v>
      </c>
    </row>
    <row r="14" spans="1:8">
      <c r="B14" s="88" t="s">
        <v>208</v>
      </c>
      <c r="C14" s="88" t="s">
        <v>209</v>
      </c>
      <c r="D14" s="88"/>
      <c r="E14" s="65">
        <v>-150</v>
      </c>
      <c r="F14" s="84"/>
      <c r="G14" s="65"/>
      <c r="H14" s="65">
        <f t="shared" si="0"/>
        <v>-15249.22</v>
      </c>
    </row>
    <row r="15" spans="1:8">
      <c r="B15" s="94" t="s">
        <v>210</v>
      </c>
      <c r="C15" s="94"/>
      <c r="D15" s="94"/>
      <c r="E15" s="65">
        <v>-1000</v>
      </c>
      <c r="F15" s="84"/>
      <c r="G15" s="65">
        <v>-104</v>
      </c>
      <c r="H15" s="65">
        <f t="shared" si="0"/>
        <v>-15353.22</v>
      </c>
    </row>
    <row r="16" spans="1:8">
      <c r="B16" s="94" t="s">
        <v>211</v>
      </c>
      <c r="C16" s="94"/>
      <c r="D16" s="94"/>
      <c r="E16" s="65">
        <v>-150</v>
      </c>
      <c r="F16" s="84"/>
      <c r="G16" s="65">
        <v>-127</v>
      </c>
      <c r="H16" s="65">
        <f t="shared" si="0"/>
        <v>-15480.22</v>
      </c>
    </row>
    <row r="17" spans="1:8">
      <c r="B17" t="s">
        <v>84</v>
      </c>
      <c r="E17" s="65">
        <v>-3500</v>
      </c>
      <c r="F17" s="84"/>
      <c r="G17" s="65">
        <v>-3500</v>
      </c>
      <c r="H17" s="65">
        <f t="shared" si="0"/>
        <v>-18980.22</v>
      </c>
    </row>
    <row r="18" spans="1:8">
      <c r="B18" t="s">
        <v>172</v>
      </c>
      <c r="E18" s="65">
        <v>-3500</v>
      </c>
      <c r="F18" s="84"/>
      <c r="G18" s="65">
        <v>-3500</v>
      </c>
      <c r="H18" s="65">
        <f t="shared" si="0"/>
        <v>-22480.22</v>
      </c>
    </row>
    <row r="19" spans="1:8">
      <c r="B19" t="s">
        <v>217</v>
      </c>
      <c r="E19" s="65">
        <v>-2750</v>
      </c>
      <c r="F19" s="84"/>
      <c r="G19" s="65">
        <v>-2750</v>
      </c>
      <c r="H19" s="65">
        <f t="shared" si="0"/>
        <v>-25230.22</v>
      </c>
    </row>
    <row r="20" spans="1:8">
      <c r="B20" t="s">
        <v>2</v>
      </c>
      <c r="D20">
        <v>1111</v>
      </c>
      <c r="E20" s="84"/>
      <c r="F20" s="65"/>
      <c r="G20" s="65"/>
      <c r="H20" s="65">
        <f t="shared" si="0"/>
        <v>-25230.22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-17730.22</v>
      </c>
    </row>
    <row r="22" spans="1:8">
      <c r="B22" t="s">
        <v>926</v>
      </c>
      <c r="D22" s="102"/>
      <c r="F22" s="65">
        <v>2000</v>
      </c>
      <c r="G22" s="65"/>
      <c r="H22" s="65">
        <f t="shared" si="0"/>
        <v>-15730.220000000001</v>
      </c>
    </row>
    <row r="23" spans="1:8">
      <c r="A23" s="96">
        <v>45119</v>
      </c>
      <c r="B23" t="s">
        <v>219</v>
      </c>
      <c r="D23" s="121">
        <v>2800</v>
      </c>
      <c r="F23" s="65">
        <v>2800</v>
      </c>
      <c r="G23" s="65"/>
      <c r="H23" s="65">
        <f t="shared" si="0"/>
        <v>-12930.220000000001</v>
      </c>
    </row>
    <row r="24" spans="1:8">
      <c r="B24" t="s">
        <v>927</v>
      </c>
      <c r="D24" s="121">
        <v>6500</v>
      </c>
      <c r="F24" s="65">
        <v>6500</v>
      </c>
      <c r="G24" s="65"/>
      <c r="H24" s="65">
        <f t="shared" si="0"/>
        <v>-6430.2200000000012</v>
      </c>
    </row>
    <row r="25" spans="1:8">
      <c r="A25" s="97">
        <v>45107</v>
      </c>
      <c r="B25" t="s">
        <v>928</v>
      </c>
      <c r="D25" s="121">
        <v>10833</v>
      </c>
      <c r="F25">
        <v>10833</v>
      </c>
      <c r="H25" s="65">
        <f t="shared" si="0"/>
        <v>4402.7799999999988</v>
      </c>
    </row>
    <row r="26" spans="1:8">
      <c r="A26" s="96">
        <v>45080</v>
      </c>
      <c r="B26" t="s">
        <v>929</v>
      </c>
      <c r="D26" s="102"/>
      <c r="F26" s="65"/>
      <c r="G26" s="65"/>
      <c r="H26" s="65">
        <f t="shared" si="0"/>
        <v>4402.7799999999988</v>
      </c>
    </row>
    <row r="27" spans="1:8">
      <c r="A27" s="97"/>
      <c r="B27" t="s">
        <v>930</v>
      </c>
      <c r="D27" s="102"/>
      <c r="G27">
        <v>-100</v>
      </c>
      <c r="H27" s="65">
        <f t="shared" si="0"/>
        <v>4302.7799999999988</v>
      </c>
    </row>
    <row r="28" spans="1:8">
      <c r="A28" s="96">
        <v>45092</v>
      </c>
      <c r="B28" t="s">
        <v>931</v>
      </c>
      <c r="D28" s="65"/>
      <c r="F28" s="65">
        <v>3500</v>
      </c>
      <c r="G28" s="65"/>
      <c r="H28" s="65">
        <f t="shared" si="0"/>
        <v>7802.7799999999988</v>
      </c>
    </row>
    <row r="29" spans="1:8" ht="15">
      <c r="A29" s="96">
        <v>45092</v>
      </c>
      <c r="B29" s="254" t="s">
        <v>932</v>
      </c>
      <c r="F29" s="65"/>
      <c r="G29" s="65">
        <v>-3500</v>
      </c>
      <c r="H29" s="65">
        <f t="shared" si="0"/>
        <v>4302.7799999999988</v>
      </c>
    </row>
    <row r="30" spans="1:8">
      <c r="E30" s="65"/>
      <c r="G30" s="65"/>
      <c r="H30" s="65"/>
    </row>
    <row r="31" spans="1:8">
      <c r="B31" t="s">
        <v>222</v>
      </c>
      <c r="E31" s="65"/>
      <c r="G31" s="65"/>
      <c r="H31" s="65"/>
    </row>
    <row r="32" spans="1:8">
      <c r="A32" s="78" t="s">
        <v>223</v>
      </c>
      <c r="B32" s="78"/>
      <c r="C32" s="78"/>
      <c r="D32" s="78"/>
      <c r="E32" s="79"/>
      <c r="G32" s="65"/>
      <c r="H32" s="65"/>
    </row>
    <row r="33" spans="1:8">
      <c r="A33" s="251"/>
      <c r="B33" s="246"/>
      <c r="C33" s="246"/>
      <c r="D33" s="246"/>
      <c r="E33" s="247"/>
      <c r="H33" s="65"/>
    </row>
    <row r="34" spans="1:8">
      <c r="A34" s="251"/>
      <c r="B34" s="246"/>
      <c r="C34" s="248"/>
      <c r="D34" s="246"/>
      <c r="E34" s="246"/>
      <c r="H34" s="65"/>
    </row>
    <row r="35" spans="1:8">
      <c r="A35" s="251"/>
      <c r="B35" s="246"/>
      <c r="C35" s="248"/>
      <c r="D35" s="246"/>
      <c r="E35" s="246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224</v>
      </c>
      <c r="C37" s="78"/>
      <c r="D37" s="136">
        <f>SUM(D38:D45)</f>
        <v>3377.9</v>
      </c>
      <c r="E37" s="136">
        <f>SUM(E38:E45)</f>
        <v>3379.06</v>
      </c>
      <c r="H37" s="65"/>
    </row>
    <row r="38" spans="1:8">
      <c r="A38">
        <v>20</v>
      </c>
      <c r="B38" t="s">
        <v>733</v>
      </c>
      <c r="D38">
        <v>557.09</v>
      </c>
      <c r="E38" s="65">
        <v>557</v>
      </c>
      <c r="F38" s="65"/>
      <c r="G38" s="65"/>
    </row>
    <row r="39" spans="1:8">
      <c r="A39">
        <v>50</v>
      </c>
      <c r="B39" t="s">
        <v>226</v>
      </c>
      <c r="D39">
        <v>927.27</v>
      </c>
      <c r="E39" s="65">
        <v>927</v>
      </c>
      <c r="F39" s="65"/>
      <c r="G39" s="65"/>
    </row>
    <row r="40" spans="1:8">
      <c r="A40">
        <v>10</v>
      </c>
      <c r="B40" t="s">
        <v>227</v>
      </c>
      <c r="D40">
        <v>129.21</v>
      </c>
      <c r="E40">
        <v>130</v>
      </c>
      <c r="F40" s="65"/>
      <c r="G40" s="65"/>
    </row>
    <row r="41" spans="1:8">
      <c r="A41">
        <v>20</v>
      </c>
      <c r="B41" t="s">
        <v>228</v>
      </c>
      <c r="D41">
        <v>1380.9</v>
      </c>
      <c r="E41">
        <v>1381</v>
      </c>
      <c r="F41" s="65"/>
      <c r="G41" s="65"/>
    </row>
    <row r="42" spans="1:8">
      <c r="A42">
        <v>30</v>
      </c>
      <c r="B42" t="s">
        <v>229</v>
      </c>
      <c r="D42">
        <v>339.37</v>
      </c>
      <c r="E42">
        <v>340</v>
      </c>
      <c r="F42" s="65"/>
      <c r="G42" s="65"/>
    </row>
    <row r="43" spans="1:8">
      <c r="A43">
        <v>10</v>
      </c>
      <c r="B43" t="s">
        <v>230</v>
      </c>
      <c r="C43" s="94"/>
      <c r="D43" s="94">
        <v>44.06</v>
      </c>
      <c r="E43">
        <v>44.06</v>
      </c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231</v>
      </c>
      <c r="C49" s="78"/>
      <c r="D49" s="79"/>
      <c r="E49" s="136">
        <f>SUM(E50:E69)</f>
        <v>-4946.47</v>
      </c>
    </row>
    <row r="50" spans="1:8">
      <c r="A50" s="97">
        <v>44873</v>
      </c>
      <c r="B50" t="s">
        <v>871</v>
      </c>
      <c r="C50" s="94"/>
      <c r="D50" s="94" t="s">
        <v>252</v>
      </c>
      <c r="E50" s="84">
        <v>-1111.1099999999999</v>
      </c>
      <c r="F50">
        <v>3</v>
      </c>
      <c r="G50" s="65"/>
      <c r="H50" s="65"/>
    </row>
    <row r="51" spans="1:8">
      <c r="A51" s="97">
        <v>44982</v>
      </c>
      <c r="B51" t="s">
        <v>933</v>
      </c>
      <c r="C51">
        <v>659.93</v>
      </c>
      <c r="D51" s="37" t="s">
        <v>798</v>
      </c>
      <c r="E51" s="84">
        <v>-164.98</v>
      </c>
      <c r="F51" s="65"/>
      <c r="G51" s="65"/>
      <c r="H51" s="65"/>
    </row>
    <row r="52" spans="1:8">
      <c r="A52" s="97">
        <v>44995</v>
      </c>
      <c r="B52" t="s">
        <v>586</v>
      </c>
      <c r="C52">
        <v>613.91</v>
      </c>
      <c r="D52" s="37" t="s">
        <v>934</v>
      </c>
      <c r="E52" s="84">
        <v>-61.39</v>
      </c>
      <c r="F52" s="65">
        <v>3</v>
      </c>
      <c r="G52" s="65"/>
      <c r="H52" s="65"/>
    </row>
    <row r="53" spans="1:8">
      <c r="A53" s="97">
        <v>44995</v>
      </c>
      <c r="B53" t="s">
        <v>935</v>
      </c>
      <c r="C53">
        <v>720.19</v>
      </c>
      <c r="D53" s="255" t="s">
        <v>936</v>
      </c>
      <c r="E53" s="84">
        <v>-240.06</v>
      </c>
      <c r="F53" s="65"/>
      <c r="G53" s="65"/>
      <c r="H53" s="65"/>
    </row>
    <row r="54" spans="1:8">
      <c r="A54" s="97">
        <v>44995</v>
      </c>
      <c r="B54" t="s">
        <v>844</v>
      </c>
      <c r="C54">
        <v>2258.94</v>
      </c>
      <c r="D54" s="37" t="s">
        <v>937</v>
      </c>
      <c r="E54" s="84">
        <v>-376.49</v>
      </c>
      <c r="F54" s="65">
        <v>3</v>
      </c>
      <c r="G54" s="65"/>
      <c r="H54" s="65"/>
    </row>
    <row r="55" spans="1:8">
      <c r="A55" s="97"/>
      <c r="D55" s="37"/>
      <c r="E55" s="84"/>
      <c r="F55" s="65"/>
      <c r="G55" s="65"/>
      <c r="H55" s="65"/>
    </row>
    <row r="56" spans="1:8">
      <c r="A56" s="97"/>
      <c r="D56" s="37"/>
      <c r="E56" s="84"/>
      <c r="F56" s="65"/>
      <c r="G56" s="65"/>
      <c r="H56" s="65"/>
    </row>
    <row r="57" spans="1:8">
      <c r="A57" s="97">
        <v>45043</v>
      </c>
      <c r="B57" s="94" t="s">
        <v>539</v>
      </c>
      <c r="C57" s="94">
        <v>10764.57</v>
      </c>
      <c r="D57" s="37" t="s">
        <v>803</v>
      </c>
      <c r="E57" s="84">
        <v>-1196.06</v>
      </c>
      <c r="F57" s="65">
        <v>3</v>
      </c>
      <c r="G57" s="65"/>
      <c r="H57" s="65"/>
    </row>
    <row r="58" spans="1:8">
      <c r="A58" s="97">
        <v>45043</v>
      </c>
      <c r="B58" s="94" t="s">
        <v>764</v>
      </c>
      <c r="C58" s="94">
        <v>3299</v>
      </c>
      <c r="D58" s="37" t="s">
        <v>459</v>
      </c>
      <c r="E58" s="84">
        <v>-549.83000000000004</v>
      </c>
      <c r="F58" s="65">
        <v>3</v>
      </c>
      <c r="G58" s="65"/>
      <c r="H58" s="65"/>
    </row>
    <row r="59" spans="1:8">
      <c r="F59" s="65"/>
      <c r="G59" s="65"/>
      <c r="H59" s="65"/>
    </row>
    <row r="60" spans="1:8">
      <c r="A60" s="97">
        <v>45044</v>
      </c>
      <c r="B60" t="s">
        <v>766</v>
      </c>
      <c r="C60" s="94">
        <v>3123.29</v>
      </c>
      <c r="D60" s="139" t="s">
        <v>459</v>
      </c>
      <c r="E60" s="84">
        <v>-520.54999999999995</v>
      </c>
      <c r="F60" s="65">
        <v>3</v>
      </c>
      <c r="G60" s="65"/>
      <c r="H60" s="65"/>
    </row>
    <row r="61" spans="1:8">
      <c r="A61" s="97"/>
      <c r="C61" s="94"/>
      <c r="D61" s="139"/>
      <c r="E61" s="84"/>
      <c r="F61" s="65"/>
      <c r="G61" s="65"/>
      <c r="H61" s="65"/>
    </row>
    <row r="62" spans="1:8">
      <c r="A62" s="97">
        <v>45043</v>
      </c>
      <c r="B62" s="94" t="s">
        <v>938</v>
      </c>
      <c r="C62" s="94">
        <v>-476.91</v>
      </c>
      <c r="D62" s="139"/>
      <c r="E62" s="84"/>
      <c r="F62" s="65"/>
      <c r="G62" s="65"/>
      <c r="H62" s="65"/>
    </row>
    <row r="63" spans="1:8">
      <c r="A63" s="97">
        <v>45043</v>
      </c>
      <c r="B63" t="s">
        <v>939</v>
      </c>
      <c r="E63" s="84">
        <v>-496</v>
      </c>
    </row>
    <row r="64" spans="1:8">
      <c r="A64" s="97">
        <v>45043</v>
      </c>
      <c r="B64" s="94" t="s">
        <v>940</v>
      </c>
      <c r="C64" s="94"/>
      <c r="D64" s="94"/>
      <c r="E64" s="84">
        <v>-120</v>
      </c>
    </row>
    <row r="65" spans="1:6">
      <c r="A65" s="97">
        <v>45044</v>
      </c>
      <c r="B65" t="s">
        <v>941</v>
      </c>
      <c r="E65" s="84">
        <v>-321</v>
      </c>
      <c r="F65" s="65"/>
    </row>
    <row r="66" spans="1:6">
      <c r="A66" s="97">
        <v>45044</v>
      </c>
      <c r="B66" t="s">
        <v>942</v>
      </c>
      <c r="E66" s="84">
        <v>110.52</v>
      </c>
      <c r="F66" s="65"/>
    </row>
    <row r="67" spans="1:6">
      <c r="A67" s="97"/>
      <c r="E67" s="84">
        <v>100.48</v>
      </c>
      <c r="F67" s="65"/>
    </row>
    <row r="68" spans="1:6">
      <c r="A68" s="97">
        <v>45051</v>
      </c>
      <c r="B68" t="s">
        <v>943</v>
      </c>
      <c r="C68">
        <v>150</v>
      </c>
      <c r="D68" s="81">
        <v>45107</v>
      </c>
      <c r="E68" s="84"/>
    </row>
    <row r="69" spans="1:6">
      <c r="A69" s="97">
        <v>45062</v>
      </c>
      <c r="B69" t="s">
        <v>943</v>
      </c>
      <c r="C69">
        <v>225</v>
      </c>
      <c r="E69" s="84"/>
    </row>
    <row r="70" spans="1:6">
      <c r="A70" s="97">
        <v>45062</v>
      </c>
      <c r="B70" t="s">
        <v>943</v>
      </c>
      <c r="C70">
        <v>500</v>
      </c>
      <c r="E70" s="84"/>
    </row>
    <row r="71" spans="1:6">
      <c r="A71" s="97">
        <v>45066</v>
      </c>
      <c r="B71" t="s">
        <v>944</v>
      </c>
      <c r="C71">
        <v>-187.19</v>
      </c>
      <c r="E71" s="84"/>
    </row>
    <row r="72" spans="1:6">
      <c r="A72" s="97"/>
      <c r="E72" s="84"/>
    </row>
    <row r="73" spans="1:6">
      <c r="A73" s="97"/>
      <c r="E73" s="84"/>
    </row>
    <row r="74" spans="1:6">
      <c r="A74" s="97"/>
      <c r="E74" s="84"/>
    </row>
    <row r="75" spans="1:6">
      <c r="A75" s="97"/>
      <c r="E75" s="84" t="s">
        <v>285</v>
      </c>
    </row>
    <row r="76" spans="1:6">
      <c r="A76" s="97"/>
      <c r="E76" s="84"/>
    </row>
    <row r="77" spans="1:6">
      <c r="A77" s="97"/>
      <c r="E77" s="84"/>
    </row>
    <row r="78" spans="1:6">
      <c r="A78" s="97"/>
      <c r="E78" s="84"/>
    </row>
    <row r="79" spans="1:6">
      <c r="A79" s="97"/>
      <c r="E79" s="84"/>
    </row>
    <row r="80" spans="1:6">
      <c r="A80" s="97"/>
      <c r="E80" s="84"/>
    </row>
    <row r="81" spans="1:8">
      <c r="A81" s="97"/>
      <c r="E81" s="84"/>
    </row>
    <row r="82" spans="1:8">
      <c r="D82" s="37"/>
    </row>
    <row r="84" spans="1:8">
      <c r="A84" s="78"/>
      <c r="B84" s="77" t="s">
        <v>235</v>
      </c>
      <c r="C84" s="78"/>
      <c r="D84" s="78"/>
      <c r="E84" s="80">
        <f>SUM(E85:E96)</f>
        <v>-1207.42</v>
      </c>
    </row>
    <row r="85" spans="1:8">
      <c r="A85" s="97">
        <v>45044</v>
      </c>
      <c r="B85" s="94" t="s">
        <v>945</v>
      </c>
      <c r="C85" s="94"/>
      <c r="D85" s="94"/>
      <c r="E85" s="84">
        <v>-140</v>
      </c>
      <c r="F85" s="65" t="s">
        <v>946</v>
      </c>
      <c r="G85" s="65"/>
      <c r="H85" s="65"/>
    </row>
    <row r="86" spans="1:8">
      <c r="A86" s="97">
        <v>45044</v>
      </c>
      <c r="B86" s="94" t="s">
        <v>947</v>
      </c>
      <c r="C86" s="94"/>
      <c r="D86" s="94"/>
      <c r="E86" s="84">
        <v>-35.78</v>
      </c>
      <c r="F86" s="65" t="s">
        <v>946</v>
      </c>
      <c r="G86" s="65"/>
      <c r="H86" s="65"/>
    </row>
    <row r="87" spans="1:8">
      <c r="A87" s="97">
        <v>45045</v>
      </c>
      <c r="B87" s="94" t="s">
        <v>97</v>
      </c>
      <c r="C87" s="94">
        <v>-221.54</v>
      </c>
      <c r="D87" s="94"/>
      <c r="E87" s="84"/>
      <c r="F87" s="65" t="s">
        <v>946</v>
      </c>
      <c r="G87" s="65"/>
      <c r="H87" s="65"/>
    </row>
    <row r="88" spans="1:8">
      <c r="A88" s="97">
        <v>45023</v>
      </c>
      <c r="B88" s="94" t="s">
        <v>301</v>
      </c>
      <c r="C88" s="94"/>
      <c r="D88" s="94"/>
      <c r="E88" s="84">
        <v>-39.950000000000003</v>
      </c>
      <c r="F88" s="65" t="s">
        <v>946</v>
      </c>
      <c r="G88" s="65"/>
      <c r="H88" s="65"/>
    </row>
    <row r="89" spans="1:8">
      <c r="A89" s="97">
        <v>45023</v>
      </c>
      <c r="B89" s="94" t="s">
        <v>301</v>
      </c>
      <c r="C89" s="94"/>
      <c r="D89" s="94"/>
      <c r="E89" s="84">
        <v>-154.44999999999999</v>
      </c>
      <c r="F89" s="65" t="s">
        <v>946</v>
      </c>
      <c r="G89" s="65"/>
      <c r="H89" s="65"/>
    </row>
    <row r="90" spans="1:8">
      <c r="A90" s="97">
        <v>45023</v>
      </c>
      <c r="B90" s="103" t="s">
        <v>301</v>
      </c>
      <c r="E90" s="84">
        <v>-260</v>
      </c>
      <c r="F90" s="65" t="s">
        <v>946</v>
      </c>
    </row>
    <row r="91" spans="1:8">
      <c r="A91" s="97">
        <v>45026</v>
      </c>
      <c r="B91" t="s">
        <v>948</v>
      </c>
      <c r="E91" s="84">
        <v>-140</v>
      </c>
      <c r="F91" s="65" t="s">
        <v>946</v>
      </c>
    </row>
    <row r="92" spans="1:8">
      <c r="A92" s="97">
        <v>45026</v>
      </c>
      <c r="B92" t="s">
        <v>947</v>
      </c>
      <c r="E92" s="84">
        <v>-57.07</v>
      </c>
      <c r="F92" s="65" t="s">
        <v>946</v>
      </c>
    </row>
    <row r="93" spans="1:8">
      <c r="A93" s="97">
        <v>45026</v>
      </c>
      <c r="B93" t="s">
        <v>767</v>
      </c>
      <c r="C93">
        <v>1140.99</v>
      </c>
      <c r="D93" t="s">
        <v>770</v>
      </c>
      <c r="E93" s="84">
        <v>-190.17</v>
      </c>
      <c r="F93" t="s">
        <v>946</v>
      </c>
    </row>
    <row r="94" spans="1:8">
      <c r="A94" s="97">
        <v>45061</v>
      </c>
      <c r="B94" t="s">
        <v>949</v>
      </c>
      <c r="E94" s="84">
        <v>-190</v>
      </c>
      <c r="F94" s="65" t="s">
        <v>946</v>
      </c>
    </row>
    <row r="95" spans="1:8">
      <c r="E95" t="s">
        <v>285</v>
      </c>
    </row>
    <row r="96" spans="1:8">
      <c r="D96" s="37"/>
    </row>
    <row r="97" spans="1:5">
      <c r="D97" s="37"/>
    </row>
    <row r="111" spans="1:5">
      <c r="A111" s="76" t="s">
        <v>950</v>
      </c>
      <c r="B111" s="77" t="s">
        <v>951</v>
      </c>
      <c r="C111" s="78"/>
      <c r="D111" s="79"/>
      <c r="E111" s="80">
        <f>SUM(E112:E120)</f>
        <v>377425.43</v>
      </c>
    </row>
    <row r="112" spans="1:5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885</v>
      </c>
      <c r="C113" s="2">
        <v>1380</v>
      </c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28049.84</v>
      </c>
    </row>
    <row r="115" spans="1:5">
      <c r="A115" s="97">
        <v>45077</v>
      </c>
      <c r="B115" t="s">
        <v>174</v>
      </c>
      <c r="C115" s="2"/>
      <c r="D115" s="2"/>
      <c r="E115" s="13">
        <v>6000.59</v>
      </c>
    </row>
    <row r="116" spans="1:5">
      <c r="A116" s="97">
        <v>45077</v>
      </c>
      <c r="B116" t="s">
        <v>821</v>
      </c>
      <c r="C116" s="2">
        <v>1438</v>
      </c>
      <c r="D116" s="2">
        <v>111</v>
      </c>
      <c r="E116" s="13">
        <f>D116*C116</f>
        <v>159618</v>
      </c>
    </row>
    <row r="117" spans="1:5">
      <c r="A117" s="97">
        <v>45077</v>
      </c>
      <c r="B117" t="s">
        <v>920</v>
      </c>
      <c r="C117" s="2">
        <v>23.34</v>
      </c>
      <c r="D117" s="2">
        <v>850</v>
      </c>
      <c r="E117" s="13">
        <f>D117*C117</f>
        <v>19839</v>
      </c>
    </row>
    <row r="118" spans="1:5">
      <c r="A118" s="97">
        <v>45077</v>
      </c>
      <c r="B118" t="s">
        <v>921</v>
      </c>
      <c r="C118" s="2">
        <v>25.3</v>
      </c>
      <c r="D118" s="2">
        <v>100</v>
      </c>
      <c r="E118" s="13">
        <f>D118*C118</f>
        <v>2530</v>
      </c>
    </row>
    <row r="119" spans="1:5">
      <c r="A119" s="97">
        <v>45077</v>
      </c>
      <c r="B119" t="s">
        <v>187</v>
      </c>
      <c r="C119" s="2"/>
      <c r="D119" s="2"/>
      <c r="E119" s="13">
        <v>42600</v>
      </c>
    </row>
    <row r="120" spans="1:5">
      <c r="A120" s="97"/>
      <c r="B120" t="s">
        <v>94</v>
      </c>
      <c r="C120" s="2"/>
      <c r="D120" s="2"/>
      <c r="E120" s="13">
        <v>1700</v>
      </c>
    </row>
    <row r="121" spans="1:5">
      <c r="D121" s="70" t="s">
        <v>952</v>
      </c>
      <c r="E121" s="65">
        <f>H8</f>
        <v>-5855.47</v>
      </c>
    </row>
    <row r="122" spans="1:5">
      <c r="D122" s="3"/>
    </row>
    <row r="123" spans="1:5">
      <c r="D123" s="70" t="s">
        <v>189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75623"/>
  </sheetPr>
  <dimension ref="A1:H145"/>
  <sheetViews>
    <sheetView topLeftCell="A10" zoomScale="170" zoomScaleNormal="17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953</v>
      </c>
      <c r="C2" s="87" t="s">
        <v>191</v>
      </c>
      <c r="D2" s="240">
        <f>SUM(D4:D40)</f>
        <v>17911</v>
      </c>
      <c r="E2" s="240">
        <f>SUM(E4:E39)</f>
        <v>-20977.52</v>
      </c>
      <c r="F2" s="240">
        <f>SUM(F4:F41)</f>
        <v>19800</v>
      </c>
      <c r="G2" s="240">
        <f>SUM(G4:G41)</f>
        <v>-25248.52</v>
      </c>
      <c r="H2" s="240">
        <f>F2+G2</f>
        <v>-5448.52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-267</v>
      </c>
      <c r="H4" s="65">
        <f t="shared" ref="H4:H23" si="0">H3+F4+G4</f>
        <v>-267</v>
      </c>
    </row>
    <row r="5" spans="1:8">
      <c r="B5" s="88" t="s">
        <v>195</v>
      </c>
      <c r="C5" s="88"/>
      <c r="D5" s="88"/>
      <c r="E5" s="65">
        <v>-500</v>
      </c>
      <c r="G5" s="65">
        <v>-504</v>
      </c>
      <c r="H5" s="65">
        <f t="shared" si="0"/>
        <v>-771</v>
      </c>
    </row>
    <row r="6" spans="1:8">
      <c r="B6" s="95" t="s">
        <v>212</v>
      </c>
      <c r="D6" s="65"/>
      <c r="E6" s="65">
        <f>D53*-1</f>
        <v>-110</v>
      </c>
      <c r="F6" s="65"/>
      <c r="G6" s="65">
        <v>-110</v>
      </c>
      <c r="H6" s="65">
        <f t="shared" si="0"/>
        <v>-881</v>
      </c>
    </row>
    <row r="7" spans="1:8">
      <c r="B7" s="95" t="s">
        <v>213</v>
      </c>
      <c r="E7" s="65">
        <f>E59</f>
        <v>-4975.71</v>
      </c>
      <c r="F7" s="65"/>
      <c r="G7" s="65">
        <v>-4975.71</v>
      </c>
      <c r="H7" s="65">
        <f t="shared" si="0"/>
        <v>-5856.71</v>
      </c>
    </row>
    <row r="8" spans="1:8">
      <c r="B8" s="95" t="s">
        <v>214</v>
      </c>
      <c r="E8" s="65">
        <f>E80</f>
        <v>-221.54</v>
      </c>
      <c r="G8" s="65">
        <v>-221.54</v>
      </c>
      <c r="H8" s="65">
        <f t="shared" si="0"/>
        <v>-6078.25</v>
      </c>
    </row>
    <row r="9" spans="1:8">
      <c r="A9" s="97">
        <v>45051</v>
      </c>
      <c r="B9" s="88" t="s">
        <v>954</v>
      </c>
      <c r="C9" s="88"/>
      <c r="D9" s="88"/>
      <c r="E9" s="65">
        <v>-250</v>
      </c>
      <c r="G9" s="65">
        <v>-250</v>
      </c>
      <c r="H9" s="65">
        <f t="shared" si="0"/>
        <v>-6328.25</v>
      </c>
    </row>
    <row r="10" spans="1:8">
      <c r="A10" s="97">
        <v>44933</v>
      </c>
      <c r="B10" s="88" t="s">
        <v>418</v>
      </c>
      <c r="C10" s="88"/>
      <c r="D10" s="88"/>
      <c r="E10" s="65">
        <v>-4300</v>
      </c>
      <c r="G10" s="65">
        <v>-4300</v>
      </c>
      <c r="H10" s="65">
        <f t="shared" si="0"/>
        <v>-10628.25</v>
      </c>
    </row>
    <row r="11" spans="1:8">
      <c r="B11" s="88" t="s">
        <v>417</v>
      </c>
      <c r="C11" s="88"/>
      <c r="D11" s="88"/>
      <c r="E11" s="65">
        <v>-670.27</v>
      </c>
      <c r="F11" s="84"/>
      <c r="G11" s="65">
        <v>-670.27</v>
      </c>
      <c r="H11" s="65">
        <f t="shared" si="0"/>
        <v>-11298.52</v>
      </c>
    </row>
    <row r="12" spans="1:8">
      <c r="B12" s="88" t="s">
        <v>955</v>
      </c>
      <c r="C12" s="88" t="s">
        <v>209</v>
      </c>
      <c r="D12" s="88"/>
      <c r="E12" s="65">
        <v>-150</v>
      </c>
      <c r="F12" s="84"/>
      <c r="G12" s="65">
        <v>0</v>
      </c>
      <c r="H12" s="65">
        <f t="shared" si="0"/>
        <v>-11298.52</v>
      </c>
    </row>
    <row r="13" spans="1:8">
      <c r="B13" s="94" t="s">
        <v>210</v>
      </c>
      <c r="C13" s="94" t="s">
        <v>209</v>
      </c>
      <c r="D13" s="94"/>
      <c r="E13" s="65">
        <v>-1000</v>
      </c>
      <c r="F13" s="84"/>
      <c r="G13" s="65">
        <v>0</v>
      </c>
      <c r="H13" s="65">
        <f t="shared" si="0"/>
        <v>-11298.52</v>
      </c>
    </row>
    <row r="14" spans="1:8">
      <c r="B14" s="94" t="s">
        <v>211</v>
      </c>
      <c r="C14" s="94" t="s">
        <v>209</v>
      </c>
      <c r="D14" s="94"/>
      <c r="E14" s="65">
        <v>-150</v>
      </c>
      <c r="F14" s="84"/>
      <c r="G14" s="65">
        <v>0</v>
      </c>
      <c r="H14" s="65">
        <f t="shared" si="0"/>
        <v>-11298.52</v>
      </c>
    </row>
    <row r="15" spans="1:8">
      <c r="B15" t="s">
        <v>84</v>
      </c>
      <c r="E15" s="65">
        <v>-2750</v>
      </c>
      <c r="F15" s="65"/>
      <c r="G15" s="65">
        <v>-3500</v>
      </c>
      <c r="H15" s="65">
        <f t="shared" si="0"/>
        <v>-14798.52</v>
      </c>
    </row>
    <row r="16" spans="1:8">
      <c r="B16" t="s">
        <v>172</v>
      </c>
      <c r="E16" s="65">
        <v>-2750</v>
      </c>
      <c r="F16" s="65"/>
      <c r="G16" s="65">
        <v>-3500</v>
      </c>
      <c r="H16" s="65">
        <f t="shared" si="0"/>
        <v>-18298.52</v>
      </c>
    </row>
    <row r="17" spans="1:8">
      <c r="B17" t="s">
        <v>217</v>
      </c>
      <c r="E17" s="65">
        <v>-2750</v>
      </c>
      <c r="F17" s="65"/>
      <c r="G17" s="65">
        <v>-3500</v>
      </c>
      <c r="H17" s="65">
        <f t="shared" si="0"/>
        <v>-21798.52</v>
      </c>
    </row>
    <row r="18" spans="1:8">
      <c r="B18" t="s">
        <v>2</v>
      </c>
      <c r="D18">
        <v>1111</v>
      </c>
      <c r="E18" s="65"/>
      <c r="F18" s="65"/>
      <c r="G18" s="65"/>
      <c r="H18" s="65">
        <f t="shared" si="0"/>
        <v>-21798.52</v>
      </c>
    </row>
    <row r="19" spans="1:8">
      <c r="B19" t="s">
        <v>218</v>
      </c>
      <c r="D19" s="102">
        <v>7500</v>
      </c>
      <c r="F19" s="65">
        <v>7500</v>
      </c>
      <c r="G19" s="65"/>
      <c r="H19" s="65">
        <f t="shared" si="0"/>
        <v>-14298.52</v>
      </c>
    </row>
    <row r="20" spans="1:8">
      <c r="A20" s="96">
        <v>45070</v>
      </c>
      <c r="B20" t="s">
        <v>219</v>
      </c>
      <c r="D20" s="102">
        <v>2800</v>
      </c>
      <c r="F20" s="65">
        <v>2800</v>
      </c>
      <c r="G20" s="65"/>
      <c r="H20" s="65">
        <f t="shared" si="0"/>
        <v>-11498.52</v>
      </c>
    </row>
    <row r="21" spans="1:8">
      <c r="A21" s="96">
        <v>45080</v>
      </c>
      <c r="B21" t="s">
        <v>956</v>
      </c>
      <c r="D21" s="102">
        <v>6500</v>
      </c>
      <c r="F21" s="65">
        <v>6500</v>
      </c>
      <c r="G21" s="65"/>
      <c r="H21" s="65">
        <f t="shared" si="0"/>
        <v>-4998.5200000000004</v>
      </c>
    </row>
    <row r="22" spans="1:8">
      <c r="A22" s="97">
        <v>45061</v>
      </c>
      <c r="B22" t="s">
        <v>957</v>
      </c>
      <c r="D22" s="102"/>
      <c r="F22">
        <v>3000</v>
      </c>
      <c r="H22" s="65">
        <f t="shared" si="0"/>
        <v>-1998.5200000000004</v>
      </c>
    </row>
    <row r="23" spans="1:8">
      <c r="A23" s="97">
        <v>45031</v>
      </c>
      <c r="B23" t="s">
        <v>932</v>
      </c>
      <c r="D23" s="102"/>
      <c r="F23" s="65"/>
      <c r="G23" s="65">
        <v>-3450</v>
      </c>
      <c r="H23" s="65">
        <f t="shared" si="0"/>
        <v>-5448.52</v>
      </c>
    </row>
    <row r="24" spans="1:8">
      <c r="A24" s="97"/>
      <c r="D24" s="102"/>
      <c r="F24" s="65"/>
      <c r="G24" s="65"/>
      <c r="H24" s="65"/>
    </row>
    <row r="25" spans="1:8">
      <c r="A25" s="97"/>
      <c r="D25" s="102"/>
      <c r="F25" s="65"/>
      <c r="G25" s="65"/>
      <c r="H25" s="65"/>
    </row>
    <row r="26" spans="1:8">
      <c r="A26" s="97"/>
      <c r="D26" s="102"/>
      <c r="F26" s="65"/>
      <c r="G26" s="65"/>
      <c r="H26" s="65"/>
    </row>
    <row r="27" spans="1:8">
      <c r="A27" s="97"/>
      <c r="D27" s="102"/>
      <c r="H27" s="65"/>
    </row>
    <row r="28" spans="1:8">
      <c r="A28" s="97"/>
      <c r="B28" s="88" t="s">
        <v>958</v>
      </c>
      <c r="C28" s="88"/>
      <c r="D28" s="88"/>
      <c r="E28" s="84"/>
      <c r="H28" s="65"/>
    </row>
    <row r="29" spans="1:8">
      <c r="A29" s="97"/>
      <c r="B29" s="88" t="s">
        <v>959</v>
      </c>
      <c r="C29" s="88"/>
      <c r="D29" s="88"/>
      <c r="E29" s="84"/>
      <c r="H29" s="65"/>
    </row>
    <row r="30" spans="1:8">
      <c r="A30" s="97"/>
      <c r="B30" s="88" t="s">
        <v>960</v>
      </c>
      <c r="C30" s="88"/>
      <c r="D30" s="88"/>
      <c r="E30" s="84"/>
      <c r="H30" s="65"/>
    </row>
    <row r="31" spans="1:8">
      <c r="A31" s="97"/>
      <c r="B31" s="88" t="s">
        <v>207</v>
      </c>
      <c r="C31" s="88"/>
      <c r="D31" s="88"/>
      <c r="E31" s="84"/>
      <c r="H31" s="65"/>
    </row>
    <row r="32" spans="1:8">
      <c r="A32" s="97"/>
      <c r="B32" s="88" t="s">
        <v>961</v>
      </c>
      <c r="C32" s="88" t="s">
        <v>962</v>
      </c>
      <c r="D32" s="88"/>
      <c r="E32" s="84"/>
      <c r="H32" s="65"/>
    </row>
    <row r="33" spans="1:8">
      <c r="A33" s="97"/>
      <c r="B33" t="s">
        <v>963</v>
      </c>
      <c r="C33" s="88"/>
      <c r="D33" s="88"/>
      <c r="E33" s="84"/>
      <c r="H33" s="65"/>
    </row>
    <row r="34" spans="1:8">
      <c r="A34" s="97"/>
      <c r="B34" t="s">
        <v>964</v>
      </c>
      <c r="C34" s="88"/>
      <c r="D34" s="88"/>
      <c r="E34" s="84"/>
      <c r="H34" s="65"/>
    </row>
    <row r="35" spans="1:8">
      <c r="A35" s="97"/>
      <c r="B35" s="88" t="s">
        <v>965</v>
      </c>
      <c r="C35" s="88"/>
      <c r="D35" s="88"/>
      <c r="E35" s="84"/>
      <c r="H35" s="65"/>
    </row>
    <row r="36" spans="1:8">
      <c r="A36" s="97"/>
      <c r="B36" s="88" t="s">
        <v>966</v>
      </c>
      <c r="C36" s="88"/>
      <c r="D36" s="88"/>
      <c r="E36" s="84"/>
      <c r="H36" s="65"/>
    </row>
    <row r="37" spans="1:8">
      <c r="A37" s="97"/>
      <c r="B37" s="88"/>
      <c r="C37" s="88"/>
      <c r="D37" s="88"/>
      <c r="E37" s="84"/>
      <c r="H37" s="65"/>
    </row>
    <row r="38" spans="1:8">
      <c r="D38" s="65"/>
      <c r="F38" s="65"/>
      <c r="G38" s="65"/>
      <c r="H38" s="65"/>
    </row>
    <row r="39" spans="1:8" ht="15.75">
      <c r="B39" s="99"/>
      <c r="F39" s="65"/>
      <c r="G39" s="65"/>
      <c r="H39" s="65"/>
    </row>
    <row r="40" spans="1:8">
      <c r="E40" s="65"/>
      <c r="G40" s="65"/>
      <c r="H40" s="65"/>
    </row>
    <row r="41" spans="1:8">
      <c r="B41" t="s">
        <v>222</v>
      </c>
      <c r="E41" s="65"/>
      <c r="G41" s="65"/>
      <c r="H41" s="65"/>
    </row>
    <row r="42" spans="1:8">
      <c r="A42" s="78" t="s">
        <v>223</v>
      </c>
      <c r="B42" s="78"/>
      <c r="C42" s="78"/>
      <c r="D42" s="78"/>
      <c r="E42" s="79"/>
      <c r="G42" s="65"/>
      <c r="H42" s="65"/>
    </row>
    <row r="43" spans="1:8">
      <c r="A43" s="251"/>
      <c r="B43" s="246"/>
      <c r="C43" s="246"/>
      <c r="D43" s="246"/>
      <c r="E43" s="247"/>
      <c r="H43" s="65"/>
    </row>
    <row r="44" spans="1:8">
      <c r="A44" s="251"/>
      <c r="B44" s="246"/>
      <c r="C44" s="248"/>
      <c r="D44" s="246"/>
      <c r="E44" s="246"/>
      <c r="H44" s="65"/>
    </row>
    <row r="45" spans="1:8">
      <c r="A45" s="251"/>
      <c r="B45" s="246"/>
      <c r="C45" s="248"/>
      <c r="D45" s="246"/>
      <c r="E45" s="246"/>
      <c r="H45" s="65"/>
    </row>
    <row r="46" spans="1:8">
      <c r="A46" s="97"/>
      <c r="C46" s="98"/>
      <c r="H46" s="65"/>
    </row>
    <row r="47" spans="1:8">
      <c r="A47" s="100">
        <v>44929</v>
      </c>
      <c r="B47" s="101" t="s">
        <v>224</v>
      </c>
      <c r="C47" s="78"/>
      <c r="D47" s="136">
        <f>SUM(D48:D55)</f>
        <v>2838.0099999999998</v>
      </c>
      <c r="E47" s="136">
        <f>SUM(E48:E55)</f>
        <v>2839.5</v>
      </c>
      <c r="H47" s="65"/>
    </row>
    <row r="48" spans="1:8">
      <c r="B48" t="s">
        <v>733</v>
      </c>
      <c r="D48">
        <v>509.04</v>
      </c>
      <c r="E48" s="65">
        <v>510</v>
      </c>
      <c r="F48" s="65"/>
      <c r="G48" s="65"/>
    </row>
    <row r="49" spans="1:8">
      <c r="B49" t="s">
        <v>226</v>
      </c>
      <c r="D49">
        <v>938.46</v>
      </c>
      <c r="E49" s="65">
        <v>938.5</v>
      </c>
      <c r="F49" s="65"/>
      <c r="G49" s="65"/>
    </row>
    <row r="50" spans="1:8">
      <c r="B50" t="s">
        <v>227</v>
      </c>
      <c r="D50">
        <v>126.34</v>
      </c>
      <c r="E50">
        <v>126</v>
      </c>
      <c r="F50" s="65"/>
      <c r="G50" s="65"/>
    </row>
    <row r="51" spans="1:8">
      <c r="B51" t="s">
        <v>228</v>
      </c>
      <c r="D51">
        <v>934.05</v>
      </c>
      <c r="E51">
        <v>935</v>
      </c>
      <c r="F51" s="65"/>
      <c r="G51" s="65"/>
    </row>
    <row r="52" spans="1:8">
      <c r="B52" t="s">
        <v>229</v>
      </c>
      <c r="D52">
        <v>220.12</v>
      </c>
      <c r="E52">
        <v>220</v>
      </c>
      <c r="F52" s="65"/>
      <c r="G52" s="65"/>
    </row>
    <row r="53" spans="1:8">
      <c r="B53" t="s">
        <v>230</v>
      </c>
      <c r="C53" s="94"/>
      <c r="D53" s="94">
        <v>110</v>
      </c>
      <c r="E53">
        <v>110</v>
      </c>
      <c r="F53" s="65"/>
      <c r="G53" s="65"/>
    </row>
    <row r="54" spans="1:8">
      <c r="C54" s="94"/>
      <c r="E54" s="94"/>
      <c r="F54" s="65"/>
      <c r="G54" s="65"/>
    </row>
    <row r="55" spans="1:8">
      <c r="C55" s="94"/>
      <c r="D55" s="94"/>
      <c r="E55" s="84"/>
      <c r="F55" s="65"/>
      <c r="G55" s="65"/>
    </row>
    <row r="57" spans="1:8">
      <c r="B57" s="13"/>
    </row>
    <row r="58" spans="1:8">
      <c r="B58" s="102"/>
    </row>
    <row r="59" spans="1:8">
      <c r="A59" s="78"/>
      <c r="B59" s="77" t="s">
        <v>231</v>
      </c>
      <c r="C59" s="78"/>
      <c r="D59" s="79"/>
      <c r="E59" s="80">
        <f>SUM(E60:E77)</f>
        <v>-4975.71</v>
      </c>
    </row>
    <row r="60" spans="1:8">
      <c r="A60" s="97">
        <v>44873</v>
      </c>
      <c r="B60" t="s">
        <v>871</v>
      </c>
      <c r="C60" s="94"/>
      <c r="D60" s="94" t="s">
        <v>490</v>
      </c>
      <c r="E60" s="84">
        <v>-1111.1099999999999</v>
      </c>
      <c r="G60" s="65"/>
      <c r="H60" s="65"/>
    </row>
    <row r="61" spans="1:8">
      <c r="A61" s="97">
        <v>45016</v>
      </c>
      <c r="B61" t="s">
        <v>629</v>
      </c>
      <c r="C61">
        <v>437.97</v>
      </c>
      <c r="D61" s="37" t="s">
        <v>936</v>
      </c>
      <c r="E61" s="84">
        <v>-145.99</v>
      </c>
      <c r="F61" s="65"/>
      <c r="G61" s="65"/>
      <c r="H61" s="65"/>
    </row>
    <row r="62" spans="1:8">
      <c r="A62" s="97">
        <v>45016</v>
      </c>
      <c r="B62" t="s">
        <v>630</v>
      </c>
      <c r="C62">
        <v>404.23</v>
      </c>
      <c r="D62" s="37" t="s">
        <v>936</v>
      </c>
      <c r="E62" s="84">
        <v>-134.75</v>
      </c>
      <c r="F62" s="65"/>
      <c r="G62" s="65"/>
      <c r="H62" s="65"/>
    </row>
    <row r="63" spans="1:8">
      <c r="A63" s="97">
        <v>45016</v>
      </c>
      <c r="B63" t="s">
        <v>631</v>
      </c>
      <c r="C63">
        <v>1135</v>
      </c>
      <c r="D63" s="37" t="s">
        <v>936</v>
      </c>
      <c r="E63" s="84">
        <v>-378.34</v>
      </c>
      <c r="F63" s="65"/>
      <c r="G63" s="65"/>
      <c r="H63" s="65"/>
    </row>
    <row r="64" spans="1:8">
      <c r="A64" s="97">
        <v>44982</v>
      </c>
      <c r="B64" t="s">
        <v>933</v>
      </c>
      <c r="C64">
        <v>659.93</v>
      </c>
      <c r="D64" s="37" t="s">
        <v>845</v>
      </c>
      <c r="E64" s="84">
        <v>-164.98</v>
      </c>
      <c r="F64" s="65"/>
      <c r="G64" s="65"/>
      <c r="H64" s="65"/>
    </row>
    <row r="65" spans="1:8">
      <c r="A65" s="97">
        <v>44995</v>
      </c>
      <c r="B65" t="s">
        <v>935</v>
      </c>
      <c r="C65">
        <v>720.19</v>
      </c>
      <c r="D65" s="255" t="s">
        <v>967</v>
      </c>
      <c r="E65" s="84">
        <v>-240.06</v>
      </c>
      <c r="F65" s="65"/>
      <c r="G65" s="65"/>
      <c r="H65" s="65"/>
    </row>
    <row r="66" spans="1:8">
      <c r="A66" s="97">
        <v>44995</v>
      </c>
      <c r="B66" t="s">
        <v>586</v>
      </c>
      <c r="C66">
        <v>613.91</v>
      </c>
      <c r="D66" s="37" t="s">
        <v>968</v>
      </c>
      <c r="E66" s="84">
        <v>-61.39</v>
      </c>
      <c r="F66" s="65"/>
      <c r="G66" s="65"/>
      <c r="H66" s="65"/>
    </row>
    <row r="67" spans="1:8">
      <c r="A67" s="97">
        <v>44995</v>
      </c>
      <c r="B67" t="s">
        <v>844</v>
      </c>
      <c r="C67">
        <v>2258.94</v>
      </c>
      <c r="D67" s="37" t="s">
        <v>420</v>
      </c>
      <c r="E67" s="84">
        <v>-376.49</v>
      </c>
      <c r="F67" s="65"/>
      <c r="G67" s="65"/>
      <c r="H67" s="65"/>
    </row>
    <row r="68" spans="1:8">
      <c r="A68" s="97">
        <v>45013</v>
      </c>
      <c r="B68" s="94" t="s">
        <v>969</v>
      </c>
      <c r="C68" s="94"/>
      <c r="D68" s="94"/>
      <c r="E68" s="84">
        <v>-800</v>
      </c>
      <c r="F68" s="65"/>
      <c r="G68" s="65"/>
      <c r="H68" s="65"/>
    </row>
    <row r="69" spans="1:8">
      <c r="A69" s="97">
        <v>45013</v>
      </c>
      <c r="B69" t="s">
        <v>970</v>
      </c>
      <c r="C69" s="94"/>
      <c r="D69" s="94"/>
      <c r="E69" s="84">
        <v>-294.89999999999998</v>
      </c>
      <c r="F69" s="65"/>
      <c r="G69" s="65"/>
      <c r="H69" s="65"/>
    </row>
    <row r="70" spans="1:8">
      <c r="A70" s="97">
        <v>45015</v>
      </c>
      <c r="B70" t="s">
        <v>971</v>
      </c>
      <c r="E70" s="84">
        <v>-291.8</v>
      </c>
    </row>
    <row r="71" spans="1:8">
      <c r="A71" s="97">
        <v>45025</v>
      </c>
      <c r="E71" s="84">
        <v>-77.52</v>
      </c>
    </row>
    <row r="72" spans="1:8">
      <c r="A72" s="97">
        <v>45025</v>
      </c>
      <c r="B72" t="s">
        <v>298</v>
      </c>
      <c r="E72" s="84">
        <v>-158.63999999999999</v>
      </c>
    </row>
    <row r="73" spans="1:8">
      <c r="A73" s="97">
        <v>45037</v>
      </c>
      <c r="B73" t="s">
        <v>874</v>
      </c>
      <c r="D73" s="37"/>
      <c r="E73" s="84">
        <v>-100</v>
      </c>
    </row>
    <row r="74" spans="1:8">
      <c r="A74" s="97">
        <v>45037</v>
      </c>
      <c r="B74" t="s">
        <v>874</v>
      </c>
      <c r="E74" s="84">
        <v>-15</v>
      </c>
    </row>
    <row r="75" spans="1:8">
      <c r="A75" s="97">
        <v>45039</v>
      </c>
      <c r="B75" t="s">
        <v>972</v>
      </c>
      <c r="E75" s="84">
        <v>-430</v>
      </c>
    </row>
    <row r="76" spans="1:8">
      <c r="A76" s="97">
        <v>45040</v>
      </c>
      <c r="B76" t="s">
        <v>973</v>
      </c>
      <c r="E76" s="84">
        <v>-69.739999999999995</v>
      </c>
    </row>
    <row r="77" spans="1:8">
      <c r="A77" s="97">
        <v>45040</v>
      </c>
      <c r="B77" t="s">
        <v>974</v>
      </c>
      <c r="E77" s="84">
        <v>-125</v>
      </c>
    </row>
    <row r="78" spans="1:8">
      <c r="A78" s="97"/>
      <c r="E78" s="84" t="s">
        <v>975</v>
      </c>
    </row>
    <row r="80" spans="1:8">
      <c r="A80" s="78"/>
      <c r="B80" s="77" t="s">
        <v>235</v>
      </c>
      <c r="C80" s="78"/>
      <c r="D80" s="78"/>
      <c r="E80" s="136">
        <f>SUM(E81:E106)</f>
        <v>-221.54</v>
      </c>
    </row>
    <row r="81" spans="1:8">
      <c r="A81" s="97">
        <v>45013</v>
      </c>
      <c r="B81" s="94" t="s">
        <v>976</v>
      </c>
      <c r="C81" s="94"/>
      <c r="D81" s="94"/>
      <c r="E81" s="84">
        <v>-221.54</v>
      </c>
      <c r="F81" s="65"/>
      <c r="G81" s="65"/>
      <c r="H81" s="65"/>
    </row>
    <row r="82" spans="1:8">
      <c r="A82" s="97"/>
      <c r="B82" s="94"/>
      <c r="C82" s="94"/>
      <c r="D82" s="94"/>
      <c r="E82" s="84" t="s">
        <v>975</v>
      </c>
      <c r="F82" s="65"/>
      <c r="G82" s="65"/>
      <c r="H82" s="65"/>
    </row>
    <row r="83" spans="1:8">
      <c r="A83" s="97"/>
      <c r="B83" s="94"/>
      <c r="C83" s="94"/>
      <c r="D83" s="94"/>
      <c r="E83" s="84"/>
      <c r="F83" s="65"/>
      <c r="G83" s="65"/>
      <c r="H83" s="65"/>
    </row>
    <row r="84" spans="1:8">
      <c r="A84" s="97"/>
      <c r="B84" s="94"/>
      <c r="C84" s="94"/>
      <c r="D84" s="94"/>
      <c r="E84" s="84"/>
      <c r="F84" s="65"/>
      <c r="G84" s="65"/>
      <c r="H84" s="65"/>
    </row>
    <row r="85" spans="1:8">
      <c r="A85" s="97"/>
      <c r="B85" s="94"/>
      <c r="C85" s="94"/>
      <c r="D85" s="94"/>
      <c r="E85" s="84"/>
      <c r="F85" s="65"/>
      <c r="G85" s="65"/>
      <c r="H85" s="65"/>
    </row>
    <row r="86" spans="1:8">
      <c r="A86" s="97"/>
      <c r="B86" s="94"/>
      <c r="C86" s="94"/>
      <c r="D86" s="94"/>
      <c r="E86" s="84"/>
      <c r="F86" s="65"/>
      <c r="G86" s="65"/>
      <c r="H86" s="65"/>
    </row>
    <row r="87" spans="1:8">
      <c r="A87" s="97"/>
      <c r="B87" s="94"/>
      <c r="C87" s="94"/>
      <c r="D87" s="94"/>
      <c r="E87" s="84"/>
      <c r="F87" s="65"/>
      <c r="G87" s="65"/>
      <c r="H87" s="65"/>
    </row>
    <row r="88" spans="1:8">
      <c r="A88" s="97"/>
      <c r="B88" s="94"/>
      <c r="C88" s="94"/>
      <c r="D88" s="94"/>
      <c r="E88" s="84"/>
      <c r="F88" s="65"/>
      <c r="G88" s="65"/>
      <c r="H88" s="65"/>
    </row>
    <row r="89" spans="1:8">
      <c r="A89" s="97"/>
      <c r="B89" s="94"/>
      <c r="C89" s="94"/>
      <c r="D89" s="94"/>
      <c r="E89" s="84"/>
      <c r="F89" s="65"/>
      <c r="G89" s="65"/>
      <c r="H89" s="65"/>
    </row>
    <row r="90" spans="1:8">
      <c r="A90" s="97"/>
      <c r="B90" s="94"/>
      <c r="C90" s="94"/>
      <c r="D90" s="94"/>
      <c r="E90" s="84"/>
      <c r="F90" s="65"/>
      <c r="G90" s="65"/>
      <c r="H90" s="65"/>
    </row>
    <row r="91" spans="1:8">
      <c r="A91" s="97"/>
      <c r="B91" s="94"/>
      <c r="C91" s="94"/>
      <c r="D91" s="94"/>
      <c r="E91" s="84"/>
      <c r="F91" s="65"/>
      <c r="G91" s="65"/>
      <c r="H91" s="65"/>
    </row>
    <row r="92" spans="1:8">
      <c r="A92" s="97"/>
      <c r="B92" s="94"/>
      <c r="C92" s="94"/>
      <c r="D92" s="94"/>
      <c r="E92" s="84"/>
      <c r="F92" s="65"/>
      <c r="G92" s="65"/>
      <c r="H92" s="65"/>
    </row>
    <row r="93" spans="1:8">
      <c r="A93" s="97"/>
      <c r="B93" s="94"/>
      <c r="C93" s="94"/>
      <c r="D93" s="94"/>
      <c r="E93" s="84"/>
      <c r="F93" s="65"/>
      <c r="G93" s="65"/>
      <c r="H93" s="65"/>
    </row>
    <row r="94" spans="1:8">
      <c r="A94" s="97"/>
      <c r="B94" s="94"/>
      <c r="C94" s="94"/>
      <c r="D94" s="94"/>
      <c r="E94" s="84"/>
      <c r="F94" s="65"/>
      <c r="G94" s="65"/>
      <c r="H94" s="65"/>
    </row>
    <row r="95" spans="1:8">
      <c r="A95" s="97"/>
      <c r="B95" s="94"/>
      <c r="C95" s="94"/>
      <c r="D95" s="94"/>
      <c r="E95" s="84"/>
      <c r="F95" s="65"/>
      <c r="G95" s="65"/>
      <c r="H95" s="65"/>
    </row>
    <row r="96" spans="1:8">
      <c r="A96" s="97"/>
      <c r="B96" s="94"/>
      <c r="C96" s="94"/>
      <c r="D96" s="94"/>
      <c r="E96" s="84"/>
      <c r="F96" s="65"/>
      <c r="G96" s="65"/>
      <c r="H96" s="65"/>
    </row>
    <row r="97" spans="1:8">
      <c r="A97" s="97"/>
      <c r="B97" s="94"/>
      <c r="C97" s="94"/>
      <c r="D97" s="94"/>
      <c r="E97" s="84"/>
      <c r="F97" s="65"/>
      <c r="G97" s="65"/>
      <c r="H97" s="65"/>
    </row>
    <row r="98" spans="1:8">
      <c r="A98" s="97"/>
      <c r="B98" s="94"/>
      <c r="C98" s="94"/>
      <c r="D98" s="94"/>
      <c r="E98" s="84"/>
      <c r="F98" s="65"/>
      <c r="G98" s="65"/>
      <c r="H98" s="65"/>
    </row>
    <row r="99" spans="1:8">
      <c r="A99" s="97"/>
      <c r="B99" s="94"/>
      <c r="C99" s="94"/>
      <c r="D99" s="94"/>
      <c r="E99" s="84"/>
      <c r="F99" s="65"/>
      <c r="G99" s="65"/>
      <c r="H99" s="65"/>
    </row>
    <row r="100" spans="1:8">
      <c r="A100" s="97"/>
      <c r="B100" s="94"/>
      <c r="C100" s="94"/>
      <c r="D100" s="94"/>
      <c r="E100" s="84"/>
      <c r="F100" s="65"/>
      <c r="G100" s="65"/>
      <c r="H100" s="65"/>
    </row>
    <row r="101" spans="1:8">
      <c r="A101" s="97"/>
      <c r="B101" s="94"/>
      <c r="C101" s="94"/>
      <c r="D101" s="94"/>
      <c r="E101" s="84"/>
      <c r="F101" s="65"/>
      <c r="G101" s="65"/>
      <c r="H101" s="65"/>
    </row>
    <row r="102" spans="1:8">
      <c r="A102" s="97"/>
      <c r="B102" s="94"/>
      <c r="C102" s="94"/>
      <c r="D102" s="94"/>
      <c r="E102" s="84"/>
      <c r="F102" s="65"/>
      <c r="G102" s="65"/>
      <c r="H102" s="65"/>
    </row>
    <row r="103" spans="1:8">
      <c r="A103" s="97"/>
      <c r="B103" s="94"/>
      <c r="C103" s="94"/>
      <c r="D103" s="94"/>
      <c r="E103" s="84"/>
      <c r="F103" s="65"/>
      <c r="G103" s="65"/>
      <c r="H103" s="65"/>
    </row>
    <row r="104" spans="1:8">
      <c r="A104" s="97"/>
      <c r="B104" s="94"/>
      <c r="C104" s="94"/>
      <c r="D104" s="94"/>
      <c r="E104" s="84"/>
      <c r="F104" s="65"/>
      <c r="G104" s="65"/>
      <c r="H104" s="65"/>
    </row>
    <row r="105" spans="1:8">
      <c r="A105" s="97"/>
      <c r="B105" s="94"/>
      <c r="C105" s="94"/>
      <c r="D105" s="94"/>
      <c r="E105" s="84"/>
      <c r="F105" s="65"/>
      <c r="G105" s="65"/>
      <c r="H105" s="65"/>
    </row>
    <row r="106" spans="1:8">
      <c r="A106" s="97"/>
      <c r="B106" s="94"/>
      <c r="C106" s="94"/>
      <c r="D106" s="94"/>
      <c r="E106" s="84"/>
      <c r="F106" s="65"/>
      <c r="G106" s="65"/>
      <c r="H106" s="65"/>
    </row>
    <row r="107" spans="1:8">
      <c r="A107" s="97"/>
      <c r="B107" s="94"/>
      <c r="C107" s="94"/>
      <c r="D107" s="94"/>
      <c r="E107" s="84"/>
      <c r="F107" s="65"/>
      <c r="G107" s="65"/>
      <c r="H107" s="65"/>
    </row>
    <row r="108" spans="1:8">
      <c r="A108" s="97"/>
      <c r="B108" s="103"/>
      <c r="E108" s="84"/>
    </row>
    <row r="111" spans="1:8">
      <c r="A111" s="76" t="s">
        <v>977</v>
      </c>
      <c r="B111" s="77" t="s">
        <v>951</v>
      </c>
      <c r="C111" s="78"/>
      <c r="D111" s="79"/>
      <c r="E111" s="80">
        <f>SUM(E112:E120)</f>
        <v>358028.33999999997</v>
      </c>
    </row>
    <row r="112" spans="1:8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885</v>
      </c>
      <c r="C113" s="2"/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28049.84</v>
      </c>
    </row>
    <row r="115" spans="1:5">
      <c r="A115" s="97">
        <v>45077</v>
      </c>
      <c r="B115" t="s">
        <v>174</v>
      </c>
      <c r="C115" s="2"/>
      <c r="D115" s="2"/>
      <c r="E115" s="13">
        <v>6000.59</v>
      </c>
    </row>
    <row r="116" spans="1:5">
      <c r="A116" s="97">
        <v>45077</v>
      </c>
      <c r="B116" t="s">
        <v>821</v>
      </c>
      <c r="C116" s="2">
        <v>1288.25</v>
      </c>
      <c r="D116" s="2">
        <v>111</v>
      </c>
      <c r="E116" s="13">
        <f>D116*C116</f>
        <v>142995.75</v>
      </c>
    </row>
    <row r="117" spans="1:5">
      <c r="A117" s="97">
        <v>45077</v>
      </c>
      <c r="B117" t="s">
        <v>920</v>
      </c>
      <c r="C117" s="2">
        <v>20.475200000000001</v>
      </c>
      <c r="D117" s="2">
        <v>850</v>
      </c>
      <c r="E117" s="13">
        <f>D117*C117</f>
        <v>17403.920000000002</v>
      </c>
    </row>
    <row r="118" spans="1:5">
      <c r="A118" s="97">
        <v>45077</v>
      </c>
      <c r="B118" t="s">
        <v>921</v>
      </c>
      <c r="C118" s="2">
        <v>21.9024</v>
      </c>
      <c r="D118" s="2">
        <v>100</v>
      </c>
      <c r="E118" s="13">
        <f>D118*C118</f>
        <v>2190.2399999999998</v>
      </c>
    </row>
    <row r="119" spans="1:5">
      <c r="A119" s="97">
        <v>45077</v>
      </c>
      <c r="B119" t="s">
        <v>187</v>
      </c>
      <c r="C119" s="2"/>
      <c r="D119" s="2"/>
      <c r="E119" s="13">
        <v>42600</v>
      </c>
    </row>
    <row r="120" spans="1:5">
      <c r="A120" s="97"/>
      <c r="B120" t="s">
        <v>94</v>
      </c>
      <c r="C120" s="2"/>
      <c r="D120" s="2"/>
      <c r="E120" s="13">
        <v>1700</v>
      </c>
    </row>
    <row r="121" spans="1:5">
      <c r="D121" s="70" t="s">
        <v>952</v>
      </c>
      <c r="E121" s="65">
        <f>H3</f>
        <v>0</v>
      </c>
    </row>
    <row r="122" spans="1:5">
      <c r="D122" s="3"/>
    </row>
    <row r="123" spans="1:5">
      <c r="D123" s="70" t="s">
        <v>189</v>
      </c>
      <c r="E123">
        <f>SUM(E112:E122)</f>
        <v>358028.33999999997</v>
      </c>
    </row>
    <row r="133" spans="1:5">
      <c r="A133" s="78"/>
      <c r="B133" s="77"/>
      <c r="C133" s="78"/>
      <c r="D133" s="79"/>
      <c r="E133" s="80"/>
    </row>
    <row r="134" spans="1:5">
      <c r="A134" s="97"/>
      <c r="C134" s="2"/>
      <c r="D134" s="2"/>
      <c r="E134" s="13"/>
    </row>
    <row r="135" spans="1:5">
      <c r="A135" s="97"/>
      <c r="C135" s="2"/>
      <c r="D135" s="2"/>
      <c r="E135" s="13"/>
    </row>
    <row r="136" spans="1:5">
      <c r="A136" s="97"/>
      <c r="C136" s="2"/>
      <c r="D136" s="2"/>
      <c r="E136" s="13"/>
    </row>
    <row r="137" spans="1:5">
      <c r="A137" s="97"/>
      <c r="C137" s="2"/>
      <c r="D137" s="2"/>
      <c r="E137" s="13"/>
    </row>
    <row r="138" spans="1:5">
      <c r="A138" s="97"/>
      <c r="C138" s="2"/>
      <c r="D138" s="2"/>
      <c r="E138" s="13"/>
    </row>
    <row r="139" spans="1:5">
      <c r="A139" s="97"/>
      <c r="C139" s="2"/>
      <c r="D139" s="2"/>
      <c r="E139" s="13"/>
    </row>
    <row r="140" spans="1:5">
      <c r="A140" s="97"/>
      <c r="C140" s="2"/>
      <c r="D140" s="2"/>
      <c r="E140" s="13"/>
    </row>
    <row r="141" spans="1:5">
      <c r="A141" s="97"/>
      <c r="C141" s="2"/>
      <c r="D141" s="2"/>
      <c r="E141" s="13"/>
    </row>
    <row r="142" spans="1:5">
      <c r="A142" s="97"/>
      <c r="C142" s="2"/>
      <c r="D142" s="2"/>
      <c r="E142" s="13"/>
    </row>
    <row r="143" spans="1:5">
      <c r="D143" s="70"/>
      <c r="E143" s="65"/>
    </row>
    <row r="144" spans="1:5">
      <c r="D144" s="3"/>
    </row>
    <row r="145" spans="4:4">
      <c r="D145" s="7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8"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978</v>
      </c>
      <c r="C2" s="87" t="s">
        <v>191</v>
      </c>
      <c r="D2" s="240">
        <f>SUM(D4:D35)</f>
        <v>20911</v>
      </c>
      <c r="E2" s="240">
        <f>SUM(E4:E26)</f>
        <v>-54277.093000000001</v>
      </c>
      <c r="F2" s="240">
        <f>SUM(F4:F36)</f>
        <v>72630</v>
      </c>
      <c r="G2" s="240">
        <f>SUM(G4:G36)</f>
        <v>-58332.79</v>
      </c>
      <c r="H2" s="240">
        <f>F2+G2</f>
        <v>14297.21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-207</v>
      </c>
      <c r="H4" s="65">
        <f t="shared" ref="H4:H30" si="0">H3+F4+G4</f>
        <v>-207</v>
      </c>
    </row>
    <row r="5" spans="1:8">
      <c r="B5" s="88" t="s">
        <v>195</v>
      </c>
      <c r="C5" s="88"/>
      <c r="D5" s="88"/>
      <c r="E5" s="65">
        <v>-500</v>
      </c>
      <c r="G5" s="65">
        <v>-456</v>
      </c>
      <c r="H5" s="65">
        <f t="shared" si="0"/>
        <v>-663</v>
      </c>
    </row>
    <row r="6" spans="1:8">
      <c r="A6" s="97">
        <v>45019</v>
      </c>
      <c r="B6" s="88" t="s">
        <v>446</v>
      </c>
      <c r="C6" s="88"/>
      <c r="D6" s="88"/>
      <c r="E6" s="65">
        <v>-4300</v>
      </c>
      <c r="G6" s="65">
        <v>-4300</v>
      </c>
      <c r="H6" s="65">
        <f t="shared" si="0"/>
        <v>-4963</v>
      </c>
    </row>
    <row r="7" spans="1:8">
      <c r="A7" s="97">
        <v>45019</v>
      </c>
      <c r="B7" s="88" t="s">
        <v>440</v>
      </c>
      <c r="C7" s="88"/>
      <c r="D7" s="88"/>
      <c r="E7" s="65">
        <v>-674.74</v>
      </c>
      <c r="F7" s="84"/>
      <c r="G7" s="65">
        <v>-670.27</v>
      </c>
      <c r="H7" s="65">
        <f t="shared" si="0"/>
        <v>-5633.27</v>
      </c>
    </row>
    <row r="8" spans="1:8">
      <c r="A8" s="97" t="s">
        <v>979</v>
      </c>
      <c r="B8" s="88" t="s">
        <v>208</v>
      </c>
      <c r="C8" s="88"/>
      <c r="D8" s="88"/>
      <c r="E8" s="65">
        <v>-150</v>
      </c>
      <c r="F8" s="84"/>
      <c r="G8" s="65">
        <v>-139.9</v>
      </c>
      <c r="H8" s="65">
        <f t="shared" si="0"/>
        <v>-5773.17</v>
      </c>
    </row>
    <row r="9" spans="1:8">
      <c r="B9" s="94" t="s">
        <v>210</v>
      </c>
      <c r="C9" s="94"/>
      <c r="D9" s="94"/>
      <c r="E9" s="65">
        <v>-1000</v>
      </c>
      <c r="F9" s="65"/>
      <c r="G9" s="65">
        <v>-1148</v>
      </c>
      <c r="H9" s="65">
        <f t="shared" si="0"/>
        <v>-6921.17</v>
      </c>
    </row>
    <row r="10" spans="1:8">
      <c r="B10" s="94" t="s">
        <v>211</v>
      </c>
      <c r="C10" s="94"/>
      <c r="D10" s="94"/>
      <c r="E10" s="65">
        <v>-150</v>
      </c>
      <c r="F10" s="65"/>
      <c r="G10" s="65">
        <v>-93.5</v>
      </c>
      <c r="H10" s="65">
        <f t="shared" si="0"/>
        <v>-7014.67</v>
      </c>
    </row>
    <row r="11" spans="1:8">
      <c r="B11" s="95" t="s">
        <v>212</v>
      </c>
      <c r="D11" s="65"/>
      <c r="E11" s="65">
        <f>D48*-1</f>
        <v>-107.14</v>
      </c>
      <c r="F11" s="65"/>
      <c r="G11" s="65">
        <v>-107.14</v>
      </c>
      <c r="H11" s="65">
        <f t="shared" si="0"/>
        <v>-7121.81</v>
      </c>
    </row>
    <row r="12" spans="1:8">
      <c r="B12" s="95" t="s">
        <v>213</v>
      </c>
      <c r="E12" s="65">
        <f>E54</f>
        <v>-5461.222999999999</v>
      </c>
      <c r="F12" s="65"/>
      <c r="G12" s="65">
        <v>-5461.22</v>
      </c>
      <c r="H12" s="65">
        <f t="shared" si="0"/>
        <v>-12583.03</v>
      </c>
    </row>
    <row r="13" spans="1:8">
      <c r="B13" s="95" t="s">
        <v>214</v>
      </c>
      <c r="E13" s="65">
        <f>E78</f>
        <v>-31033.99</v>
      </c>
      <c r="F13" s="65"/>
      <c r="G13" s="65">
        <v>-31033.99</v>
      </c>
      <c r="H13" s="65">
        <f t="shared" si="0"/>
        <v>-43617.020000000004</v>
      </c>
    </row>
    <row r="14" spans="1:8">
      <c r="B14" t="s">
        <v>84</v>
      </c>
      <c r="E14" s="65">
        <v>-3500</v>
      </c>
      <c r="F14" s="65"/>
      <c r="G14" s="65">
        <v>-3500</v>
      </c>
      <c r="H14" s="65">
        <f t="shared" si="0"/>
        <v>-47117.020000000004</v>
      </c>
    </row>
    <row r="15" spans="1:8">
      <c r="B15" t="s">
        <v>891</v>
      </c>
      <c r="E15" s="65"/>
      <c r="F15" s="65"/>
      <c r="G15" s="65">
        <v>-1000</v>
      </c>
      <c r="H15" s="65">
        <f t="shared" si="0"/>
        <v>-48117.020000000004</v>
      </c>
    </row>
    <row r="16" spans="1:8">
      <c r="B16" t="s">
        <v>172</v>
      </c>
      <c r="E16" s="65">
        <v>-3500</v>
      </c>
      <c r="F16" s="65"/>
      <c r="G16" s="65">
        <v>-3500</v>
      </c>
      <c r="H16" s="65">
        <f t="shared" si="0"/>
        <v>-51617.020000000004</v>
      </c>
    </row>
    <row r="17" spans="1:8">
      <c r="B17" t="s">
        <v>890</v>
      </c>
      <c r="E17" s="65"/>
      <c r="F17" s="65"/>
      <c r="G17" s="65">
        <v>-1000</v>
      </c>
      <c r="H17" s="65">
        <f t="shared" si="0"/>
        <v>-52617.020000000004</v>
      </c>
    </row>
    <row r="18" spans="1:8">
      <c r="B18" t="s">
        <v>217</v>
      </c>
      <c r="E18" s="65">
        <v>-3500</v>
      </c>
      <c r="F18" s="65"/>
      <c r="G18" s="65">
        <v>-3500</v>
      </c>
      <c r="H18" s="65">
        <f t="shared" si="0"/>
        <v>-56117.020000000004</v>
      </c>
    </row>
    <row r="19" spans="1:8">
      <c r="B19" t="s">
        <v>2</v>
      </c>
      <c r="D19">
        <v>1111</v>
      </c>
      <c r="E19" s="65"/>
      <c r="F19" s="65">
        <v>6000</v>
      </c>
      <c r="G19" s="65"/>
      <c r="H19" s="65">
        <f t="shared" si="0"/>
        <v>-50117.020000000004</v>
      </c>
    </row>
    <row r="20" spans="1:8">
      <c r="B20" t="s">
        <v>218</v>
      </c>
      <c r="D20" s="121">
        <v>7500</v>
      </c>
      <c r="F20" s="84">
        <v>7500</v>
      </c>
      <c r="G20" s="65"/>
      <c r="H20" s="65">
        <f t="shared" si="0"/>
        <v>-42617.020000000004</v>
      </c>
    </row>
    <row r="21" spans="1:8">
      <c r="B21" t="s">
        <v>980</v>
      </c>
      <c r="D21" s="121">
        <v>2000</v>
      </c>
      <c r="F21" s="84">
        <v>2000</v>
      </c>
      <c r="G21" s="65"/>
      <c r="H21" s="65">
        <f t="shared" si="0"/>
        <v>-40617.020000000004</v>
      </c>
    </row>
    <row r="22" spans="1:8">
      <c r="B22" t="s">
        <v>219</v>
      </c>
      <c r="D22" s="121">
        <v>2800</v>
      </c>
      <c r="F22" s="65">
        <v>2800</v>
      </c>
      <c r="G22" s="65"/>
      <c r="H22" s="65">
        <f t="shared" si="0"/>
        <v>-37817.020000000004</v>
      </c>
    </row>
    <row r="23" spans="1:8">
      <c r="B23" t="s">
        <v>981</v>
      </c>
      <c r="D23" s="121">
        <v>6500</v>
      </c>
      <c r="F23" s="65">
        <v>6500</v>
      </c>
      <c r="G23" s="65"/>
      <c r="H23" s="65">
        <f t="shared" si="0"/>
        <v>-31317.020000000004</v>
      </c>
    </row>
    <row r="24" spans="1:8">
      <c r="B24" t="s">
        <v>982</v>
      </c>
      <c r="D24" s="256">
        <v>1000</v>
      </c>
      <c r="H24" s="65">
        <f t="shared" si="0"/>
        <v>-31317.020000000004</v>
      </c>
    </row>
    <row r="25" spans="1:8">
      <c r="A25" s="97">
        <v>45028</v>
      </c>
      <c r="B25" t="s">
        <v>983</v>
      </c>
      <c r="D25" s="102"/>
      <c r="F25" s="65">
        <v>13000</v>
      </c>
      <c r="G25" s="65"/>
      <c r="H25" s="65">
        <f t="shared" si="0"/>
        <v>-18317.020000000004</v>
      </c>
    </row>
    <row r="26" spans="1:8">
      <c r="A26" s="97"/>
      <c r="B26" t="s">
        <v>984</v>
      </c>
      <c r="D26" s="102"/>
      <c r="H26" s="65">
        <f t="shared" si="0"/>
        <v>-18317.020000000004</v>
      </c>
    </row>
    <row r="27" spans="1:8">
      <c r="A27" s="97">
        <v>45042</v>
      </c>
      <c r="B27" t="s">
        <v>985</v>
      </c>
      <c r="F27" s="65">
        <v>28080</v>
      </c>
      <c r="G27" s="65"/>
      <c r="H27" s="65">
        <f t="shared" si="0"/>
        <v>9762.9799999999959</v>
      </c>
    </row>
    <row r="28" spans="1:8">
      <c r="A28" s="97">
        <v>45042</v>
      </c>
      <c r="B28" t="s">
        <v>986</v>
      </c>
      <c r="F28" s="65"/>
      <c r="G28" s="65">
        <v>-600</v>
      </c>
      <c r="H28" s="65">
        <f t="shared" si="0"/>
        <v>9162.9799999999959</v>
      </c>
    </row>
    <row r="29" spans="1:8">
      <c r="A29" s="97">
        <v>45042</v>
      </c>
      <c r="B29" t="s">
        <v>987</v>
      </c>
      <c r="F29" s="65"/>
      <c r="G29" s="65">
        <v>-1615.77</v>
      </c>
      <c r="H29" s="65">
        <f t="shared" si="0"/>
        <v>7547.2099999999955</v>
      </c>
    </row>
    <row r="30" spans="1:8">
      <c r="A30" s="97">
        <v>45042</v>
      </c>
      <c r="B30" t="s">
        <v>988</v>
      </c>
      <c r="F30" s="84">
        <v>6750</v>
      </c>
      <c r="G30" s="65"/>
      <c r="H30" s="84">
        <f t="shared" si="0"/>
        <v>14297.209999999995</v>
      </c>
    </row>
    <row r="31" spans="1:8">
      <c r="F31" s="65"/>
      <c r="G31" s="65"/>
      <c r="H31" s="65"/>
    </row>
    <row r="32" spans="1:8">
      <c r="F32" s="65"/>
      <c r="G32" s="65"/>
      <c r="H32" s="65"/>
    </row>
    <row r="33" spans="1:8">
      <c r="F33" s="65"/>
      <c r="G33" s="65"/>
      <c r="H33" s="65"/>
    </row>
    <row r="34" spans="1:8">
      <c r="F34" s="65"/>
      <c r="G34" s="65"/>
      <c r="H34" s="65"/>
    </row>
    <row r="35" spans="1:8">
      <c r="E35" s="65"/>
      <c r="G35" s="65"/>
      <c r="H35" s="65"/>
    </row>
    <row r="36" spans="1:8">
      <c r="B36" t="s">
        <v>222</v>
      </c>
      <c r="E36" s="65"/>
      <c r="G36" s="65"/>
      <c r="H36" s="65"/>
    </row>
    <row r="37" spans="1:8">
      <c r="A37" s="78" t="s">
        <v>223</v>
      </c>
      <c r="B37" s="78"/>
      <c r="C37" s="78"/>
      <c r="D37" s="78"/>
      <c r="E37" s="79"/>
      <c r="G37" s="65"/>
      <c r="H37" s="65"/>
    </row>
    <row r="38" spans="1:8">
      <c r="A38" s="251"/>
      <c r="B38" s="246"/>
      <c r="C38" s="246"/>
      <c r="D38" s="246"/>
      <c r="E38" s="247"/>
      <c r="H38" s="65"/>
    </row>
    <row r="39" spans="1:8">
      <c r="A39" s="251"/>
      <c r="B39" s="246"/>
      <c r="C39" s="248"/>
      <c r="D39" s="246"/>
      <c r="E39" s="246"/>
      <c r="H39" s="65"/>
    </row>
    <row r="40" spans="1:8">
      <c r="A40" s="251"/>
      <c r="B40" s="246"/>
      <c r="C40" s="248"/>
      <c r="D40" s="246"/>
      <c r="E40" s="246"/>
      <c r="H40" s="65"/>
    </row>
    <row r="41" spans="1:8">
      <c r="A41" s="97"/>
      <c r="C41" s="98"/>
      <c r="H41" s="65"/>
    </row>
    <row r="42" spans="1:8">
      <c r="A42" s="100">
        <v>44929</v>
      </c>
      <c r="B42" s="101" t="s">
        <v>224</v>
      </c>
      <c r="C42" s="78"/>
      <c r="D42" s="136">
        <f>SUM(D43:D50)</f>
        <v>4161.9400000000005</v>
      </c>
      <c r="E42" s="136">
        <f>SUM(E43:E50)</f>
        <v>4162</v>
      </c>
      <c r="H42" s="65"/>
    </row>
    <row r="43" spans="1:8">
      <c r="B43" t="s">
        <v>733</v>
      </c>
      <c r="D43">
        <v>835.27</v>
      </c>
      <c r="E43" s="65">
        <v>835</v>
      </c>
      <c r="F43" s="65"/>
      <c r="G43" s="65"/>
    </row>
    <row r="44" spans="1:8">
      <c r="B44" t="s">
        <v>226</v>
      </c>
      <c r="D44">
        <v>1240.45</v>
      </c>
      <c r="E44" s="65">
        <v>1240</v>
      </c>
      <c r="F44" s="65"/>
      <c r="G44" s="65"/>
    </row>
    <row r="45" spans="1:8">
      <c r="B45" t="s">
        <v>227</v>
      </c>
      <c r="D45">
        <v>195.7</v>
      </c>
      <c r="E45">
        <v>195</v>
      </c>
      <c r="F45" s="65"/>
      <c r="G45" s="65"/>
    </row>
    <row r="46" spans="1:8">
      <c r="B46" t="s">
        <v>228</v>
      </c>
      <c r="D46">
        <v>1448.09</v>
      </c>
      <c r="E46">
        <v>1450</v>
      </c>
      <c r="F46" s="65"/>
      <c r="G46" s="65"/>
    </row>
    <row r="47" spans="1:8">
      <c r="B47" t="s">
        <v>229</v>
      </c>
      <c r="D47">
        <v>335.29</v>
      </c>
      <c r="E47">
        <v>335</v>
      </c>
      <c r="F47" s="65"/>
      <c r="G47" s="65"/>
    </row>
    <row r="48" spans="1:8">
      <c r="B48" t="s">
        <v>230</v>
      </c>
      <c r="C48" s="94"/>
      <c r="D48" s="94">
        <v>107.14</v>
      </c>
      <c r="E48">
        <v>107</v>
      </c>
      <c r="F48" s="65"/>
      <c r="G48" s="65"/>
    </row>
    <row r="49" spans="1:8">
      <c r="C49" s="94"/>
      <c r="E49" s="94"/>
      <c r="F49" s="65"/>
      <c r="G49" s="65"/>
    </row>
    <row r="50" spans="1:8">
      <c r="C50" s="94"/>
      <c r="D50" s="94"/>
      <c r="E50" s="84"/>
      <c r="F50" s="65"/>
      <c r="G50" s="65"/>
    </row>
    <row r="52" spans="1:8">
      <c r="B52" s="13"/>
    </row>
    <row r="53" spans="1:8">
      <c r="B53" s="102"/>
    </row>
    <row r="54" spans="1:8">
      <c r="A54" s="78"/>
      <c r="B54" s="77" t="s">
        <v>231</v>
      </c>
      <c r="C54" s="78"/>
      <c r="D54" s="79"/>
      <c r="E54" s="80">
        <f>SUM(E55:E75)</f>
        <v>-5461.222999999999</v>
      </c>
    </row>
    <row r="55" spans="1:8">
      <c r="A55" s="97">
        <v>44873</v>
      </c>
      <c r="B55" t="s">
        <v>989</v>
      </c>
      <c r="C55" s="94"/>
      <c r="D55" s="94" t="s">
        <v>541</v>
      </c>
      <c r="E55" s="84">
        <v>-1111.1099999999999</v>
      </c>
      <c r="F55" s="65"/>
      <c r="G55" s="65"/>
      <c r="H55" s="65"/>
    </row>
    <row r="56" spans="1:8">
      <c r="A56" s="97">
        <v>44920</v>
      </c>
      <c r="B56" s="94" t="s">
        <v>990</v>
      </c>
      <c r="C56" s="94"/>
      <c r="D56" s="94" t="s">
        <v>798</v>
      </c>
      <c r="E56" s="84">
        <v>-397.47</v>
      </c>
      <c r="F56" s="65"/>
      <c r="G56" s="65"/>
      <c r="H56" s="65"/>
    </row>
    <row r="57" spans="1:8">
      <c r="A57" s="97">
        <v>44920</v>
      </c>
      <c r="B57" s="94" t="s">
        <v>991</v>
      </c>
      <c r="C57" s="94"/>
      <c r="D57" s="94" t="s">
        <v>798</v>
      </c>
      <c r="E57" s="84">
        <v>-80.92</v>
      </c>
      <c r="F57" s="65"/>
      <c r="G57" s="65"/>
      <c r="H57" s="65"/>
    </row>
    <row r="58" spans="1:8">
      <c r="A58" s="97">
        <v>44920</v>
      </c>
      <c r="B58" s="94" t="s">
        <v>992</v>
      </c>
      <c r="C58" s="94"/>
      <c r="D58" s="94" t="s">
        <v>798</v>
      </c>
      <c r="E58" s="84">
        <v>-127.05</v>
      </c>
      <c r="F58" s="65"/>
      <c r="G58" s="65"/>
      <c r="H58" s="65"/>
    </row>
    <row r="59" spans="1:8">
      <c r="A59" s="97">
        <v>44920</v>
      </c>
      <c r="B59" s="94" t="s">
        <v>993</v>
      </c>
      <c r="C59" s="94"/>
      <c r="D59" s="94" t="s">
        <v>798</v>
      </c>
      <c r="E59" s="84">
        <v>-49.323</v>
      </c>
      <c r="F59" s="65"/>
      <c r="G59" s="65"/>
      <c r="H59" s="65"/>
    </row>
    <row r="60" spans="1:8">
      <c r="A60" s="97">
        <v>44985</v>
      </c>
      <c r="B60" t="s">
        <v>629</v>
      </c>
      <c r="C60">
        <v>437.97</v>
      </c>
      <c r="D60" s="37" t="s">
        <v>967</v>
      </c>
      <c r="E60" s="84">
        <v>-145.99</v>
      </c>
      <c r="F60" s="65"/>
      <c r="G60" s="65"/>
      <c r="H60" s="65"/>
    </row>
    <row r="61" spans="1:8">
      <c r="A61" s="97">
        <v>44985</v>
      </c>
      <c r="B61" t="s">
        <v>630</v>
      </c>
      <c r="C61">
        <v>404.23</v>
      </c>
      <c r="D61" s="37" t="s">
        <v>967</v>
      </c>
      <c r="E61" s="84">
        <v>-134.74</v>
      </c>
      <c r="F61" s="65"/>
    </row>
    <row r="62" spans="1:8">
      <c r="A62" s="97">
        <v>44985</v>
      </c>
      <c r="B62" t="s">
        <v>631</v>
      </c>
      <c r="C62">
        <v>1135</v>
      </c>
      <c r="D62" s="37" t="s">
        <v>967</v>
      </c>
      <c r="E62" s="84">
        <v>-378.33</v>
      </c>
      <c r="F62" s="65"/>
    </row>
    <row r="63" spans="1:8">
      <c r="A63" s="97">
        <v>44982</v>
      </c>
      <c r="B63" t="s">
        <v>994</v>
      </c>
      <c r="C63">
        <v>659.93</v>
      </c>
      <c r="D63" s="37" t="s">
        <v>873</v>
      </c>
      <c r="E63" s="84">
        <v>-164.98</v>
      </c>
      <c r="F63" s="65"/>
    </row>
    <row r="64" spans="1:8">
      <c r="A64" s="97">
        <v>44995</v>
      </c>
      <c r="B64" t="s">
        <v>935</v>
      </c>
      <c r="C64">
        <v>720.19</v>
      </c>
      <c r="D64" s="255" t="s">
        <v>995</v>
      </c>
      <c r="E64" s="84">
        <v>-240.06</v>
      </c>
      <c r="F64" s="65"/>
    </row>
    <row r="65" spans="1:8">
      <c r="A65" s="97">
        <v>44995</v>
      </c>
      <c r="B65" t="s">
        <v>586</v>
      </c>
      <c r="C65">
        <v>613.91</v>
      </c>
      <c r="D65" s="37" t="s">
        <v>996</v>
      </c>
      <c r="E65" s="84">
        <v>-61.39</v>
      </c>
      <c r="F65" s="65"/>
    </row>
    <row r="66" spans="1:8">
      <c r="A66" s="97">
        <v>44995</v>
      </c>
      <c r="B66" t="s">
        <v>844</v>
      </c>
      <c r="C66">
        <v>2258.94</v>
      </c>
      <c r="D66" s="37" t="s">
        <v>459</v>
      </c>
      <c r="E66" s="84">
        <v>-376.49</v>
      </c>
      <c r="F66" s="65"/>
    </row>
    <row r="67" spans="1:8">
      <c r="A67" s="97">
        <v>44985</v>
      </c>
      <c r="B67" t="s">
        <v>997</v>
      </c>
      <c r="D67" s="37"/>
      <c r="E67" s="84">
        <v>-161.31</v>
      </c>
      <c r="F67" s="65"/>
    </row>
    <row r="68" spans="1:8">
      <c r="A68" s="97">
        <v>44986</v>
      </c>
      <c r="B68" t="s">
        <v>997</v>
      </c>
      <c r="D68" s="37"/>
      <c r="E68" s="84">
        <v>-137.93</v>
      </c>
      <c r="F68" s="65"/>
    </row>
    <row r="69" spans="1:8">
      <c r="A69" s="97">
        <v>44987</v>
      </c>
      <c r="B69" t="s">
        <v>997</v>
      </c>
      <c r="D69" s="37"/>
      <c r="E69" s="84">
        <v>-121.99</v>
      </c>
      <c r="F69" s="65"/>
    </row>
    <row r="70" spans="1:8">
      <c r="A70" s="97">
        <v>45004</v>
      </c>
      <c r="B70" t="s">
        <v>998</v>
      </c>
      <c r="D70" s="37"/>
      <c r="E70" s="84">
        <v>-94.85</v>
      </c>
      <c r="F70" s="65"/>
    </row>
    <row r="71" spans="1:8">
      <c r="A71" s="97">
        <v>45005</v>
      </c>
      <c r="B71" t="s">
        <v>999</v>
      </c>
      <c r="D71" s="37"/>
      <c r="E71" s="84">
        <v>-456.1</v>
      </c>
      <c r="F71" s="65"/>
    </row>
    <row r="72" spans="1:8">
      <c r="A72" s="97">
        <v>45005</v>
      </c>
      <c r="B72" t="s">
        <v>1000</v>
      </c>
      <c r="E72" s="84">
        <v>-110</v>
      </c>
    </row>
    <row r="73" spans="1:8">
      <c r="A73" s="97">
        <v>45007</v>
      </c>
      <c r="B73" t="s">
        <v>1001</v>
      </c>
      <c r="D73" s="37"/>
      <c r="E73" s="84">
        <v>-554.11</v>
      </c>
    </row>
    <row r="74" spans="1:8">
      <c r="A74" s="97">
        <v>45010</v>
      </c>
      <c r="B74" t="s">
        <v>1002</v>
      </c>
      <c r="D74" s="37"/>
      <c r="E74" s="84">
        <v>-530.54999999999995</v>
      </c>
    </row>
    <row r="75" spans="1:8">
      <c r="A75" s="97">
        <v>45010</v>
      </c>
      <c r="B75" t="s">
        <v>1003</v>
      </c>
      <c r="D75" s="37"/>
      <c r="E75" s="84">
        <v>-26.53</v>
      </c>
    </row>
    <row r="76" spans="1:8">
      <c r="A76" s="97"/>
      <c r="D76" s="37"/>
      <c r="E76" s="84" t="s">
        <v>975</v>
      </c>
    </row>
    <row r="78" spans="1:8">
      <c r="A78" s="78"/>
      <c r="B78" s="77" t="s">
        <v>235</v>
      </c>
      <c r="C78" s="78"/>
      <c r="D78" s="78"/>
      <c r="E78" s="80">
        <f>SUM(E79:E83)</f>
        <v>-31033.99</v>
      </c>
    </row>
    <row r="79" spans="1:8">
      <c r="A79" s="97">
        <v>44984</v>
      </c>
      <c r="B79" s="94" t="s">
        <v>250</v>
      </c>
      <c r="C79" s="94"/>
      <c r="D79" s="94"/>
      <c r="E79" s="84">
        <v>-30374</v>
      </c>
      <c r="F79" s="65"/>
      <c r="G79" s="65"/>
      <c r="H79" s="65"/>
    </row>
    <row r="80" spans="1:8">
      <c r="A80" s="97">
        <v>44993</v>
      </c>
      <c r="B80" s="94" t="s">
        <v>467</v>
      </c>
      <c r="C80" s="94"/>
      <c r="D80" s="94"/>
      <c r="E80" s="84">
        <v>-160</v>
      </c>
      <c r="F80" s="65"/>
      <c r="G80" s="65"/>
      <c r="H80" s="65"/>
    </row>
    <row r="81" spans="1:8">
      <c r="A81" s="97">
        <v>44994</v>
      </c>
      <c r="B81" s="94" t="s">
        <v>466</v>
      </c>
      <c r="C81" s="94"/>
      <c r="D81" s="94"/>
      <c r="E81" s="84">
        <v>-160.04</v>
      </c>
      <c r="F81" s="65"/>
      <c r="G81" s="65"/>
      <c r="H81" s="65"/>
    </row>
    <row r="82" spans="1:8">
      <c r="A82" s="97">
        <v>44995</v>
      </c>
      <c r="B82" s="94" t="s">
        <v>467</v>
      </c>
      <c r="C82" s="94"/>
      <c r="D82" s="94"/>
      <c r="E82" s="84">
        <v>-110</v>
      </c>
      <c r="F82" s="65"/>
      <c r="G82" s="65"/>
      <c r="H82" s="65"/>
    </row>
    <row r="83" spans="1:8">
      <c r="A83" s="97">
        <v>45000</v>
      </c>
      <c r="B83" s="94" t="s">
        <v>1004</v>
      </c>
      <c r="C83" s="94"/>
      <c r="D83" s="94"/>
      <c r="E83" s="84">
        <v>-229.95</v>
      </c>
      <c r="F83" s="65"/>
      <c r="G83" s="65"/>
      <c r="H83" s="65"/>
    </row>
    <row r="84" spans="1:8">
      <c r="A84" s="97"/>
      <c r="B84" s="103"/>
      <c r="E84" s="84" t="s">
        <v>975</v>
      </c>
    </row>
    <row r="85" spans="1:8">
      <c r="A85" s="97"/>
      <c r="B85" s="103"/>
      <c r="E85" s="84"/>
    </row>
    <row r="86" spans="1:8">
      <c r="A86" s="97"/>
      <c r="B86" s="103"/>
      <c r="E86" s="84"/>
    </row>
    <row r="87" spans="1:8">
      <c r="A87" s="97"/>
      <c r="B87" s="103"/>
      <c r="E87" s="84"/>
    </row>
    <row r="88" spans="1:8">
      <c r="A88" s="97"/>
      <c r="B88" s="103"/>
      <c r="E88" s="84"/>
    </row>
    <row r="89" spans="1:8">
      <c r="A89" s="97"/>
      <c r="B89" s="103"/>
      <c r="E89" s="84"/>
    </row>
    <row r="90" spans="1:8">
      <c r="A90" s="97"/>
      <c r="B90" s="103"/>
      <c r="E90" s="84"/>
    </row>
    <row r="91" spans="1:8">
      <c r="A91" s="97"/>
      <c r="B91" s="103"/>
      <c r="E91" s="84"/>
    </row>
    <row r="92" spans="1:8">
      <c r="A92" s="97"/>
      <c r="B92" s="103"/>
      <c r="E92" s="84"/>
    </row>
    <row r="93" spans="1:8">
      <c r="A93" s="97"/>
      <c r="B93" s="103"/>
      <c r="E93" s="84"/>
    </row>
    <row r="94" spans="1:8">
      <c r="A94" s="97"/>
      <c r="B94" s="103"/>
      <c r="E94" s="84"/>
    </row>
    <row r="95" spans="1:8">
      <c r="A95" s="97"/>
      <c r="B95" s="103"/>
      <c r="E95" s="84"/>
    </row>
    <row r="96" spans="1:8">
      <c r="A96" s="97"/>
      <c r="B96" s="103"/>
      <c r="E96" s="84"/>
    </row>
    <row r="97" spans="1:5">
      <c r="A97" s="97"/>
      <c r="B97" s="103"/>
      <c r="E97" s="84"/>
    </row>
    <row r="98" spans="1:5">
      <c r="A98" s="97"/>
      <c r="B98" s="103"/>
      <c r="E98" s="84"/>
    </row>
    <row r="99" spans="1:5">
      <c r="A99" s="97"/>
      <c r="B99" s="103"/>
      <c r="E99" s="84"/>
    </row>
    <row r="100" spans="1:5">
      <c r="A100" s="97"/>
      <c r="B100" s="103"/>
      <c r="E100" s="84"/>
    </row>
    <row r="101" spans="1:5">
      <c r="A101" s="97"/>
      <c r="B101" s="103"/>
      <c r="E101" s="84"/>
    </row>
    <row r="102" spans="1:5">
      <c r="A102" s="97"/>
      <c r="B102" s="103"/>
      <c r="E102" s="84"/>
    </row>
    <row r="103" spans="1:5">
      <c r="A103" s="97"/>
      <c r="B103" s="103"/>
      <c r="E103" s="84"/>
    </row>
    <row r="104" spans="1:5">
      <c r="A104" s="97"/>
      <c r="B104" s="103"/>
      <c r="E104" s="84"/>
    </row>
    <row r="105" spans="1:5">
      <c r="A105" s="97"/>
      <c r="B105" s="103"/>
      <c r="E105" s="84"/>
    </row>
    <row r="106" spans="1:5">
      <c r="A106" s="97"/>
      <c r="B106" s="103"/>
      <c r="E106" s="84"/>
    </row>
    <row r="107" spans="1:5">
      <c r="A107" s="97"/>
      <c r="B107" s="103"/>
      <c r="E107" s="84"/>
    </row>
    <row r="111" spans="1:5">
      <c r="A111" s="78"/>
      <c r="B111" s="77" t="s">
        <v>1005</v>
      </c>
      <c r="C111" s="78"/>
      <c r="D111" s="79"/>
      <c r="E111" s="80">
        <f>SUM(E112:E120)</f>
        <v>367483.41000000003</v>
      </c>
    </row>
    <row r="112" spans="1:5">
      <c r="A112" s="97">
        <v>45016</v>
      </c>
      <c r="B112" t="s">
        <v>84</v>
      </c>
      <c r="C112" s="2"/>
      <c r="D112" s="2"/>
      <c r="E112" s="13">
        <v>64000</v>
      </c>
    </row>
    <row r="113" spans="1:5">
      <c r="A113" s="97">
        <v>45016</v>
      </c>
      <c r="B113" t="s">
        <v>885</v>
      </c>
      <c r="C113" s="2"/>
      <c r="D113" s="2"/>
      <c r="E113" s="13">
        <v>53088</v>
      </c>
    </row>
    <row r="114" spans="1:5">
      <c r="A114" s="97">
        <v>45016</v>
      </c>
      <c r="B114" t="s">
        <v>173</v>
      </c>
      <c r="C114" s="2"/>
      <c r="D114" s="2"/>
      <c r="E114" s="13">
        <v>44063.82</v>
      </c>
    </row>
    <row r="115" spans="1:5">
      <c r="A115" s="97">
        <v>45016</v>
      </c>
      <c r="B115" t="s">
        <v>174</v>
      </c>
      <c r="C115" s="2"/>
      <c r="D115" s="2"/>
      <c r="E115" s="13">
        <v>6000.59</v>
      </c>
    </row>
    <row r="116" spans="1:5">
      <c r="A116" s="97">
        <v>45016</v>
      </c>
      <c r="B116" t="s">
        <v>821</v>
      </c>
      <c r="C116" s="2">
        <v>1265</v>
      </c>
      <c r="D116" s="2">
        <v>111</v>
      </c>
      <c r="E116" s="13">
        <f>D116*C116</f>
        <v>140415</v>
      </c>
    </row>
    <row r="117" spans="1:5">
      <c r="A117" s="97">
        <v>45016</v>
      </c>
      <c r="B117" t="s">
        <v>920</v>
      </c>
      <c r="C117" s="2">
        <v>19.5</v>
      </c>
      <c r="D117" s="2">
        <v>850</v>
      </c>
      <c r="E117" s="13">
        <f>D117*C117</f>
        <v>16575</v>
      </c>
    </row>
    <row r="118" spans="1:5">
      <c r="A118" s="97">
        <v>45016</v>
      </c>
      <c r="B118" t="s">
        <v>921</v>
      </c>
      <c r="C118" s="2">
        <v>21.41</v>
      </c>
      <c r="D118" s="2">
        <v>100</v>
      </c>
      <c r="E118" s="13">
        <f>D118*C118</f>
        <v>2141</v>
      </c>
    </row>
    <row r="119" spans="1:5">
      <c r="A119" s="97">
        <v>45016</v>
      </c>
      <c r="B119" t="s">
        <v>187</v>
      </c>
      <c r="C119" s="2"/>
      <c r="D119" s="2"/>
      <c r="E119" s="13">
        <v>40000</v>
      </c>
    </row>
    <row r="120" spans="1:5">
      <c r="A120" s="97"/>
      <c r="B120" t="s">
        <v>94</v>
      </c>
      <c r="C120" s="2"/>
      <c r="D120" s="2"/>
      <c r="E120" s="13">
        <v>1200</v>
      </c>
    </row>
    <row r="121" spans="1:5">
      <c r="D121" s="70" t="s">
        <v>1006</v>
      </c>
      <c r="E121" s="65">
        <f>H2</f>
        <v>14297.21</v>
      </c>
    </row>
    <row r="122" spans="1:5">
      <c r="D122" s="3"/>
    </row>
    <row r="123" spans="1:5">
      <c r="D123" s="70" t="s">
        <v>189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8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1007</v>
      </c>
      <c r="C2" s="87" t="s">
        <v>191</v>
      </c>
      <c r="D2" s="240">
        <f>SUM(D5:D36)</f>
        <v>88189</v>
      </c>
      <c r="E2" s="240">
        <f>SUM(E5:E35)</f>
        <v>-24634.690000000002</v>
      </c>
      <c r="F2" s="240">
        <f>SUM(F4:F36)</f>
        <v>23139.34</v>
      </c>
      <c r="G2" s="240">
        <f>SUM(G5:G40)</f>
        <v>-33283.54</v>
      </c>
      <c r="H2" s="240">
        <f>F2+G2</f>
        <v>-10144.200000000001</v>
      </c>
    </row>
    <row r="3" spans="1:8">
      <c r="B3" s="70"/>
      <c r="G3" s="65"/>
      <c r="H3" s="65">
        <f>F3+G3</f>
        <v>0</v>
      </c>
    </row>
    <row r="4" spans="1:8">
      <c r="A4" s="97">
        <v>44986</v>
      </c>
      <c r="B4" s="70" t="s">
        <v>1008</v>
      </c>
      <c r="F4">
        <v>5000</v>
      </c>
      <c r="G4" s="65"/>
      <c r="H4" s="65">
        <f t="shared" ref="H4:H38" si="0">H3+F4+G4</f>
        <v>5000</v>
      </c>
    </row>
    <row r="5" spans="1:8">
      <c r="A5" s="97">
        <v>44991</v>
      </c>
      <c r="B5" s="88" t="s">
        <v>194</v>
      </c>
      <c r="C5" s="88"/>
      <c r="D5" s="88"/>
      <c r="E5" s="65">
        <v>-400</v>
      </c>
      <c r="G5" s="65">
        <v>-224</v>
      </c>
      <c r="H5" s="65">
        <f t="shared" si="0"/>
        <v>4776</v>
      </c>
    </row>
    <row r="6" spans="1:8">
      <c r="A6" s="97">
        <v>44991</v>
      </c>
      <c r="B6" s="88" t="s">
        <v>195</v>
      </c>
      <c r="C6" s="88"/>
      <c r="D6" s="88"/>
      <c r="E6" s="65">
        <v>-500</v>
      </c>
      <c r="G6" s="65">
        <v>-461</v>
      </c>
      <c r="H6" s="65">
        <f t="shared" si="0"/>
        <v>4315</v>
      </c>
    </row>
    <row r="7" spans="1:8">
      <c r="A7" s="97">
        <v>44999</v>
      </c>
      <c r="B7" s="88" t="s">
        <v>484</v>
      </c>
      <c r="C7" s="88"/>
      <c r="D7" s="88"/>
      <c r="E7" s="65">
        <v>-4300</v>
      </c>
      <c r="G7" s="65">
        <v>-4300</v>
      </c>
      <c r="H7" s="65">
        <f t="shared" si="0"/>
        <v>15</v>
      </c>
    </row>
    <row r="8" spans="1:8">
      <c r="A8" s="97">
        <v>44987</v>
      </c>
      <c r="B8" s="88" t="s">
        <v>481</v>
      </c>
      <c r="C8" s="88"/>
      <c r="D8" s="88"/>
      <c r="E8" s="65">
        <v>-674.74</v>
      </c>
      <c r="F8" s="65"/>
      <c r="G8" s="65">
        <v>-672.15</v>
      </c>
      <c r="H8" s="65">
        <f t="shared" si="0"/>
        <v>-657.15</v>
      </c>
    </row>
    <row r="9" spans="1:8">
      <c r="A9" s="97">
        <v>44987</v>
      </c>
      <c r="B9" s="88" t="s">
        <v>208</v>
      </c>
      <c r="C9" s="88"/>
      <c r="D9" s="88"/>
      <c r="E9" s="65">
        <v>-150</v>
      </c>
      <c r="F9" s="65"/>
      <c r="G9" s="65">
        <v>-187.46</v>
      </c>
      <c r="H9" s="65">
        <f t="shared" si="0"/>
        <v>-844.61</v>
      </c>
    </row>
    <row r="10" spans="1:8">
      <c r="B10" s="94" t="s">
        <v>210</v>
      </c>
      <c r="C10" s="94"/>
      <c r="D10" s="94"/>
      <c r="E10" s="65">
        <v>-1000</v>
      </c>
      <c r="F10" s="84"/>
      <c r="G10" s="65">
        <v>-1464.5</v>
      </c>
      <c r="H10" s="65">
        <f t="shared" si="0"/>
        <v>-2309.11</v>
      </c>
    </row>
    <row r="11" spans="1:8">
      <c r="B11" s="94" t="s">
        <v>211</v>
      </c>
      <c r="C11" s="94"/>
      <c r="D11" s="94"/>
      <c r="E11" s="65">
        <v>-150</v>
      </c>
      <c r="F11" s="84"/>
      <c r="G11" s="65">
        <v>-64.5</v>
      </c>
      <c r="H11" s="65">
        <f t="shared" si="0"/>
        <v>-2373.61</v>
      </c>
    </row>
    <row r="12" spans="1:8">
      <c r="B12" s="95" t="s">
        <v>212</v>
      </c>
      <c r="E12" s="65">
        <f>D53*-1</f>
        <v>-64.930000000000007</v>
      </c>
      <c r="F12" s="65"/>
      <c r="G12" s="65">
        <v>-64.930000000000007</v>
      </c>
      <c r="H12" s="65">
        <f t="shared" si="0"/>
        <v>-2438.54</v>
      </c>
    </row>
    <row r="13" spans="1:8">
      <c r="B13" s="95" t="s">
        <v>213</v>
      </c>
      <c r="E13" s="65">
        <f>E58</f>
        <v>-7675.4</v>
      </c>
      <c r="F13" s="65"/>
      <c r="G13" s="65">
        <v>-7675.38</v>
      </c>
      <c r="H13" s="65">
        <f t="shared" si="0"/>
        <v>-10113.92</v>
      </c>
    </row>
    <row r="14" spans="1:8">
      <c r="B14" s="95" t="s">
        <v>214</v>
      </c>
      <c r="E14" s="65">
        <f>E95</f>
        <v>-1174.72</v>
      </c>
      <c r="G14" s="65">
        <v>-1174.72</v>
      </c>
      <c r="H14" s="65">
        <f t="shared" si="0"/>
        <v>-11288.64</v>
      </c>
    </row>
    <row r="15" spans="1:8">
      <c r="B15" t="s">
        <v>84</v>
      </c>
      <c r="E15" s="65">
        <v>-2750</v>
      </c>
      <c r="F15" s="65"/>
      <c r="G15" s="65">
        <v>-2750</v>
      </c>
      <c r="H15" s="65">
        <f t="shared" si="0"/>
        <v>-14038.64</v>
      </c>
    </row>
    <row r="16" spans="1:8">
      <c r="B16" t="s">
        <v>1009</v>
      </c>
      <c r="E16" s="65">
        <v>-2750</v>
      </c>
      <c r="F16" s="65"/>
      <c r="G16" s="65">
        <v>-1621</v>
      </c>
      <c r="H16" s="65">
        <f t="shared" si="0"/>
        <v>-15659.64</v>
      </c>
    </row>
    <row r="17" spans="1:8">
      <c r="B17" t="s">
        <v>217</v>
      </c>
      <c r="E17" s="65">
        <v>-2750</v>
      </c>
      <c r="F17" s="65"/>
      <c r="G17" s="65">
        <v>-2750</v>
      </c>
      <c r="H17" s="65">
        <f t="shared" si="0"/>
        <v>-18409.64</v>
      </c>
    </row>
    <row r="18" spans="1:8">
      <c r="B18" t="s">
        <v>1010</v>
      </c>
      <c r="D18" s="2">
        <v>1111</v>
      </c>
      <c r="E18" s="84"/>
      <c r="F18" s="65"/>
      <c r="G18" s="65"/>
      <c r="H18" s="65">
        <f t="shared" si="0"/>
        <v>-18409.64</v>
      </c>
    </row>
    <row r="19" spans="1:8">
      <c r="B19" t="s">
        <v>1011</v>
      </c>
      <c r="D19" s="2">
        <v>2428</v>
      </c>
      <c r="E19" s="84"/>
      <c r="F19" s="65"/>
      <c r="G19" s="65"/>
      <c r="H19" s="65">
        <f t="shared" si="0"/>
        <v>-18409.64</v>
      </c>
    </row>
    <row r="20" spans="1:8">
      <c r="B20" t="s">
        <v>218</v>
      </c>
      <c r="D20" s="121">
        <v>5500</v>
      </c>
      <c r="F20" s="65">
        <v>5589.34</v>
      </c>
      <c r="G20" s="65"/>
      <c r="H20" s="65">
        <f t="shared" si="0"/>
        <v>-12820.3</v>
      </c>
    </row>
    <row r="21" spans="1:8">
      <c r="B21" t="s">
        <v>219</v>
      </c>
      <c r="D21" s="121">
        <v>1650</v>
      </c>
      <c r="F21" s="65">
        <v>1650</v>
      </c>
      <c r="G21" s="65"/>
      <c r="H21" s="65">
        <f t="shared" si="0"/>
        <v>-11170.3</v>
      </c>
    </row>
    <row r="22" spans="1:8">
      <c r="A22" s="97">
        <v>45016</v>
      </c>
      <c r="B22" t="s">
        <v>1012</v>
      </c>
      <c r="D22" s="121">
        <v>6500</v>
      </c>
      <c r="F22" s="65">
        <v>6500</v>
      </c>
      <c r="G22" s="65"/>
      <c r="H22" s="65">
        <f t="shared" si="0"/>
        <v>-4670.2999999999993</v>
      </c>
    </row>
    <row r="23" spans="1:8">
      <c r="B23" t="s">
        <v>1013</v>
      </c>
      <c r="D23" s="102"/>
      <c r="F23" s="65">
        <v>4000</v>
      </c>
      <c r="G23" s="65"/>
      <c r="H23" s="65">
        <f t="shared" si="0"/>
        <v>-670.29999999999927</v>
      </c>
    </row>
    <row r="24" spans="1:8">
      <c r="B24" t="s">
        <v>1014</v>
      </c>
      <c r="D24" s="102"/>
      <c r="F24" s="65">
        <v>400</v>
      </c>
      <c r="G24" s="65"/>
      <c r="H24" s="65">
        <f t="shared" si="0"/>
        <v>-270.29999999999927</v>
      </c>
    </row>
    <row r="25" spans="1:8">
      <c r="B25" t="s">
        <v>1015</v>
      </c>
      <c r="D25" s="102"/>
      <c r="F25" s="65"/>
      <c r="G25" s="65"/>
      <c r="H25" s="65">
        <f t="shared" si="0"/>
        <v>-270.29999999999927</v>
      </c>
    </row>
    <row r="26" spans="1:8">
      <c r="B26" t="s">
        <v>1016</v>
      </c>
      <c r="D26" s="102"/>
      <c r="F26" s="65"/>
      <c r="G26" s="65"/>
      <c r="H26" s="65">
        <f t="shared" si="0"/>
        <v>-270.29999999999927</v>
      </c>
    </row>
    <row r="27" spans="1:8">
      <c r="B27" t="s">
        <v>1017</v>
      </c>
      <c r="D27" s="256">
        <v>1000</v>
      </c>
      <c r="G27" s="65"/>
      <c r="H27" s="65">
        <f t="shared" si="0"/>
        <v>-270.29999999999927</v>
      </c>
    </row>
    <row r="28" spans="1:8">
      <c r="A28" s="97">
        <v>45002</v>
      </c>
      <c r="B28" t="s">
        <v>467</v>
      </c>
      <c r="D28" s="121"/>
      <c r="G28" s="65">
        <v>-200</v>
      </c>
      <c r="H28" s="65">
        <f t="shared" si="0"/>
        <v>-470.29999999999927</v>
      </c>
    </row>
    <row r="29" spans="1:8">
      <c r="A29" s="97">
        <v>45000</v>
      </c>
      <c r="B29" t="s">
        <v>1018</v>
      </c>
      <c r="D29" s="121"/>
      <c r="G29" s="65">
        <v>-3450</v>
      </c>
      <c r="H29" s="65">
        <f t="shared" si="0"/>
        <v>-3920.2999999999993</v>
      </c>
    </row>
    <row r="30" spans="1:8">
      <c r="A30" s="97"/>
      <c r="D30" s="102"/>
      <c r="E30" s="84"/>
      <c r="G30" s="65"/>
      <c r="H30" s="65">
        <f t="shared" si="0"/>
        <v>-3920.2999999999993</v>
      </c>
    </row>
    <row r="31" spans="1:8">
      <c r="A31" s="97">
        <v>45016</v>
      </c>
      <c r="B31" t="s">
        <v>1019</v>
      </c>
      <c r="D31" s="102"/>
      <c r="E31" s="65">
        <v>-294.89999999999998</v>
      </c>
      <c r="G31" s="65">
        <v>-294.89999999999998</v>
      </c>
      <c r="H31" s="65">
        <f t="shared" si="0"/>
        <v>-4215.1999999999989</v>
      </c>
    </row>
    <row r="32" spans="1:8">
      <c r="A32" s="97">
        <v>45015</v>
      </c>
      <c r="B32" t="s">
        <v>580</v>
      </c>
      <c r="D32" s="102">
        <v>70000</v>
      </c>
      <c r="F32" s="65"/>
      <c r="G32" s="65"/>
      <c r="H32" s="65">
        <f t="shared" si="0"/>
        <v>-4215.1999999999989</v>
      </c>
    </row>
    <row r="33" spans="1:8">
      <c r="A33" s="97"/>
      <c r="D33" s="102"/>
      <c r="G33" s="65"/>
      <c r="H33" s="65">
        <f t="shared" si="0"/>
        <v>-4215.1999999999989</v>
      </c>
    </row>
    <row r="34" spans="1:8">
      <c r="D34" s="65"/>
      <c r="F34" s="65"/>
      <c r="G34" s="65"/>
      <c r="H34" s="65">
        <f t="shared" si="0"/>
        <v>-4215.1999999999989</v>
      </c>
    </row>
    <row r="35" spans="1:8">
      <c r="A35" s="97">
        <v>44998</v>
      </c>
      <c r="B35" t="s">
        <v>1020</v>
      </c>
      <c r="D35" t="s">
        <v>895</v>
      </c>
      <c r="E35" s="84"/>
      <c r="F35" s="65"/>
      <c r="G35" s="65"/>
      <c r="H35" s="65">
        <f t="shared" si="0"/>
        <v>-4215.1999999999989</v>
      </c>
    </row>
    <row r="36" spans="1:8">
      <c r="A36" s="97">
        <v>44998</v>
      </c>
      <c r="B36" t="s">
        <v>1021</v>
      </c>
      <c r="D36" t="s">
        <v>895</v>
      </c>
      <c r="E36" s="84"/>
      <c r="F36" s="65"/>
      <c r="G36" s="65"/>
      <c r="H36" s="65">
        <f t="shared" si="0"/>
        <v>-4215.1999999999989</v>
      </c>
    </row>
    <row r="37" spans="1:8">
      <c r="A37" s="97">
        <v>44998</v>
      </c>
      <c r="B37" t="s">
        <v>1022</v>
      </c>
      <c r="E37" s="84"/>
      <c r="F37" s="65"/>
      <c r="G37" s="65">
        <v>-4800</v>
      </c>
      <c r="H37" s="65">
        <f t="shared" si="0"/>
        <v>-9015.1999999999989</v>
      </c>
    </row>
    <row r="38" spans="1:8">
      <c r="A38" s="97">
        <v>44998</v>
      </c>
      <c r="B38" t="s">
        <v>1023</v>
      </c>
      <c r="E38" s="84"/>
      <c r="F38" s="65">
        <v>1129</v>
      </c>
      <c r="G38" s="65">
        <v>-1129</v>
      </c>
      <c r="H38" s="65">
        <f t="shared" si="0"/>
        <v>-9015.1999999999989</v>
      </c>
    </row>
    <row r="39" spans="1:8">
      <c r="A39" s="97"/>
      <c r="E39" s="84"/>
      <c r="F39" s="65" t="s">
        <v>1024</v>
      </c>
      <c r="G39" s="65"/>
      <c r="H39" s="65"/>
    </row>
    <row r="40" spans="1:8">
      <c r="B40" t="s">
        <v>222</v>
      </c>
      <c r="E40" s="65"/>
      <c r="G40" s="65"/>
      <c r="H40" s="65"/>
    </row>
    <row r="41" spans="1:8">
      <c r="A41" s="78" t="s">
        <v>223</v>
      </c>
      <c r="B41" s="78"/>
      <c r="C41" s="78"/>
      <c r="D41" s="78"/>
      <c r="E41" s="79"/>
      <c r="G41" s="65"/>
      <c r="H41" s="65"/>
    </row>
    <row r="42" spans="1:8">
      <c r="A42" s="97"/>
      <c r="E42" s="65"/>
      <c r="G42" s="65"/>
      <c r="H42" s="65"/>
    </row>
    <row r="43" spans="1:8">
      <c r="A43" s="97"/>
      <c r="C43" s="98"/>
      <c r="G43" s="65"/>
      <c r="H43" s="65"/>
    </row>
    <row r="44" spans="1:8">
      <c r="A44" s="97"/>
      <c r="C44" s="98"/>
      <c r="G44" s="65"/>
      <c r="H44" s="65"/>
    </row>
    <row r="45" spans="1:8">
      <c r="A45" s="97"/>
      <c r="C45" s="98"/>
      <c r="G45" s="65"/>
      <c r="H45" s="65"/>
    </row>
    <row r="46" spans="1:8">
      <c r="A46" s="100">
        <v>44929</v>
      </c>
      <c r="B46" s="101" t="s">
        <v>224</v>
      </c>
      <c r="C46" s="78"/>
      <c r="D46" s="136">
        <f>SUM(D47:D54)</f>
        <v>3899.0699999999997</v>
      </c>
      <c r="E46" s="136">
        <f>SUM(E47:E54)</f>
        <v>3699.0699999999997</v>
      </c>
      <c r="G46" s="65"/>
      <c r="H46" s="65"/>
    </row>
    <row r="47" spans="1:8">
      <c r="B47" t="s">
        <v>1025</v>
      </c>
      <c r="D47">
        <v>933.16</v>
      </c>
      <c r="E47" s="65">
        <v>933.16</v>
      </c>
      <c r="F47" s="65"/>
      <c r="G47" s="65"/>
    </row>
    <row r="48" spans="1:8">
      <c r="B48" t="s">
        <v>226</v>
      </c>
      <c r="D48">
        <v>996.81</v>
      </c>
      <c r="E48" s="65">
        <v>996.81</v>
      </c>
      <c r="F48" s="65"/>
      <c r="G48" s="65"/>
    </row>
    <row r="49" spans="1:8">
      <c r="B49" t="s">
        <v>227</v>
      </c>
      <c r="D49">
        <v>233.14</v>
      </c>
      <c r="E49">
        <v>233.14</v>
      </c>
      <c r="F49" s="65"/>
      <c r="G49" s="65"/>
    </row>
    <row r="50" spans="1:8">
      <c r="B50" t="s">
        <v>1026</v>
      </c>
      <c r="D50">
        <v>200</v>
      </c>
      <c r="F50" s="65"/>
      <c r="G50" s="65"/>
    </row>
    <row r="51" spans="1:8">
      <c r="B51" t="s">
        <v>1027</v>
      </c>
      <c r="D51">
        <v>1128.6300000000001</v>
      </c>
      <c r="E51">
        <v>1128.6300000000001</v>
      </c>
      <c r="F51" s="65"/>
      <c r="G51" s="65"/>
    </row>
    <row r="52" spans="1:8">
      <c r="B52" t="s">
        <v>229</v>
      </c>
      <c r="C52" s="94"/>
      <c r="D52" s="94">
        <v>342.4</v>
      </c>
      <c r="E52">
        <v>342.4</v>
      </c>
      <c r="F52" s="65"/>
      <c r="G52" s="65"/>
    </row>
    <row r="53" spans="1:8">
      <c r="B53" t="s">
        <v>230</v>
      </c>
      <c r="C53" s="94"/>
      <c r="D53">
        <v>64.930000000000007</v>
      </c>
      <c r="E53" s="94">
        <v>64.930000000000007</v>
      </c>
      <c r="F53" s="65"/>
      <c r="G53" s="65"/>
    </row>
    <row r="54" spans="1:8">
      <c r="C54" s="94"/>
      <c r="D54" s="94"/>
      <c r="E54" s="84"/>
      <c r="F54" s="65"/>
      <c r="G54" s="65"/>
    </row>
    <row r="55" spans="1:8">
      <c r="G55" s="65"/>
    </row>
    <row r="56" spans="1:8">
      <c r="B56" s="13"/>
      <c r="G56" s="65"/>
    </row>
    <row r="57" spans="1:8">
      <c r="B57" s="102"/>
      <c r="G57" s="65"/>
    </row>
    <row r="58" spans="1:8">
      <c r="A58" s="78"/>
      <c r="B58" s="77" t="s">
        <v>231</v>
      </c>
      <c r="C58" s="78"/>
      <c r="D58" s="79"/>
      <c r="E58" s="250">
        <f>SUM(E59:E92)</f>
        <v>-7675.4</v>
      </c>
      <c r="G58" s="65"/>
    </row>
    <row r="59" spans="1:8">
      <c r="G59" s="65"/>
      <c r="H59" s="65"/>
    </row>
    <row r="60" spans="1:8">
      <c r="A60" s="97">
        <v>44866</v>
      </c>
      <c r="B60" s="94" t="s">
        <v>1028</v>
      </c>
      <c r="C60" s="94"/>
      <c r="D60" s="94" t="s">
        <v>258</v>
      </c>
      <c r="E60" s="84">
        <v>-208.17</v>
      </c>
      <c r="F60" s="65"/>
      <c r="G60" s="65"/>
      <c r="H60" s="65"/>
    </row>
    <row r="61" spans="1:8">
      <c r="A61" s="97">
        <v>44871</v>
      </c>
      <c r="B61" s="94" t="s">
        <v>1029</v>
      </c>
      <c r="C61" s="94"/>
      <c r="D61" s="94" t="s">
        <v>258</v>
      </c>
      <c r="E61" s="84">
        <v>-151.65</v>
      </c>
      <c r="F61" s="65"/>
      <c r="G61" s="65"/>
      <c r="H61" s="65"/>
    </row>
    <row r="62" spans="1:8">
      <c r="A62" s="97">
        <v>44873</v>
      </c>
      <c r="B62" t="s">
        <v>1030</v>
      </c>
      <c r="C62" s="94"/>
      <c r="D62" s="94" t="s">
        <v>585</v>
      </c>
      <c r="E62" s="84">
        <v>-1111.1099999999999</v>
      </c>
      <c r="F62" s="65"/>
      <c r="G62" s="65"/>
      <c r="H62" s="65"/>
    </row>
    <row r="63" spans="1:8">
      <c r="A63" s="97">
        <v>44920</v>
      </c>
      <c r="B63" s="94" t="s">
        <v>990</v>
      </c>
      <c r="C63" s="94"/>
      <c r="D63" s="94" t="s">
        <v>845</v>
      </c>
      <c r="E63" s="84">
        <v>-397.46</v>
      </c>
      <c r="F63" s="65"/>
      <c r="G63" s="65"/>
      <c r="H63" s="65"/>
    </row>
    <row r="64" spans="1:8">
      <c r="A64" s="97">
        <v>44920</v>
      </c>
      <c r="B64" s="94" t="s">
        <v>991</v>
      </c>
      <c r="C64" s="94"/>
      <c r="D64" s="94" t="s">
        <v>845</v>
      </c>
      <c r="E64" s="84">
        <v>-80.91</v>
      </c>
      <c r="F64" s="65"/>
      <c r="G64" s="65"/>
      <c r="H64" s="65"/>
    </row>
    <row r="65" spans="1:8">
      <c r="A65" s="97">
        <v>44920</v>
      </c>
      <c r="B65" s="94" t="s">
        <v>992</v>
      </c>
      <c r="C65" s="94"/>
      <c r="D65" s="94" t="s">
        <v>845</v>
      </c>
      <c r="E65" s="84">
        <v>-127.05</v>
      </c>
      <c r="F65" s="65"/>
      <c r="G65" s="65"/>
      <c r="H65" s="65"/>
    </row>
    <row r="66" spans="1:8">
      <c r="A66" s="97">
        <v>44920</v>
      </c>
      <c r="B66" s="94" t="s">
        <v>993</v>
      </c>
      <c r="C66" s="94"/>
      <c r="D66" s="94" t="s">
        <v>845</v>
      </c>
      <c r="E66" s="84">
        <v>-49.31</v>
      </c>
      <c r="F66" s="65"/>
      <c r="G66" s="65"/>
      <c r="H66" s="65"/>
    </row>
    <row r="67" spans="1:8">
      <c r="A67" s="97">
        <v>44952</v>
      </c>
      <c r="B67" t="s">
        <v>1031</v>
      </c>
      <c r="E67" s="84">
        <v>-167.74</v>
      </c>
      <c r="F67" s="65"/>
      <c r="G67" s="65"/>
      <c r="H67" s="65"/>
    </row>
    <row r="68" spans="1:8">
      <c r="A68" s="97">
        <v>44953</v>
      </c>
      <c r="B68" t="s">
        <v>1032</v>
      </c>
      <c r="E68" s="84">
        <v>-169.33</v>
      </c>
      <c r="F68" s="65"/>
      <c r="G68" s="65"/>
      <c r="H68" s="65"/>
    </row>
    <row r="69" spans="1:8">
      <c r="A69" s="97">
        <v>44954</v>
      </c>
      <c r="B69" t="s">
        <v>1033</v>
      </c>
      <c r="D69" s="37"/>
      <c r="E69" s="84">
        <v>-150.32</v>
      </c>
      <c r="F69" s="65"/>
      <c r="G69" s="65"/>
      <c r="H69" s="65"/>
    </row>
    <row r="70" spans="1:8">
      <c r="A70" s="97">
        <v>44956</v>
      </c>
      <c r="B70" t="s">
        <v>1034</v>
      </c>
      <c r="D70" s="37"/>
      <c r="E70" s="84">
        <v>-171.76</v>
      </c>
      <c r="F70" s="65"/>
      <c r="G70" s="65"/>
      <c r="H70" s="65"/>
    </row>
    <row r="71" spans="1:8">
      <c r="A71" s="97">
        <v>44957</v>
      </c>
      <c r="B71" t="s">
        <v>1035</v>
      </c>
      <c r="D71" s="37"/>
      <c r="E71" s="84">
        <v>-119.42</v>
      </c>
      <c r="F71" s="65"/>
      <c r="G71" s="65"/>
      <c r="H71" s="65"/>
    </row>
    <row r="72" spans="1:8">
      <c r="A72" s="97">
        <v>44957</v>
      </c>
      <c r="B72" t="s">
        <v>628</v>
      </c>
      <c r="D72" s="37"/>
      <c r="E72" s="84">
        <v>-225.4</v>
      </c>
      <c r="F72" s="65"/>
      <c r="G72" s="65"/>
      <c r="H72" s="65"/>
    </row>
    <row r="73" spans="1:8">
      <c r="A73" s="97">
        <v>44957</v>
      </c>
      <c r="B73" t="s">
        <v>628</v>
      </c>
      <c r="D73" s="37"/>
      <c r="E73" s="84">
        <v>-225.4</v>
      </c>
      <c r="F73" s="65"/>
      <c r="G73" s="65"/>
      <c r="H73" s="65"/>
    </row>
    <row r="74" spans="1:8">
      <c r="A74" s="97">
        <v>44957</v>
      </c>
      <c r="B74" t="s">
        <v>629</v>
      </c>
      <c r="C74">
        <v>437.97</v>
      </c>
      <c r="D74" s="37" t="s">
        <v>995</v>
      </c>
      <c r="E74" s="84">
        <v>-145.99</v>
      </c>
      <c r="F74" s="65"/>
      <c r="G74" s="65"/>
      <c r="H74" s="65"/>
    </row>
    <row r="75" spans="1:8">
      <c r="A75" s="97">
        <v>44957</v>
      </c>
      <c r="B75" t="s">
        <v>630</v>
      </c>
      <c r="C75">
        <v>404.23</v>
      </c>
      <c r="D75" s="37" t="s">
        <v>995</v>
      </c>
      <c r="E75" s="84">
        <v>-134.74</v>
      </c>
      <c r="F75" s="65"/>
      <c r="G75" s="65"/>
      <c r="H75" s="65"/>
    </row>
    <row r="76" spans="1:8">
      <c r="A76" s="97">
        <v>44957</v>
      </c>
      <c r="B76" t="s">
        <v>631</v>
      </c>
      <c r="C76">
        <v>1135</v>
      </c>
      <c r="D76" s="37" t="s">
        <v>995</v>
      </c>
      <c r="E76" s="84">
        <v>-378.33</v>
      </c>
      <c r="F76" s="65"/>
      <c r="G76" s="65"/>
      <c r="H76" s="65"/>
    </row>
    <row r="77" spans="1:8">
      <c r="A77" s="97">
        <v>44958</v>
      </c>
      <c r="B77" t="s">
        <v>1036</v>
      </c>
      <c r="E77" s="84">
        <v>-880.22</v>
      </c>
      <c r="G77" s="65"/>
    </row>
    <row r="78" spans="1:8">
      <c r="A78" s="97">
        <v>44958</v>
      </c>
      <c r="B78" t="s">
        <v>1037</v>
      </c>
      <c r="E78" s="84">
        <v>-218.24</v>
      </c>
      <c r="G78" s="65"/>
    </row>
    <row r="79" spans="1:8">
      <c r="A79" s="97">
        <v>44960</v>
      </c>
      <c r="B79" t="s">
        <v>1038</v>
      </c>
      <c r="E79" s="84">
        <v>-120.45</v>
      </c>
      <c r="G79" s="65"/>
    </row>
    <row r="80" spans="1:8">
      <c r="A80" s="97">
        <v>44963</v>
      </c>
      <c r="B80" t="s">
        <v>1039</v>
      </c>
      <c r="D80" s="37"/>
      <c r="E80" s="84">
        <v>-130.56</v>
      </c>
      <c r="G80" s="65"/>
    </row>
    <row r="81" spans="1:8">
      <c r="A81" s="97">
        <v>44969</v>
      </c>
      <c r="B81" t="s">
        <v>1040</v>
      </c>
      <c r="D81" s="37"/>
      <c r="E81" s="84">
        <v>-51.99</v>
      </c>
      <c r="G81" s="65"/>
    </row>
    <row r="82" spans="1:8">
      <c r="A82" s="97">
        <v>44970</v>
      </c>
      <c r="B82" t="s">
        <v>337</v>
      </c>
      <c r="D82" s="37"/>
      <c r="E82" s="84">
        <v>-379</v>
      </c>
      <c r="G82" s="65"/>
    </row>
    <row r="83" spans="1:8">
      <c r="A83" s="97">
        <v>44970</v>
      </c>
      <c r="B83" t="s">
        <v>337</v>
      </c>
      <c r="D83" s="37"/>
      <c r="E83" s="84">
        <v>-510</v>
      </c>
      <c r="G83" s="65"/>
    </row>
    <row r="84" spans="1:8">
      <c r="A84" s="97">
        <v>44971</v>
      </c>
      <c r="B84" t="s">
        <v>1040</v>
      </c>
      <c r="D84" s="37"/>
      <c r="E84" s="84">
        <v>-51.99</v>
      </c>
      <c r="G84" s="65"/>
    </row>
    <row r="85" spans="1:8">
      <c r="A85" s="97">
        <v>44972</v>
      </c>
      <c r="B85" t="s">
        <v>1041</v>
      </c>
      <c r="D85" s="37"/>
      <c r="E85" s="84">
        <v>-54.77</v>
      </c>
      <c r="G85" s="65"/>
    </row>
    <row r="86" spans="1:8">
      <c r="A86" s="97">
        <v>44972</v>
      </c>
      <c r="B86" t="s">
        <v>1042</v>
      </c>
      <c r="D86" s="37"/>
      <c r="E86" s="84">
        <v>-459</v>
      </c>
      <c r="G86" s="65"/>
    </row>
    <row r="87" spans="1:8">
      <c r="A87" s="97">
        <v>44972</v>
      </c>
      <c r="B87" t="s">
        <v>1043</v>
      </c>
      <c r="D87" s="37"/>
      <c r="E87" s="84">
        <v>-211</v>
      </c>
      <c r="G87" s="65"/>
    </row>
    <row r="88" spans="1:8">
      <c r="A88" s="97">
        <v>44977</v>
      </c>
      <c r="B88" t="s">
        <v>1044</v>
      </c>
      <c r="D88" s="37"/>
      <c r="E88" s="84">
        <v>-100</v>
      </c>
      <c r="G88" s="65"/>
    </row>
    <row r="89" spans="1:8">
      <c r="A89" s="97">
        <v>44977</v>
      </c>
      <c r="B89" t="s">
        <v>1044</v>
      </c>
      <c r="D89" s="37"/>
      <c r="E89" s="84">
        <v>-10</v>
      </c>
      <c r="G89" s="65"/>
    </row>
    <row r="90" spans="1:8">
      <c r="A90" s="97">
        <v>44981</v>
      </c>
      <c r="B90" t="s">
        <v>464</v>
      </c>
      <c r="D90" s="37"/>
      <c r="E90" s="84">
        <v>-132.77000000000001</v>
      </c>
      <c r="G90" s="65"/>
    </row>
    <row r="91" spans="1:8">
      <c r="A91" s="97">
        <v>44982</v>
      </c>
      <c r="B91" t="s">
        <v>464</v>
      </c>
      <c r="D91" s="37"/>
      <c r="E91" s="84">
        <v>-186.34</v>
      </c>
      <c r="G91" s="65"/>
    </row>
    <row r="92" spans="1:8">
      <c r="A92" s="97">
        <v>44982</v>
      </c>
      <c r="B92" t="s">
        <v>933</v>
      </c>
      <c r="C92">
        <v>659.93</v>
      </c>
      <c r="D92" s="37" t="s">
        <v>902</v>
      </c>
      <c r="E92" s="84">
        <v>-164.98</v>
      </c>
      <c r="G92" s="65"/>
    </row>
    <row r="93" spans="1:8">
      <c r="A93" s="257">
        <v>44982</v>
      </c>
      <c r="D93" s="37"/>
      <c r="E93" s="258" t="s">
        <v>975</v>
      </c>
      <c r="G93" s="65"/>
    </row>
    <row r="94" spans="1:8">
      <c r="G94" s="65"/>
    </row>
    <row r="95" spans="1:8">
      <c r="A95" s="78"/>
      <c r="B95" s="77" t="s">
        <v>235</v>
      </c>
      <c r="C95" s="78"/>
      <c r="D95" s="78"/>
      <c r="E95" s="80">
        <f>SUM(E96:E109)</f>
        <v>-1174.72</v>
      </c>
      <c r="G95" s="65"/>
    </row>
    <row r="96" spans="1:8">
      <c r="A96" s="97">
        <v>44965</v>
      </c>
      <c r="B96" s="94" t="s">
        <v>1045</v>
      </c>
      <c r="C96" s="94"/>
      <c r="D96" s="94"/>
      <c r="E96" s="84">
        <v>-122.33</v>
      </c>
      <c r="F96" s="65"/>
      <c r="G96" s="65"/>
      <c r="H96" s="65"/>
    </row>
    <row r="97" spans="1:8">
      <c r="A97" s="97">
        <v>44965</v>
      </c>
      <c r="B97" s="94" t="s">
        <v>1046</v>
      </c>
      <c r="C97" s="94"/>
      <c r="D97" s="94"/>
      <c r="E97" s="84">
        <v>-713.25</v>
      </c>
      <c r="F97" s="65"/>
      <c r="G97" s="65"/>
      <c r="H97" s="65"/>
    </row>
    <row r="98" spans="1:8">
      <c r="A98" s="97">
        <v>44974</v>
      </c>
      <c r="B98" s="94" t="s">
        <v>973</v>
      </c>
      <c r="C98" s="94"/>
      <c r="D98" s="94"/>
      <c r="E98" s="84">
        <v>-41.98</v>
      </c>
      <c r="F98" s="65"/>
      <c r="G98" s="65"/>
      <c r="H98" s="65"/>
    </row>
    <row r="99" spans="1:8">
      <c r="A99" s="97">
        <v>44979</v>
      </c>
      <c r="B99" s="94" t="s">
        <v>973</v>
      </c>
      <c r="C99" s="94"/>
      <c r="D99" s="94"/>
      <c r="E99" s="84">
        <v>-130.93</v>
      </c>
      <c r="F99" s="65"/>
      <c r="G99" s="65"/>
      <c r="H99" s="65"/>
    </row>
    <row r="100" spans="1:8">
      <c r="A100" s="97">
        <v>44980</v>
      </c>
      <c r="B100" s="94" t="s">
        <v>973</v>
      </c>
      <c r="C100" s="94"/>
      <c r="D100" s="94"/>
      <c r="E100" s="84">
        <v>-166.23</v>
      </c>
      <c r="F100" s="65"/>
      <c r="G100" s="65"/>
      <c r="H100" s="65"/>
    </row>
    <row r="101" spans="1:8">
      <c r="A101" s="257">
        <v>44981</v>
      </c>
      <c r="C101" s="94"/>
      <c r="D101" s="94"/>
      <c r="E101" s="258" t="s">
        <v>975</v>
      </c>
      <c r="F101" s="65"/>
      <c r="G101" s="65"/>
      <c r="H101" s="65"/>
    </row>
    <row r="102" spans="1:8">
      <c r="A102" s="97"/>
      <c r="B102" s="103"/>
      <c r="E102" s="84"/>
    </row>
    <row r="103" spans="1:8">
      <c r="A103" s="97"/>
      <c r="B103" s="103"/>
      <c r="E103" s="84"/>
    </row>
    <row r="104" spans="1:8">
      <c r="A104" s="97"/>
      <c r="B104" s="103"/>
      <c r="E104" s="84"/>
    </row>
    <row r="105" spans="1:8">
      <c r="A105" s="97"/>
      <c r="B105" s="103"/>
      <c r="E105" s="84"/>
    </row>
    <row r="106" spans="1:8">
      <c r="A106" s="97"/>
      <c r="B106" s="103"/>
      <c r="E106" s="84"/>
    </row>
    <row r="107" spans="1:8">
      <c r="A107" s="97"/>
      <c r="B107" s="103"/>
      <c r="E107" s="84"/>
    </row>
    <row r="111" spans="1:8">
      <c r="A111" s="78"/>
      <c r="B111" s="77" t="s">
        <v>1047</v>
      </c>
      <c r="C111" s="78"/>
      <c r="D111" s="79"/>
      <c r="E111" s="80">
        <f>SUM(E112:E120)</f>
        <v>310932.3</v>
      </c>
    </row>
    <row r="112" spans="1:8">
      <c r="A112" s="97">
        <v>45016</v>
      </c>
      <c r="B112" t="s">
        <v>84</v>
      </c>
      <c r="C112" s="2"/>
      <c r="D112" s="2"/>
      <c r="E112" s="13">
        <v>64000</v>
      </c>
    </row>
    <row r="113" spans="1:5">
      <c r="A113" s="97">
        <v>45016</v>
      </c>
      <c r="B113" t="s">
        <v>1048</v>
      </c>
      <c r="C113" s="2"/>
      <c r="D113" s="2"/>
      <c r="E113" s="13">
        <v>53088</v>
      </c>
    </row>
    <row r="114" spans="1:5">
      <c r="A114" s="97">
        <v>45016</v>
      </c>
      <c r="B114" t="s">
        <v>173</v>
      </c>
      <c r="C114" s="2"/>
      <c r="D114" s="2"/>
      <c r="E114" s="13">
        <v>17383.580000000002</v>
      </c>
    </row>
    <row r="115" spans="1:5">
      <c r="A115" s="97">
        <v>45016</v>
      </c>
      <c r="B115" t="s">
        <v>174</v>
      </c>
      <c r="C115" s="2"/>
      <c r="D115" s="2"/>
      <c r="E115" s="13">
        <v>0.59</v>
      </c>
    </row>
    <row r="116" spans="1:5">
      <c r="A116" s="97">
        <v>45016</v>
      </c>
      <c r="B116" t="s">
        <v>821</v>
      </c>
      <c r="C116" s="2">
        <v>1179.83</v>
      </c>
      <c r="D116" s="2">
        <v>111</v>
      </c>
      <c r="E116" s="13">
        <f>D116*C116</f>
        <v>130961.12999999999</v>
      </c>
    </row>
    <row r="117" spans="1:5">
      <c r="A117" s="97">
        <v>45016</v>
      </c>
      <c r="B117" t="s">
        <v>920</v>
      </c>
      <c r="C117" s="2">
        <v>18.78</v>
      </c>
      <c r="D117" s="2">
        <v>850</v>
      </c>
      <c r="E117" s="13">
        <f>D117*C117</f>
        <v>15963.000000000002</v>
      </c>
    </row>
    <row r="118" spans="1:5">
      <c r="A118" s="97">
        <v>45016</v>
      </c>
      <c r="B118" t="s">
        <v>921</v>
      </c>
      <c r="C118" s="2">
        <v>20.36</v>
      </c>
      <c r="D118" s="2">
        <v>100</v>
      </c>
      <c r="E118" s="13">
        <f>D118*C118</f>
        <v>2036</v>
      </c>
    </row>
    <row r="119" spans="1:5">
      <c r="A119" s="97">
        <v>45016</v>
      </c>
      <c r="B119" t="s">
        <v>187</v>
      </c>
      <c r="C119" s="2"/>
      <c r="D119" s="2"/>
      <c r="E119" s="13">
        <v>26300</v>
      </c>
    </row>
    <row r="120" spans="1:5">
      <c r="A120" s="97"/>
      <c r="B120" t="s">
        <v>94</v>
      </c>
      <c r="C120" s="2"/>
      <c r="D120" s="2"/>
      <c r="E120" s="13">
        <v>1200</v>
      </c>
    </row>
    <row r="121" spans="1:5">
      <c r="D121" s="70" t="s">
        <v>1049</v>
      </c>
      <c r="E121" s="65">
        <f>H2</f>
        <v>-10144.200000000001</v>
      </c>
    </row>
    <row r="122" spans="1:5">
      <c r="D122" s="3"/>
    </row>
    <row r="123" spans="1:5">
      <c r="D123" s="70" t="s">
        <v>189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3"/>
  <sheetViews>
    <sheetView topLeftCell="A88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84"/>
    <col min="1024" max="1024" width="9.140625" customWidth="1"/>
  </cols>
  <sheetData>
    <row r="1" spans="1:8">
      <c r="F1" s="124" t="s">
        <v>120</v>
      </c>
      <c r="G1" s="124" t="s">
        <v>121</v>
      </c>
      <c r="H1" s="124" t="s">
        <v>3</v>
      </c>
    </row>
    <row r="2" spans="1:8">
      <c r="A2" s="3" t="s">
        <v>888</v>
      </c>
      <c r="C2" s="87" t="s">
        <v>191</v>
      </c>
      <c r="D2" s="240">
        <f>SUM(D4:D43)</f>
        <v>15761</v>
      </c>
      <c r="E2" s="84">
        <f>SUM(E4:E38)</f>
        <v>-56286.92</v>
      </c>
      <c r="F2" s="240">
        <f>SUM(F4:F43)</f>
        <v>26990.010000000002</v>
      </c>
      <c r="G2" s="240">
        <f>SUM(G4:G43)</f>
        <v>-77441.489999999991</v>
      </c>
      <c r="H2" s="240">
        <f>F2+G2</f>
        <v>-50451.479999999989</v>
      </c>
    </row>
    <row r="3" spans="1:8">
      <c r="B3" s="70"/>
      <c r="H3" s="65"/>
    </row>
    <row r="4" spans="1:8">
      <c r="A4" s="97">
        <v>44959</v>
      </c>
      <c r="B4" s="88" t="s">
        <v>194</v>
      </c>
      <c r="C4" s="88"/>
      <c r="D4" s="88"/>
      <c r="E4" s="65">
        <v>-400</v>
      </c>
      <c r="G4" s="65">
        <v>-264</v>
      </c>
      <c r="H4" s="65">
        <f t="shared" ref="H4:H41" si="0">H3+F4+G4</f>
        <v>-264</v>
      </c>
    </row>
    <row r="5" spans="1:8">
      <c r="A5" s="97">
        <v>44959</v>
      </c>
      <c r="B5" s="88" t="s">
        <v>195</v>
      </c>
      <c r="C5" s="88"/>
      <c r="D5" s="88"/>
      <c r="E5" s="65">
        <v>-500</v>
      </c>
      <c r="G5" s="65">
        <v>-531</v>
      </c>
      <c r="H5" s="65">
        <f t="shared" si="0"/>
        <v>-795</v>
      </c>
    </row>
    <row r="6" spans="1:8">
      <c r="A6" s="97">
        <v>44960</v>
      </c>
      <c r="B6" s="95" t="s">
        <v>214</v>
      </c>
      <c r="E6" s="65">
        <f>E87</f>
        <v>-3076.2899999999995</v>
      </c>
      <c r="G6" s="65">
        <v>-3076.29</v>
      </c>
      <c r="H6" s="65">
        <f t="shared" si="0"/>
        <v>-3871.29</v>
      </c>
    </row>
    <row r="7" spans="1:8">
      <c r="A7" s="97">
        <v>44962</v>
      </c>
      <c r="B7" s="259" t="s">
        <v>1050</v>
      </c>
      <c r="C7" s="259"/>
      <c r="D7" s="260"/>
      <c r="E7" s="261"/>
      <c r="F7" s="262">
        <v>6920</v>
      </c>
      <c r="G7" s="65"/>
      <c r="H7" s="65">
        <f t="shared" si="0"/>
        <v>3048.71</v>
      </c>
    </row>
    <row r="8" spans="1:8">
      <c r="A8" s="97">
        <v>44963</v>
      </c>
      <c r="B8" s="259" t="s">
        <v>1051</v>
      </c>
      <c r="C8" s="259" t="s">
        <v>895</v>
      </c>
      <c r="D8" s="260"/>
      <c r="E8" s="261"/>
      <c r="F8" s="262">
        <v>6000</v>
      </c>
      <c r="G8" s="65"/>
      <c r="H8" s="65">
        <f t="shared" si="0"/>
        <v>9048.7099999999991</v>
      </c>
    </row>
    <row r="9" spans="1:8">
      <c r="A9" s="97">
        <v>44963</v>
      </c>
      <c r="B9" s="95" t="s">
        <v>213</v>
      </c>
      <c r="E9" s="65">
        <f>E62</f>
        <v>-4657.2000000000007</v>
      </c>
      <c r="F9" s="65"/>
      <c r="G9" s="65">
        <v>-4657.21</v>
      </c>
      <c r="H9" s="65">
        <f t="shared" si="0"/>
        <v>4391.4999999999991</v>
      </c>
    </row>
    <row r="10" spans="1:8">
      <c r="A10" s="97">
        <v>44963</v>
      </c>
      <c r="B10" t="s">
        <v>1052</v>
      </c>
      <c r="F10" s="65"/>
      <c r="G10" s="65">
        <v>-5000</v>
      </c>
      <c r="H10" s="65">
        <f t="shared" si="0"/>
        <v>-608.50000000000091</v>
      </c>
    </row>
    <row r="11" spans="1:8">
      <c r="A11" s="97">
        <v>44964</v>
      </c>
      <c r="B11" s="88" t="s">
        <v>531</v>
      </c>
      <c r="C11" s="88"/>
      <c r="D11" s="88"/>
      <c r="E11" s="65">
        <v>-4300</v>
      </c>
      <c r="G11" s="65">
        <v>-4300</v>
      </c>
      <c r="H11" s="65">
        <f t="shared" si="0"/>
        <v>-4908.5000000000009</v>
      </c>
    </row>
    <row r="12" spans="1:8">
      <c r="A12" s="97">
        <v>44964</v>
      </c>
      <c r="B12" s="88" t="s">
        <v>216</v>
      </c>
      <c r="C12" s="88"/>
      <c r="D12" s="88"/>
      <c r="E12" s="65">
        <v>-674.74</v>
      </c>
      <c r="F12" s="65"/>
      <c r="G12" s="65">
        <v>-670.27</v>
      </c>
      <c r="H12" s="65">
        <f t="shared" si="0"/>
        <v>-5578.77</v>
      </c>
    </row>
    <row r="13" spans="1:8">
      <c r="A13" s="97">
        <v>44964</v>
      </c>
      <c r="B13" s="88" t="s">
        <v>208</v>
      </c>
      <c r="C13" s="88"/>
      <c r="D13" s="88"/>
      <c r="E13" s="65">
        <v>-150</v>
      </c>
      <c r="F13" s="65"/>
      <c r="G13" s="65">
        <v>-102.03</v>
      </c>
      <c r="H13" s="65">
        <f t="shared" si="0"/>
        <v>-5680.8</v>
      </c>
    </row>
    <row r="14" spans="1:8">
      <c r="A14" s="97">
        <v>44964</v>
      </c>
      <c r="B14" t="s">
        <v>1053</v>
      </c>
      <c r="D14" s="102"/>
      <c r="E14" s="65">
        <v>-2667</v>
      </c>
      <c r="G14" s="65">
        <v>-3000</v>
      </c>
      <c r="H14" s="65">
        <f t="shared" si="0"/>
        <v>-8680.7999999999993</v>
      </c>
    </row>
    <row r="15" spans="1:8">
      <c r="A15" s="97"/>
      <c r="B15" s="95" t="s">
        <v>212</v>
      </c>
      <c r="E15" s="65">
        <f>D58*-1</f>
        <v>-87.69</v>
      </c>
      <c r="G15" s="65">
        <f>D58*-1</f>
        <v>-87.69</v>
      </c>
      <c r="H15" s="65">
        <f t="shared" si="0"/>
        <v>-8768.49</v>
      </c>
    </row>
    <row r="16" spans="1:8">
      <c r="A16" s="97">
        <v>44971</v>
      </c>
      <c r="B16" s="95" t="s">
        <v>1054</v>
      </c>
      <c r="E16" s="65"/>
      <c r="G16" s="65">
        <v>-204</v>
      </c>
      <c r="H16" s="65">
        <f t="shared" si="0"/>
        <v>-8972.49</v>
      </c>
    </row>
    <row r="17" spans="1:8">
      <c r="A17" s="97"/>
      <c r="B17" s="88" t="s">
        <v>1055</v>
      </c>
      <c r="E17" s="65"/>
      <c r="G17" s="65">
        <v>-95</v>
      </c>
      <c r="H17" s="65">
        <f t="shared" si="0"/>
        <v>-9067.49</v>
      </c>
    </row>
    <row r="18" spans="1:8">
      <c r="A18" s="97">
        <v>44977</v>
      </c>
      <c r="B18" s="94" t="s">
        <v>210</v>
      </c>
      <c r="D18" s="94"/>
      <c r="E18" s="65">
        <v>-1000</v>
      </c>
      <c r="F18" s="84"/>
      <c r="G18" s="65">
        <v>-1872.5</v>
      </c>
      <c r="H18" s="65">
        <f t="shared" si="0"/>
        <v>-10939.99</v>
      </c>
    </row>
    <row r="19" spans="1:8">
      <c r="A19" s="97">
        <v>44977</v>
      </c>
      <c r="B19" s="94" t="s">
        <v>211</v>
      </c>
      <c r="C19" s="94"/>
      <c r="D19" s="94"/>
      <c r="E19" s="65">
        <v>-150</v>
      </c>
      <c r="F19" s="84"/>
      <c r="G19" s="65">
        <v>-99.5</v>
      </c>
      <c r="H19" s="65">
        <f t="shared" si="0"/>
        <v>-11039.49</v>
      </c>
    </row>
    <row r="20" spans="1:8">
      <c r="B20" s="94"/>
      <c r="C20" s="94"/>
      <c r="D20" s="94"/>
      <c r="F20" s="84"/>
      <c r="G20" s="65"/>
      <c r="H20" s="65">
        <f t="shared" si="0"/>
        <v>-11039.49</v>
      </c>
    </row>
    <row r="21" spans="1:8">
      <c r="A21" s="97">
        <v>44974</v>
      </c>
      <c r="B21" t="s">
        <v>1056</v>
      </c>
      <c r="D21" s="121">
        <v>5500</v>
      </c>
      <c r="E21" s="65"/>
      <c r="F21" s="65">
        <v>5570.01</v>
      </c>
      <c r="G21" s="65"/>
      <c r="H21" s="65">
        <f t="shared" si="0"/>
        <v>-5469.48</v>
      </c>
    </row>
    <row r="22" spans="1:8">
      <c r="B22" s="94"/>
      <c r="C22" s="94"/>
      <c r="D22" s="94"/>
      <c r="F22" s="84"/>
      <c r="G22" s="84"/>
      <c r="H22" s="65">
        <f t="shared" si="0"/>
        <v>-5469.48</v>
      </c>
    </row>
    <row r="23" spans="1:8">
      <c r="B23" t="s">
        <v>84</v>
      </c>
      <c r="E23" s="65">
        <v>-2750</v>
      </c>
      <c r="F23" s="65"/>
      <c r="G23" s="65">
        <v>-2702</v>
      </c>
      <c r="H23" s="65">
        <f t="shared" si="0"/>
        <v>-8171.48</v>
      </c>
    </row>
    <row r="24" spans="1:8">
      <c r="A24" s="97">
        <v>44984</v>
      </c>
      <c r="B24" t="s">
        <v>1057</v>
      </c>
      <c r="E24" s="65">
        <v>-30374</v>
      </c>
      <c r="F24" s="65"/>
      <c r="G24" s="65"/>
      <c r="H24" s="65">
        <f t="shared" si="0"/>
        <v>-8171.48</v>
      </c>
    </row>
    <row r="25" spans="1:8">
      <c r="B25" t="s">
        <v>172</v>
      </c>
      <c r="E25" s="65">
        <v>-2750</v>
      </c>
      <c r="F25" s="65"/>
      <c r="G25" s="65">
        <v>-2702</v>
      </c>
      <c r="H25" s="65">
        <f t="shared" si="0"/>
        <v>-10873.48</v>
      </c>
    </row>
    <row r="26" spans="1:8">
      <c r="B26" t="s">
        <v>217</v>
      </c>
      <c r="E26" s="65">
        <v>-2750</v>
      </c>
      <c r="F26" s="65"/>
      <c r="G26" s="65">
        <v>-2750</v>
      </c>
      <c r="H26" s="65">
        <f t="shared" si="0"/>
        <v>-13623.48</v>
      </c>
    </row>
    <row r="27" spans="1:8">
      <c r="B27" t="s">
        <v>1058</v>
      </c>
      <c r="F27" s="65"/>
      <c r="G27" s="65">
        <v>-5040</v>
      </c>
      <c r="H27" s="65">
        <f t="shared" si="0"/>
        <v>-18663.48</v>
      </c>
    </row>
    <row r="28" spans="1:8">
      <c r="B28" t="s">
        <v>1010</v>
      </c>
      <c r="D28" s="2">
        <v>1111</v>
      </c>
      <c r="F28" s="65"/>
      <c r="G28" s="65"/>
      <c r="H28" s="65">
        <f t="shared" si="0"/>
        <v>-18663.48</v>
      </c>
    </row>
    <row r="29" spans="1:8">
      <c r="A29" s="97">
        <v>44981</v>
      </c>
      <c r="B29" t="s">
        <v>1059</v>
      </c>
      <c r="F29" s="65">
        <v>2000</v>
      </c>
      <c r="G29" s="65"/>
      <c r="H29" s="65">
        <f t="shared" si="0"/>
        <v>-16663.48</v>
      </c>
    </row>
    <row r="30" spans="1:8">
      <c r="B30" t="s">
        <v>1060</v>
      </c>
      <c r="D30" s="121">
        <v>1650</v>
      </c>
      <c r="F30" s="65"/>
      <c r="G30" s="65"/>
      <c r="H30" s="65">
        <f t="shared" si="0"/>
        <v>-16663.48</v>
      </c>
    </row>
    <row r="31" spans="1:8">
      <c r="A31" s="97">
        <v>44987</v>
      </c>
      <c r="B31" t="s">
        <v>1061</v>
      </c>
      <c r="D31" s="121">
        <v>6500</v>
      </c>
      <c r="F31" s="65">
        <v>6500</v>
      </c>
      <c r="G31" s="65"/>
      <c r="H31" s="65">
        <f t="shared" si="0"/>
        <v>-10163.48</v>
      </c>
    </row>
    <row r="32" spans="1:8">
      <c r="B32" t="s">
        <v>1062</v>
      </c>
      <c r="D32" s="263">
        <v>1000</v>
      </c>
      <c r="H32" s="65">
        <f t="shared" si="0"/>
        <v>-10163.48</v>
      </c>
    </row>
    <row r="33" spans="1:8">
      <c r="B33" s="27" t="s">
        <v>1063</v>
      </c>
      <c r="D33" s="102"/>
      <c r="G33" s="65"/>
      <c r="H33" s="65">
        <f t="shared" si="0"/>
        <v>-10163.48</v>
      </c>
    </row>
    <row r="34" spans="1:8">
      <c r="A34" s="97"/>
      <c r="B34" s="246" t="s">
        <v>1064</v>
      </c>
      <c r="C34" s="94"/>
      <c r="D34" s="94"/>
      <c r="H34" s="65">
        <f t="shared" si="0"/>
        <v>-10163.48</v>
      </c>
    </row>
    <row r="35" spans="1:8">
      <c r="H35" s="65">
        <f t="shared" si="0"/>
        <v>-10163.48</v>
      </c>
    </row>
    <row r="36" spans="1:8">
      <c r="H36" s="65">
        <f t="shared" si="0"/>
        <v>-10163.48</v>
      </c>
    </row>
    <row r="37" spans="1:8">
      <c r="H37" s="65">
        <f t="shared" si="0"/>
        <v>-10163.48</v>
      </c>
    </row>
    <row r="38" spans="1:8">
      <c r="A38" s="97">
        <v>44962</v>
      </c>
      <c r="B38" t="s">
        <v>1065</v>
      </c>
      <c r="C38" t="s">
        <v>895</v>
      </c>
      <c r="D38" s="102"/>
      <c r="G38" s="65">
        <v>-1368</v>
      </c>
      <c r="H38" s="65">
        <f t="shared" si="0"/>
        <v>-11531.48</v>
      </c>
    </row>
    <row r="39" spans="1:8">
      <c r="A39" s="97">
        <v>44962</v>
      </c>
      <c r="B39" t="s">
        <v>1066</v>
      </c>
      <c r="C39" t="s">
        <v>895</v>
      </c>
      <c r="D39" s="65"/>
      <c r="F39" s="65"/>
      <c r="G39" s="65">
        <v>-6920</v>
      </c>
      <c r="H39" s="65">
        <f t="shared" si="0"/>
        <v>-18451.48</v>
      </c>
    </row>
    <row r="40" spans="1:8">
      <c r="A40" s="97"/>
      <c r="D40" s="65"/>
      <c r="F40" s="65"/>
      <c r="G40" s="65"/>
      <c r="H40" s="65">
        <f t="shared" si="0"/>
        <v>-18451.48</v>
      </c>
    </row>
    <row r="41" spans="1:8">
      <c r="A41" s="97">
        <v>44974</v>
      </c>
      <c r="B41" t="s">
        <v>1067</v>
      </c>
      <c r="D41" s="65"/>
      <c r="F41" s="65"/>
      <c r="G41" s="65">
        <v>-32000</v>
      </c>
      <c r="H41" s="65">
        <f t="shared" si="0"/>
        <v>-50451.479999999996</v>
      </c>
    </row>
    <row r="42" spans="1:8">
      <c r="H42" s="65"/>
    </row>
    <row r="43" spans="1:8">
      <c r="G43" s="65"/>
      <c r="H43" s="65"/>
    </row>
    <row r="44" spans="1:8">
      <c r="B44" t="s">
        <v>222</v>
      </c>
      <c r="G44" s="65"/>
      <c r="H44" s="65"/>
    </row>
    <row r="45" spans="1:8">
      <c r="A45" s="78" t="s">
        <v>223</v>
      </c>
      <c r="B45" s="78"/>
      <c r="C45" s="78"/>
      <c r="D45" s="78"/>
      <c r="G45" s="65"/>
      <c r="H45" s="65"/>
    </row>
    <row r="46" spans="1:8">
      <c r="A46" s="251">
        <v>44650</v>
      </c>
      <c r="B46" s="246" t="s">
        <v>1068</v>
      </c>
      <c r="C46" s="246"/>
      <c r="D46" s="246" t="s">
        <v>1069</v>
      </c>
      <c r="H46" s="65"/>
    </row>
    <row r="47" spans="1:8">
      <c r="A47" s="251">
        <v>44844</v>
      </c>
      <c r="B47" s="246" t="s">
        <v>1070</v>
      </c>
      <c r="C47" s="248"/>
      <c r="D47" s="246" t="s">
        <v>1071</v>
      </c>
      <c r="H47" s="65"/>
    </row>
    <row r="48" spans="1:8">
      <c r="A48" s="251"/>
      <c r="B48" s="246" t="s">
        <v>1072</v>
      </c>
      <c r="C48" s="248"/>
      <c r="D48" s="246"/>
      <c r="E48" s="84">
        <v>300</v>
      </c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224</v>
      </c>
      <c r="C50" s="78"/>
      <c r="D50" s="136">
        <f>SUM(D51:D58)</f>
        <v>4615.6899999999996</v>
      </c>
      <c r="E50" s="84">
        <f>SUM(E51:E58)</f>
        <v>4215.6899999999996</v>
      </c>
      <c r="H50" s="65"/>
    </row>
    <row r="51" spans="1:8">
      <c r="B51" t="s">
        <v>1025</v>
      </c>
      <c r="D51">
        <v>1245.19</v>
      </c>
      <c r="E51" s="84">
        <v>1245</v>
      </c>
      <c r="F51" s="65"/>
      <c r="G51" s="65"/>
    </row>
    <row r="52" spans="1:8">
      <c r="B52" t="s">
        <v>226</v>
      </c>
      <c r="D52">
        <v>914.78</v>
      </c>
      <c r="E52" s="84">
        <v>915</v>
      </c>
      <c r="F52" s="65"/>
      <c r="G52" s="65"/>
    </row>
    <row r="53" spans="1:8">
      <c r="B53" t="s">
        <v>227</v>
      </c>
      <c r="D53">
        <v>295.54000000000002</v>
      </c>
      <c r="E53" s="84">
        <v>295</v>
      </c>
      <c r="F53" s="65"/>
      <c r="G53" s="65"/>
    </row>
    <row r="54" spans="1:8">
      <c r="B54" t="s">
        <v>1073</v>
      </c>
      <c r="D54">
        <v>200</v>
      </c>
      <c r="F54" s="65"/>
      <c r="G54" s="65"/>
    </row>
    <row r="55" spans="1:8">
      <c r="B55" t="s">
        <v>1074</v>
      </c>
      <c r="D55">
        <v>1367.33</v>
      </c>
      <c r="E55" s="84">
        <v>1368</v>
      </c>
      <c r="F55" s="65"/>
      <c r="G55" s="65"/>
    </row>
    <row r="56" spans="1:8">
      <c r="B56" t="s">
        <v>229</v>
      </c>
      <c r="C56" s="94"/>
      <c r="D56">
        <v>305.16000000000003</v>
      </c>
      <c r="E56" s="84">
        <v>305</v>
      </c>
      <c r="F56" s="65"/>
      <c r="G56" s="65"/>
    </row>
    <row r="57" spans="1:8">
      <c r="B57" t="s">
        <v>1075</v>
      </c>
      <c r="C57" s="94"/>
      <c r="D57" s="264">
        <v>200</v>
      </c>
      <c r="F57" s="65"/>
      <c r="G57" s="65"/>
    </row>
    <row r="58" spans="1:8">
      <c r="B58" t="s">
        <v>76</v>
      </c>
      <c r="C58" s="94"/>
      <c r="D58" s="94">
        <v>87.69</v>
      </c>
      <c r="E58" s="84">
        <v>87.69</v>
      </c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231</v>
      </c>
      <c r="C62" s="78"/>
      <c r="D62" s="79"/>
      <c r="E62" s="265">
        <f>SUM(E63:E85)</f>
        <v>-4657.2000000000007</v>
      </c>
    </row>
    <row r="63" spans="1:8">
      <c r="G63" s="65"/>
      <c r="H63" s="65"/>
    </row>
    <row r="64" spans="1:8">
      <c r="A64" s="97">
        <v>44866</v>
      </c>
      <c r="B64" s="94" t="s">
        <v>1028</v>
      </c>
      <c r="C64" s="94"/>
      <c r="D64" s="94" t="s">
        <v>278</v>
      </c>
      <c r="E64" s="84">
        <v>-208.17</v>
      </c>
      <c r="F64" s="65"/>
      <c r="G64" s="65"/>
      <c r="H64" s="65"/>
    </row>
    <row r="65" spans="1:8">
      <c r="A65" s="97">
        <v>44871</v>
      </c>
      <c r="B65" s="94" t="s">
        <v>1029</v>
      </c>
      <c r="C65" s="94"/>
      <c r="D65" s="94" t="s">
        <v>278</v>
      </c>
      <c r="E65" s="84">
        <v>-151.65</v>
      </c>
      <c r="F65" s="65"/>
      <c r="G65" s="65"/>
      <c r="H65" s="65"/>
    </row>
    <row r="66" spans="1:8">
      <c r="A66" s="97">
        <v>44873</v>
      </c>
      <c r="B66" t="s">
        <v>1076</v>
      </c>
      <c r="C66" s="94"/>
      <c r="D66" s="94" t="s">
        <v>738</v>
      </c>
      <c r="E66" s="84">
        <v>-1111.1099999999999</v>
      </c>
      <c r="F66" s="65"/>
      <c r="G66" s="65"/>
      <c r="H66" s="65"/>
    </row>
    <row r="67" spans="1:8">
      <c r="A67" s="97">
        <v>44887</v>
      </c>
      <c r="B67" s="94" t="s">
        <v>1077</v>
      </c>
      <c r="C67" s="94"/>
      <c r="D67" s="88" t="s">
        <v>936</v>
      </c>
      <c r="E67" s="84">
        <v>-678.58</v>
      </c>
      <c r="F67" s="65"/>
      <c r="G67" s="65"/>
      <c r="H67" s="65"/>
    </row>
    <row r="68" spans="1:8">
      <c r="A68" s="97">
        <v>44920</v>
      </c>
      <c r="B68" s="94" t="s">
        <v>990</v>
      </c>
      <c r="C68" s="94"/>
      <c r="D68" s="94" t="s">
        <v>873</v>
      </c>
      <c r="E68" s="84">
        <v>-397.46</v>
      </c>
      <c r="F68" s="65"/>
      <c r="G68" s="65"/>
      <c r="H68" s="65"/>
    </row>
    <row r="69" spans="1:8">
      <c r="A69" s="97">
        <v>44920</v>
      </c>
      <c r="B69" s="94" t="s">
        <v>991</v>
      </c>
      <c r="C69" s="94"/>
      <c r="D69" s="94" t="s">
        <v>873</v>
      </c>
      <c r="E69" s="84">
        <v>-80.91</v>
      </c>
      <c r="F69" s="65"/>
      <c r="G69" s="65"/>
      <c r="H69" s="65"/>
    </row>
    <row r="70" spans="1:8">
      <c r="A70" s="97">
        <v>44920</v>
      </c>
      <c r="B70" s="94" t="s">
        <v>992</v>
      </c>
      <c r="C70" s="94"/>
      <c r="D70" s="94" t="s">
        <v>873</v>
      </c>
      <c r="E70" s="84">
        <v>-127.05</v>
      </c>
      <c r="F70" s="65"/>
      <c r="G70" s="65"/>
      <c r="H70" s="65"/>
    </row>
    <row r="71" spans="1:8">
      <c r="A71" s="97">
        <v>44920</v>
      </c>
      <c r="B71" s="94" t="s">
        <v>993</v>
      </c>
      <c r="C71" s="94"/>
      <c r="D71" s="94" t="s">
        <v>873</v>
      </c>
      <c r="E71" s="84">
        <v>-49.31</v>
      </c>
      <c r="F71" s="65"/>
      <c r="G71" s="65"/>
      <c r="H71" s="65"/>
    </row>
    <row r="72" spans="1:8">
      <c r="A72" s="97">
        <v>44924</v>
      </c>
      <c r="B72" t="s">
        <v>559</v>
      </c>
      <c r="C72" s="94"/>
      <c r="D72" s="94"/>
      <c r="E72" s="84">
        <v>-76.3</v>
      </c>
      <c r="F72" s="65"/>
      <c r="G72" s="65"/>
      <c r="H72" s="65"/>
    </row>
    <row r="73" spans="1:8">
      <c r="A73" s="97">
        <v>44925</v>
      </c>
      <c r="B73" t="s">
        <v>1078</v>
      </c>
      <c r="D73" t="s">
        <v>1079</v>
      </c>
    </row>
    <row r="74" spans="1:8">
      <c r="A74" s="97">
        <v>44925</v>
      </c>
      <c r="B74" t="s">
        <v>1080</v>
      </c>
      <c r="E74" s="84">
        <v>-47.8</v>
      </c>
    </row>
    <row r="75" spans="1:8">
      <c r="A75" s="97">
        <v>44934</v>
      </c>
      <c r="B75" t="s">
        <v>1081</v>
      </c>
      <c r="E75" s="84">
        <v>-556.07000000000005</v>
      </c>
    </row>
    <row r="76" spans="1:8">
      <c r="A76" s="97">
        <v>44936</v>
      </c>
      <c r="B76" t="s">
        <v>1082</v>
      </c>
      <c r="E76" s="84">
        <v>-79.34</v>
      </c>
    </row>
    <row r="77" spans="1:8">
      <c r="A77" s="97">
        <v>44937</v>
      </c>
      <c r="B77" t="s">
        <v>1032</v>
      </c>
      <c r="E77" s="84">
        <v>-123.45</v>
      </c>
    </row>
    <row r="78" spans="1:8">
      <c r="A78" s="97">
        <v>44938</v>
      </c>
      <c r="B78" t="s">
        <v>1033</v>
      </c>
      <c r="E78" s="84">
        <v>-113.57</v>
      </c>
    </row>
    <row r="79" spans="1:8">
      <c r="A79" s="97">
        <v>44939</v>
      </c>
      <c r="B79" t="s">
        <v>1034</v>
      </c>
      <c r="E79" s="84">
        <v>-118.62</v>
      </c>
    </row>
    <row r="80" spans="1:8">
      <c r="A80" s="97">
        <v>44940</v>
      </c>
      <c r="B80" t="s">
        <v>1035</v>
      </c>
      <c r="E80" s="84">
        <v>-123.85</v>
      </c>
    </row>
    <row r="81" spans="1:8">
      <c r="A81" s="97">
        <v>44942</v>
      </c>
      <c r="B81" t="s">
        <v>1038</v>
      </c>
      <c r="E81" s="84">
        <v>-177.33</v>
      </c>
    </row>
    <row r="82" spans="1:8">
      <c r="A82" s="97">
        <v>44947</v>
      </c>
      <c r="B82" t="s">
        <v>874</v>
      </c>
      <c r="E82" s="84">
        <v>-100</v>
      </c>
    </row>
    <row r="83" spans="1:8">
      <c r="A83" s="97">
        <v>44949</v>
      </c>
      <c r="B83" t="s">
        <v>1039</v>
      </c>
      <c r="E83" s="84">
        <v>-111.1</v>
      </c>
    </row>
    <row r="84" spans="1:8">
      <c r="A84" s="97">
        <v>44950</v>
      </c>
      <c r="B84" t="s">
        <v>1083</v>
      </c>
      <c r="E84" s="84">
        <v>-99.87</v>
      </c>
    </row>
    <row r="85" spans="1:8">
      <c r="A85" s="97">
        <v>44951</v>
      </c>
      <c r="B85" t="s">
        <v>1084</v>
      </c>
      <c r="E85" s="84">
        <v>-125.66</v>
      </c>
    </row>
    <row r="87" spans="1:8">
      <c r="A87" s="78"/>
      <c r="B87" s="77" t="s">
        <v>235</v>
      </c>
      <c r="C87" s="78"/>
      <c r="D87" s="78"/>
      <c r="E87" s="265">
        <f>SUM(E88:E103)</f>
        <v>-3076.2899999999995</v>
      </c>
    </row>
    <row r="88" spans="1:8">
      <c r="A88" s="97">
        <v>44919</v>
      </c>
      <c r="B88" s="94" t="s">
        <v>1085</v>
      </c>
      <c r="C88" s="94"/>
      <c r="D88" s="94"/>
      <c r="E88" s="84">
        <v>-136.19</v>
      </c>
      <c r="F88" s="65"/>
      <c r="G88" s="65"/>
      <c r="H88" s="65"/>
    </row>
    <row r="89" spans="1:8">
      <c r="A89" s="97">
        <v>44921</v>
      </c>
      <c r="B89" s="94" t="s">
        <v>1086</v>
      </c>
      <c r="C89" s="94"/>
      <c r="D89" s="94"/>
      <c r="E89" s="84">
        <v>-193.47</v>
      </c>
      <c r="F89" s="65"/>
      <c r="G89" s="65"/>
      <c r="H89" s="65"/>
    </row>
    <row r="90" spans="1:8">
      <c r="A90" s="97">
        <v>44922</v>
      </c>
      <c r="B90" s="94" t="s">
        <v>1087</v>
      </c>
      <c r="C90" s="94"/>
      <c r="D90" s="94"/>
      <c r="E90" s="84">
        <v>-600</v>
      </c>
      <c r="F90" s="65"/>
      <c r="G90" s="65"/>
      <c r="H90" s="65"/>
    </row>
    <row r="91" spans="1:8">
      <c r="A91" s="97">
        <v>44922</v>
      </c>
      <c r="B91" s="94" t="s">
        <v>1088</v>
      </c>
      <c r="C91" s="94"/>
      <c r="D91" s="94"/>
      <c r="E91" s="84">
        <v>-206.27</v>
      </c>
      <c r="F91" s="65"/>
      <c r="G91" s="65"/>
      <c r="H91" s="65"/>
    </row>
    <row r="92" spans="1:8">
      <c r="A92" s="97">
        <v>44923</v>
      </c>
      <c r="B92" s="94" t="s">
        <v>1089</v>
      </c>
      <c r="C92" s="94"/>
      <c r="D92" s="94"/>
      <c r="E92" s="84">
        <v>-146.44</v>
      </c>
      <c r="F92" s="65"/>
      <c r="G92" s="65"/>
      <c r="H92" s="65"/>
    </row>
    <row r="93" spans="1:8">
      <c r="A93" s="97">
        <v>44927</v>
      </c>
      <c r="B93" s="94" t="s">
        <v>354</v>
      </c>
      <c r="C93" s="94"/>
      <c r="D93" s="94"/>
      <c r="E93" s="84">
        <v>-340</v>
      </c>
      <c r="F93" s="65"/>
      <c r="G93" s="65"/>
      <c r="H93" s="65"/>
    </row>
    <row r="94" spans="1:8">
      <c r="A94" s="97">
        <v>44928</v>
      </c>
      <c r="B94" s="103" t="s">
        <v>1090</v>
      </c>
      <c r="E94" s="84">
        <v>-164.8</v>
      </c>
    </row>
    <row r="95" spans="1:8">
      <c r="A95" s="97">
        <v>44930</v>
      </c>
      <c r="B95" s="103" t="s">
        <v>1091</v>
      </c>
      <c r="E95" s="84">
        <v>-139.33000000000001</v>
      </c>
    </row>
    <row r="96" spans="1:8">
      <c r="A96" s="97">
        <v>44931</v>
      </c>
      <c r="B96" s="103" t="s">
        <v>1092</v>
      </c>
      <c r="E96" s="84">
        <v>-143.19999999999999</v>
      </c>
    </row>
    <row r="97" spans="1:7">
      <c r="A97" s="97">
        <v>44934</v>
      </c>
      <c r="B97" t="s">
        <v>1093</v>
      </c>
      <c r="E97" s="84">
        <v>-297.38</v>
      </c>
    </row>
    <row r="98" spans="1:7">
      <c r="A98" s="97">
        <v>44944</v>
      </c>
      <c r="B98" t="s">
        <v>1094</v>
      </c>
      <c r="E98" s="84">
        <v>-286.02999999999997</v>
      </c>
    </row>
    <row r="99" spans="1:7">
      <c r="A99" s="97">
        <v>44944</v>
      </c>
      <c r="B99" t="s">
        <v>1094</v>
      </c>
      <c r="E99" s="84">
        <v>-423.18</v>
      </c>
    </row>
    <row r="100" spans="1:7">
      <c r="A100" s="97">
        <v>44950</v>
      </c>
      <c r="B100" t="s">
        <v>1095</v>
      </c>
      <c r="D100" s="37"/>
      <c r="E100" s="84">
        <v>-31.35</v>
      </c>
    </row>
    <row r="101" spans="1:7">
      <c r="B101" t="s">
        <v>1096</v>
      </c>
      <c r="D101" s="37"/>
      <c r="E101" s="84">
        <v>31.35</v>
      </c>
    </row>
    <row r="109" spans="1:7">
      <c r="A109" s="97"/>
      <c r="D109" s="65"/>
      <c r="F109" s="65"/>
      <c r="G109" s="65"/>
    </row>
    <row r="111" spans="1:7">
      <c r="A111" s="78"/>
      <c r="B111" s="77" t="s">
        <v>1097</v>
      </c>
      <c r="C111" s="78"/>
      <c r="D111" s="79"/>
      <c r="E111" s="80">
        <f>SUM(E112:E119)</f>
        <v>335748</v>
      </c>
    </row>
    <row r="112" spans="1:7">
      <c r="A112" s="97">
        <v>45291</v>
      </c>
      <c r="B112" t="s">
        <v>84</v>
      </c>
      <c r="E112" s="84">
        <v>64000</v>
      </c>
    </row>
    <row r="113" spans="1:5">
      <c r="A113" s="97">
        <v>45291</v>
      </c>
      <c r="B113" t="s">
        <v>172</v>
      </c>
      <c r="E113" s="84">
        <v>48288</v>
      </c>
    </row>
    <row r="114" spans="1:5">
      <c r="A114" s="97">
        <v>45291</v>
      </c>
      <c r="B114" t="s">
        <v>173</v>
      </c>
      <c r="E114" s="84">
        <v>44567</v>
      </c>
    </row>
    <row r="115" spans="1:5">
      <c r="A115" s="97">
        <v>45291</v>
      </c>
      <c r="B115" t="s">
        <v>174</v>
      </c>
      <c r="E115" s="84">
        <v>5590</v>
      </c>
    </row>
    <row r="116" spans="1:5">
      <c r="A116" s="97">
        <v>45291</v>
      </c>
      <c r="B116" t="s">
        <v>237</v>
      </c>
      <c r="C116">
        <v>1093</v>
      </c>
      <c r="D116">
        <v>111</v>
      </c>
      <c r="E116" s="84">
        <f>D116*C116</f>
        <v>121323</v>
      </c>
    </row>
    <row r="117" spans="1:5">
      <c r="A117" s="97">
        <v>45291</v>
      </c>
      <c r="B117" t="s">
        <v>238</v>
      </c>
      <c r="C117">
        <v>18.8</v>
      </c>
      <c r="D117">
        <v>850</v>
      </c>
      <c r="E117" s="84">
        <f>D117*C117</f>
        <v>15980</v>
      </c>
    </row>
    <row r="118" spans="1:5">
      <c r="A118" s="97">
        <v>45291</v>
      </c>
      <c r="B118" t="s">
        <v>239</v>
      </c>
      <c r="C118">
        <v>20</v>
      </c>
      <c r="D118">
        <v>100</v>
      </c>
      <c r="E118" s="84">
        <f>D118*C118</f>
        <v>2000</v>
      </c>
    </row>
    <row r="119" spans="1:5">
      <c r="A119" s="97">
        <v>45291</v>
      </c>
      <c r="B119" t="s">
        <v>240</v>
      </c>
      <c r="E119" s="84">
        <v>34000</v>
      </c>
    </row>
    <row r="120" spans="1:5">
      <c r="A120" s="97"/>
    </row>
    <row r="121" spans="1:5">
      <c r="D121" t="s">
        <v>1098</v>
      </c>
      <c r="E121" s="65">
        <f>H2</f>
        <v>-50451.479999999989</v>
      </c>
    </row>
    <row r="123" spans="1:5">
      <c r="D123" s="70" t="s">
        <v>189</v>
      </c>
      <c r="E123" s="84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395511"/>
  </sheetPr>
  <dimension ref="A1:H122"/>
  <sheetViews>
    <sheetView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1099</v>
      </c>
      <c r="C2" s="87" t="s">
        <v>191</v>
      </c>
      <c r="D2" s="240">
        <f>SUM(D4:D27)</f>
        <v>13261</v>
      </c>
      <c r="E2" s="240">
        <f>SUM(E5:E27)</f>
        <v>-22808.309999999998</v>
      </c>
      <c r="F2" s="240">
        <f>SUM(F4:F28)</f>
        <v>8049.2</v>
      </c>
      <c r="G2" s="240">
        <f>SUM(G4:G28)</f>
        <v>-23047.62</v>
      </c>
      <c r="H2" s="240">
        <f>F2+G2</f>
        <v>-14998.419999999998</v>
      </c>
    </row>
    <row r="3" spans="1:8">
      <c r="B3" s="70"/>
      <c r="H3" s="65"/>
    </row>
    <row r="4" spans="1:8">
      <c r="B4" s="70"/>
      <c r="H4" s="65"/>
    </row>
    <row r="5" spans="1:8">
      <c r="A5" s="97">
        <v>44928</v>
      </c>
      <c r="B5" s="88" t="s">
        <v>194</v>
      </c>
      <c r="C5" s="88"/>
      <c r="D5" s="88"/>
      <c r="E5" s="65">
        <v>-400</v>
      </c>
      <c r="G5" s="65">
        <v>-230</v>
      </c>
      <c r="H5" s="65">
        <f t="shared" ref="H5:H24" si="0">H4+F5+G5</f>
        <v>-230</v>
      </c>
    </row>
    <row r="6" spans="1:8">
      <c r="A6" s="97">
        <v>44928</v>
      </c>
      <c r="B6" s="88" t="s">
        <v>195</v>
      </c>
      <c r="C6" s="88"/>
      <c r="D6" s="88"/>
      <c r="E6" s="65">
        <v>-500</v>
      </c>
      <c r="G6" s="65">
        <v>-523</v>
      </c>
      <c r="H6" s="65">
        <f t="shared" si="0"/>
        <v>-753</v>
      </c>
    </row>
    <row r="7" spans="1:8">
      <c r="A7" s="97">
        <v>44933</v>
      </c>
      <c r="B7" s="88" t="s">
        <v>568</v>
      </c>
      <c r="C7" s="88"/>
      <c r="D7" s="88"/>
      <c r="E7" s="65">
        <v>-4300</v>
      </c>
      <c r="G7" s="65">
        <v>-4300</v>
      </c>
      <c r="H7" s="65">
        <f t="shared" si="0"/>
        <v>-5053</v>
      </c>
    </row>
    <row r="8" spans="1:8">
      <c r="A8" s="97">
        <v>44568</v>
      </c>
      <c r="B8" s="88" t="s">
        <v>569</v>
      </c>
      <c r="C8" s="88"/>
      <c r="D8" s="88"/>
      <c r="E8" s="65">
        <v>-674.74</v>
      </c>
      <c r="F8" s="84"/>
      <c r="G8" s="65">
        <v>-674.74</v>
      </c>
      <c r="H8" s="65">
        <f t="shared" si="0"/>
        <v>-5727.74</v>
      </c>
    </row>
    <row r="9" spans="1:8">
      <c r="A9" s="97">
        <v>44568</v>
      </c>
      <c r="B9" s="88" t="s">
        <v>208</v>
      </c>
      <c r="C9" s="88"/>
      <c r="D9" s="88"/>
      <c r="E9" s="65">
        <v>-150</v>
      </c>
      <c r="F9" s="84"/>
      <c r="G9" s="65">
        <v>-153.05000000000001</v>
      </c>
      <c r="H9" s="65">
        <f t="shared" si="0"/>
        <v>-5880.79</v>
      </c>
    </row>
    <row r="10" spans="1:8">
      <c r="A10" s="97">
        <v>44942</v>
      </c>
      <c r="B10" s="94" t="s">
        <v>211</v>
      </c>
      <c r="C10" s="94"/>
      <c r="D10" s="94"/>
      <c r="E10" s="65">
        <v>-100</v>
      </c>
      <c r="F10" s="84"/>
      <c r="G10" s="65">
        <v>-87</v>
      </c>
      <c r="H10" s="65">
        <f t="shared" si="0"/>
        <v>-5967.79</v>
      </c>
    </row>
    <row r="11" spans="1:8">
      <c r="A11" s="97">
        <v>44942</v>
      </c>
      <c r="B11" s="94" t="s">
        <v>210</v>
      </c>
      <c r="C11" s="94"/>
      <c r="D11" s="94"/>
      <c r="E11" s="65">
        <v>-1000</v>
      </c>
      <c r="F11" s="84"/>
      <c r="G11" s="65">
        <v>-1560</v>
      </c>
      <c r="H11" s="65">
        <f t="shared" si="0"/>
        <v>-7527.79</v>
      </c>
    </row>
    <row r="12" spans="1:8">
      <c r="B12" s="95" t="s">
        <v>212</v>
      </c>
      <c r="D12" s="65"/>
      <c r="E12" s="65">
        <v>-200</v>
      </c>
      <c r="G12" s="65">
        <v>-183.26</v>
      </c>
      <c r="H12" s="65">
        <f t="shared" si="0"/>
        <v>-7711.05</v>
      </c>
    </row>
    <row r="13" spans="1:8">
      <c r="B13" s="95" t="s">
        <v>213</v>
      </c>
      <c r="E13" s="65">
        <f>E48</f>
        <v>-7233.5699999999988</v>
      </c>
      <c r="F13" s="65"/>
      <c r="G13" s="65">
        <v>-7233.57</v>
      </c>
      <c r="H13" s="65">
        <f t="shared" si="0"/>
        <v>-14944.619999999999</v>
      </c>
    </row>
    <row r="14" spans="1:8">
      <c r="B14" s="95" t="s">
        <v>1100</v>
      </c>
      <c r="E14" s="2"/>
      <c r="H14" s="65">
        <f t="shared" si="0"/>
        <v>-14944.619999999999</v>
      </c>
    </row>
    <row r="15" spans="1:8">
      <c r="B15" t="s">
        <v>84</v>
      </c>
      <c r="E15" s="65">
        <v>-2750</v>
      </c>
      <c r="F15" s="65"/>
      <c r="G15" s="65">
        <v>-2701</v>
      </c>
      <c r="H15" s="65">
        <f t="shared" si="0"/>
        <v>-17645.62</v>
      </c>
    </row>
    <row r="16" spans="1:8">
      <c r="B16" t="s">
        <v>172</v>
      </c>
      <c r="E16" s="65">
        <v>-2750</v>
      </c>
      <c r="F16" s="65"/>
      <c r="G16" s="65">
        <v>-2701</v>
      </c>
      <c r="H16" s="65">
        <f t="shared" si="0"/>
        <v>-20346.62</v>
      </c>
    </row>
    <row r="17" spans="1:8">
      <c r="B17" t="s">
        <v>217</v>
      </c>
      <c r="E17" s="65">
        <v>-2750</v>
      </c>
      <c r="F17" s="65"/>
      <c r="G17" s="65">
        <v>-2701</v>
      </c>
      <c r="H17" s="65">
        <f t="shared" si="0"/>
        <v>-23047.62</v>
      </c>
    </row>
    <row r="18" spans="1:8">
      <c r="B18" t="s">
        <v>1101</v>
      </c>
      <c r="D18">
        <v>1111</v>
      </c>
      <c r="E18" s="84"/>
      <c r="F18" s="65"/>
      <c r="G18" s="65"/>
      <c r="H18" s="65">
        <f t="shared" si="0"/>
        <v>-23047.62</v>
      </c>
    </row>
    <row r="19" spans="1:8">
      <c r="A19" s="97">
        <v>44944</v>
      </c>
      <c r="B19" t="s">
        <v>627</v>
      </c>
      <c r="E19" s="84"/>
      <c r="F19" s="65">
        <v>1500</v>
      </c>
      <c r="G19" s="65"/>
      <c r="H19" s="65">
        <f t="shared" si="0"/>
        <v>-21547.62</v>
      </c>
    </row>
    <row r="20" spans="1:8">
      <c r="B20" t="s">
        <v>218</v>
      </c>
      <c r="D20" s="121">
        <v>5500</v>
      </c>
      <c r="F20" s="65">
        <v>5549.2</v>
      </c>
      <c r="G20" s="65"/>
      <c r="H20" s="65">
        <f t="shared" si="0"/>
        <v>-15998.419999999998</v>
      </c>
    </row>
    <row r="21" spans="1:8">
      <c r="B21" t="s">
        <v>1060</v>
      </c>
      <c r="D21" s="121">
        <v>1650</v>
      </c>
      <c r="F21" s="65"/>
      <c r="G21" s="65"/>
      <c r="H21" s="65">
        <f t="shared" si="0"/>
        <v>-15998.419999999998</v>
      </c>
    </row>
    <row r="22" spans="1:8">
      <c r="A22" t="s">
        <v>1102</v>
      </c>
      <c r="B22" t="s">
        <v>1051</v>
      </c>
      <c r="D22" s="121">
        <v>3000</v>
      </c>
      <c r="F22" s="65"/>
      <c r="G22" s="65"/>
      <c r="H22" s="65">
        <f t="shared" si="0"/>
        <v>-15998.419999999998</v>
      </c>
    </row>
    <row r="23" spans="1:8">
      <c r="A23" t="s">
        <v>1102</v>
      </c>
      <c r="B23" t="s">
        <v>1103</v>
      </c>
      <c r="D23" s="263">
        <v>1000</v>
      </c>
      <c r="H23" s="65">
        <f t="shared" si="0"/>
        <v>-15998.419999999998</v>
      </c>
    </row>
    <row r="24" spans="1:8">
      <c r="A24" s="97">
        <v>44928</v>
      </c>
      <c r="B24" s="246" t="s">
        <v>1104</v>
      </c>
      <c r="C24" s="246"/>
      <c r="D24" s="266">
        <v>1000</v>
      </c>
      <c r="F24" s="65">
        <v>1000</v>
      </c>
      <c r="G24" s="65"/>
      <c r="H24" s="65">
        <f t="shared" si="0"/>
        <v>-14998.419999999998</v>
      </c>
    </row>
    <row r="25" spans="1:8">
      <c r="A25" s="97"/>
      <c r="D25" s="102"/>
      <c r="H25" s="65"/>
    </row>
    <row r="26" spans="1:8">
      <c r="D26" s="65"/>
      <c r="F26" s="65"/>
      <c r="G26" s="65"/>
      <c r="H26" s="65"/>
    </row>
    <row r="27" spans="1:8" ht="15.75">
      <c r="B27" s="99"/>
      <c r="F27" s="65"/>
      <c r="G27" s="65"/>
      <c r="H27" s="65"/>
    </row>
    <row r="28" spans="1:8">
      <c r="E28" s="65"/>
      <c r="G28" s="65"/>
      <c r="H28" s="65"/>
    </row>
    <row r="29" spans="1:8">
      <c r="B29" t="s">
        <v>222</v>
      </c>
      <c r="E29" s="65"/>
      <c r="G29" s="65"/>
      <c r="H29" s="65"/>
    </row>
    <row r="30" spans="1:8">
      <c r="A30" s="78" t="s">
        <v>223</v>
      </c>
      <c r="B30" s="78"/>
      <c r="C30" s="78"/>
      <c r="D30" s="78"/>
      <c r="E30" s="79"/>
      <c r="G30" s="65"/>
      <c r="H30" s="65"/>
    </row>
    <row r="31" spans="1:8">
      <c r="A31" s="251">
        <v>44650</v>
      </c>
      <c r="B31" s="246" t="s">
        <v>1068</v>
      </c>
      <c r="C31" s="246"/>
      <c r="D31" s="246" t="s">
        <v>1105</v>
      </c>
      <c r="E31" s="247"/>
      <c r="H31" s="65"/>
    </row>
    <row r="32" spans="1:8">
      <c r="A32" s="251">
        <v>44844</v>
      </c>
      <c r="B32" s="246" t="s">
        <v>1070</v>
      </c>
      <c r="C32" s="248"/>
      <c r="D32" s="246" t="s">
        <v>1071</v>
      </c>
      <c r="E32" s="246"/>
      <c r="H32" s="65"/>
    </row>
    <row r="33" spans="1:8">
      <c r="A33" s="251"/>
      <c r="B33" s="246" t="s">
        <v>1106</v>
      </c>
      <c r="C33" s="248"/>
      <c r="D33" s="246"/>
      <c r="E33" s="246">
        <v>100</v>
      </c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224</v>
      </c>
      <c r="C35" s="78"/>
      <c r="D35" s="136">
        <f>SUM(D36:D43)</f>
        <v>6130.21</v>
      </c>
      <c r="E35" s="136">
        <f>SUM(E36:E43)</f>
        <v>5930.26</v>
      </c>
      <c r="H35" s="65"/>
    </row>
    <row r="36" spans="1:8">
      <c r="A36" s="97"/>
      <c r="B36" s="94" t="s">
        <v>225</v>
      </c>
      <c r="D36" s="2">
        <v>1221.74</v>
      </c>
      <c r="E36" s="65">
        <v>1222</v>
      </c>
      <c r="H36" s="65"/>
    </row>
    <row r="37" spans="1:8">
      <c r="B37" t="s">
        <v>226</v>
      </c>
      <c r="D37" s="2">
        <v>1264.8699999999999</v>
      </c>
      <c r="E37" s="65">
        <v>1265</v>
      </c>
      <c r="F37" s="65"/>
      <c r="G37" s="65"/>
    </row>
    <row r="38" spans="1:8">
      <c r="B38" t="s">
        <v>227</v>
      </c>
      <c r="D38" s="2">
        <v>366.02</v>
      </c>
      <c r="E38" s="65">
        <v>366</v>
      </c>
      <c r="F38" s="65"/>
      <c r="G38" s="65"/>
    </row>
    <row r="39" spans="1:8">
      <c r="B39" t="s">
        <v>1107</v>
      </c>
      <c r="D39" s="13">
        <v>200</v>
      </c>
      <c r="F39" s="65"/>
      <c r="G39" s="65"/>
    </row>
    <row r="40" spans="1:8">
      <c r="B40" t="s">
        <v>1108</v>
      </c>
      <c r="D40" s="2">
        <v>1479.95</v>
      </c>
      <c r="E40">
        <v>1480</v>
      </c>
      <c r="F40" s="65"/>
      <c r="G40" s="65"/>
    </row>
    <row r="41" spans="1:8">
      <c r="B41" t="s">
        <v>1109</v>
      </c>
      <c r="D41" s="2">
        <v>1214.3699999999999</v>
      </c>
      <c r="E41">
        <v>1214</v>
      </c>
      <c r="F41" s="65"/>
      <c r="G41" s="65"/>
    </row>
    <row r="42" spans="1:8">
      <c r="A42" s="97">
        <v>44928</v>
      </c>
      <c r="B42" t="s">
        <v>1110</v>
      </c>
      <c r="C42" s="94"/>
      <c r="D42" s="267">
        <v>200</v>
      </c>
      <c r="E42">
        <v>200</v>
      </c>
      <c r="F42" s="65"/>
      <c r="G42" s="65"/>
    </row>
    <row r="43" spans="1:8">
      <c r="B43" t="s">
        <v>230</v>
      </c>
      <c r="C43" s="94"/>
      <c r="D43" s="2">
        <v>183.26</v>
      </c>
      <c r="E43" s="94">
        <v>183.26</v>
      </c>
      <c r="F43" s="65"/>
      <c r="G43" s="65"/>
    </row>
    <row r="44" spans="1:8">
      <c r="C44" s="94"/>
      <c r="D44" s="94"/>
      <c r="E44" s="84"/>
      <c r="F44" s="65"/>
      <c r="G44" s="65"/>
    </row>
    <row r="46" spans="1:8">
      <c r="B46" s="13"/>
    </row>
    <row r="47" spans="1:8">
      <c r="B47" s="102"/>
    </row>
    <row r="48" spans="1:8">
      <c r="A48" s="78"/>
      <c r="B48" s="77" t="s">
        <v>231</v>
      </c>
      <c r="C48" s="78"/>
      <c r="D48" s="79"/>
      <c r="E48" s="80">
        <f>SUM(E49:E82)</f>
        <v>-7233.5699999999988</v>
      </c>
    </row>
    <row r="49" spans="1:8">
      <c r="G49" s="65"/>
      <c r="H49" s="65"/>
    </row>
    <row r="50" spans="1:8">
      <c r="A50" s="97">
        <v>44866</v>
      </c>
      <c r="B50" s="94" t="s">
        <v>1111</v>
      </c>
      <c r="C50" s="94"/>
      <c r="D50" s="94" t="s">
        <v>326</v>
      </c>
      <c r="E50" s="65">
        <v>-208.17</v>
      </c>
      <c r="F50" s="65"/>
      <c r="G50" s="65"/>
      <c r="H50" s="65"/>
    </row>
    <row r="51" spans="1:8">
      <c r="A51" s="97">
        <v>44871</v>
      </c>
      <c r="B51" s="94" t="s">
        <v>1112</v>
      </c>
      <c r="C51" s="94"/>
      <c r="D51" s="94" t="s">
        <v>326</v>
      </c>
      <c r="E51" s="65">
        <v>-151.65</v>
      </c>
      <c r="F51" s="65"/>
      <c r="G51" s="65"/>
      <c r="H51" s="65"/>
    </row>
    <row r="52" spans="1:8">
      <c r="A52" s="97">
        <v>44873</v>
      </c>
      <c r="B52" t="s">
        <v>1113</v>
      </c>
      <c r="C52" s="94"/>
      <c r="D52" s="94" t="s">
        <v>422</v>
      </c>
      <c r="E52" s="65">
        <v>-1111.1099999999999</v>
      </c>
      <c r="F52" s="65"/>
      <c r="G52" s="65"/>
      <c r="H52" s="65"/>
    </row>
    <row r="53" spans="1:8">
      <c r="A53" s="97">
        <v>44887</v>
      </c>
      <c r="B53" s="94" t="s">
        <v>1114</v>
      </c>
      <c r="C53" s="94"/>
      <c r="D53" s="88" t="s">
        <v>967</v>
      </c>
      <c r="E53" s="65">
        <v>-678.58</v>
      </c>
      <c r="F53" s="65"/>
      <c r="G53" s="65"/>
      <c r="H53" s="65"/>
    </row>
    <row r="54" spans="1:8">
      <c r="A54" s="97">
        <v>44920</v>
      </c>
      <c r="B54" s="94" t="s">
        <v>990</v>
      </c>
      <c r="C54" s="94"/>
      <c r="D54" s="94" t="s">
        <v>902</v>
      </c>
      <c r="E54" s="65">
        <v>-397.46</v>
      </c>
      <c r="F54" s="65"/>
      <c r="G54" s="65"/>
      <c r="H54" s="65"/>
    </row>
    <row r="55" spans="1:8">
      <c r="A55" s="97">
        <v>44920</v>
      </c>
      <c r="B55" s="94" t="s">
        <v>991</v>
      </c>
      <c r="C55" s="94"/>
      <c r="D55" s="94" t="s">
        <v>902</v>
      </c>
      <c r="E55" s="65">
        <v>-80.91</v>
      </c>
      <c r="F55" s="65"/>
      <c r="G55" s="65"/>
      <c r="H55" s="65"/>
    </row>
    <row r="56" spans="1:8">
      <c r="A56" s="97">
        <v>44920</v>
      </c>
      <c r="B56" s="94" t="s">
        <v>992</v>
      </c>
      <c r="C56" s="94"/>
      <c r="D56" s="94" t="s">
        <v>902</v>
      </c>
      <c r="E56" s="65">
        <v>-127.05</v>
      </c>
      <c r="F56" s="65"/>
      <c r="G56" s="65"/>
      <c r="H56" s="65"/>
    </row>
    <row r="57" spans="1:8">
      <c r="A57" s="97">
        <v>44920</v>
      </c>
      <c r="B57" s="94" t="s">
        <v>993</v>
      </c>
      <c r="C57" s="94"/>
      <c r="D57" s="94" t="s">
        <v>902</v>
      </c>
      <c r="E57" s="65">
        <v>-49.31</v>
      </c>
      <c r="F57" s="65"/>
      <c r="G57" s="65"/>
      <c r="H57" s="65"/>
    </row>
    <row r="58" spans="1:8">
      <c r="A58" s="97">
        <v>44894</v>
      </c>
      <c r="B58" s="3" t="s">
        <v>1115</v>
      </c>
      <c r="E58" s="65">
        <v>-182.4</v>
      </c>
      <c r="F58" s="65"/>
      <c r="G58" s="65"/>
      <c r="H58" s="65"/>
    </row>
    <row r="59" spans="1:8">
      <c r="A59" s="97"/>
      <c r="B59" t="s">
        <v>1116</v>
      </c>
      <c r="E59" s="65">
        <v>-74.900000000000006</v>
      </c>
      <c r="F59" s="65"/>
      <c r="G59" s="65"/>
      <c r="H59" s="65"/>
    </row>
    <row r="60" spans="1:8">
      <c r="A60" s="97">
        <v>44895</v>
      </c>
      <c r="B60" s="3" t="s">
        <v>1117</v>
      </c>
      <c r="E60" s="65">
        <v>-137.88999999999999</v>
      </c>
      <c r="F60" s="65"/>
      <c r="G60" s="65"/>
      <c r="H60" s="65"/>
    </row>
    <row r="61" spans="1:8">
      <c r="A61" s="97">
        <v>44897</v>
      </c>
      <c r="B61" s="94" t="s">
        <v>1118</v>
      </c>
      <c r="C61" s="94"/>
      <c r="D61" s="94"/>
      <c r="E61" s="65">
        <v>-200</v>
      </c>
      <c r="F61" s="65"/>
      <c r="G61" s="65"/>
      <c r="H61" s="65"/>
    </row>
    <row r="62" spans="1:8">
      <c r="A62" s="97">
        <v>44900</v>
      </c>
      <c r="B62" s="94" t="s">
        <v>340</v>
      </c>
      <c r="C62" s="94"/>
      <c r="D62" s="94"/>
      <c r="E62" s="65">
        <v>-142.63999999999999</v>
      </c>
      <c r="F62" s="65"/>
      <c r="G62" s="65"/>
      <c r="H62" s="65"/>
    </row>
    <row r="63" spans="1:8">
      <c r="A63" s="97">
        <v>44900</v>
      </c>
      <c r="B63" s="103" t="s">
        <v>1119</v>
      </c>
      <c r="C63" s="94"/>
      <c r="D63" s="94"/>
      <c r="E63" s="65">
        <v>-148.47</v>
      </c>
      <c r="F63" s="65"/>
      <c r="G63" s="65"/>
      <c r="H63" s="65"/>
    </row>
    <row r="64" spans="1:8">
      <c r="A64" s="97">
        <v>44901</v>
      </c>
      <c r="B64" s="103" t="s">
        <v>1120</v>
      </c>
      <c r="C64" s="94"/>
      <c r="D64" s="94"/>
      <c r="E64" s="65">
        <v>-142.77000000000001</v>
      </c>
      <c r="F64" s="65"/>
      <c r="G64" s="65"/>
      <c r="H64" s="65"/>
    </row>
    <row r="65" spans="1:8">
      <c r="A65" s="97">
        <v>44901</v>
      </c>
      <c r="B65" s="94" t="s">
        <v>1121</v>
      </c>
      <c r="C65" s="94"/>
      <c r="D65" s="94"/>
      <c r="E65" s="65">
        <v>-334.55</v>
      </c>
      <c r="F65" s="65"/>
      <c r="G65" s="65"/>
      <c r="H65" s="65"/>
    </row>
    <row r="66" spans="1:8">
      <c r="A66" s="97">
        <v>44901</v>
      </c>
      <c r="B66" s="94" t="s">
        <v>1122</v>
      </c>
      <c r="C66" s="94"/>
      <c r="D66" s="94"/>
      <c r="E66" s="65">
        <v>-148.75</v>
      </c>
      <c r="F66" s="65"/>
      <c r="G66" s="65"/>
      <c r="H66" s="65"/>
    </row>
    <row r="67" spans="1:8">
      <c r="A67" s="97">
        <v>44901</v>
      </c>
      <c r="B67" s="94" t="s">
        <v>1123</v>
      </c>
      <c r="C67" s="94"/>
      <c r="D67" s="94"/>
      <c r="E67" s="65">
        <v>-200</v>
      </c>
      <c r="F67" s="65"/>
      <c r="G67" s="65"/>
      <c r="H67" s="65"/>
    </row>
    <row r="68" spans="1:8">
      <c r="A68" s="97">
        <v>44903</v>
      </c>
      <c r="B68" s="94" t="s">
        <v>1124</v>
      </c>
      <c r="C68" s="94"/>
      <c r="D68" s="94"/>
      <c r="E68" s="65">
        <v>-223.23</v>
      </c>
      <c r="F68" s="65"/>
      <c r="G68" s="65"/>
      <c r="H68" s="65"/>
    </row>
    <row r="69" spans="1:8">
      <c r="A69" s="97">
        <v>44904</v>
      </c>
      <c r="B69" s="103" t="s">
        <v>1125</v>
      </c>
      <c r="C69" s="94"/>
      <c r="D69" s="94"/>
      <c r="E69" s="65">
        <v>-218.37</v>
      </c>
      <c r="F69" s="65"/>
      <c r="G69" s="65"/>
      <c r="H69" s="65"/>
    </row>
    <row r="70" spans="1:8">
      <c r="A70" s="97">
        <v>44905</v>
      </c>
      <c r="B70" s="103" t="s">
        <v>1126</v>
      </c>
      <c r="C70" s="94"/>
      <c r="D70" s="94"/>
      <c r="E70" s="65">
        <v>-209.35</v>
      </c>
      <c r="F70" s="65"/>
      <c r="G70" s="65"/>
      <c r="H70" s="65"/>
    </row>
    <row r="71" spans="1:8">
      <c r="A71" s="97">
        <v>44907</v>
      </c>
      <c r="B71" s="103" t="s">
        <v>1127</v>
      </c>
      <c r="E71" s="65">
        <v>-202.93</v>
      </c>
      <c r="F71" s="65"/>
      <c r="G71" s="65"/>
      <c r="H71" s="65"/>
    </row>
    <row r="72" spans="1:8">
      <c r="A72" s="97">
        <v>44909</v>
      </c>
      <c r="B72" s="103" t="s">
        <v>1128</v>
      </c>
      <c r="C72" s="94"/>
      <c r="D72" s="94"/>
      <c r="E72" s="65">
        <v>-167.75</v>
      </c>
      <c r="F72" s="65"/>
      <c r="G72" s="65"/>
      <c r="H72" s="65"/>
    </row>
    <row r="73" spans="1:8">
      <c r="A73" s="97">
        <v>44912</v>
      </c>
      <c r="B73" s="3" t="s">
        <v>1129</v>
      </c>
      <c r="E73" s="65">
        <v>-221.18</v>
      </c>
      <c r="F73" s="65"/>
      <c r="G73" s="65"/>
      <c r="H73" s="65"/>
    </row>
    <row r="74" spans="1:8">
      <c r="A74" s="97">
        <v>44913</v>
      </c>
      <c r="B74" s="94" t="s">
        <v>595</v>
      </c>
      <c r="C74" s="94"/>
      <c r="D74" s="94"/>
      <c r="E74" s="65">
        <v>-200</v>
      </c>
      <c r="F74" s="65"/>
      <c r="G74" s="65"/>
      <c r="H74" s="65"/>
    </row>
    <row r="75" spans="1:8">
      <c r="A75" s="97">
        <v>44913</v>
      </c>
      <c r="B75" s="94" t="s">
        <v>1130</v>
      </c>
      <c r="C75" s="94"/>
      <c r="D75" s="94"/>
      <c r="E75" s="65">
        <v>-268.73</v>
      </c>
      <c r="F75" s="65"/>
      <c r="G75" s="65"/>
      <c r="H75" s="65"/>
    </row>
    <row r="76" spans="1:8">
      <c r="A76" s="97">
        <v>44913</v>
      </c>
      <c r="B76" s="94" t="s">
        <v>1131</v>
      </c>
      <c r="C76" s="94"/>
      <c r="D76" s="94"/>
      <c r="E76" s="65">
        <v>-140.9</v>
      </c>
      <c r="F76" s="65"/>
      <c r="G76" s="65"/>
      <c r="H76" s="65"/>
    </row>
    <row r="77" spans="1:8">
      <c r="A77" s="97">
        <v>44914</v>
      </c>
      <c r="B77" s="3" t="s">
        <v>1132</v>
      </c>
      <c r="C77" s="94"/>
      <c r="D77" s="94"/>
      <c r="E77" s="65">
        <v>-138.4</v>
      </c>
      <c r="F77" s="65"/>
      <c r="G77" s="65"/>
      <c r="H77" s="65"/>
    </row>
    <row r="78" spans="1:8">
      <c r="A78" s="97">
        <v>44915</v>
      </c>
      <c r="B78" s="3" t="s">
        <v>1133</v>
      </c>
      <c r="C78" s="94"/>
      <c r="D78" s="94"/>
      <c r="E78" s="65">
        <v>-277.5</v>
      </c>
      <c r="F78" s="65"/>
      <c r="G78" s="65"/>
      <c r="H78" s="65"/>
    </row>
    <row r="79" spans="1:8">
      <c r="A79" s="97">
        <v>44916</v>
      </c>
      <c r="B79" s="3" t="s">
        <v>1134</v>
      </c>
      <c r="C79" s="94"/>
      <c r="D79" s="94"/>
      <c r="E79" s="65">
        <v>-166.62</v>
      </c>
      <c r="F79" s="65"/>
      <c r="G79" s="65"/>
      <c r="H79" s="65"/>
    </row>
    <row r="80" spans="1:8">
      <c r="A80" s="97">
        <v>44917</v>
      </c>
      <c r="B80" s="94" t="s">
        <v>1135</v>
      </c>
      <c r="C80" s="94"/>
      <c r="D80" s="94"/>
      <c r="E80" s="65">
        <v>-90</v>
      </c>
      <c r="F80" s="65"/>
      <c r="G80" s="65"/>
      <c r="H80" s="65"/>
    </row>
    <row r="81" spans="1:8">
      <c r="A81" s="97">
        <v>44918</v>
      </c>
      <c r="B81" s="3" t="s">
        <v>1136</v>
      </c>
      <c r="C81" s="94"/>
      <c r="D81" s="94"/>
      <c r="E81" s="65">
        <v>-192</v>
      </c>
      <c r="F81" s="65"/>
      <c r="G81" s="65"/>
      <c r="H81" s="65"/>
    </row>
    <row r="82" spans="1:8">
      <c r="A82" s="97"/>
      <c r="B82" s="3"/>
      <c r="C82" s="94"/>
      <c r="D82" s="94"/>
      <c r="E82" s="84"/>
      <c r="F82" s="65"/>
      <c r="G82" s="65"/>
      <c r="H82" s="65"/>
    </row>
    <row r="83" spans="1:8">
      <c r="A83" s="97"/>
      <c r="B83" s="3"/>
      <c r="C83" s="94"/>
      <c r="D83" s="94"/>
      <c r="E83" s="84"/>
      <c r="F83" s="65"/>
      <c r="G83" s="65"/>
      <c r="H83" s="65"/>
    </row>
    <row r="84" spans="1:8">
      <c r="A84" s="97"/>
      <c r="B84" s="3"/>
      <c r="C84" s="94"/>
      <c r="D84" s="94"/>
      <c r="E84" s="84"/>
      <c r="F84" s="65"/>
      <c r="G84" s="65"/>
      <c r="H84" s="65"/>
    </row>
    <row r="85" spans="1:8">
      <c r="A85" s="97"/>
      <c r="B85" s="3"/>
      <c r="C85" s="94"/>
      <c r="D85" s="94"/>
      <c r="E85" s="84"/>
      <c r="F85" s="65"/>
      <c r="G85" s="65"/>
      <c r="H85" s="65"/>
    </row>
    <row r="86" spans="1:8">
      <c r="A86" s="97"/>
      <c r="B86" s="3"/>
      <c r="C86" s="94"/>
      <c r="D86" s="94"/>
      <c r="E86" s="84"/>
      <c r="F86" s="65"/>
      <c r="G86" s="65"/>
      <c r="H86" s="65"/>
    </row>
    <row r="87" spans="1:8">
      <c r="A87" s="97"/>
      <c r="B87" s="3"/>
      <c r="C87" s="94"/>
      <c r="D87" s="94"/>
      <c r="E87" s="84"/>
      <c r="F87" s="65"/>
      <c r="G87" s="65"/>
      <c r="H87" s="65"/>
    </row>
    <row r="88" spans="1:8">
      <c r="A88" s="97"/>
      <c r="B88" s="3"/>
      <c r="C88" s="94"/>
      <c r="D88" s="94"/>
      <c r="E88" s="84"/>
      <c r="F88" s="65"/>
      <c r="G88" s="65"/>
      <c r="H88" s="65"/>
    </row>
    <row r="89" spans="1:8">
      <c r="A89" s="97"/>
      <c r="B89" s="3"/>
      <c r="C89" s="94"/>
      <c r="D89" s="94"/>
      <c r="E89" s="84"/>
      <c r="F89" s="65"/>
      <c r="G89" s="65"/>
      <c r="H89" s="65"/>
    </row>
    <row r="90" spans="1:8">
      <c r="A90" s="97"/>
      <c r="B90" s="3"/>
      <c r="C90" s="94"/>
      <c r="D90" s="94"/>
      <c r="E90" s="84"/>
      <c r="F90" s="65"/>
      <c r="G90" s="65"/>
      <c r="H90" s="65"/>
    </row>
    <row r="91" spans="1:8">
      <c r="A91" s="97"/>
      <c r="B91" s="3"/>
      <c r="C91" s="94"/>
      <c r="D91" s="94"/>
      <c r="E91" s="84"/>
      <c r="F91" s="65"/>
      <c r="G91" s="65"/>
      <c r="H91" s="65"/>
    </row>
    <row r="92" spans="1:8">
      <c r="A92" s="97"/>
      <c r="B92" s="3"/>
      <c r="C92" s="94"/>
      <c r="D92" s="94"/>
      <c r="E92" s="84"/>
      <c r="F92" s="65"/>
      <c r="G92" s="65"/>
      <c r="H92" s="65"/>
    </row>
    <row r="93" spans="1:8">
      <c r="A93" s="97"/>
      <c r="B93" s="3"/>
      <c r="C93" s="94"/>
      <c r="D93" s="94"/>
      <c r="E93" s="84"/>
      <c r="F93" s="65"/>
      <c r="G93" s="65"/>
      <c r="H93" s="65"/>
    </row>
    <row r="94" spans="1:8">
      <c r="A94" s="97"/>
      <c r="B94" s="3"/>
      <c r="C94" s="94"/>
      <c r="D94" s="94"/>
      <c r="E94" s="84"/>
      <c r="F94" s="65"/>
      <c r="G94" s="65"/>
      <c r="H94" s="65"/>
    </row>
    <row r="95" spans="1:8">
      <c r="A95" s="97"/>
      <c r="B95" s="3"/>
      <c r="C95" s="94"/>
      <c r="D95" s="94"/>
      <c r="E95" s="84"/>
      <c r="F95" s="65"/>
      <c r="G95" s="65"/>
      <c r="H95" s="65"/>
    </row>
    <row r="96" spans="1:8">
      <c r="A96" s="97"/>
      <c r="B96" s="3"/>
      <c r="C96" s="94"/>
      <c r="D96" s="94"/>
      <c r="E96" s="84"/>
      <c r="F96" s="65"/>
      <c r="G96" s="65"/>
      <c r="H96" s="65"/>
    </row>
    <row r="97" spans="1:8">
      <c r="A97" s="97"/>
      <c r="B97" s="3"/>
      <c r="C97" s="94"/>
      <c r="D97" s="94"/>
      <c r="E97" s="84"/>
      <c r="F97" s="65"/>
      <c r="G97" s="65"/>
      <c r="H97" s="65"/>
    </row>
    <row r="98" spans="1:8">
      <c r="A98" s="97"/>
      <c r="B98" s="3"/>
      <c r="C98" s="94"/>
      <c r="D98" s="94"/>
      <c r="E98" s="84"/>
      <c r="F98" s="65"/>
      <c r="G98" s="65"/>
      <c r="H98" s="65"/>
    </row>
    <row r="99" spans="1:8">
      <c r="A99" s="97"/>
      <c r="B99" s="3"/>
      <c r="C99" s="94"/>
      <c r="D99" s="94"/>
      <c r="E99" s="84"/>
      <c r="F99" s="65"/>
      <c r="G99" s="65"/>
      <c r="H99" s="65"/>
    </row>
    <row r="100" spans="1:8">
      <c r="A100" s="97"/>
      <c r="B100" s="3"/>
      <c r="C100" s="94"/>
      <c r="D100" s="94"/>
      <c r="E100" s="84"/>
      <c r="F100" s="65"/>
      <c r="G100" s="65"/>
      <c r="H100" s="65"/>
    </row>
    <row r="101" spans="1:8">
      <c r="A101" s="97"/>
      <c r="B101" s="3"/>
      <c r="C101" s="94"/>
      <c r="D101" s="94"/>
      <c r="E101" s="84"/>
      <c r="F101" s="65"/>
      <c r="G101" s="65"/>
      <c r="H101" s="65"/>
    </row>
    <row r="102" spans="1:8">
      <c r="A102" s="97"/>
      <c r="B102" s="3"/>
      <c r="C102" s="94"/>
      <c r="D102" s="94"/>
      <c r="E102" s="84"/>
      <c r="F102" s="65"/>
      <c r="G102" s="65"/>
      <c r="H102" s="65"/>
    </row>
    <row r="103" spans="1:8">
      <c r="A103" s="97"/>
      <c r="B103" s="3"/>
      <c r="C103" s="94"/>
      <c r="D103" s="94"/>
      <c r="E103" s="84"/>
      <c r="F103" s="65"/>
      <c r="G103" s="65"/>
      <c r="H103" s="65"/>
    </row>
    <row r="104" spans="1:8">
      <c r="A104" s="97"/>
      <c r="B104" s="3"/>
      <c r="C104" s="94"/>
      <c r="D104" s="94"/>
      <c r="E104" s="84"/>
      <c r="F104" s="65"/>
      <c r="G104" s="65"/>
      <c r="H104" s="65"/>
    </row>
    <row r="105" spans="1:8">
      <c r="A105" s="97"/>
      <c r="B105" s="3"/>
      <c r="C105" s="94"/>
      <c r="D105" s="94"/>
      <c r="E105" s="84"/>
      <c r="F105" s="65"/>
      <c r="G105" s="65"/>
      <c r="H105" s="65"/>
    </row>
    <row r="106" spans="1:8">
      <c r="A106" s="97"/>
      <c r="B106" s="3"/>
      <c r="C106" s="94"/>
      <c r="D106" s="94"/>
      <c r="E106" s="84"/>
      <c r="F106" s="65"/>
      <c r="G106" s="65"/>
      <c r="H106" s="65"/>
    </row>
    <row r="107" spans="1:8">
      <c r="A107" s="97"/>
      <c r="B107" s="3"/>
      <c r="C107" s="94"/>
      <c r="D107" s="94"/>
      <c r="E107" s="84"/>
      <c r="F107" s="65"/>
      <c r="G107" s="65"/>
      <c r="H107" s="65"/>
    </row>
    <row r="108" spans="1:8">
      <c r="A108" s="97"/>
      <c r="B108" s="3"/>
      <c r="C108" s="94"/>
      <c r="D108" s="94"/>
      <c r="E108" s="84"/>
      <c r="F108" s="65"/>
      <c r="G108" s="65"/>
      <c r="H108" s="65"/>
    </row>
    <row r="109" spans="1:8">
      <c r="A109" s="97"/>
      <c r="B109" s="3"/>
      <c r="C109" s="94"/>
      <c r="D109" s="94"/>
      <c r="E109" s="84"/>
      <c r="F109" s="65"/>
      <c r="G109" s="65"/>
      <c r="H109" s="65"/>
    </row>
    <row r="111" spans="1:8">
      <c r="A111" s="78"/>
      <c r="B111" s="77" t="s">
        <v>1137</v>
      </c>
      <c r="C111" s="78"/>
      <c r="D111" s="79"/>
      <c r="E111" s="80">
        <f>SUM(E112:E119)</f>
        <v>356022.27</v>
      </c>
    </row>
    <row r="112" spans="1:8">
      <c r="A112" s="97">
        <v>45291</v>
      </c>
      <c r="B112" t="s">
        <v>84</v>
      </c>
      <c r="E112">
        <v>32000</v>
      </c>
    </row>
    <row r="113" spans="1:5">
      <c r="A113" s="97">
        <v>45291</v>
      </c>
      <c r="B113" t="s">
        <v>172</v>
      </c>
      <c r="E113">
        <v>40000</v>
      </c>
    </row>
    <row r="114" spans="1:5">
      <c r="A114" s="97">
        <v>45291</v>
      </c>
      <c r="B114" t="s">
        <v>173</v>
      </c>
      <c r="E114">
        <v>40162.18</v>
      </c>
    </row>
    <row r="115" spans="1:5">
      <c r="A115" s="97">
        <v>45291</v>
      </c>
      <c r="B115" t="s">
        <v>174</v>
      </c>
      <c r="E115">
        <v>44912.09</v>
      </c>
    </row>
    <row r="116" spans="1:5">
      <c r="A116" s="97">
        <v>45291</v>
      </c>
      <c r="B116" t="s">
        <v>237</v>
      </c>
      <c r="C116">
        <v>1093</v>
      </c>
      <c r="D116">
        <v>111</v>
      </c>
      <c r="E116">
        <f>D116*C116</f>
        <v>121323</v>
      </c>
    </row>
    <row r="117" spans="1:5">
      <c r="A117" s="97">
        <v>45291</v>
      </c>
      <c r="B117" t="s">
        <v>238</v>
      </c>
      <c r="C117">
        <v>18.5</v>
      </c>
      <c r="D117">
        <v>850</v>
      </c>
      <c r="E117">
        <f>D117*C117</f>
        <v>15725</v>
      </c>
    </row>
    <row r="118" spans="1:5">
      <c r="A118" s="97">
        <v>45291</v>
      </c>
      <c r="B118" t="s">
        <v>239</v>
      </c>
      <c r="C118">
        <v>19</v>
      </c>
      <c r="D118">
        <v>100</v>
      </c>
      <c r="E118">
        <f>D118*C118</f>
        <v>1900</v>
      </c>
    </row>
    <row r="119" spans="1:5">
      <c r="A119" s="97">
        <v>45291</v>
      </c>
      <c r="B119" t="s">
        <v>240</v>
      </c>
      <c r="E119">
        <v>60000</v>
      </c>
    </row>
    <row r="120" spans="1:5">
      <c r="B120" t="s">
        <v>241</v>
      </c>
      <c r="E120" s="65">
        <f>H2</f>
        <v>-14998.419999999998</v>
      </c>
    </row>
    <row r="122" spans="1:5">
      <c r="D122" s="70" t="s">
        <v>189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N18"/>
  <sheetViews>
    <sheetView zoomScale="170" zoomScaleNormal="17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268">
        <v>0.23471</v>
      </c>
      <c r="L1" s="268">
        <f>1-K1</f>
        <v>0.76529000000000003</v>
      </c>
      <c r="M1" s="269"/>
      <c r="N1" s="28" t="s">
        <v>118</v>
      </c>
    </row>
    <row r="2" spans="1:14" ht="15.75">
      <c r="A2" s="21">
        <v>-2022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269" t="s">
        <v>613</v>
      </c>
      <c r="L2" s="269" t="s">
        <v>614</v>
      </c>
      <c r="M2" s="269" t="s">
        <v>124</v>
      </c>
      <c r="N2" s="28" t="s">
        <v>1138</v>
      </c>
    </row>
    <row r="3" spans="1:14">
      <c r="A3" t="s">
        <v>125</v>
      </c>
      <c r="B3" s="148">
        <f>'22_1'!D2</f>
        <v>7333.3</v>
      </c>
      <c r="C3" s="149">
        <f>'22_1'!E2</f>
        <v>-6834.05</v>
      </c>
      <c r="D3" s="150">
        <f>B3+C3</f>
        <v>499.25</v>
      </c>
      <c r="E3" s="148">
        <f>'22_1'!F2</f>
        <v>46462.64</v>
      </c>
      <c r="F3" s="149">
        <f>'22_1'!G2</f>
        <v>-6834.05</v>
      </c>
      <c r="G3" s="151">
        <f>E3+F3</f>
        <v>39628.589999999997</v>
      </c>
      <c r="H3" s="36"/>
      <c r="I3" s="37" t="s">
        <v>126</v>
      </c>
      <c r="J3">
        <v>36</v>
      </c>
      <c r="M3" s="2">
        <v>36</v>
      </c>
    </row>
    <row r="4" spans="1:14">
      <c r="A4" t="s">
        <v>127</v>
      </c>
      <c r="B4" s="148">
        <f>'22_2'!D2</f>
        <v>10567.09</v>
      </c>
      <c r="C4" s="149">
        <f>'22_2'!E2</f>
        <v>-21938.15</v>
      </c>
      <c r="D4" s="150">
        <f t="shared" ref="D4:D14" si="0">B4+C4+D3</f>
        <v>-10871.810000000001</v>
      </c>
      <c r="E4" s="148">
        <f>'22_2'!F2</f>
        <v>11567.09</v>
      </c>
      <c r="F4" s="149">
        <f>'22_2'!G2</f>
        <v>-21938.15</v>
      </c>
      <c r="G4" s="151">
        <f t="shared" ref="G4:G14" si="1">E4+F4+G3</f>
        <v>29257.529999999995</v>
      </c>
      <c r="H4" s="36"/>
      <c r="I4" s="37" t="s">
        <v>130</v>
      </c>
      <c r="J4">
        <v>19.8</v>
      </c>
      <c r="M4" s="2">
        <v>19.8</v>
      </c>
    </row>
    <row r="5" spans="1:14">
      <c r="A5" t="s">
        <v>129</v>
      </c>
      <c r="B5" s="148">
        <f>'03'!D2</f>
        <v>36859.61</v>
      </c>
      <c r="C5" s="149">
        <f>'03'!E2</f>
        <v>-30109.3</v>
      </c>
      <c r="D5" s="150">
        <f t="shared" si="0"/>
        <v>-4121.5</v>
      </c>
      <c r="E5" s="148">
        <f>'03'!F2</f>
        <v>35859.61</v>
      </c>
      <c r="F5" s="149">
        <f>'03'!G2</f>
        <v>-30109.3</v>
      </c>
      <c r="G5" s="151">
        <f t="shared" si="1"/>
        <v>35007.839999999997</v>
      </c>
      <c r="H5" s="36"/>
      <c r="I5" s="37" t="s">
        <v>218</v>
      </c>
      <c r="N5" s="2">
        <v>46.1</v>
      </c>
    </row>
    <row r="6" spans="1:14">
      <c r="A6" t="s">
        <v>131</v>
      </c>
      <c r="B6" s="148">
        <f>'04'!D2</f>
        <v>15937.59</v>
      </c>
      <c r="C6" s="149">
        <f>'04'!E2</f>
        <v>-11790.68</v>
      </c>
      <c r="D6" s="150">
        <f t="shared" si="0"/>
        <v>25.409999999999854</v>
      </c>
      <c r="E6" s="148">
        <f>'04'!F2</f>
        <v>17940.28</v>
      </c>
      <c r="F6" s="149">
        <f>'04'!G2</f>
        <v>-11140.68</v>
      </c>
      <c r="G6" s="151">
        <f t="shared" si="1"/>
        <v>41807.439999999995</v>
      </c>
      <c r="H6" s="36"/>
      <c r="I6" s="37" t="s">
        <v>140</v>
      </c>
      <c r="J6">
        <v>60</v>
      </c>
      <c r="M6" s="2">
        <v>6.5</v>
      </c>
    </row>
    <row r="7" spans="1:14">
      <c r="A7" t="s">
        <v>133</v>
      </c>
      <c r="B7" s="148">
        <f>'05'!D2</f>
        <v>11328.34</v>
      </c>
      <c r="C7" s="149">
        <f>'05'!E2</f>
        <v>-7712.66</v>
      </c>
      <c r="D7" s="150">
        <f t="shared" si="0"/>
        <v>3641.09</v>
      </c>
      <c r="E7" s="148">
        <f>'05'!F2</f>
        <v>9522.369999999999</v>
      </c>
      <c r="F7" s="149">
        <f>'05'!G2</f>
        <v>-7722.66</v>
      </c>
      <c r="G7" s="151">
        <f t="shared" si="1"/>
        <v>43607.149999999994</v>
      </c>
      <c r="H7" s="36"/>
      <c r="I7" s="37" t="s">
        <v>1139</v>
      </c>
      <c r="J7">
        <v>95</v>
      </c>
      <c r="M7" s="2">
        <v>23.75</v>
      </c>
    </row>
    <row r="8" spans="1:14">
      <c r="A8" t="s">
        <v>1140</v>
      </c>
      <c r="B8" s="148">
        <f>'06'!D2</f>
        <v>17837.05</v>
      </c>
      <c r="C8" s="149">
        <f>'06'!E2</f>
        <v>-28058.100000000002</v>
      </c>
      <c r="D8" s="150">
        <f t="shared" si="0"/>
        <v>-6579.9600000000028</v>
      </c>
      <c r="E8" s="148">
        <f>'06'!F2</f>
        <v>16654.189999999999</v>
      </c>
      <c r="F8" s="149">
        <f>'06'!G2</f>
        <v>-28058.1</v>
      </c>
      <c r="G8" s="151">
        <f t="shared" si="1"/>
        <v>32203.239999999994</v>
      </c>
      <c r="H8" s="36"/>
    </row>
    <row r="9" spans="1:14">
      <c r="A9" t="s">
        <v>1141</v>
      </c>
      <c r="B9" s="148">
        <f>'07'!D2</f>
        <v>27131.070000000003</v>
      </c>
      <c r="C9" s="149">
        <f>'07'!E2</f>
        <v>-17400.82</v>
      </c>
      <c r="D9" s="150">
        <f t="shared" si="0"/>
        <v>3150.2900000000009</v>
      </c>
      <c r="E9" s="148">
        <f>'07'!F2</f>
        <v>16133.3</v>
      </c>
      <c r="F9" s="149">
        <f>'07'!G2</f>
        <v>-20600.82</v>
      </c>
      <c r="G9" s="151">
        <f t="shared" si="1"/>
        <v>27735.719999999994</v>
      </c>
      <c r="H9" s="36"/>
      <c r="I9" s="37" t="s">
        <v>144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1142</v>
      </c>
      <c r="B10" s="148">
        <f>'08'!D2</f>
        <v>34617.910000000003</v>
      </c>
      <c r="C10" s="149">
        <f>'08'!E2</f>
        <v>-11695.349999999999</v>
      </c>
      <c r="D10" s="150">
        <f t="shared" si="0"/>
        <v>26072.850000000006</v>
      </c>
      <c r="E10" s="148">
        <f>'08'!F2</f>
        <v>102061.66</v>
      </c>
      <c r="F10" s="149">
        <f>'08'!G2</f>
        <v>-33894.33</v>
      </c>
      <c r="G10" s="151">
        <f t="shared" si="1"/>
        <v>95903.049999999988</v>
      </c>
      <c r="H10" s="36"/>
      <c r="I10" s="37" t="s">
        <v>148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141</v>
      </c>
      <c r="B11" s="148">
        <f>'09'!D2</f>
        <v>66162.31</v>
      </c>
      <c r="C11" s="149">
        <f>'09'!E2</f>
        <v>-61978.720000000001</v>
      </c>
      <c r="D11" s="150">
        <f t="shared" si="0"/>
        <v>30256.440000000002</v>
      </c>
      <c r="E11" s="148">
        <f>'09'!F2</f>
        <v>9260.5</v>
      </c>
      <c r="F11" s="149">
        <f>'09'!G2</f>
        <v>-25729.239999999998</v>
      </c>
      <c r="G11" s="151">
        <f t="shared" si="1"/>
        <v>79434.31</v>
      </c>
      <c r="H11" s="36"/>
      <c r="I11" s="37" t="s">
        <v>146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143</v>
      </c>
      <c r="B12" s="148">
        <f>'10'!D2</f>
        <v>23872.199999999997</v>
      </c>
      <c r="C12" s="149">
        <f>'10'!E2</f>
        <v>-33587.82</v>
      </c>
      <c r="D12" s="150">
        <f t="shared" si="0"/>
        <v>20540.82</v>
      </c>
      <c r="E12" s="148">
        <f>'10'!F2</f>
        <v>79418.41</v>
      </c>
      <c r="F12" s="149">
        <f>'10'!G2</f>
        <v>-90424.320000000007</v>
      </c>
      <c r="G12" s="151">
        <f t="shared" si="1"/>
        <v>68428.399999999994</v>
      </c>
      <c r="H12" s="36"/>
      <c r="I12" s="37" t="s">
        <v>138</v>
      </c>
      <c r="J12">
        <v>45</v>
      </c>
      <c r="K12" s="2">
        <f t="shared" si="2"/>
        <v>10.56195</v>
      </c>
      <c r="L12" s="2">
        <f t="shared" si="3"/>
        <v>34.438050000000004</v>
      </c>
      <c r="N12" s="270">
        <f>L15+M15+N15</f>
        <v>400.76679000000001</v>
      </c>
    </row>
    <row r="13" spans="1:14">
      <c r="A13" t="s">
        <v>145</v>
      </c>
      <c r="B13" s="148">
        <f>'11'!D2</f>
        <v>179191.62</v>
      </c>
      <c r="C13" s="149">
        <f>'11'!E2</f>
        <v>-14175.82</v>
      </c>
      <c r="D13" s="150">
        <f t="shared" si="0"/>
        <v>185556.62</v>
      </c>
      <c r="E13" s="148">
        <f>'11'!F2</f>
        <v>178439.6</v>
      </c>
      <c r="F13" s="149">
        <f>'11'!G2</f>
        <v>-18452.8</v>
      </c>
      <c r="G13" s="151">
        <f t="shared" si="1"/>
        <v>228415.2</v>
      </c>
      <c r="H13" s="36"/>
      <c r="I13" s="37" t="s">
        <v>128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271">
        <f>N12/12</f>
        <v>33.397232500000001</v>
      </c>
    </row>
    <row r="14" spans="1:14">
      <c r="A14" t="s">
        <v>147</v>
      </c>
      <c r="B14" s="148">
        <f>'22_12'!D2</f>
        <v>15475.960000000001</v>
      </c>
      <c r="C14" s="149">
        <f>'22_12'!E2</f>
        <v>-16961.339999999997</v>
      </c>
      <c r="D14" s="150">
        <f t="shared" si="0"/>
        <v>184071.24</v>
      </c>
      <c r="E14" s="148">
        <f>'22_12'!F2</f>
        <v>22052.39</v>
      </c>
      <c r="F14" s="149">
        <f>'22_12'!G2</f>
        <v>-21692.25</v>
      </c>
      <c r="G14" s="151">
        <f t="shared" si="1"/>
        <v>228775.34000000003</v>
      </c>
      <c r="H14" s="36"/>
      <c r="I14" s="37" t="s">
        <v>142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8" t="s">
        <v>191</v>
      </c>
      <c r="B15" s="154">
        <f>SUM(B3:B14)</f>
        <v>446314.05000000005</v>
      </c>
      <c r="C15" s="155">
        <f>SUM(C3:C14)</f>
        <v>-262242.81000000006</v>
      </c>
      <c r="D15" s="272">
        <f>B15+C15</f>
        <v>184071.24</v>
      </c>
      <c r="E15" s="154">
        <f>SUM(E3:E14)</f>
        <v>545372.04</v>
      </c>
      <c r="F15" s="155">
        <f>SUM(F3:F14)</f>
        <v>-316596.7</v>
      </c>
      <c r="G15" s="272">
        <f>E15+F15</f>
        <v>228775.34000000003</v>
      </c>
      <c r="H15" s="36"/>
      <c r="I15" s="157"/>
      <c r="J15" s="157">
        <f>SUM(J9:J14)</f>
        <v>351</v>
      </c>
      <c r="K15" s="273">
        <f>SUM(K9:K14)</f>
        <v>82.383210000000005</v>
      </c>
      <c r="L15" s="273">
        <f>SUM(L9:L14)</f>
        <v>268.61678999999998</v>
      </c>
      <c r="M15" s="273">
        <f>SUM(M3:M14)</f>
        <v>86.05</v>
      </c>
      <c r="N15" s="273">
        <f>SUM(N3:N7)</f>
        <v>46.1</v>
      </c>
    </row>
    <row r="16" spans="1:14">
      <c r="A16" s="274">
        <v>12</v>
      </c>
      <c r="B16" s="275">
        <f>B15/A16</f>
        <v>37192.837500000001</v>
      </c>
      <c r="C16" s="276">
        <f>C15/A16</f>
        <v>-21853.567500000005</v>
      </c>
      <c r="D16" s="276"/>
      <c r="E16" s="276">
        <f>E15/A16</f>
        <v>45447.670000000006</v>
      </c>
      <c r="F16" s="276">
        <f>F15/A16</f>
        <v>-26383.058333333334</v>
      </c>
      <c r="G16" s="276">
        <f>G15/A16</f>
        <v>19064.611666666668</v>
      </c>
      <c r="H16" s="58"/>
      <c r="I16" s="159"/>
      <c r="J16" s="276">
        <f>J15/12</f>
        <v>29.25</v>
      </c>
      <c r="K16" s="276">
        <f>K15/12</f>
        <v>6.8652675000000007</v>
      </c>
      <c r="L16" s="276">
        <f>L15/12</f>
        <v>22.384732499999998</v>
      </c>
      <c r="M16" s="276">
        <f>M15/12</f>
        <v>7.1708333333333334</v>
      </c>
      <c r="N16" s="276">
        <f>N15/12</f>
        <v>3.8416666666666668</v>
      </c>
    </row>
    <row r="17" spans="3:10">
      <c r="C17" s="2"/>
      <c r="D17" s="2"/>
      <c r="G17" s="65"/>
      <c r="H17" s="65"/>
      <c r="I17" s="37"/>
    </row>
    <row r="18" spans="3:10">
      <c r="J18" s="3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H76"/>
  <sheetViews>
    <sheetView topLeftCell="A10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24"/>
      <c r="F1" s="124" t="s">
        <v>120</v>
      </c>
      <c r="G1" s="277" t="s">
        <v>121</v>
      </c>
      <c r="H1" s="124" t="s">
        <v>3</v>
      </c>
    </row>
    <row r="2" spans="1:8">
      <c r="A2" s="3" t="s">
        <v>1143</v>
      </c>
      <c r="C2" s="87" t="s">
        <v>191</v>
      </c>
      <c r="D2" s="240">
        <f>SUM(D11:D62)</f>
        <v>15475.960000000001</v>
      </c>
      <c r="E2" s="240">
        <f>SUM(E11:E94)</f>
        <v>-16961.339999999997</v>
      </c>
      <c r="F2" s="240">
        <f>SUM(F11:F92)</f>
        <v>22052.39</v>
      </c>
      <c r="G2" s="278">
        <f>SUM(G11:G92)</f>
        <v>-21692.25</v>
      </c>
      <c r="H2" s="240">
        <f>F2+G2</f>
        <v>360.13999999999942</v>
      </c>
    </row>
    <row r="3" spans="1:8">
      <c r="B3" s="70"/>
      <c r="H3" s="65"/>
    </row>
    <row r="4" spans="1:8">
      <c r="B4" s="70"/>
      <c r="H4" s="65">
        <f>H3+F11+G11</f>
        <v>680</v>
      </c>
    </row>
    <row r="5" spans="1:8">
      <c r="A5" s="97">
        <v>44897</v>
      </c>
      <c r="B5" s="88" t="s">
        <v>1144</v>
      </c>
      <c r="C5" s="88"/>
      <c r="D5" s="88"/>
      <c r="E5" s="65">
        <v>-200</v>
      </c>
      <c r="G5" s="2">
        <v>-214</v>
      </c>
      <c r="H5" s="65">
        <f t="shared" ref="H5:H36" si="0">H4+F5+G5</f>
        <v>466</v>
      </c>
    </row>
    <row r="6" spans="1:8">
      <c r="A6" s="97">
        <v>44897</v>
      </c>
      <c r="B6" s="88" t="s">
        <v>1145</v>
      </c>
      <c r="C6" s="88"/>
      <c r="D6" s="88"/>
      <c r="E6" s="65">
        <v>-400</v>
      </c>
      <c r="G6" s="2">
        <v>-491</v>
      </c>
      <c r="H6" s="65">
        <f t="shared" si="0"/>
        <v>-25</v>
      </c>
    </row>
    <row r="7" spans="1:8">
      <c r="B7" s="94"/>
      <c r="C7" s="94"/>
      <c r="D7" s="94"/>
      <c r="E7" s="65"/>
      <c r="H7" s="65">
        <f t="shared" si="0"/>
        <v>-25</v>
      </c>
    </row>
    <row r="8" spans="1:8">
      <c r="A8" s="97">
        <v>44902</v>
      </c>
      <c r="B8" s="88" t="s">
        <v>1146</v>
      </c>
      <c r="C8" s="88"/>
      <c r="D8" s="88"/>
      <c r="E8" s="65">
        <v>-4300</v>
      </c>
      <c r="G8" s="2">
        <v>-4300</v>
      </c>
      <c r="H8" s="65">
        <f t="shared" si="0"/>
        <v>-4325</v>
      </c>
    </row>
    <row r="9" spans="1:8">
      <c r="A9" s="97">
        <v>44902</v>
      </c>
      <c r="B9" s="88" t="s">
        <v>1147</v>
      </c>
      <c r="C9" s="88"/>
      <c r="D9" s="88"/>
      <c r="E9" s="65">
        <v>-496.5</v>
      </c>
      <c r="G9" s="2">
        <v>-496.5</v>
      </c>
      <c r="H9" s="65">
        <f t="shared" si="0"/>
        <v>-4821.5</v>
      </c>
    </row>
    <row r="10" spans="1:8">
      <c r="B10" s="70"/>
      <c r="H10" s="65">
        <f t="shared" si="0"/>
        <v>-4821.5</v>
      </c>
    </row>
    <row r="11" spans="1:8">
      <c r="B11" s="37" t="s">
        <v>1148</v>
      </c>
      <c r="D11">
        <v>693.79</v>
      </c>
      <c r="F11" s="65">
        <v>680</v>
      </c>
      <c r="H11" s="65">
        <f t="shared" si="0"/>
        <v>-4141.5</v>
      </c>
    </row>
    <row r="12" spans="1:8">
      <c r="B12" s="37" t="s">
        <v>226</v>
      </c>
      <c r="D12">
        <v>1399.75</v>
      </c>
      <c r="E12" s="65"/>
      <c r="F12" s="65">
        <v>1400</v>
      </c>
      <c r="H12" s="65">
        <f t="shared" si="0"/>
        <v>-2741.5</v>
      </c>
    </row>
    <row r="13" spans="1:8">
      <c r="B13" s="37" t="s">
        <v>227</v>
      </c>
      <c r="D13">
        <v>295.51</v>
      </c>
      <c r="E13" s="65"/>
      <c r="F13" s="65">
        <v>295</v>
      </c>
      <c r="H13" s="65">
        <f t="shared" si="0"/>
        <v>-2446.5</v>
      </c>
    </row>
    <row r="14" spans="1:8">
      <c r="B14" s="37" t="s">
        <v>1149</v>
      </c>
      <c r="D14">
        <v>200</v>
      </c>
      <c r="E14" s="65"/>
      <c r="F14" s="261">
        <v>100</v>
      </c>
      <c r="H14" s="65">
        <f t="shared" si="0"/>
        <v>-2346.5</v>
      </c>
    </row>
    <row r="15" spans="1:8">
      <c r="B15" s="37" t="s">
        <v>228</v>
      </c>
      <c r="D15">
        <v>1681.84</v>
      </c>
      <c r="E15" s="65"/>
      <c r="F15" s="65">
        <v>1680</v>
      </c>
      <c r="H15" s="65">
        <f t="shared" si="0"/>
        <v>-666.5</v>
      </c>
    </row>
    <row r="16" spans="1:8">
      <c r="B16" s="37" t="s">
        <v>229</v>
      </c>
      <c r="D16">
        <v>1087.68</v>
      </c>
      <c r="F16" s="65">
        <v>1080</v>
      </c>
      <c r="H16" s="65">
        <f t="shared" si="0"/>
        <v>413.5</v>
      </c>
    </row>
    <row r="17" spans="1:8">
      <c r="B17" s="37" t="s">
        <v>1150</v>
      </c>
      <c r="C17" s="94"/>
      <c r="D17" s="94">
        <v>200</v>
      </c>
      <c r="E17" s="65"/>
      <c r="F17" s="65">
        <v>200</v>
      </c>
      <c r="H17" s="65">
        <f t="shared" si="0"/>
        <v>613.5</v>
      </c>
    </row>
    <row r="18" spans="1:8">
      <c r="B18" s="37" t="s">
        <v>230</v>
      </c>
      <c r="C18" s="94"/>
      <c r="D18" s="94">
        <v>217.89</v>
      </c>
      <c r="E18" s="65"/>
      <c r="F18" s="65">
        <v>217.89</v>
      </c>
      <c r="H18" s="65">
        <f t="shared" si="0"/>
        <v>831.39</v>
      </c>
    </row>
    <row r="19" spans="1:8">
      <c r="B19" s="94" t="s">
        <v>1151</v>
      </c>
      <c r="C19" s="94"/>
      <c r="D19" s="94"/>
      <c r="E19" s="65">
        <v>-4516</v>
      </c>
      <c r="F19" s="65"/>
      <c r="G19" s="2">
        <v>-4516</v>
      </c>
      <c r="H19" s="65">
        <f t="shared" si="0"/>
        <v>-3684.61</v>
      </c>
    </row>
    <row r="20" spans="1:8">
      <c r="B20" s="94"/>
      <c r="C20" s="94"/>
      <c r="D20" s="94"/>
      <c r="E20" s="84"/>
      <c r="F20" s="65"/>
      <c r="H20" s="65">
        <f t="shared" si="0"/>
        <v>-3684.61</v>
      </c>
    </row>
    <row r="21" spans="1:8">
      <c r="A21" s="97">
        <v>44866</v>
      </c>
      <c r="B21" s="94" t="s">
        <v>1152</v>
      </c>
      <c r="C21" s="94"/>
      <c r="D21" s="94"/>
      <c r="E21" s="65">
        <v>-208.17</v>
      </c>
      <c r="F21" s="65"/>
      <c r="H21" s="65">
        <f t="shared" si="0"/>
        <v>-3684.61</v>
      </c>
    </row>
    <row r="22" spans="1:8">
      <c r="A22" s="97">
        <v>44871</v>
      </c>
      <c r="B22" s="94" t="s">
        <v>1153</v>
      </c>
      <c r="C22" s="94"/>
      <c r="D22" s="94"/>
      <c r="E22" s="65">
        <v>-151.65</v>
      </c>
      <c r="F22" s="65"/>
      <c r="H22" s="65">
        <f t="shared" si="0"/>
        <v>-3684.61</v>
      </c>
    </row>
    <row r="23" spans="1:8">
      <c r="A23" s="97">
        <v>44860</v>
      </c>
      <c r="B23" t="s">
        <v>1154</v>
      </c>
      <c r="E23" s="65">
        <v>-40</v>
      </c>
      <c r="F23" s="65"/>
      <c r="H23" s="65">
        <f t="shared" si="0"/>
        <v>-3684.61</v>
      </c>
    </row>
    <row r="24" spans="1:8">
      <c r="A24" s="97">
        <v>44868</v>
      </c>
      <c r="B24" s="103" t="s">
        <v>1155</v>
      </c>
      <c r="C24" s="94"/>
      <c r="D24" s="94"/>
      <c r="E24" s="65">
        <v>-173.67</v>
      </c>
      <c r="F24" s="65"/>
      <c r="H24" s="65">
        <f t="shared" si="0"/>
        <v>-3684.61</v>
      </c>
    </row>
    <row r="25" spans="1:8">
      <c r="A25" s="97">
        <v>44870</v>
      </c>
      <c r="B25" s="94" t="s">
        <v>1156</v>
      </c>
      <c r="C25" s="94"/>
      <c r="D25" s="94"/>
      <c r="E25" s="65">
        <v>-398.07</v>
      </c>
      <c r="F25" s="65"/>
      <c r="H25" s="65">
        <f t="shared" si="0"/>
        <v>-3684.61</v>
      </c>
    </row>
    <row r="26" spans="1:8">
      <c r="A26" s="97">
        <v>44873</v>
      </c>
      <c r="B26" t="s">
        <v>1157</v>
      </c>
      <c r="C26" s="94"/>
      <c r="D26" s="94"/>
      <c r="E26" s="65">
        <v>-1111.1099999999999</v>
      </c>
      <c r="F26" s="65"/>
      <c r="H26" s="65">
        <f t="shared" si="0"/>
        <v>-3684.61</v>
      </c>
    </row>
    <row r="27" spans="1:8">
      <c r="A27" s="97">
        <v>44888</v>
      </c>
      <c r="B27" t="s">
        <v>1158</v>
      </c>
      <c r="C27" s="94"/>
      <c r="D27" s="94"/>
      <c r="E27" s="65"/>
      <c r="F27" s="262">
        <v>1150</v>
      </c>
      <c r="H27" s="65">
        <f t="shared" si="0"/>
        <v>-2534.61</v>
      </c>
    </row>
    <row r="28" spans="1:8">
      <c r="A28" s="97">
        <v>44875</v>
      </c>
      <c r="B28" s="94" t="s">
        <v>1159</v>
      </c>
      <c r="C28" s="94"/>
      <c r="D28" s="94"/>
      <c r="E28" s="65">
        <v>-279.99</v>
      </c>
      <c r="F28" s="65"/>
      <c r="H28" s="65">
        <f t="shared" si="0"/>
        <v>-2534.61</v>
      </c>
    </row>
    <row r="29" spans="1:8">
      <c r="A29" s="97">
        <v>44875</v>
      </c>
      <c r="B29" s="94" t="s">
        <v>1160</v>
      </c>
      <c r="C29" s="94"/>
      <c r="D29" s="94"/>
      <c r="E29" s="65">
        <v>-89</v>
      </c>
      <c r="F29" s="65"/>
      <c r="H29" s="65">
        <f t="shared" si="0"/>
        <v>-2534.61</v>
      </c>
    </row>
    <row r="30" spans="1:8">
      <c r="A30" s="97">
        <v>44875</v>
      </c>
      <c r="B30" s="94" t="s">
        <v>1161</v>
      </c>
      <c r="C30" s="94"/>
      <c r="D30" s="94"/>
      <c r="E30" s="65">
        <v>-189.9</v>
      </c>
      <c r="F30" s="65"/>
      <c r="H30" s="65">
        <f t="shared" si="0"/>
        <v>-2534.61</v>
      </c>
    </row>
    <row r="31" spans="1:8">
      <c r="A31" s="97">
        <v>44875</v>
      </c>
      <c r="B31" s="94" t="s">
        <v>1162</v>
      </c>
      <c r="C31" s="94"/>
      <c r="D31" s="94"/>
      <c r="E31" s="65">
        <v>-2146.5</v>
      </c>
      <c r="F31" s="65"/>
      <c r="H31" s="65">
        <f t="shared" si="0"/>
        <v>-2534.61</v>
      </c>
    </row>
    <row r="32" spans="1:8">
      <c r="A32" s="97">
        <v>44875</v>
      </c>
      <c r="B32" s="94" t="s">
        <v>1162</v>
      </c>
      <c r="C32" s="94"/>
      <c r="D32" s="94"/>
      <c r="E32" s="65">
        <v>-275</v>
      </c>
      <c r="F32" s="65"/>
      <c r="H32" s="65">
        <f t="shared" si="0"/>
        <v>-2534.61</v>
      </c>
    </row>
    <row r="33" spans="1:8">
      <c r="A33" s="97">
        <v>44877</v>
      </c>
      <c r="B33" s="103" t="s">
        <v>1163</v>
      </c>
      <c r="C33" s="94"/>
      <c r="D33" s="94"/>
      <c r="E33" s="65">
        <v>-189.66</v>
      </c>
      <c r="F33" s="65"/>
      <c r="H33" s="65">
        <f t="shared" si="0"/>
        <v>-2534.61</v>
      </c>
    </row>
    <row r="34" spans="1:8">
      <c r="A34" s="97">
        <v>44879</v>
      </c>
      <c r="B34" s="94" t="s">
        <v>1164</v>
      </c>
      <c r="C34" s="94"/>
      <c r="D34" s="94"/>
      <c r="E34" s="65">
        <v>-1720</v>
      </c>
      <c r="F34" s="65"/>
      <c r="H34" s="65">
        <f t="shared" si="0"/>
        <v>-2534.61</v>
      </c>
    </row>
    <row r="35" spans="1:8">
      <c r="A35" s="97">
        <v>44882</v>
      </c>
      <c r="B35" s="103" t="s">
        <v>1165</v>
      </c>
      <c r="C35" s="94"/>
      <c r="D35" s="94"/>
      <c r="E35" s="65">
        <f>-204.04</f>
        <v>-204.04</v>
      </c>
      <c r="F35" s="65"/>
      <c r="H35" s="65">
        <f t="shared" si="0"/>
        <v>-2534.61</v>
      </c>
    </row>
    <row r="36" spans="1:8">
      <c r="A36" s="97">
        <v>44887</v>
      </c>
      <c r="B36" s="94" t="s">
        <v>1166</v>
      </c>
      <c r="C36" s="94"/>
      <c r="D36" s="94"/>
      <c r="E36" s="65">
        <v>-90</v>
      </c>
      <c r="F36" s="65"/>
      <c r="H36" s="65">
        <f t="shared" si="0"/>
        <v>-2534.61</v>
      </c>
    </row>
    <row r="37" spans="1:8">
      <c r="A37" s="97">
        <v>44887</v>
      </c>
      <c r="B37" s="94" t="s">
        <v>1167</v>
      </c>
      <c r="C37" s="94"/>
      <c r="D37" s="94"/>
      <c r="E37" s="65">
        <v>-678.58</v>
      </c>
      <c r="F37" s="65"/>
      <c r="H37" s="65">
        <f t="shared" ref="H37:H65" si="1">H36+F37+G37</f>
        <v>-2534.61</v>
      </c>
    </row>
    <row r="38" spans="1:8">
      <c r="A38" s="97">
        <v>44900</v>
      </c>
      <c r="B38" s="94" t="s">
        <v>1168</v>
      </c>
      <c r="C38" s="94"/>
      <c r="D38" s="94"/>
      <c r="E38" s="84"/>
      <c r="F38" s="65"/>
      <c r="G38" s="2">
        <v>-7945.34</v>
      </c>
      <c r="H38" s="65">
        <f t="shared" si="1"/>
        <v>-10479.950000000001</v>
      </c>
    </row>
    <row r="39" spans="1:8">
      <c r="A39" s="97"/>
      <c r="B39" s="94"/>
      <c r="C39" s="94"/>
      <c r="D39" s="94"/>
      <c r="E39" s="84"/>
      <c r="F39" s="65"/>
      <c r="H39" s="65">
        <f t="shared" si="1"/>
        <v>-10479.950000000001</v>
      </c>
    </row>
    <row r="40" spans="1:8">
      <c r="A40" s="97">
        <v>44907</v>
      </c>
      <c r="B40" s="94" t="s">
        <v>1169</v>
      </c>
      <c r="C40" s="94"/>
      <c r="D40" s="94"/>
      <c r="E40" s="84"/>
      <c r="F40" s="65"/>
      <c r="G40" s="2">
        <v>-1000</v>
      </c>
      <c r="H40" s="65">
        <f t="shared" si="1"/>
        <v>-11479.95</v>
      </c>
    </row>
    <row r="41" spans="1:8">
      <c r="A41" s="97">
        <v>44911</v>
      </c>
      <c r="B41" s="94" t="s">
        <v>1170</v>
      </c>
      <c r="C41" s="94"/>
      <c r="D41" s="65">
        <v>-200</v>
      </c>
      <c r="E41" s="84"/>
      <c r="F41" s="65"/>
      <c r="G41" s="2">
        <v>-1012.5</v>
      </c>
      <c r="H41" s="65">
        <f t="shared" si="1"/>
        <v>-12492.45</v>
      </c>
    </row>
    <row r="42" spans="1:8">
      <c r="A42" s="97">
        <v>44911</v>
      </c>
      <c r="B42" s="94" t="s">
        <v>1171</v>
      </c>
      <c r="C42" s="94"/>
      <c r="D42" s="65">
        <v>-50</v>
      </c>
      <c r="E42" s="84"/>
      <c r="F42" s="65"/>
      <c r="G42" s="2">
        <v>-96.5</v>
      </c>
      <c r="H42" s="65">
        <f t="shared" si="1"/>
        <v>-12588.95</v>
      </c>
    </row>
    <row r="43" spans="1:8">
      <c r="A43" s="97">
        <v>44911</v>
      </c>
      <c r="B43" s="94" t="s">
        <v>1172</v>
      </c>
      <c r="C43" s="94"/>
      <c r="D43" s="94"/>
      <c r="E43" s="84"/>
      <c r="F43" s="65"/>
      <c r="G43" s="2">
        <v>-123</v>
      </c>
      <c r="H43" s="65">
        <f t="shared" si="1"/>
        <v>-12711.95</v>
      </c>
    </row>
    <row r="44" spans="1:8">
      <c r="A44" s="97">
        <v>44914</v>
      </c>
      <c r="B44" s="94" t="s">
        <v>1173</v>
      </c>
      <c r="C44" s="94"/>
      <c r="D44" s="94"/>
      <c r="E44" s="84"/>
      <c r="F44" s="262">
        <v>2500</v>
      </c>
      <c r="H44" s="65">
        <f t="shared" si="1"/>
        <v>-10211.950000000001</v>
      </c>
    </row>
    <row r="45" spans="1:8">
      <c r="A45" s="97"/>
      <c r="B45" s="94"/>
      <c r="C45" s="94"/>
      <c r="D45" s="94"/>
      <c r="E45" s="84"/>
      <c r="F45" s="65"/>
      <c r="H45" s="65">
        <f t="shared" si="1"/>
        <v>-10211.950000000001</v>
      </c>
    </row>
    <row r="46" spans="1:8">
      <c r="A46" s="97">
        <v>44908</v>
      </c>
      <c r="B46" s="103" t="s">
        <v>1174</v>
      </c>
      <c r="C46" s="94" t="s">
        <v>1175</v>
      </c>
      <c r="D46" s="94"/>
      <c r="E46" s="84"/>
      <c r="F46" s="65"/>
      <c r="G46" s="2">
        <v>-140</v>
      </c>
      <c r="H46" s="65">
        <f t="shared" si="1"/>
        <v>-10351.950000000001</v>
      </c>
    </row>
    <row r="47" spans="1:8">
      <c r="A47" s="97">
        <v>44910</v>
      </c>
      <c r="B47" s="103" t="s">
        <v>1176</v>
      </c>
      <c r="C47" s="94" t="s">
        <v>1175</v>
      </c>
      <c r="D47" s="94"/>
      <c r="E47" s="84"/>
      <c r="F47" s="65"/>
      <c r="G47" s="2">
        <v>-170</v>
      </c>
      <c r="H47" s="65">
        <f t="shared" si="1"/>
        <v>-10521.95</v>
      </c>
    </row>
    <row r="48" spans="1:8">
      <c r="A48" s="97">
        <v>44921</v>
      </c>
      <c r="B48" s="94" t="s">
        <v>1177</v>
      </c>
      <c r="C48" s="94" t="s">
        <v>1178</v>
      </c>
      <c r="D48" s="94"/>
      <c r="E48" s="84"/>
      <c r="F48" s="65"/>
      <c r="G48" s="2">
        <v>-114.91</v>
      </c>
      <c r="H48" s="65">
        <f t="shared" si="1"/>
        <v>-10636.86</v>
      </c>
    </row>
    <row r="49" spans="1:8">
      <c r="A49" s="97"/>
      <c r="B49" s="103"/>
      <c r="C49" s="94"/>
      <c r="D49" s="94"/>
      <c r="E49" s="84"/>
      <c r="F49" s="65"/>
      <c r="H49" s="65">
        <f t="shared" si="1"/>
        <v>-10636.86</v>
      </c>
    </row>
    <row r="50" spans="1:8">
      <c r="A50" s="97">
        <v>44925</v>
      </c>
      <c r="B50" s="103" t="s">
        <v>1179</v>
      </c>
      <c r="C50" s="94"/>
      <c r="D50" s="94"/>
      <c r="E50" s="84"/>
      <c r="F50" s="65"/>
      <c r="G50" s="2">
        <v>-350</v>
      </c>
      <c r="H50" s="65">
        <f t="shared" si="1"/>
        <v>-10986.86</v>
      </c>
    </row>
    <row r="51" spans="1:8">
      <c r="B51" t="s">
        <v>84</v>
      </c>
      <c r="E51" s="84">
        <v>-1500</v>
      </c>
      <c r="F51" s="65"/>
      <c r="G51" s="2">
        <v>-2112</v>
      </c>
      <c r="H51" s="65">
        <f t="shared" si="1"/>
        <v>-13098.86</v>
      </c>
    </row>
    <row r="52" spans="1:8">
      <c r="B52" t="s">
        <v>172</v>
      </c>
      <c r="E52" s="84">
        <v>-1500</v>
      </c>
      <c r="F52" s="65"/>
      <c r="G52" s="2">
        <v>-2112</v>
      </c>
      <c r="H52" s="65">
        <f t="shared" si="1"/>
        <v>-15210.86</v>
      </c>
    </row>
    <row r="53" spans="1:8">
      <c r="B53" t="s">
        <v>217</v>
      </c>
      <c r="E53" s="84">
        <v>-1500</v>
      </c>
      <c r="F53" s="65"/>
      <c r="G53" s="2">
        <v>-1500</v>
      </c>
      <c r="H53" s="65">
        <f t="shared" si="1"/>
        <v>-16710.86</v>
      </c>
    </row>
    <row r="54" spans="1:8">
      <c r="B54" s="94"/>
      <c r="C54" s="94"/>
      <c r="D54" s="94"/>
      <c r="E54" s="65"/>
      <c r="F54" s="65"/>
      <c r="H54" s="65">
        <f t="shared" si="1"/>
        <v>-16710.86</v>
      </c>
    </row>
    <row r="55" spans="1:8">
      <c r="B55" t="s">
        <v>218</v>
      </c>
      <c r="D55" s="121">
        <v>4299.5</v>
      </c>
      <c r="F55" s="65">
        <v>4299.5</v>
      </c>
      <c r="H55" s="65">
        <f t="shared" si="1"/>
        <v>-12411.36</v>
      </c>
    </row>
    <row r="56" spans="1:8">
      <c r="A56" s="97">
        <v>44912</v>
      </c>
      <c r="B56" t="s">
        <v>219</v>
      </c>
      <c r="D56" s="121">
        <v>1650</v>
      </c>
      <c r="F56" s="65">
        <v>1650</v>
      </c>
      <c r="H56" s="65">
        <f t="shared" si="1"/>
        <v>-10761.36</v>
      </c>
    </row>
    <row r="57" spans="1:8">
      <c r="A57" s="97"/>
      <c r="B57" t="s">
        <v>1180</v>
      </c>
      <c r="D57" s="121">
        <v>3000</v>
      </c>
      <c r="F57" s="65">
        <v>3000</v>
      </c>
      <c r="H57" s="65">
        <f t="shared" si="1"/>
        <v>-7761.3600000000006</v>
      </c>
    </row>
    <row r="58" spans="1:8">
      <c r="B58" t="s">
        <v>1181</v>
      </c>
      <c r="D58" s="102">
        <v>1000</v>
      </c>
      <c r="H58" s="65">
        <f t="shared" si="1"/>
        <v>-7761.3600000000006</v>
      </c>
    </row>
    <row r="59" spans="1:8">
      <c r="D59" s="102"/>
      <c r="F59" s="65"/>
      <c r="H59" s="65">
        <f t="shared" si="1"/>
        <v>-7761.3600000000006</v>
      </c>
    </row>
    <row r="60" spans="1:8">
      <c r="A60" s="97">
        <v>44921</v>
      </c>
      <c r="B60" t="s">
        <v>1182</v>
      </c>
      <c r="D60" s="102"/>
      <c r="F60" s="2">
        <v>3300</v>
      </c>
      <c r="H60" s="65">
        <f t="shared" si="1"/>
        <v>-4461.3600000000006</v>
      </c>
    </row>
    <row r="61" spans="1:8">
      <c r="A61" s="97">
        <v>44922</v>
      </c>
      <c r="B61" t="s">
        <v>1183</v>
      </c>
      <c r="D61" s="65"/>
      <c r="F61" s="65">
        <v>500</v>
      </c>
      <c r="H61" s="65">
        <f t="shared" si="1"/>
        <v>-3961.3600000000006</v>
      </c>
    </row>
    <row r="62" spans="1:8">
      <c r="A62" s="97">
        <v>44922</v>
      </c>
      <c r="B62" s="94" t="s">
        <v>1184</v>
      </c>
      <c r="C62" s="94"/>
      <c r="D62" s="94"/>
      <c r="E62" s="84"/>
      <c r="F62" s="65"/>
      <c r="G62" s="65">
        <v>-500</v>
      </c>
      <c r="H62" s="65">
        <f t="shared" si="1"/>
        <v>-4461.3600000000006</v>
      </c>
    </row>
    <row r="63" spans="1:8">
      <c r="E63" s="65"/>
      <c r="H63" s="65">
        <f t="shared" si="1"/>
        <v>-4461.3600000000006</v>
      </c>
    </row>
    <row r="64" spans="1:8">
      <c r="B64" t="s">
        <v>1185</v>
      </c>
      <c r="E64" s="65"/>
      <c r="H64" s="65">
        <f t="shared" si="1"/>
        <v>-4461.3600000000006</v>
      </c>
    </row>
    <row r="65" spans="1:8">
      <c r="E65" s="65"/>
      <c r="H65" s="65">
        <f t="shared" si="1"/>
        <v>-4461.3600000000006</v>
      </c>
    </row>
    <row r="66" spans="1:8">
      <c r="E66" s="65"/>
      <c r="H66" s="65"/>
    </row>
    <row r="67" spans="1:8">
      <c r="H67" s="65"/>
    </row>
    <row r="68" spans="1:8">
      <c r="A68" s="211"/>
      <c r="B68" s="211"/>
      <c r="C68" s="211"/>
      <c r="D68" s="211"/>
      <c r="E68" s="65"/>
      <c r="H68" s="65"/>
    </row>
    <row r="69" spans="1:8">
      <c r="A69" s="279">
        <v>44871</v>
      </c>
      <c r="B69" s="211" t="s">
        <v>1186</v>
      </c>
      <c r="C69" s="211"/>
      <c r="D69" s="260">
        <v>200</v>
      </c>
      <c r="E69" s="65" t="s">
        <v>1187</v>
      </c>
      <c r="H69" s="65"/>
    </row>
    <row r="70" spans="1:8">
      <c r="A70" s="279">
        <v>44839</v>
      </c>
      <c r="B70" s="211" t="s">
        <v>1188</v>
      </c>
      <c r="C70" s="211"/>
      <c r="D70" s="260">
        <v>200</v>
      </c>
      <c r="E70" s="65" t="s">
        <v>1187</v>
      </c>
      <c r="H70" s="65"/>
    </row>
    <row r="71" spans="1:8">
      <c r="A71" s="279"/>
      <c r="B71" s="211"/>
      <c r="C71" s="211"/>
      <c r="D71" s="280"/>
      <c r="E71" s="65"/>
      <c r="H71" s="65"/>
    </row>
    <row r="72" spans="1:8">
      <c r="A72" s="279">
        <v>44650</v>
      </c>
      <c r="B72" s="211" t="s">
        <v>1068</v>
      </c>
      <c r="C72" s="211">
        <v>3</v>
      </c>
      <c r="D72" t="s">
        <v>1189</v>
      </c>
      <c r="E72" s="65"/>
    </row>
    <row r="73" spans="1:8">
      <c r="A73" s="279">
        <v>44844</v>
      </c>
      <c r="B73" s="211" t="s">
        <v>1070</v>
      </c>
      <c r="C73" s="98"/>
      <c r="D73" t="s">
        <v>1071</v>
      </c>
    </row>
    <row r="74" spans="1:8">
      <c r="D74" s="65"/>
    </row>
    <row r="76" spans="1:8">
      <c r="D76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1190</v>
      </c>
      <c r="C2" s="87" t="s">
        <v>191</v>
      </c>
      <c r="D2" s="240">
        <f>SUM(D4:D52)</f>
        <v>179191.62</v>
      </c>
      <c r="E2" s="240">
        <f>SUM(E4:E73)</f>
        <v>-14175.82</v>
      </c>
      <c r="F2" s="240">
        <f>SUM(F4:F71)</f>
        <v>178439.6</v>
      </c>
      <c r="G2" s="240">
        <f>SUM(G4:G71)</f>
        <v>-18452.8</v>
      </c>
      <c r="H2" s="240">
        <f>F2+G2</f>
        <v>159986.80000000002</v>
      </c>
    </row>
    <row r="3" spans="1:8">
      <c r="B3" s="70"/>
      <c r="D3" s="121"/>
      <c r="E3" s="121"/>
      <c r="F3" s="121"/>
      <c r="G3" s="121"/>
      <c r="H3" s="65"/>
    </row>
    <row r="4" spans="1:8">
      <c r="D4" s="121"/>
      <c r="E4" s="121"/>
      <c r="F4" s="102"/>
      <c r="G4" s="121"/>
      <c r="H4" s="65">
        <f t="shared" ref="H4:H35" si="0">H3+F4+G4</f>
        <v>0</v>
      </c>
    </row>
    <row r="5" spans="1:8">
      <c r="A5" s="97">
        <v>44874</v>
      </c>
      <c r="B5" t="s">
        <v>226</v>
      </c>
      <c r="D5" s="121">
        <v>1221.4100000000001</v>
      </c>
      <c r="E5" s="121"/>
      <c r="F5" s="121">
        <v>1220</v>
      </c>
      <c r="G5" s="121"/>
      <c r="H5" s="65">
        <f t="shared" si="0"/>
        <v>1220</v>
      </c>
    </row>
    <row r="6" spans="1:8">
      <c r="A6" s="97">
        <v>44874</v>
      </c>
      <c r="B6" t="s">
        <v>227</v>
      </c>
      <c r="D6" s="121">
        <v>98.9</v>
      </c>
      <c r="E6" s="121"/>
      <c r="F6" s="121">
        <v>98</v>
      </c>
      <c r="G6" s="121"/>
      <c r="H6" s="65">
        <f t="shared" si="0"/>
        <v>1318</v>
      </c>
    </row>
    <row r="7" spans="1:8">
      <c r="A7" s="97">
        <v>44871</v>
      </c>
      <c r="B7" t="s">
        <v>1186</v>
      </c>
      <c r="D7" s="102">
        <v>200</v>
      </c>
      <c r="E7" s="121"/>
      <c r="F7" s="121"/>
      <c r="G7" s="121"/>
      <c r="H7" s="65">
        <f t="shared" si="0"/>
        <v>1318</v>
      </c>
    </row>
    <row r="8" spans="1:8">
      <c r="A8" s="97">
        <v>44874</v>
      </c>
      <c r="B8" t="s">
        <v>228</v>
      </c>
      <c r="D8" s="121">
        <v>1182.1600000000001</v>
      </c>
      <c r="E8" s="121"/>
      <c r="F8" s="121">
        <v>1182.1500000000001</v>
      </c>
      <c r="G8" s="121"/>
      <c r="H8" s="65">
        <f t="shared" si="0"/>
        <v>2500.15</v>
      </c>
    </row>
    <row r="9" spans="1:8">
      <c r="A9" s="97">
        <v>44874</v>
      </c>
      <c r="B9" t="s">
        <v>229</v>
      </c>
      <c r="D9" s="121">
        <v>289.7</v>
      </c>
      <c r="E9" s="121"/>
      <c r="F9" s="121">
        <v>290</v>
      </c>
      <c r="G9" s="121"/>
      <c r="H9" s="65">
        <f t="shared" si="0"/>
        <v>2790.15</v>
      </c>
    </row>
    <row r="10" spans="1:8">
      <c r="A10" s="97">
        <v>44874</v>
      </c>
      <c r="B10" t="s">
        <v>1191</v>
      </c>
      <c r="D10" s="121">
        <v>200</v>
      </c>
      <c r="E10" s="121"/>
      <c r="F10" s="121">
        <v>200</v>
      </c>
      <c r="G10" s="121"/>
      <c r="H10" s="65">
        <f t="shared" si="0"/>
        <v>2990.15</v>
      </c>
    </row>
    <row r="11" spans="1:8">
      <c r="A11" s="97">
        <v>44874</v>
      </c>
      <c r="B11" t="s">
        <v>230</v>
      </c>
      <c r="D11" s="121">
        <v>49.95</v>
      </c>
      <c r="E11" s="121"/>
      <c r="F11" s="121">
        <v>49.95</v>
      </c>
      <c r="G11" s="121"/>
      <c r="H11" s="65">
        <f t="shared" si="0"/>
        <v>3040.1</v>
      </c>
    </row>
    <row r="12" spans="1:8">
      <c r="A12" s="97">
        <v>44875</v>
      </c>
      <c r="B12" s="94" t="s">
        <v>1151</v>
      </c>
      <c r="C12" s="94"/>
      <c r="D12" s="281"/>
      <c r="E12" s="121">
        <v>-1500</v>
      </c>
      <c r="F12" s="121"/>
      <c r="G12" s="121">
        <v>-2334</v>
      </c>
      <c r="H12" s="65">
        <f t="shared" si="0"/>
        <v>706.09999999999991</v>
      </c>
    </row>
    <row r="13" spans="1:8">
      <c r="A13" s="97">
        <v>44872</v>
      </c>
      <c r="B13" t="s">
        <v>1192</v>
      </c>
      <c r="D13" s="121"/>
      <c r="E13" s="121"/>
      <c r="F13" s="121">
        <v>200</v>
      </c>
      <c r="G13" s="121"/>
      <c r="H13" s="65">
        <f t="shared" si="0"/>
        <v>906.09999999999991</v>
      </c>
    </row>
    <row r="14" spans="1:8">
      <c r="D14" s="121"/>
      <c r="E14" s="121"/>
      <c r="F14" s="121"/>
      <c r="G14" s="121"/>
      <c r="H14" s="65">
        <f t="shared" si="0"/>
        <v>906.09999999999991</v>
      </c>
    </row>
    <row r="15" spans="1:8">
      <c r="A15" s="97">
        <v>44868</v>
      </c>
      <c r="B15" s="88" t="s">
        <v>1144</v>
      </c>
      <c r="C15" s="88"/>
      <c r="D15" s="281"/>
      <c r="E15" s="121">
        <v>-200</v>
      </c>
      <c r="F15" s="121"/>
      <c r="G15" s="121">
        <v>-255</v>
      </c>
      <c r="H15" s="65">
        <f t="shared" si="0"/>
        <v>651.09999999999991</v>
      </c>
    </row>
    <row r="16" spans="1:8">
      <c r="A16" s="97">
        <v>44868</v>
      </c>
      <c r="B16" s="88" t="s">
        <v>1145</v>
      </c>
      <c r="C16" s="88"/>
      <c r="D16" s="281"/>
      <c r="E16" s="121">
        <v>-400</v>
      </c>
      <c r="F16" s="121"/>
      <c r="G16" s="121">
        <v>-536</v>
      </c>
      <c r="H16" s="65">
        <f t="shared" si="0"/>
        <v>115.09999999999991</v>
      </c>
    </row>
    <row r="17" spans="1:8">
      <c r="B17" s="88"/>
      <c r="C17" s="88"/>
      <c r="D17" s="281"/>
      <c r="E17" s="102"/>
      <c r="F17" s="121"/>
      <c r="G17" s="121"/>
      <c r="H17" s="65">
        <f t="shared" si="0"/>
        <v>115.09999999999991</v>
      </c>
    </row>
    <row r="18" spans="1:8">
      <c r="A18" s="97">
        <v>44873</v>
      </c>
      <c r="B18" s="88" t="s">
        <v>1193</v>
      </c>
      <c r="C18" s="88"/>
      <c r="D18" s="281"/>
      <c r="E18" s="102"/>
      <c r="F18" s="121"/>
      <c r="G18" s="121">
        <v>-1250</v>
      </c>
      <c r="H18" s="65">
        <f t="shared" si="0"/>
        <v>-1134.9000000000001</v>
      </c>
    </row>
    <row r="19" spans="1:8">
      <c r="B19" s="94" t="s">
        <v>1194</v>
      </c>
      <c r="C19" s="94"/>
      <c r="D19" s="281"/>
      <c r="E19" s="102"/>
      <c r="F19" s="282">
        <v>1250</v>
      </c>
      <c r="G19" s="121"/>
      <c r="H19" s="65">
        <f t="shared" si="0"/>
        <v>115.09999999999991</v>
      </c>
    </row>
    <row r="20" spans="1:8">
      <c r="A20" s="97">
        <v>44872</v>
      </c>
      <c r="B20" s="88" t="s">
        <v>1195</v>
      </c>
      <c r="C20" s="88"/>
      <c r="D20" s="281"/>
      <c r="E20" s="121">
        <v>-4300</v>
      </c>
      <c r="F20" s="102"/>
      <c r="G20" s="121">
        <v>-4150</v>
      </c>
      <c r="H20" s="65">
        <f t="shared" si="0"/>
        <v>-4034.9</v>
      </c>
    </row>
    <row r="21" spans="1:8">
      <c r="A21" s="97">
        <v>44872</v>
      </c>
      <c r="B21" s="88" t="s">
        <v>1196</v>
      </c>
      <c r="C21" s="88"/>
      <c r="D21" s="281"/>
      <c r="E21" s="121">
        <v>-496.5</v>
      </c>
      <c r="F21" s="102"/>
      <c r="G21" s="121">
        <v>-496.5</v>
      </c>
      <c r="H21" s="65">
        <f t="shared" si="0"/>
        <v>-4531.3999999999996</v>
      </c>
    </row>
    <row r="22" spans="1:8">
      <c r="B22" s="94"/>
      <c r="C22" s="94"/>
      <c r="D22" s="281"/>
      <c r="E22" s="102"/>
      <c r="F22" s="121"/>
      <c r="G22" s="121"/>
      <c r="H22" s="65">
        <f t="shared" si="0"/>
        <v>-4531.3999999999996</v>
      </c>
    </row>
    <row r="23" spans="1:8">
      <c r="A23" s="97">
        <v>44830</v>
      </c>
      <c r="B23" s="94" t="s">
        <v>1197</v>
      </c>
      <c r="C23" s="94"/>
      <c r="D23" s="281"/>
      <c r="E23" s="121">
        <v>-112.67</v>
      </c>
      <c r="F23" s="121"/>
      <c r="G23" s="121"/>
      <c r="H23" s="65">
        <f t="shared" si="0"/>
        <v>-4531.3999999999996</v>
      </c>
    </row>
    <row r="24" spans="1:8">
      <c r="A24" s="97">
        <v>44835</v>
      </c>
      <c r="B24" s="94" t="s">
        <v>1198</v>
      </c>
      <c r="C24" s="94"/>
      <c r="D24" s="281"/>
      <c r="E24" s="121">
        <v>-754.45</v>
      </c>
      <c r="F24" s="121"/>
      <c r="G24" s="121"/>
      <c r="H24" s="65">
        <f t="shared" si="0"/>
        <v>-4531.3999999999996</v>
      </c>
    </row>
    <row r="25" spans="1:8">
      <c r="A25" s="97">
        <v>44835</v>
      </c>
      <c r="B25" s="94" t="s">
        <v>1199</v>
      </c>
      <c r="C25" s="94"/>
      <c r="D25" s="281"/>
      <c r="E25" s="121">
        <v>-208.17</v>
      </c>
      <c r="F25" s="121"/>
      <c r="G25" s="121"/>
      <c r="H25" s="65">
        <f t="shared" si="0"/>
        <v>-4531.3999999999996</v>
      </c>
    </row>
    <row r="26" spans="1:8">
      <c r="A26" s="97">
        <v>44840</v>
      </c>
      <c r="B26" s="94" t="s">
        <v>1200</v>
      </c>
      <c r="C26" s="94"/>
      <c r="D26" s="281"/>
      <c r="E26" s="121">
        <v>-151.65</v>
      </c>
      <c r="F26" s="121"/>
      <c r="G26" s="121"/>
      <c r="H26" s="65">
        <f t="shared" si="0"/>
        <v>-4531.3999999999996</v>
      </c>
    </row>
    <row r="27" spans="1:8">
      <c r="A27" s="97">
        <v>44833</v>
      </c>
      <c r="B27" t="s">
        <v>1201</v>
      </c>
      <c r="D27" s="121"/>
      <c r="E27" s="121">
        <v>-721.38</v>
      </c>
      <c r="F27" s="121"/>
      <c r="G27" s="121"/>
      <c r="H27" s="65">
        <f t="shared" si="0"/>
        <v>-4531.3999999999996</v>
      </c>
    </row>
    <row r="28" spans="1:8">
      <c r="A28" s="97">
        <v>44850</v>
      </c>
      <c r="B28" s="94" t="s">
        <v>1202</v>
      </c>
      <c r="C28" s="94"/>
      <c r="D28" s="281"/>
      <c r="E28" s="121">
        <v>-500</v>
      </c>
      <c r="F28" s="121"/>
      <c r="G28" s="121"/>
      <c r="H28" s="65">
        <f t="shared" si="0"/>
        <v>-4531.3999999999996</v>
      </c>
    </row>
    <row r="29" spans="1:8">
      <c r="A29" s="97">
        <v>44857</v>
      </c>
      <c r="B29" s="94" t="s">
        <v>1044</v>
      </c>
      <c r="C29" s="94"/>
      <c r="D29" s="281"/>
      <c r="E29" s="121">
        <v>-80</v>
      </c>
      <c r="F29" s="121"/>
      <c r="G29" s="121"/>
      <c r="H29" s="65">
        <f t="shared" si="0"/>
        <v>-4531.3999999999996</v>
      </c>
    </row>
    <row r="30" spans="1:8">
      <c r="A30" s="97">
        <v>44869</v>
      </c>
      <c r="B30" s="94" t="s">
        <v>1203</v>
      </c>
      <c r="C30" s="94"/>
      <c r="D30" s="281"/>
      <c r="E30" s="102"/>
      <c r="F30" s="121"/>
      <c r="G30" s="121">
        <v>-2528.3000000000002</v>
      </c>
      <c r="H30" s="65">
        <f t="shared" si="0"/>
        <v>-7059.7</v>
      </c>
    </row>
    <row r="31" spans="1:8">
      <c r="B31" s="94"/>
      <c r="C31" s="94"/>
      <c r="D31" s="281"/>
      <c r="E31" s="102"/>
      <c r="F31" s="121"/>
      <c r="G31" s="121"/>
      <c r="H31" s="65">
        <f t="shared" si="0"/>
        <v>-7059.7</v>
      </c>
    </row>
    <row r="32" spans="1:8">
      <c r="B32" s="94" t="s">
        <v>1204</v>
      </c>
      <c r="C32" s="94"/>
      <c r="D32" s="281"/>
      <c r="E32" s="121">
        <v>-200</v>
      </c>
      <c r="F32" s="121"/>
      <c r="G32" s="121">
        <v>-569</v>
      </c>
      <c r="H32" s="65">
        <f t="shared" si="0"/>
        <v>-7628.7</v>
      </c>
    </row>
    <row r="33" spans="1:8">
      <c r="B33" s="94" t="s">
        <v>1205</v>
      </c>
      <c r="C33" s="94"/>
      <c r="D33" s="281"/>
      <c r="E33" s="121">
        <v>-51</v>
      </c>
      <c r="F33" s="121"/>
      <c r="G33" s="121">
        <v>-51</v>
      </c>
      <c r="H33" s="65">
        <f t="shared" si="0"/>
        <v>-7679.7</v>
      </c>
    </row>
    <row r="34" spans="1:8">
      <c r="B34" s="94"/>
      <c r="C34" s="94"/>
      <c r="D34" s="281"/>
      <c r="E34" s="121"/>
      <c r="F34" s="121"/>
      <c r="G34" s="121"/>
      <c r="H34" s="65">
        <f t="shared" si="0"/>
        <v>-7679.7</v>
      </c>
    </row>
    <row r="35" spans="1:8">
      <c r="A35" s="97">
        <v>44890</v>
      </c>
      <c r="B35" s="103" t="s">
        <v>1206</v>
      </c>
      <c r="C35" s="94"/>
      <c r="D35" s="281"/>
      <c r="E35" s="121"/>
      <c r="F35" s="121"/>
      <c r="G35" s="121">
        <v>-175</v>
      </c>
      <c r="H35" s="65">
        <f t="shared" si="0"/>
        <v>-7854.7</v>
      </c>
    </row>
    <row r="36" spans="1:8">
      <c r="A36" s="97">
        <v>44891</v>
      </c>
      <c r="B36" s="103" t="s">
        <v>1207</v>
      </c>
      <c r="C36" s="94"/>
      <c r="D36" s="281"/>
      <c r="E36" s="121"/>
      <c r="F36" s="121"/>
      <c r="G36" s="121">
        <v>-204</v>
      </c>
      <c r="H36" s="65">
        <f t="shared" ref="H36:H54" si="1">H35+F36+G36</f>
        <v>-8058.7</v>
      </c>
    </row>
    <row r="37" spans="1:8">
      <c r="A37" s="97">
        <v>44894</v>
      </c>
      <c r="B37" s="103" t="s">
        <v>1208</v>
      </c>
      <c r="C37" s="94"/>
      <c r="D37" s="281"/>
      <c r="E37" s="121"/>
      <c r="F37" s="121"/>
      <c r="G37" s="121">
        <v>-182</v>
      </c>
      <c r="H37" s="65">
        <f t="shared" si="1"/>
        <v>-8240.7000000000007</v>
      </c>
    </row>
    <row r="38" spans="1:8">
      <c r="B38" s="94"/>
      <c r="C38" s="94"/>
      <c r="D38" s="281"/>
      <c r="E38" s="102"/>
      <c r="F38" s="121"/>
      <c r="G38" s="121"/>
      <c r="H38" s="65">
        <f t="shared" si="1"/>
        <v>-8240.7000000000007</v>
      </c>
    </row>
    <row r="39" spans="1:8">
      <c r="B39" t="s">
        <v>84</v>
      </c>
      <c r="D39" s="121"/>
      <c r="E39" s="102">
        <v>-1500</v>
      </c>
      <c r="F39" s="121"/>
      <c r="G39" s="121">
        <v>-2111</v>
      </c>
      <c r="H39" s="65">
        <f t="shared" si="1"/>
        <v>-10351.700000000001</v>
      </c>
    </row>
    <row r="40" spans="1:8">
      <c r="B40" t="s">
        <v>172</v>
      </c>
      <c r="D40" s="121"/>
      <c r="E40" s="102">
        <v>-1500</v>
      </c>
      <c r="F40" s="121"/>
      <c r="G40" s="121">
        <v>-2111</v>
      </c>
      <c r="H40" s="65">
        <f t="shared" si="1"/>
        <v>-12462.7</v>
      </c>
    </row>
    <row r="41" spans="1:8">
      <c r="B41" t="s">
        <v>217</v>
      </c>
      <c r="D41" s="121"/>
      <c r="E41" s="102">
        <v>-1500</v>
      </c>
      <c r="F41" s="121"/>
      <c r="G41" s="121">
        <v>-1500</v>
      </c>
      <c r="H41" s="65">
        <f t="shared" si="1"/>
        <v>-13962.7</v>
      </c>
    </row>
    <row r="42" spans="1:8">
      <c r="D42" s="121"/>
      <c r="E42" s="121"/>
      <c r="F42" s="121"/>
      <c r="G42" s="121"/>
      <c r="H42" s="65">
        <f t="shared" si="1"/>
        <v>-13962.7</v>
      </c>
    </row>
    <row r="43" spans="1:8">
      <c r="B43" t="s">
        <v>218</v>
      </c>
      <c r="D43" s="121">
        <v>4299.5</v>
      </c>
      <c r="E43" s="121"/>
      <c r="F43" s="121">
        <v>4299.5</v>
      </c>
      <c r="G43" s="121"/>
      <c r="H43" s="65">
        <f t="shared" si="1"/>
        <v>-9663.2000000000007</v>
      </c>
    </row>
    <row r="44" spans="1:8">
      <c r="B44" t="s">
        <v>219</v>
      </c>
      <c r="D44" s="121">
        <v>1650</v>
      </c>
      <c r="E44" s="121"/>
      <c r="F44" s="121">
        <v>1650</v>
      </c>
      <c r="G44" s="121"/>
      <c r="H44" s="65">
        <f t="shared" si="1"/>
        <v>-8013.2000000000007</v>
      </c>
    </row>
    <row r="45" spans="1:8">
      <c r="A45" s="97">
        <v>44903</v>
      </c>
      <c r="B45" t="s">
        <v>1209</v>
      </c>
      <c r="D45" s="121">
        <v>3000</v>
      </c>
      <c r="E45" s="121"/>
      <c r="F45" s="121">
        <v>3000</v>
      </c>
      <c r="G45" s="121"/>
      <c r="H45" s="65">
        <f t="shared" si="1"/>
        <v>-5013.2000000000007</v>
      </c>
    </row>
    <row r="46" spans="1:8">
      <c r="A46" s="97">
        <v>44895</v>
      </c>
      <c r="B46" t="s">
        <v>1210</v>
      </c>
      <c r="D46" s="121">
        <v>1000</v>
      </c>
      <c r="E46" s="121"/>
      <c r="F46" s="121">
        <v>1000</v>
      </c>
      <c r="G46" s="121"/>
      <c r="H46" s="65">
        <f t="shared" si="1"/>
        <v>-4013.2000000000007</v>
      </c>
    </row>
    <row r="47" spans="1:8">
      <c r="A47" s="97"/>
      <c r="D47" s="102"/>
      <c r="E47" s="121"/>
      <c r="F47" s="121"/>
      <c r="G47" s="121"/>
      <c r="H47" s="65">
        <f t="shared" si="1"/>
        <v>-4013.2000000000007</v>
      </c>
    </row>
    <row r="48" spans="1:8">
      <c r="B48" t="s">
        <v>1211</v>
      </c>
      <c r="D48" s="121">
        <v>82000</v>
      </c>
      <c r="E48" s="121"/>
      <c r="F48" s="121">
        <v>80000</v>
      </c>
      <c r="G48" s="121"/>
      <c r="H48" s="65">
        <f t="shared" si="1"/>
        <v>75986.8</v>
      </c>
    </row>
    <row r="49" spans="1:8">
      <c r="B49" t="s">
        <v>1212</v>
      </c>
      <c r="D49" s="121"/>
      <c r="E49" s="121"/>
      <c r="F49" s="121"/>
      <c r="G49" s="121"/>
      <c r="H49" s="65">
        <f t="shared" si="1"/>
        <v>75986.8</v>
      </c>
    </row>
    <row r="50" spans="1:8">
      <c r="A50" s="97">
        <v>44893</v>
      </c>
      <c r="B50" t="s">
        <v>1213</v>
      </c>
      <c r="D50" s="121">
        <v>84000</v>
      </c>
      <c r="E50" s="121"/>
      <c r="F50" s="121">
        <v>84000</v>
      </c>
      <c r="G50" s="121"/>
      <c r="H50" s="65">
        <f t="shared" si="1"/>
        <v>159986.79999999999</v>
      </c>
    </row>
    <row r="51" spans="1:8">
      <c r="H51" s="65">
        <f t="shared" si="1"/>
        <v>159986.79999999999</v>
      </c>
    </row>
    <row r="52" spans="1:8">
      <c r="E52" s="65"/>
      <c r="F52" s="65"/>
      <c r="G52" s="65"/>
      <c r="H52" s="65">
        <f t="shared" si="1"/>
        <v>159986.79999999999</v>
      </c>
    </row>
    <row r="53" spans="1:8">
      <c r="H53" s="65">
        <f t="shared" si="1"/>
        <v>159986.79999999999</v>
      </c>
    </row>
    <row r="54" spans="1:8">
      <c r="B54" t="s">
        <v>1214</v>
      </c>
      <c r="H54" s="65">
        <f t="shared" si="1"/>
        <v>159986.79999999999</v>
      </c>
    </row>
    <row r="56" spans="1:8">
      <c r="A56" s="97">
        <v>44844</v>
      </c>
      <c r="B56" s="283" t="s">
        <v>1070</v>
      </c>
      <c r="C56" s="283"/>
      <c r="D56" s="284">
        <v>2000</v>
      </c>
    </row>
    <row r="57" spans="1:8">
      <c r="A57" s="97">
        <v>44839</v>
      </c>
      <c r="B57" s="283" t="s">
        <v>1188</v>
      </c>
      <c r="C57" s="283"/>
      <c r="D57" s="284">
        <v>200</v>
      </c>
    </row>
    <row r="59" spans="1:8">
      <c r="A59" s="279">
        <v>44803</v>
      </c>
      <c r="B59" s="211" t="s">
        <v>1068</v>
      </c>
      <c r="C59" s="211"/>
      <c r="D59" s="280"/>
    </row>
    <row r="60" spans="1:8">
      <c r="A60" s="279">
        <v>44772</v>
      </c>
      <c r="B60" s="211" t="s">
        <v>1215</v>
      </c>
      <c r="C60" s="211"/>
      <c r="D60" s="280"/>
    </row>
    <row r="61" spans="1:8">
      <c r="A61" s="279">
        <v>44742</v>
      </c>
      <c r="B61" s="211" t="s">
        <v>1216</v>
      </c>
      <c r="C61" s="211"/>
      <c r="D61" s="28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3">
        <v>3.54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1217</v>
      </c>
      <c r="C2" s="87" t="s">
        <v>191</v>
      </c>
      <c r="D2" s="240">
        <f>SUM(D4:D78)</f>
        <v>23872.199999999997</v>
      </c>
      <c r="E2" s="240">
        <f>SUM(E4:E107)</f>
        <v>-33587.82</v>
      </c>
      <c r="F2" s="240">
        <f>SUM(F4:F104)</f>
        <v>79418.41</v>
      </c>
      <c r="G2" s="240">
        <f>SUM(G4:G104)</f>
        <v>-90424.320000000007</v>
      </c>
      <c r="H2" s="240">
        <f>F2+G2</f>
        <v>-11005.910000000003</v>
      </c>
    </row>
    <row r="3" spans="1:8">
      <c r="B3" s="70"/>
      <c r="H3" s="65"/>
    </row>
    <row r="4" spans="1:8">
      <c r="A4" s="97">
        <v>44838</v>
      </c>
      <c r="B4" t="s">
        <v>1218</v>
      </c>
      <c r="F4" s="262">
        <v>3000</v>
      </c>
      <c r="G4" s="65"/>
      <c r="H4" s="65">
        <f>H3+F4+G4</f>
        <v>3000</v>
      </c>
    </row>
    <row r="5" spans="1:8">
      <c r="E5" s="65"/>
      <c r="F5" s="65"/>
      <c r="G5" s="65"/>
      <c r="H5" s="65">
        <f>H4+F5+G5</f>
        <v>3000</v>
      </c>
    </row>
    <row r="6" spans="1:8">
      <c r="B6" t="s">
        <v>226</v>
      </c>
      <c r="D6" s="2">
        <v>933.39</v>
      </c>
      <c r="E6" s="65"/>
      <c r="F6" s="65">
        <v>933</v>
      </c>
      <c r="G6" s="65"/>
      <c r="H6" s="65">
        <f>H5+F6+G6</f>
        <v>3933</v>
      </c>
    </row>
    <row r="7" spans="1:8">
      <c r="B7" t="s">
        <v>227</v>
      </c>
      <c r="D7" s="2">
        <v>99.8</v>
      </c>
      <c r="E7" s="65"/>
      <c r="F7" s="65">
        <v>99</v>
      </c>
      <c r="G7" s="65"/>
      <c r="H7" s="65">
        <f>H6+F7+G7</f>
        <v>4032</v>
      </c>
    </row>
    <row r="8" spans="1:8">
      <c r="B8" t="s">
        <v>1188</v>
      </c>
      <c r="D8" s="13">
        <v>200</v>
      </c>
      <c r="E8" s="65"/>
      <c r="F8" s="65"/>
      <c r="G8" s="65"/>
      <c r="H8" s="65"/>
    </row>
    <row r="9" spans="1:8">
      <c r="B9" t="s">
        <v>228</v>
      </c>
      <c r="D9" s="2">
        <v>846.7</v>
      </c>
      <c r="E9" s="65"/>
      <c r="F9" s="65">
        <v>845</v>
      </c>
      <c r="G9" s="65"/>
      <c r="H9" s="65">
        <f>H7+F9+G9</f>
        <v>4877</v>
      </c>
    </row>
    <row r="10" spans="1:8">
      <c r="A10" s="97">
        <v>44837</v>
      </c>
      <c r="B10" t="s">
        <v>229</v>
      </c>
      <c r="D10" s="2">
        <v>445.75</v>
      </c>
      <c r="E10" s="65"/>
      <c r="F10" s="65">
        <v>445</v>
      </c>
      <c r="G10" s="65"/>
      <c r="H10" s="65">
        <f>H9+F10+G10</f>
        <v>5322</v>
      </c>
    </row>
    <row r="11" spans="1:8">
      <c r="A11" s="97"/>
      <c r="B11" t="s">
        <v>229</v>
      </c>
      <c r="D11" s="2">
        <v>200</v>
      </c>
      <c r="E11" s="65"/>
      <c r="F11" s="65">
        <v>200</v>
      </c>
      <c r="G11" s="65"/>
      <c r="H11" s="65"/>
    </row>
    <row r="12" spans="1:8">
      <c r="A12" s="97">
        <v>44837</v>
      </c>
      <c r="B12" t="s">
        <v>230</v>
      </c>
      <c r="D12" s="2">
        <v>202.91</v>
      </c>
      <c r="E12" s="65"/>
      <c r="F12" s="65">
        <v>202.91</v>
      </c>
      <c r="G12" s="65"/>
      <c r="H12" s="65">
        <f>H10+F12+G12</f>
        <v>5524.91</v>
      </c>
    </row>
    <row r="13" spans="1:8">
      <c r="A13" s="97">
        <v>44838</v>
      </c>
      <c r="B13" s="94" t="s">
        <v>1151</v>
      </c>
      <c r="C13" s="94"/>
      <c r="D13" s="94"/>
      <c r="E13" s="65">
        <v>-1500</v>
      </c>
      <c r="F13" s="65"/>
      <c r="G13" s="65">
        <v>-1998</v>
      </c>
      <c r="H13" s="65">
        <f t="shared" ref="H13:H44" si="0">H12+F13+G13</f>
        <v>3526.91</v>
      </c>
    </row>
    <row r="14" spans="1:8">
      <c r="A14" s="97">
        <v>44837</v>
      </c>
      <c r="B14" s="88" t="s">
        <v>1144</v>
      </c>
      <c r="C14" s="88"/>
      <c r="D14" s="88"/>
      <c r="E14" s="65">
        <v>-200</v>
      </c>
      <c r="F14" s="65"/>
      <c r="G14" s="65">
        <v>-299</v>
      </c>
      <c r="H14" s="65">
        <f t="shared" si="0"/>
        <v>3227.91</v>
      </c>
    </row>
    <row r="15" spans="1:8">
      <c r="A15" s="97">
        <v>44837</v>
      </c>
      <c r="B15" s="88" t="s">
        <v>1145</v>
      </c>
      <c r="C15" s="88"/>
      <c r="D15" s="88"/>
      <c r="E15" s="65">
        <v>-400</v>
      </c>
      <c r="F15" s="65"/>
      <c r="G15" s="65">
        <v>-649</v>
      </c>
      <c r="H15" s="65">
        <f t="shared" si="0"/>
        <v>2578.91</v>
      </c>
    </row>
    <row r="16" spans="1:8">
      <c r="A16" s="97">
        <v>44851</v>
      </c>
      <c r="B16" s="88" t="s">
        <v>1219</v>
      </c>
      <c r="C16" s="88"/>
      <c r="D16" s="88"/>
      <c r="E16" s="84"/>
      <c r="F16" s="65"/>
      <c r="G16" s="65">
        <v>-193</v>
      </c>
      <c r="H16" s="65">
        <f t="shared" si="0"/>
        <v>2385.91</v>
      </c>
    </row>
    <row r="17" spans="1:8">
      <c r="A17" s="97">
        <v>44838</v>
      </c>
      <c r="B17" s="88" t="s">
        <v>1220</v>
      </c>
      <c r="C17" s="88"/>
      <c r="D17" s="88"/>
      <c r="E17" s="65">
        <v>-4300</v>
      </c>
      <c r="F17" s="84"/>
      <c r="G17" s="65">
        <v>-4300</v>
      </c>
      <c r="H17" s="65">
        <f t="shared" si="0"/>
        <v>-1914.0900000000001</v>
      </c>
    </row>
    <row r="18" spans="1:8">
      <c r="A18" s="97">
        <v>44837</v>
      </c>
      <c r="B18" s="88" t="s">
        <v>1221</v>
      </c>
      <c r="C18" s="88"/>
      <c r="D18" s="88"/>
      <c r="E18" s="65">
        <v>-496.5</v>
      </c>
      <c r="F18" s="84"/>
      <c r="G18" s="65">
        <v>-492.5</v>
      </c>
      <c r="H18" s="65">
        <f t="shared" si="0"/>
        <v>-2406.59</v>
      </c>
    </row>
    <row r="19" spans="1:8">
      <c r="B19" s="94"/>
      <c r="C19" s="94"/>
      <c r="D19" s="94"/>
      <c r="E19" s="65"/>
      <c r="F19" s="65"/>
      <c r="G19" s="65"/>
      <c r="H19" s="65">
        <f t="shared" si="0"/>
        <v>-2406.59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-2406.59</v>
      </c>
    </row>
    <row r="21" spans="1:8">
      <c r="A21" s="97">
        <v>44799</v>
      </c>
      <c r="B21" s="94" t="s">
        <v>1222</v>
      </c>
      <c r="C21" s="94"/>
      <c r="D21" s="94"/>
      <c r="E21" s="65">
        <v>-112.67</v>
      </c>
      <c r="F21" s="65"/>
      <c r="G21" s="65"/>
      <c r="H21" s="65">
        <f t="shared" si="0"/>
        <v>-2406.59</v>
      </c>
    </row>
    <row r="22" spans="1:8">
      <c r="A22" s="97">
        <v>44801</v>
      </c>
      <c r="B22" s="94" t="s">
        <v>1223</v>
      </c>
      <c r="C22" s="94"/>
      <c r="D22" s="94"/>
      <c r="E22" s="65">
        <v>-355.2</v>
      </c>
      <c r="F22" s="65"/>
      <c r="G22" s="65"/>
      <c r="H22" s="65">
        <f t="shared" si="0"/>
        <v>-2406.59</v>
      </c>
    </row>
    <row r="23" spans="1:8">
      <c r="A23" s="97">
        <v>44802</v>
      </c>
      <c r="B23" s="94" t="s">
        <v>1224</v>
      </c>
      <c r="C23" s="94"/>
      <c r="D23" s="94"/>
      <c r="E23" s="65">
        <v>-363.48</v>
      </c>
      <c r="F23" s="65"/>
      <c r="G23" s="65"/>
      <c r="H23" s="65">
        <f t="shared" si="0"/>
        <v>-2406.59</v>
      </c>
    </row>
    <row r="24" spans="1:8">
      <c r="A24" s="97">
        <v>44802</v>
      </c>
      <c r="B24" s="94" t="s">
        <v>1225</v>
      </c>
      <c r="C24" s="94"/>
      <c r="D24" s="94"/>
      <c r="E24" s="65">
        <v>-250</v>
      </c>
      <c r="F24" s="65"/>
      <c r="G24" s="65"/>
      <c r="H24" s="65">
        <f t="shared" si="0"/>
        <v>-2406.59</v>
      </c>
    </row>
    <row r="25" spans="1:8">
      <c r="A25" s="97">
        <v>44802</v>
      </c>
      <c r="B25" s="94" t="s">
        <v>1226</v>
      </c>
      <c r="C25" s="94"/>
      <c r="D25" s="94"/>
      <c r="E25" s="65">
        <v>-240</v>
      </c>
      <c r="F25" s="65"/>
      <c r="G25" s="65"/>
      <c r="H25" s="65">
        <f t="shared" si="0"/>
        <v>-2406.59</v>
      </c>
    </row>
    <row r="26" spans="1:8">
      <c r="A26" s="97">
        <v>44802</v>
      </c>
      <c r="B26" s="94" t="s">
        <v>1227</v>
      </c>
      <c r="C26" s="94"/>
      <c r="D26" s="94"/>
      <c r="E26" s="65">
        <v>-232.5</v>
      </c>
      <c r="F26" s="65"/>
      <c r="G26" s="65"/>
      <c r="H26" s="65">
        <f t="shared" si="0"/>
        <v>-2406.59</v>
      </c>
    </row>
    <row r="27" spans="1:8">
      <c r="A27" s="97">
        <v>44803</v>
      </c>
      <c r="B27" s="94" t="s">
        <v>426</v>
      </c>
      <c r="C27" s="94"/>
      <c r="D27" s="94"/>
      <c r="E27" s="65">
        <v>-104.65</v>
      </c>
      <c r="F27" s="65"/>
      <c r="G27" s="65"/>
      <c r="H27" s="65">
        <f t="shared" si="0"/>
        <v>-2406.59</v>
      </c>
    </row>
    <row r="28" spans="1:8">
      <c r="A28" s="97">
        <v>44803</v>
      </c>
      <c r="B28" s="94" t="s">
        <v>426</v>
      </c>
      <c r="C28" s="94"/>
      <c r="D28" s="94"/>
      <c r="E28" s="65">
        <v>-185.75</v>
      </c>
      <c r="F28" s="65"/>
      <c r="G28" s="65"/>
      <c r="H28" s="65">
        <f t="shared" si="0"/>
        <v>-2406.59</v>
      </c>
    </row>
    <row r="29" spans="1:8">
      <c r="A29" s="97">
        <v>44803</v>
      </c>
      <c r="B29" s="94" t="s">
        <v>1228</v>
      </c>
      <c r="C29" s="94"/>
      <c r="D29" s="94"/>
      <c r="E29" s="65">
        <v>-368.74</v>
      </c>
      <c r="F29" s="65"/>
      <c r="G29" s="65"/>
      <c r="H29" s="65">
        <f t="shared" si="0"/>
        <v>-2406.59</v>
      </c>
    </row>
    <row r="30" spans="1:8">
      <c r="A30" s="97">
        <v>44803</v>
      </c>
      <c r="B30" s="94" t="s">
        <v>426</v>
      </c>
      <c r="C30" s="94"/>
      <c r="D30" s="94"/>
      <c r="E30" s="65">
        <v>-127.46</v>
      </c>
      <c r="F30" s="65"/>
      <c r="G30" s="65"/>
      <c r="H30" s="65">
        <f t="shared" si="0"/>
        <v>-2406.59</v>
      </c>
    </row>
    <row r="31" spans="1:8">
      <c r="A31" s="97">
        <v>44803</v>
      </c>
      <c r="B31" s="94" t="s">
        <v>1229</v>
      </c>
      <c r="C31" s="94"/>
      <c r="D31" s="94"/>
      <c r="E31" s="65">
        <v>-65.97</v>
      </c>
      <c r="F31" s="65"/>
      <c r="G31" s="65"/>
      <c r="H31" s="65">
        <f t="shared" si="0"/>
        <v>-2406.59</v>
      </c>
    </row>
    <row r="32" spans="1:8">
      <c r="A32" s="97">
        <v>44803</v>
      </c>
      <c r="B32" s="94" t="s">
        <v>337</v>
      </c>
      <c r="C32" s="94"/>
      <c r="D32" s="94"/>
      <c r="E32" s="65">
        <v>-204</v>
      </c>
      <c r="F32" s="65"/>
      <c r="G32" s="65"/>
      <c r="H32" s="65">
        <f t="shared" si="0"/>
        <v>-2406.59</v>
      </c>
    </row>
    <row r="33" spans="1:8">
      <c r="A33" s="97">
        <v>44805</v>
      </c>
      <c r="B33" s="94" t="s">
        <v>1230</v>
      </c>
      <c r="C33" s="94"/>
      <c r="D33" s="94"/>
      <c r="E33" s="65">
        <v>-208.17</v>
      </c>
      <c r="F33" s="65"/>
      <c r="G33" s="65"/>
      <c r="H33" s="65">
        <f t="shared" si="0"/>
        <v>-2406.59</v>
      </c>
    </row>
    <row r="34" spans="1:8">
      <c r="A34" s="97">
        <v>44805</v>
      </c>
      <c r="B34" s="94" t="s">
        <v>1231</v>
      </c>
      <c r="C34" s="94"/>
      <c r="D34" s="94"/>
      <c r="E34" s="65">
        <v>-754.45</v>
      </c>
      <c r="F34" s="65"/>
      <c r="G34" s="65"/>
      <c r="H34" s="65">
        <f t="shared" si="0"/>
        <v>-2406.59</v>
      </c>
    </row>
    <row r="35" spans="1:8">
      <c r="A35" s="97">
        <v>44806</v>
      </c>
      <c r="B35" s="94" t="s">
        <v>426</v>
      </c>
      <c r="C35" s="94"/>
      <c r="D35" s="94"/>
      <c r="E35" s="65">
        <v>-137.69999999999999</v>
      </c>
      <c r="F35" s="65"/>
      <c r="G35" s="65"/>
      <c r="H35" s="65">
        <f t="shared" si="0"/>
        <v>-2406.59</v>
      </c>
    </row>
    <row r="36" spans="1:8">
      <c r="A36" s="97">
        <v>44806</v>
      </c>
      <c r="B36" s="94" t="s">
        <v>426</v>
      </c>
      <c r="C36" s="94"/>
      <c r="D36" s="94"/>
      <c r="E36" s="65">
        <v>-161.91</v>
      </c>
      <c r="F36" s="65"/>
      <c r="G36" s="65"/>
      <c r="H36" s="65">
        <f t="shared" si="0"/>
        <v>-2406.59</v>
      </c>
    </row>
    <row r="37" spans="1:8">
      <c r="A37" s="97">
        <v>44807</v>
      </c>
      <c r="B37" t="s">
        <v>1232</v>
      </c>
      <c r="C37" s="94"/>
      <c r="D37" s="94"/>
      <c r="E37" s="65">
        <v>-697.3</v>
      </c>
      <c r="F37" s="65"/>
      <c r="G37" s="65"/>
      <c r="H37" s="65">
        <f t="shared" si="0"/>
        <v>-2406.59</v>
      </c>
    </row>
    <row r="38" spans="1:8">
      <c r="A38" s="97">
        <v>44807</v>
      </c>
      <c r="B38" s="94" t="s">
        <v>1233</v>
      </c>
      <c r="C38" s="94"/>
      <c r="D38" s="94"/>
      <c r="E38" s="65">
        <v>-600</v>
      </c>
      <c r="F38" s="65"/>
      <c r="G38" s="65"/>
      <c r="H38" s="65">
        <f t="shared" si="0"/>
        <v>-2406.59</v>
      </c>
    </row>
    <row r="39" spans="1:8">
      <c r="A39" s="97">
        <v>44807</v>
      </c>
      <c r="B39" s="94" t="s">
        <v>1234</v>
      </c>
      <c r="C39" s="94"/>
      <c r="D39" s="94"/>
      <c r="E39" s="65">
        <v>-350</v>
      </c>
      <c r="F39" s="65"/>
      <c r="G39" s="65"/>
      <c r="H39" s="65">
        <f t="shared" si="0"/>
        <v>-2406.59</v>
      </c>
    </row>
    <row r="40" spans="1:8">
      <c r="A40" s="97">
        <v>44808</v>
      </c>
      <c r="B40" s="94" t="s">
        <v>1235</v>
      </c>
      <c r="C40" s="94"/>
      <c r="D40" s="94"/>
      <c r="E40" s="65">
        <v>-920</v>
      </c>
      <c r="F40" s="65"/>
      <c r="G40" s="65"/>
      <c r="H40" s="65">
        <f t="shared" si="0"/>
        <v>-2406.59</v>
      </c>
    </row>
    <row r="41" spans="1:8">
      <c r="A41" s="97">
        <v>44808</v>
      </c>
      <c r="B41" s="94" t="s">
        <v>1236</v>
      </c>
      <c r="C41" s="94"/>
      <c r="D41" s="94"/>
      <c r="E41" s="65">
        <v>-392</v>
      </c>
      <c r="F41" s="65"/>
      <c r="G41" s="65"/>
      <c r="H41" s="65">
        <f t="shared" si="0"/>
        <v>-2406.59</v>
      </c>
    </row>
    <row r="42" spans="1:8">
      <c r="A42" s="97">
        <v>44809</v>
      </c>
      <c r="B42" s="94" t="s">
        <v>426</v>
      </c>
      <c r="C42" s="94"/>
      <c r="D42" s="94"/>
      <c r="E42" s="65">
        <v>-98.8</v>
      </c>
      <c r="F42" s="65"/>
      <c r="G42" s="65"/>
      <c r="H42" s="65">
        <f t="shared" si="0"/>
        <v>-2406.59</v>
      </c>
    </row>
    <row r="43" spans="1:8">
      <c r="A43" s="97">
        <v>44810</v>
      </c>
      <c r="B43" s="94" t="s">
        <v>1228</v>
      </c>
      <c r="C43" s="94"/>
      <c r="D43" s="94"/>
      <c r="E43" s="65">
        <v>-339.36</v>
      </c>
      <c r="F43" s="65"/>
      <c r="G43" s="65"/>
      <c r="H43" s="65">
        <f t="shared" si="0"/>
        <v>-2406.59</v>
      </c>
    </row>
    <row r="44" spans="1:8">
      <c r="A44" s="97">
        <v>44810</v>
      </c>
      <c r="B44" s="94" t="s">
        <v>1237</v>
      </c>
      <c r="C44" s="94"/>
      <c r="D44" s="94"/>
      <c r="E44" s="65">
        <v>-151.65</v>
      </c>
      <c r="F44" s="65"/>
      <c r="G44" s="65"/>
      <c r="H44" s="65">
        <f t="shared" si="0"/>
        <v>-2406.59</v>
      </c>
    </row>
    <row r="45" spans="1:8">
      <c r="A45" s="97">
        <v>44810</v>
      </c>
      <c r="B45" s="94" t="s">
        <v>1238</v>
      </c>
      <c r="C45" s="94"/>
      <c r="D45" s="94"/>
      <c r="E45" s="65">
        <v>-75</v>
      </c>
      <c r="F45" s="65"/>
      <c r="G45" s="65"/>
      <c r="H45" s="65">
        <f t="shared" ref="H45:H76" si="1">H44+F45+G45</f>
        <v>-2406.59</v>
      </c>
    </row>
    <row r="46" spans="1:8">
      <c r="A46" s="97">
        <v>44810</v>
      </c>
      <c r="B46" s="94" t="s">
        <v>1227</v>
      </c>
      <c r="C46" s="94"/>
      <c r="D46" s="94"/>
      <c r="E46" s="65">
        <v>-397.56</v>
      </c>
      <c r="F46" s="65"/>
      <c r="G46" s="65"/>
      <c r="H46" s="65">
        <f t="shared" si="1"/>
        <v>-2406.59</v>
      </c>
    </row>
    <row r="47" spans="1:8">
      <c r="A47" s="97">
        <v>44810</v>
      </c>
      <c r="B47" s="94" t="s">
        <v>1239</v>
      </c>
      <c r="C47" s="94"/>
      <c r="D47" s="94"/>
      <c r="E47" s="65">
        <v>-120</v>
      </c>
      <c r="F47" s="65"/>
      <c r="G47" s="65"/>
      <c r="H47" s="65">
        <f t="shared" si="1"/>
        <v>-2406.59</v>
      </c>
    </row>
    <row r="48" spans="1:8">
      <c r="A48" s="97">
        <v>44810</v>
      </c>
      <c r="B48" s="94" t="s">
        <v>1240</v>
      </c>
      <c r="C48" s="94"/>
      <c r="D48" s="94"/>
      <c r="E48" s="65">
        <v>-250</v>
      </c>
      <c r="F48" s="65"/>
      <c r="G48" s="65"/>
      <c r="H48" s="65">
        <f t="shared" si="1"/>
        <v>-2406.59</v>
      </c>
    </row>
    <row r="49" spans="1:8">
      <c r="A49" s="97">
        <v>44810</v>
      </c>
      <c r="B49" s="94" t="s">
        <v>1241</v>
      </c>
      <c r="C49" s="94"/>
      <c r="D49" s="94"/>
      <c r="E49" s="65">
        <v>-200</v>
      </c>
      <c r="F49" s="65"/>
      <c r="G49" s="65"/>
      <c r="H49" s="65">
        <f t="shared" si="1"/>
        <v>-2406.59</v>
      </c>
    </row>
    <row r="50" spans="1:8">
      <c r="A50" s="97">
        <v>44810</v>
      </c>
      <c r="B50" s="94" t="s">
        <v>1242</v>
      </c>
      <c r="C50" s="94"/>
      <c r="D50" s="94"/>
      <c r="E50" s="65">
        <v>-100</v>
      </c>
      <c r="F50" s="65"/>
      <c r="G50" s="65"/>
      <c r="H50" s="65">
        <f t="shared" si="1"/>
        <v>-2406.59</v>
      </c>
    </row>
    <row r="51" spans="1:8">
      <c r="A51" s="97">
        <v>44811</v>
      </c>
      <c r="B51" s="94" t="s">
        <v>1243</v>
      </c>
      <c r="C51" s="94"/>
      <c r="D51" s="94"/>
      <c r="E51" s="65">
        <v>-360</v>
      </c>
      <c r="F51" s="65"/>
      <c r="G51" s="65"/>
      <c r="H51" s="65">
        <f t="shared" si="1"/>
        <v>-2406.59</v>
      </c>
    </row>
    <row r="52" spans="1:8">
      <c r="A52" s="97">
        <v>44814</v>
      </c>
      <c r="B52" s="94" t="s">
        <v>1244</v>
      </c>
      <c r="C52" s="94"/>
      <c r="D52" s="94"/>
      <c r="E52" s="65">
        <v>-400</v>
      </c>
      <c r="F52" s="65"/>
      <c r="G52" s="65"/>
      <c r="H52" s="65">
        <f t="shared" si="1"/>
        <v>-2406.59</v>
      </c>
    </row>
    <row r="53" spans="1:8">
      <c r="B53" s="94" t="s">
        <v>1245</v>
      </c>
      <c r="C53" s="94"/>
      <c r="D53" s="94"/>
      <c r="E53" s="84"/>
      <c r="F53" s="65"/>
      <c r="G53" s="65">
        <v>-9324.32</v>
      </c>
      <c r="H53" s="65">
        <f t="shared" si="1"/>
        <v>-11730.91</v>
      </c>
    </row>
    <row r="54" spans="1:8">
      <c r="A54" s="97">
        <v>44837</v>
      </c>
      <c r="B54" t="s">
        <v>250</v>
      </c>
      <c r="G54" s="65">
        <v>-30374</v>
      </c>
      <c r="H54" s="65">
        <f t="shared" si="1"/>
        <v>-42104.91</v>
      </c>
    </row>
    <row r="55" spans="1:8">
      <c r="A55" s="97"/>
      <c r="G55" s="65"/>
      <c r="H55" s="65">
        <f t="shared" si="1"/>
        <v>-42104.91</v>
      </c>
    </row>
    <row r="56" spans="1:8">
      <c r="A56" s="97"/>
      <c r="B56" t="s">
        <v>1246</v>
      </c>
      <c r="G56" s="65"/>
      <c r="H56" s="65">
        <f t="shared" si="1"/>
        <v>-42104.91</v>
      </c>
    </row>
    <row r="57" spans="1:8">
      <c r="A57" s="97"/>
      <c r="B57" t="s">
        <v>1247</v>
      </c>
      <c r="G57" s="65"/>
      <c r="H57" s="65">
        <f t="shared" si="1"/>
        <v>-42104.91</v>
      </c>
    </row>
    <row r="58" spans="1:8">
      <c r="A58" s="97">
        <v>44844</v>
      </c>
      <c r="B58" t="s">
        <v>1248</v>
      </c>
      <c r="F58">
        <v>10300</v>
      </c>
      <c r="G58" s="65"/>
      <c r="H58" s="65">
        <f t="shared" si="1"/>
        <v>-31804.910000000003</v>
      </c>
    </row>
    <row r="59" spans="1:8">
      <c r="A59" s="97">
        <v>44847</v>
      </c>
      <c r="B59" t="s">
        <v>1248</v>
      </c>
      <c r="D59">
        <v>9000</v>
      </c>
      <c r="F59">
        <v>9000</v>
      </c>
      <c r="G59" s="65"/>
      <c r="H59" s="65">
        <f t="shared" si="1"/>
        <v>-22804.910000000003</v>
      </c>
    </row>
    <row r="60" spans="1:8">
      <c r="A60" s="97">
        <v>44844</v>
      </c>
      <c r="B60" t="s">
        <v>1249</v>
      </c>
      <c r="D60" s="3"/>
      <c r="F60">
        <v>20700</v>
      </c>
      <c r="G60" s="65"/>
      <c r="H60" s="65">
        <f t="shared" si="1"/>
        <v>-2104.9100000000035</v>
      </c>
    </row>
    <row r="61" spans="1:8">
      <c r="A61" s="97">
        <v>44844</v>
      </c>
      <c r="B61" t="s">
        <v>1070</v>
      </c>
      <c r="D61" s="3">
        <v>2000</v>
      </c>
      <c r="G61" s="65"/>
      <c r="H61" s="65">
        <f t="shared" si="1"/>
        <v>-2104.9100000000035</v>
      </c>
    </row>
    <row r="62" spans="1:8">
      <c r="A62" s="97"/>
      <c r="B62" t="s">
        <v>1250</v>
      </c>
      <c r="G62" s="65">
        <v>-2620</v>
      </c>
      <c r="H62" s="65">
        <f t="shared" si="1"/>
        <v>-4724.9100000000035</v>
      </c>
    </row>
    <row r="63" spans="1:8">
      <c r="A63" s="97"/>
      <c r="G63" s="65"/>
      <c r="H63" s="65">
        <f t="shared" si="1"/>
        <v>-4724.9100000000035</v>
      </c>
    </row>
    <row r="64" spans="1:8">
      <c r="A64" s="97"/>
      <c r="B64" s="94" t="s">
        <v>1251</v>
      </c>
      <c r="C64" s="94"/>
      <c r="D64" s="94"/>
      <c r="E64" s="84">
        <v>-200</v>
      </c>
      <c r="G64" s="65"/>
      <c r="H64" s="65">
        <f t="shared" si="1"/>
        <v>-4724.9100000000035</v>
      </c>
    </row>
    <row r="65" spans="1:8">
      <c r="A65" s="97"/>
      <c r="B65" s="94" t="s">
        <v>1252</v>
      </c>
      <c r="C65" s="94"/>
      <c r="D65" s="94"/>
      <c r="E65" s="84"/>
      <c r="G65" s="65">
        <v>-94.5</v>
      </c>
      <c r="H65" s="65">
        <f t="shared" si="1"/>
        <v>-4819.4100000000035</v>
      </c>
    </row>
    <row r="66" spans="1:8">
      <c r="A66" s="97"/>
      <c r="G66" s="65"/>
      <c r="H66" s="65">
        <f t="shared" si="1"/>
        <v>-4819.4100000000035</v>
      </c>
    </row>
    <row r="67" spans="1:8">
      <c r="B67" t="s">
        <v>84</v>
      </c>
      <c r="D67" s="3"/>
      <c r="E67" s="84">
        <v>-1500</v>
      </c>
      <c r="F67" s="65"/>
      <c r="G67" s="65">
        <v>-2110</v>
      </c>
      <c r="H67" s="65">
        <f t="shared" si="1"/>
        <v>-6929.4100000000035</v>
      </c>
    </row>
    <row r="68" spans="1:8">
      <c r="B68" t="s">
        <v>172</v>
      </c>
      <c r="D68" s="3"/>
      <c r="E68" s="84">
        <v>-1500</v>
      </c>
      <c r="F68" s="65"/>
      <c r="G68" s="65">
        <v>-2110</v>
      </c>
      <c r="H68" s="65">
        <f t="shared" si="1"/>
        <v>-9039.4100000000035</v>
      </c>
    </row>
    <row r="69" spans="1:8">
      <c r="B69" t="s">
        <v>217</v>
      </c>
      <c r="D69" s="3"/>
      <c r="E69" s="84">
        <v>-1500</v>
      </c>
      <c r="G69" s="65">
        <v>-2110</v>
      </c>
      <c r="H69" s="65">
        <f t="shared" si="1"/>
        <v>-11149.410000000003</v>
      </c>
    </row>
    <row r="70" spans="1:8">
      <c r="B70" s="94"/>
      <c r="C70" s="94"/>
      <c r="D70" s="103"/>
      <c r="E70" s="84"/>
      <c r="F70" s="65"/>
      <c r="G70" s="65"/>
      <c r="H70" s="65">
        <f t="shared" si="1"/>
        <v>-11149.410000000003</v>
      </c>
    </row>
    <row r="71" spans="1:8">
      <c r="B71" t="s">
        <v>218</v>
      </c>
      <c r="D71" s="121">
        <v>4293.6499999999996</v>
      </c>
      <c r="E71" s="3"/>
      <c r="F71" s="121">
        <v>4293.5</v>
      </c>
      <c r="G71" s="65"/>
      <c r="H71" s="65">
        <f t="shared" si="1"/>
        <v>-6855.9100000000035</v>
      </c>
    </row>
    <row r="72" spans="1:8">
      <c r="A72" s="97">
        <v>44861</v>
      </c>
      <c r="B72" t="s">
        <v>219</v>
      </c>
      <c r="D72" s="121">
        <v>1650</v>
      </c>
      <c r="E72" s="3"/>
      <c r="F72" s="65">
        <v>1650</v>
      </c>
      <c r="G72" s="65"/>
      <c r="H72" s="65">
        <f t="shared" si="1"/>
        <v>-5205.9100000000035</v>
      </c>
    </row>
    <row r="73" spans="1:8">
      <c r="A73" s="97">
        <v>44865</v>
      </c>
      <c r="B73" t="s">
        <v>1253</v>
      </c>
      <c r="D73" s="121">
        <v>3000</v>
      </c>
      <c r="E73" s="3"/>
      <c r="F73" s="65">
        <v>3000</v>
      </c>
      <c r="G73" s="65"/>
      <c r="H73" s="65">
        <f t="shared" si="1"/>
        <v>-2205.9100000000035</v>
      </c>
    </row>
    <row r="74" spans="1:8">
      <c r="A74" s="97">
        <v>44865</v>
      </c>
      <c r="B74" t="s">
        <v>1254</v>
      </c>
      <c r="D74" s="121">
        <v>1000</v>
      </c>
      <c r="E74" s="3"/>
      <c r="F74">
        <v>1000</v>
      </c>
      <c r="H74" s="65">
        <f t="shared" si="1"/>
        <v>-1205.9100000000035</v>
      </c>
    </row>
    <row r="75" spans="1:8">
      <c r="D75" s="102"/>
      <c r="E75" s="3"/>
      <c r="H75" s="65">
        <f t="shared" si="1"/>
        <v>-1205.9100000000035</v>
      </c>
    </row>
    <row r="76" spans="1:8">
      <c r="H76" s="65">
        <f t="shared" si="1"/>
        <v>-1205.9100000000035</v>
      </c>
    </row>
    <row r="77" spans="1:8">
      <c r="A77" s="97">
        <v>44847</v>
      </c>
      <c r="B77" t="s">
        <v>1255</v>
      </c>
      <c r="E77" s="84">
        <v>-12667</v>
      </c>
      <c r="G77" s="65">
        <v>-10000</v>
      </c>
      <c r="H77" s="65">
        <f t="shared" ref="H77:H84" si="2">H76+F77+G77</f>
        <v>-11205.910000000003</v>
      </c>
    </row>
    <row r="78" spans="1:8">
      <c r="H78" s="65">
        <f t="shared" si="2"/>
        <v>-11205.910000000003</v>
      </c>
    </row>
    <row r="79" spans="1:8">
      <c r="H79" s="65">
        <f t="shared" si="2"/>
        <v>-11205.910000000003</v>
      </c>
    </row>
    <row r="80" spans="1:8">
      <c r="B80" t="s">
        <v>1214</v>
      </c>
      <c r="H80" s="65">
        <f t="shared" si="2"/>
        <v>-11205.910000000003</v>
      </c>
    </row>
    <row r="81" spans="1:8">
      <c r="H81" s="65">
        <f t="shared" si="2"/>
        <v>-11205.910000000003</v>
      </c>
    </row>
    <row r="82" spans="1:8">
      <c r="B82" t="s">
        <v>1256</v>
      </c>
      <c r="H82" s="65">
        <f t="shared" si="2"/>
        <v>-11205.910000000003</v>
      </c>
    </row>
    <row r="83" spans="1:8">
      <c r="B83" s="285" t="s">
        <v>1257</v>
      </c>
      <c r="C83" s="285"/>
      <c r="D83" s="286">
        <v>20000</v>
      </c>
      <c r="F83">
        <v>23750</v>
      </c>
      <c r="H83" s="65">
        <f t="shared" si="2"/>
        <v>12544.089999999997</v>
      </c>
    </row>
    <row r="84" spans="1:8">
      <c r="B84" s="285" t="s">
        <v>1258</v>
      </c>
      <c r="C84" s="285"/>
      <c r="D84" s="286"/>
      <c r="G84" s="65">
        <v>-23750</v>
      </c>
      <c r="H84" s="65">
        <f t="shared" si="2"/>
        <v>-11205.910000000003</v>
      </c>
    </row>
    <row r="85" spans="1:8">
      <c r="D85" s="2"/>
      <c r="G85" s="65"/>
      <c r="H85" s="65"/>
    </row>
    <row r="86" spans="1:8">
      <c r="A86" s="279"/>
      <c r="B86" s="211"/>
      <c r="C86" s="211"/>
      <c r="D86" s="287"/>
      <c r="G86" s="65"/>
      <c r="H86" s="65"/>
    </row>
    <row r="87" spans="1:8">
      <c r="A87" s="279">
        <v>44803</v>
      </c>
      <c r="B87" s="211" t="s">
        <v>1068</v>
      </c>
      <c r="C87" s="211"/>
      <c r="D87" s="287">
        <v>4000</v>
      </c>
      <c r="H87" s="65"/>
    </row>
    <row r="88" spans="1:8">
      <c r="A88" s="279">
        <v>44772</v>
      </c>
      <c r="B88" s="211" t="s">
        <v>1215</v>
      </c>
      <c r="C88" s="211"/>
      <c r="D88" s="287">
        <v>4000</v>
      </c>
      <c r="H88" s="65"/>
    </row>
    <row r="89" spans="1:8">
      <c r="A89" s="279">
        <v>44742</v>
      </c>
      <c r="B89" s="211" t="s">
        <v>1216</v>
      </c>
      <c r="C89" s="211"/>
      <c r="D89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3.08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1259</v>
      </c>
      <c r="C2" s="87" t="s">
        <v>191</v>
      </c>
      <c r="D2" s="240">
        <f>SUM(D5:D42)</f>
        <v>66162.31</v>
      </c>
      <c r="E2" s="240">
        <f>SUM(E5:E69)</f>
        <v>-61978.720000000001</v>
      </c>
      <c r="F2" s="240">
        <f>SUM(F5:F66)</f>
        <v>9260.5</v>
      </c>
      <c r="G2" s="240">
        <f>SUM(G5:G66)</f>
        <v>-25729.239999999998</v>
      </c>
      <c r="H2" s="240">
        <f>F2+G2</f>
        <v>-16468.739999999998</v>
      </c>
    </row>
    <row r="3" spans="1:8">
      <c r="B3" s="70"/>
      <c r="H3" s="65"/>
    </row>
    <row r="4" spans="1:8">
      <c r="B4" s="70"/>
      <c r="H4" s="65">
        <f t="shared" ref="H4:H46" si="0">H3+F4+G4</f>
        <v>0</v>
      </c>
    </row>
    <row r="5" spans="1:8">
      <c r="E5" s="65"/>
      <c r="F5" s="65"/>
      <c r="G5" s="65"/>
      <c r="H5" s="65">
        <f t="shared" si="0"/>
        <v>0</v>
      </c>
    </row>
    <row r="6" spans="1:8">
      <c r="B6" t="s">
        <v>226</v>
      </c>
      <c r="D6">
        <v>1156.32</v>
      </c>
      <c r="E6" s="65"/>
      <c r="F6" s="65">
        <v>1155</v>
      </c>
      <c r="G6" s="65"/>
      <c r="H6" s="65">
        <f t="shared" si="0"/>
        <v>1155</v>
      </c>
    </row>
    <row r="7" spans="1:8">
      <c r="B7" t="s">
        <v>1260</v>
      </c>
      <c r="D7">
        <v>904.99</v>
      </c>
      <c r="E7" s="65"/>
      <c r="F7" s="65">
        <v>905</v>
      </c>
      <c r="G7" s="65"/>
      <c r="H7" s="65">
        <f t="shared" si="0"/>
        <v>2060</v>
      </c>
    </row>
    <row r="8" spans="1:8">
      <c r="B8" t="s">
        <v>230</v>
      </c>
      <c r="D8">
        <v>51</v>
      </c>
      <c r="E8" s="65"/>
      <c r="F8" s="65">
        <v>51</v>
      </c>
      <c r="G8" s="65"/>
      <c r="H8" s="65">
        <f t="shared" si="0"/>
        <v>2111</v>
      </c>
    </row>
    <row r="9" spans="1:8">
      <c r="B9" s="94" t="s">
        <v>1151</v>
      </c>
      <c r="C9" s="94"/>
      <c r="D9" s="94"/>
      <c r="E9" s="65">
        <v>-1500</v>
      </c>
      <c r="F9" s="65"/>
      <c r="G9" s="65">
        <v>-1763.74</v>
      </c>
      <c r="H9" s="65">
        <f t="shared" si="0"/>
        <v>347.26</v>
      </c>
    </row>
    <row r="10" spans="1:8">
      <c r="A10" s="97">
        <v>44805</v>
      </c>
      <c r="B10" s="88" t="s">
        <v>1144</v>
      </c>
      <c r="C10" s="88"/>
      <c r="D10" s="88"/>
      <c r="E10" s="65">
        <v>-200</v>
      </c>
      <c r="F10" s="84"/>
      <c r="G10" s="65">
        <v>-229.9</v>
      </c>
      <c r="H10" s="65">
        <f t="shared" si="0"/>
        <v>117.35999999999999</v>
      </c>
    </row>
    <row r="11" spans="1:8">
      <c r="A11" s="97">
        <v>44805</v>
      </c>
      <c r="B11" s="88" t="s">
        <v>1145</v>
      </c>
      <c r="C11" s="88"/>
      <c r="D11" s="88"/>
      <c r="E11" s="65">
        <v>-400</v>
      </c>
      <c r="F11" s="84"/>
      <c r="G11" s="65">
        <v>-501.1</v>
      </c>
      <c r="H11" s="65">
        <f t="shared" si="0"/>
        <v>-383.74</v>
      </c>
    </row>
    <row r="12" spans="1:8">
      <c r="A12" s="97">
        <v>44807</v>
      </c>
      <c r="B12" s="88" t="s">
        <v>1261</v>
      </c>
      <c r="C12" s="88"/>
      <c r="D12" s="88"/>
      <c r="E12" s="65"/>
      <c r="F12" s="84"/>
      <c r="G12" s="65">
        <v>-1000</v>
      </c>
      <c r="H12" s="65">
        <f t="shared" si="0"/>
        <v>-1383.74</v>
      </c>
    </row>
    <row r="13" spans="1:8">
      <c r="A13" s="97">
        <v>44816</v>
      </c>
      <c r="B13" s="88" t="s">
        <v>1262</v>
      </c>
      <c r="C13" s="88"/>
      <c r="D13" s="88"/>
      <c r="E13" s="65">
        <v>-4300</v>
      </c>
      <c r="F13" s="84"/>
      <c r="G13" s="65">
        <v>-4300</v>
      </c>
      <c r="H13" s="65">
        <f t="shared" si="0"/>
        <v>-5683.74</v>
      </c>
    </row>
    <row r="14" spans="1:8">
      <c r="A14" s="97">
        <v>44805</v>
      </c>
      <c r="B14" s="88" t="s">
        <v>1263</v>
      </c>
      <c r="C14" s="88"/>
      <c r="D14" s="88"/>
      <c r="E14" s="65">
        <v>-396.5</v>
      </c>
      <c r="F14" s="84"/>
      <c r="G14" s="65">
        <v>-696.5</v>
      </c>
      <c r="H14" s="65">
        <f t="shared" si="0"/>
        <v>-6380.24</v>
      </c>
    </row>
    <row r="15" spans="1:8">
      <c r="B15" s="94"/>
      <c r="C15" s="94"/>
      <c r="D15" s="94"/>
      <c r="E15" s="65"/>
      <c r="F15" s="65"/>
      <c r="G15" s="65"/>
      <c r="H15" s="65">
        <f t="shared" si="0"/>
        <v>-6380.24</v>
      </c>
    </row>
    <row r="16" spans="1:8">
      <c r="B16" s="94" t="s">
        <v>1251</v>
      </c>
      <c r="C16" s="94"/>
      <c r="D16" s="94"/>
      <c r="E16" s="65">
        <v>-200</v>
      </c>
      <c r="F16" s="65"/>
      <c r="G16" s="65">
        <v>-61.44</v>
      </c>
      <c r="H16" s="65">
        <f t="shared" si="0"/>
        <v>-6441.6799999999994</v>
      </c>
    </row>
    <row r="17" spans="1:8">
      <c r="B17" s="94" t="s">
        <v>1264</v>
      </c>
      <c r="C17" s="94"/>
      <c r="D17" s="94"/>
      <c r="E17" s="65">
        <v>-50</v>
      </c>
      <c r="F17" s="65"/>
      <c r="G17" s="65">
        <v>-26.33</v>
      </c>
      <c r="H17" s="65">
        <f t="shared" si="0"/>
        <v>-6468.0099999999993</v>
      </c>
    </row>
    <row r="18" spans="1:8">
      <c r="B18" s="94"/>
      <c r="C18" s="94"/>
      <c r="D18" s="94"/>
      <c r="E18" s="65"/>
      <c r="F18" s="65"/>
      <c r="G18" s="65"/>
      <c r="H18" s="65">
        <f t="shared" si="0"/>
        <v>-6468.0099999999993</v>
      </c>
    </row>
    <row r="19" spans="1:8">
      <c r="A19" s="97">
        <v>44796</v>
      </c>
      <c r="B19" s="94" t="s">
        <v>1265</v>
      </c>
      <c r="C19" s="94"/>
      <c r="D19" s="94"/>
      <c r="E19" s="65">
        <v>-177.65</v>
      </c>
      <c r="F19" s="65"/>
      <c r="G19" s="65"/>
      <c r="H19" s="65">
        <f t="shared" si="0"/>
        <v>-6468.0099999999993</v>
      </c>
    </row>
    <row r="20" spans="1:8">
      <c r="A20" s="97">
        <v>44768</v>
      </c>
      <c r="B20" s="94" t="s">
        <v>1266</v>
      </c>
      <c r="C20" s="94"/>
      <c r="D20" s="94"/>
      <c r="E20" s="65">
        <v>-448.35</v>
      </c>
      <c r="F20" s="65"/>
      <c r="G20" s="65"/>
      <c r="H20" s="65">
        <f t="shared" si="0"/>
        <v>-6468.0099999999993</v>
      </c>
    </row>
    <row r="21" spans="1:8">
      <c r="A21" s="97">
        <v>44768</v>
      </c>
      <c r="B21" s="94" t="s">
        <v>1267</v>
      </c>
      <c r="C21" s="94"/>
      <c r="D21" s="94"/>
      <c r="E21" s="65">
        <v>-112.67</v>
      </c>
      <c r="F21" s="65"/>
      <c r="G21" s="65"/>
      <c r="H21" s="65">
        <f t="shared" si="0"/>
        <v>-6468.0099999999993</v>
      </c>
    </row>
    <row r="22" spans="1:8">
      <c r="A22" s="97">
        <v>44779</v>
      </c>
      <c r="B22" t="s">
        <v>1268</v>
      </c>
      <c r="E22" s="65">
        <v>-900.19</v>
      </c>
      <c r="H22" s="65">
        <f t="shared" si="0"/>
        <v>-6468.0099999999993</v>
      </c>
    </row>
    <row r="23" spans="1:8">
      <c r="A23" s="97">
        <v>44783</v>
      </c>
      <c r="B23" s="94" t="s">
        <v>1269</v>
      </c>
      <c r="C23" s="94"/>
      <c r="D23" s="94"/>
      <c r="E23" s="65">
        <v>-633.20000000000005</v>
      </c>
      <c r="F23" s="65"/>
      <c r="G23" s="65"/>
      <c r="H23" s="65">
        <f t="shared" si="0"/>
        <v>-6468.0099999999993</v>
      </c>
    </row>
    <row r="24" spans="1:8">
      <c r="A24" s="97">
        <v>44787</v>
      </c>
      <c r="B24" s="94" t="s">
        <v>1270</v>
      </c>
      <c r="C24" s="94"/>
      <c r="D24" s="94"/>
      <c r="E24" s="65">
        <v>-1080.1600000000001</v>
      </c>
      <c r="F24" s="65"/>
      <c r="G24" s="65"/>
      <c r="H24" s="65">
        <f t="shared" si="0"/>
        <v>-6468.0099999999993</v>
      </c>
    </row>
    <row r="25" spans="1:8">
      <c r="A25" s="97">
        <v>44796</v>
      </c>
      <c r="B25" s="94">
        <v>2240</v>
      </c>
      <c r="C25" s="94"/>
      <c r="D25" s="94"/>
      <c r="E25" s="65">
        <v>-80</v>
      </c>
      <c r="F25" s="65"/>
      <c r="G25" s="65"/>
      <c r="H25" s="65">
        <f t="shared" si="0"/>
        <v>-6468.0099999999993</v>
      </c>
    </row>
    <row r="26" spans="1:8">
      <c r="B26" s="94" t="s">
        <v>1271</v>
      </c>
      <c r="C26" s="94"/>
      <c r="D26" s="94"/>
      <c r="E26" s="84"/>
      <c r="F26" s="65"/>
      <c r="G26" s="65">
        <v>-3432.23</v>
      </c>
      <c r="H26" s="65">
        <f t="shared" si="0"/>
        <v>-9900.24</v>
      </c>
    </row>
    <row r="27" spans="1:8">
      <c r="B27" s="94" t="s">
        <v>1272</v>
      </c>
      <c r="C27" s="94" t="s">
        <v>1273</v>
      </c>
      <c r="D27" s="94"/>
      <c r="E27" s="84"/>
      <c r="F27" s="65"/>
      <c r="G27" s="65">
        <v>-7000</v>
      </c>
      <c r="H27" s="65">
        <f t="shared" si="0"/>
        <v>-16900.239999999998</v>
      </c>
    </row>
    <row r="28" spans="1:8">
      <c r="F28" s="65"/>
      <c r="G28" s="65"/>
      <c r="H28" s="65">
        <f t="shared" si="0"/>
        <v>-16900.239999999998</v>
      </c>
    </row>
    <row r="29" spans="1:8">
      <c r="B29" s="94"/>
      <c r="C29" s="94"/>
      <c r="D29" s="94"/>
      <c r="E29" s="84"/>
      <c r="F29" s="65"/>
      <c r="G29" s="65"/>
      <c r="H29" s="65">
        <f t="shared" si="0"/>
        <v>-16900.239999999998</v>
      </c>
    </row>
    <row r="30" spans="1:8">
      <c r="B30" t="s">
        <v>84</v>
      </c>
      <c r="D30" s="65"/>
      <c r="E30" s="65">
        <v>-1500</v>
      </c>
      <c r="F30" s="65"/>
      <c r="G30" s="65">
        <v>-2609</v>
      </c>
      <c r="H30" s="65">
        <f t="shared" si="0"/>
        <v>-19509.239999999998</v>
      </c>
    </row>
    <row r="31" spans="1:8">
      <c r="B31" t="s">
        <v>250</v>
      </c>
      <c r="D31" s="65"/>
      <c r="E31" s="65">
        <v>-32000</v>
      </c>
      <c r="G31" s="65"/>
      <c r="H31" s="65">
        <f t="shared" si="0"/>
        <v>-19509.239999999998</v>
      </c>
    </row>
    <row r="32" spans="1:8">
      <c r="B32" t="s">
        <v>172</v>
      </c>
      <c r="D32" s="65"/>
      <c r="E32" s="65">
        <v>-1500</v>
      </c>
      <c r="F32" s="65"/>
      <c r="G32" s="65">
        <v>-2609</v>
      </c>
      <c r="H32" s="65">
        <f t="shared" si="0"/>
        <v>-22118.239999999998</v>
      </c>
    </row>
    <row r="33" spans="1:8">
      <c r="B33" t="s">
        <v>1274</v>
      </c>
      <c r="D33" s="65"/>
      <c r="E33" s="84">
        <v>-15000</v>
      </c>
      <c r="F33" s="65"/>
      <c r="G33" s="65"/>
      <c r="H33" s="65">
        <f t="shared" si="0"/>
        <v>-22118.239999999998</v>
      </c>
    </row>
    <row r="34" spans="1:8">
      <c r="B34" t="s">
        <v>1275</v>
      </c>
      <c r="E34" s="65">
        <v>-1500</v>
      </c>
      <c r="G34" s="2">
        <v>-1500</v>
      </c>
      <c r="H34" s="65">
        <f t="shared" si="0"/>
        <v>-23618.239999999998</v>
      </c>
    </row>
    <row r="35" spans="1:8">
      <c r="B35" s="94"/>
      <c r="C35" s="94"/>
      <c r="D35" s="94"/>
      <c r="E35" s="84"/>
      <c r="F35" s="65"/>
      <c r="G35" s="65"/>
      <c r="H35" s="65">
        <f t="shared" si="0"/>
        <v>-23618.239999999998</v>
      </c>
    </row>
    <row r="36" spans="1:8">
      <c r="B36" t="s">
        <v>218</v>
      </c>
      <c r="D36" s="65">
        <v>4200</v>
      </c>
      <c r="F36" s="65">
        <v>4299.5</v>
      </c>
      <c r="G36" s="65"/>
      <c r="H36" s="65">
        <f t="shared" si="0"/>
        <v>-19318.739999999998</v>
      </c>
    </row>
    <row r="37" spans="1:8">
      <c r="B37" t="s">
        <v>219</v>
      </c>
      <c r="D37" s="65">
        <v>1650</v>
      </c>
      <c r="F37" s="65">
        <v>1650</v>
      </c>
      <c r="G37" s="65"/>
      <c r="H37" s="65">
        <f t="shared" si="0"/>
        <v>-17668.739999999998</v>
      </c>
    </row>
    <row r="38" spans="1:8">
      <c r="B38" t="s">
        <v>1276</v>
      </c>
      <c r="D38" s="2">
        <v>1200</v>
      </c>
      <c r="F38" s="2">
        <v>1200</v>
      </c>
      <c r="H38" s="65">
        <f t="shared" si="0"/>
        <v>-16468.739999999998</v>
      </c>
    </row>
    <row r="39" spans="1:8">
      <c r="B39" t="s">
        <v>1277</v>
      </c>
      <c r="D39" s="2">
        <v>54000</v>
      </c>
      <c r="F39" s="2"/>
      <c r="G39" s="2"/>
      <c r="H39" s="65">
        <f t="shared" si="0"/>
        <v>-16468.739999999998</v>
      </c>
    </row>
    <row r="40" spans="1:8">
      <c r="H40" s="65">
        <f t="shared" si="0"/>
        <v>-16468.739999999998</v>
      </c>
    </row>
    <row r="41" spans="1:8">
      <c r="B41" t="s">
        <v>1278</v>
      </c>
      <c r="D41" s="84">
        <v>3000</v>
      </c>
      <c r="H41" s="65">
        <f t="shared" si="0"/>
        <v>-16468.739999999998</v>
      </c>
    </row>
    <row r="42" spans="1:8">
      <c r="D42" s="13"/>
      <c r="H42" s="65">
        <f t="shared" si="0"/>
        <v>-16468.739999999998</v>
      </c>
    </row>
    <row r="43" spans="1:8">
      <c r="H43" s="65">
        <f t="shared" si="0"/>
        <v>-16468.739999999998</v>
      </c>
    </row>
    <row r="44" spans="1:8">
      <c r="H44" s="65">
        <f t="shared" si="0"/>
        <v>-16468.739999999998</v>
      </c>
    </row>
    <row r="45" spans="1:8">
      <c r="B45" s="288" t="s">
        <v>1257</v>
      </c>
      <c r="C45" s="288"/>
      <c r="D45" s="289">
        <v>20000</v>
      </c>
      <c r="H45" s="65">
        <f t="shared" si="0"/>
        <v>-16468.739999999998</v>
      </c>
    </row>
    <row r="46" spans="1:8">
      <c r="A46" s="279">
        <v>44803</v>
      </c>
      <c r="B46" s="211" t="s">
        <v>1068</v>
      </c>
      <c r="C46" s="211"/>
      <c r="D46" s="287">
        <v>4000</v>
      </c>
      <c r="H46" s="65">
        <f t="shared" si="0"/>
        <v>-16468.739999999998</v>
      </c>
    </row>
    <row r="47" spans="1:8">
      <c r="A47" s="279">
        <v>44772</v>
      </c>
      <c r="B47" s="211" t="s">
        <v>1215</v>
      </c>
      <c r="C47" s="211"/>
      <c r="D47" s="287">
        <v>4000</v>
      </c>
      <c r="H47" s="65" t="e">
        <f>#REF!+F47+G47</f>
        <v>#REF!</v>
      </c>
    </row>
    <row r="48" spans="1:8">
      <c r="A48" s="279">
        <v>44742</v>
      </c>
      <c r="B48" s="211" t="s">
        <v>1216</v>
      </c>
      <c r="C48" s="211"/>
      <c r="D48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1.46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1279</v>
      </c>
      <c r="C2" s="87" t="s">
        <v>191</v>
      </c>
      <c r="D2" s="240">
        <f>SUM(D4:D52)</f>
        <v>34617.910000000003</v>
      </c>
      <c r="E2" s="240">
        <f>SUM(E4:E84)</f>
        <v>-11695.349999999999</v>
      </c>
      <c r="F2" s="240">
        <f>SUM(F4:F81)</f>
        <v>102061.66</v>
      </c>
      <c r="G2" s="240">
        <f>SUM(G4:G81)</f>
        <v>-33894.33</v>
      </c>
      <c r="H2" s="240">
        <f>F2+G2</f>
        <v>68167.33</v>
      </c>
    </row>
    <row r="3" spans="1:8">
      <c r="B3" s="70"/>
      <c r="H3" s="65"/>
    </row>
    <row r="4" spans="1:8">
      <c r="H4" s="65">
        <f t="shared" ref="H4:H35" si="0">H3+F4+G4</f>
        <v>0</v>
      </c>
    </row>
    <row r="5" spans="1:8">
      <c r="B5" t="s">
        <v>226</v>
      </c>
      <c r="D5">
        <v>901.88</v>
      </c>
      <c r="E5" s="65"/>
      <c r="F5" s="65">
        <v>900</v>
      </c>
      <c r="G5" s="65"/>
      <c r="H5" s="65">
        <f t="shared" si="0"/>
        <v>900</v>
      </c>
    </row>
    <row r="6" spans="1:8">
      <c r="B6" t="s">
        <v>1280</v>
      </c>
      <c r="D6">
        <v>208.85</v>
      </c>
      <c r="E6" s="65"/>
      <c r="F6" s="65">
        <v>208.85</v>
      </c>
      <c r="G6" s="65"/>
      <c r="H6" s="65">
        <f t="shared" si="0"/>
        <v>1108.8499999999999</v>
      </c>
    </row>
    <row r="7" spans="1:8">
      <c r="B7" t="s">
        <v>1260</v>
      </c>
      <c r="D7">
        <v>488.3</v>
      </c>
      <c r="E7" s="65"/>
      <c r="F7" s="65">
        <v>488.3</v>
      </c>
      <c r="G7" s="65"/>
      <c r="H7" s="65">
        <f t="shared" si="0"/>
        <v>1597.1499999999999</v>
      </c>
    </row>
    <row r="8" spans="1:8">
      <c r="B8" t="s">
        <v>230</v>
      </c>
      <c r="D8">
        <v>69.38</v>
      </c>
      <c r="E8" s="65"/>
      <c r="F8" s="65">
        <v>69.38</v>
      </c>
      <c r="G8" s="65"/>
      <c r="H8" s="65">
        <f t="shared" si="0"/>
        <v>1666.5299999999997</v>
      </c>
    </row>
    <row r="9" spans="1:8">
      <c r="B9" s="94" t="s">
        <v>1151</v>
      </c>
      <c r="C9" s="94"/>
      <c r="D9" s="103"/>
      <c r="E9" s="65">
        <v>-1311.2</v>
      </c>
      <c r="F9" s="65"/>
      <c r="G9" s="65">
        <v>-1311.2</v>
      </c>
      <c r="H9" s="65">
        <f t="shared" si="0"/>
        <v>355.3299999999997</v>
      </c>
    </row>
    <row r="10" spans="1:8">
      <c r="B10" s="94"/>
      <c r="C10" s="94"/>
      <c r="D10" s="103"/>
      <c r="E10" s="84"/>
      <c r="F10" s="65"/>
      <c r="G10" s="65"/>
      <c r="H10" s="65">
        <f t="shared" si="0"/>
        <v>355.3299999999997</v>
      </c>
    </row>
    <row r="11" spans="1:8">
      <c r="B11" s="88" t="s">
        <v>1144</v>
      </c>
      <c r="C11" s="88"/>
      <c r="D11" s="89"/>
      <c r="E11" s="65">
        <v>-200</v>
      </c>
      <c r="F11" s="84"/>
      <c r="G11" s="65">
        <v>-254.9</v>
      </c>
      <c r="H11" s="65">
        <f t="shared" si="0"/>
        <v>100.42999999999969</v>
      </c>
    </row>
    <row r="12" spans="1:8">
      <c r="B12" s="88" t="s">
        <v>1145</v>
      </c>
      <c r="C12" s="88"/>
      <c r="D12" s="89"/>
      <c r="E12" s="65">
        <v>-400</v>
      </c>
      <c r="F12" s="84"/>
      <c r="G12" s="65">
        <v>-531.9</v>
      </c>
      <c r="H12" s="65">
        <f t="shared" si="0"/>
        <v>-431.47000000000025</v>
      </c>
    </row>
    <row r="13" spans="1:8">
      <c r="A13" s="97">
        <v>44788</v>
      </c>
      <c r="B13" s="94" t="s">
        <v>1281</v>
      </c>
      <c r="C13" s="88"/>
      <c r="D13" s="89"/>
      <c r="E13" s="84"/>
      <c r="F13" s="84"/>
      <c r="G13" s="65">
        <v>-149.30000000000001</v>
      </c>
      <c r="H13" s="65">
        <f t="shared" si="0"/>
        <v>-580.77000000000021</v>
      </c>
    </row>
    <row r="14" spans="1:8">
      <c r="B14" s="88" t="s">
        <v>1282</v>
      </c>
      <c r="C14" s="88"/>
      <c r="D14" s="89"/>
      <c r="E14" s="65">
        <v>-4300</v>
      </c>
      <c r="F14" s="84"/>
      <c r="G14" s="65">
        <v>-4300</v>
      </c>
      <c r="H14" s="65">
        <f t="shared" si="0"/>
        <v>-4880.7700000000004</v>
      </c>
    </row>
    <row r="15" spans="1:8">
      <c r="B15" s="88" t="s">
        <v>1283</v>
      </c>
      <c r="C15" s="88"/>
      <c r="D15" s="89"/>
      <c r="E15" s="65">
        <v>-396.5</v>
      </c>
      <c r="F15" s="84"/>
      <c r="G15" s="65">
        <v>-396.5</v>
      </c>
      <c r="H15" s="65">
        <f t="shared" si="0"/>
        <v>-5277.27</v>
      </c>
    </row>
    <row r="16" spans="1:8">
      <c r="B16" s="94"/>
      <c r="C16" s="94"/>
      <c r="D16" s="103"/>
      <c r="E16" s="84"/>
      <c r="F16" s="65"/>
      <c r="G16" s="65"/>
      <c r="H16" s="65">
        <f t="shared" si="0"/>
        <v>-5277.27</v>
      </c>
    </row>
    <row r="17" spans="1:8">
      <c r="B17" s="94" t="s">
        <v>1251</v>
      </c>
      <c r="C17" s="94"/>
      <c r="D17" s="103"/>
      <c r="E17" s="65">
        <v>-200</v>
      </c>
      <c r="F17" s="65"/>
      <c r="G17" s="65">
        <v>-140.51</v>
      </c>
      <c r="H17" s="65">
        <f t="shared" si="0"/>
        <v>-5417.7800000000007</v>
      </c>
    </row>
    <row r="18" spans="1:8">
      <c r="B18" s="94" t="s">
        <v>1264</v>
      </c>
      <c r="C18" s="94"/>
      <c r="D18" s="103"/>
      <c r="E18" s="65">
        <v>-50</v>
      </c>
      <c r="F18" s="65"/>
      <c r="G18" s="65">
        <v>-59.47</v>
      </c>
      <c r="H18" s="65">
        <f t="shared" si="0"/>
        <v>-5477.2500000000009</v>
      </c>
    </row>
    <row r="19" spans="1:8">
      <c r="B19" s="94"/>
      <c r="C19" s="94"/>
      <c r="D19" s="103"/>
      <c r="E19" s="84"/>
      <c r="F19" s="65"/>
      <c r="G19" s="65"/>
      <c r="H19" s="65">
        <f t="shared" si="0"/>
        <v>-5477.2500000000009</v>
      </c>
    </row>
    <row r="20" spans="1:8">
      <c r="B20" s="94" t="s">
        <v>1284</v>
      </c>
      <c r="C20" s="94"/>
      <c r="D20" s="103"/>
      <c r="E20" s="65">
        <v>-177.65</v>
      </c>
      <c r="F20" s="65"/>
      <c r="G20" s="65"/>
      <c r="H20" s="65">
        <f t="shared" si="0"/>
        <v>-5477.2500000000009</v>
      </c>
    </row>
    <row r="21" spans="1:8">
      <c r="B21" s="94" t="s">
        <v>1285</v>
      </c>
      <c r="C21" s="94"/>
      <c r="D21" s="103"/>
      <c r="E21" s="65">
        <v>-100</v>
      </c>
      <c r="F21" s="65"/>
      <c r="G21" s="65"/>
      <c r="H21" s="65">
        <f t="shared" si="0"/>
        <v>-5477.2500000000009</v>
      </c>
    </row>
    <row r="22" spans="1:8">
      <c r="B22" s="94">
        <v>2240</v>
      </c>
      <c r="C22" s="94"/>
      <c r="D22" s="103"/>
      <c r="E22" s="65">
        <v>-60</v>
      </c>
      <c r="F22" s="65"/>
      <c r="G22" s="65"/>
      <c r="H22" s="65">
        <f t="shared" si="0"/>
        <v>-5477.2500000000009</v>
      </c>
    </row>
    <row r="23" spans="1:8">
      <c r="A23" s="97">
        <v>44777</v>
      </c>
      <c r="B23" s="94" t="s">
        <v>1271</v>
      </c>
      <c r="C23" s="94"/>
      <c r="D23" s="103"/>
      <c r="E23" s="84"/>
      <c r="F23" s="65"/>
      <c r="G23" s="65">
        <v>-337.65</v>
      </c>
      <c r="H23" s="65">
        <f t="shared" si="0"/>
        <v>-5814.9000000000005</v>
      </c>
    </row>
    <row r="24" spans="1:8">
      <c r="A24" s="97">
        <v>44799</v>
      </c>
      <c r="B24" s="94" t="s">
        <v>1286</v>
      </c>
      <c r="C24" s="94"/>
      <c r="D24" s="103"/>
      <c r="E24" s="84"/>
      <c r="F24" s="65"/>
      <c r="G24" s="65">
        <v>-1500</v>
      </c>
      <c r="H24" s="65">
        <f t="shared" si="0"/>
        <v>-7314.9000000000005</v>
      </c>
    </row>
    <row r="25" spans="1:8">
      <c r="A25" s="97">
        <v>44805</v>
      </c>
      <c r="B25" t="s">
        <v>84</v>
      </c>
      <c r="D25" s="3"/>
      <c r="E25" s="65">
        <v>-1500</v>
      </c>
      <c r="F25" s="65"/>
      <c r="G25" s="65">
        <v>-2108</v>
      </c>
      <c r="H25" s="65">
        <f t="shared" si="0"/>
        <v>-9422.9000000000015</v>
      </c>
    </row>
    <row r="26" spans="1:8">
      <c r="A26" s="97">
        <v>44805</v>
      </c>
      <c r="B26" t="s">
        <v>172</v>
      </c>
      <c r="D26" s="3"/>
      <c r="E26" s="65">
        <v>-1500</v>
      </c>
      <c r="F26" s="65"/>
      <c r="G26" s="65">
        <v>-2108</v>
      </c>
      <c r="H26" s="65">
        <f t="shared" si="0"/>
        <v>-11530.900000000001</v>
      </c>
    </row>
    <row r="27" spans="1:8">
      <c r="B27" t="s">
        <v>217</v>
      </c>
      <c r="D27" s="3"/>
      <c r="E27" s="65">
        <v>-1500</v>
      </c>
      <c r="H27" s="65">
        <f t="shared" si="0"/>
        <v>-11530.900000000001</v>
      </c>
    </row>
    <row r="28" spans="1:8">
      <c r="A28" s="97">
        <v>44779</v>
      </c>
      <c r="B28" t="s">
        <v>1287</v>
      </c>
      <c r="D28" s="3"/>
      <c r="E28" s="3"/>
      <c r="G28" s="65">
        <v>-1038</v>
      </c>
      <c r="H28" s="65">
        <f t="shared" si="0"/>
        <v>-12568.900000000001</v>
      </c>
    </row>
    <row r="29" spans="1:8">
      <c r="B29" t="s">
        <v>1288</v>
      </c>
      <c r="D29" s="3"/>
      <c r="E29" s="3"/>
      <c r="G29" s="65">
        <v>-3000</v>
      </c>
      <c r="H29" s="65">
        <f t="shared" si="0"/>
        <v>-15568.900000000001</v>
      </c>
    </row>
    <row r="30" spans="1:8">
      <c r="A30" s="97">
        <v>44788</v>
      </c>
      <c r="B30" t="s">
        <v>1289</v>
      </c>
      <c r="D30" s="3"/>
      <c r="E30" s="3"/>
      <c r="G30" s="65">
        <v>-638</v>
      </c>
      <c r="H30" s="65">
        <f t="shared" si="0"/>
        <v>-16206.900000000001</v>
      </c>
    </row>
    <row r="31" spans="1:8">
      <c r="B31" t="s">
        <v>24</v>
      </c>
      <c r="D31" s="3"/>
      <c r="E31" s="3"/>
      <c r="G31" s="65">
        <v>-400</v>
      </c>
      <c r="H31" s="65">
        <f t="shared" si="0"/>
        <v>-16606.900000000001</v>
      </c>
    </row>
    <row r="32" spans="1:8">
      <c r="B32" t="s">
        <v>1290</v>
      </c>
      <c r="D32" s="3"/>
      <c r="E32" s="3"/>
      <c r="G32" s="65">
        <v>-1872.16</v>
      </c>
      <c r="H32" s="65">
        <f t="shared" si="0"/>
        <v>-18479.060000000001</v>
      </c>
    </row>
    <row r="33" spans="1:8">
      <c r="B33" t="s">
        <v>1291</v>
      </c>
      <c r="D33" s="3"/>
      <c r="E33" s="3"/>
      <c r="G33" s="65">
        <v>-3.74</v>
      </c>
      <c r="H33" s="65">
        <f t="shared" si="0"/>
        <v>-18482.800000000003</v>
      </c>
    </row>
    <row r="34" spans="1:8">
      <c r="B34" t="s">
        <v>1292</v>
      </c>
      <c r="D34" s="3"/>
      <c r="E34" s="3"/>
      <c r="G34" s="65">
        <v>-700</v>
      </c>
      <c r="H34" s="65">
        <f t="shared" si="0"/>
        <v>-19182.800000000003</v>
      </c>
    </row>
    <row r="35" spans="1:8">
      <c r="B35" t="s">
        <v>1293</v>
      </c>
      <c r="D35" s="3"/>
      <c r="E35" s="3"/>
      <c r="G35" s="65">
        <v>-380</v>
      </c>
      <c r="H35" s="65">
        <f t="shared" si="0"/>
        <v>-19562.800000000003</v>
      </c>
    </row>
    <row r="36" spans="1:8">
      <c r="B36" t="s">
        <v>1294</v>
      </c>
      <c r="D36" s="3"/>
      <c r="E36" s="3"/>
      <c r="G36" s="65">
        <v>-200</v>
      </c>
      <c r="H36" s="65">
        <f t="shared" ref="H36:H60" si="1">H35+F36+G36</f>
        <v>-19762.800000000003</v>
      </c>
    </row>
    <row r="37" spans="1:8">
      <c r="B37" t="s">
        <v>1295</v>
      </c>
      <c r="D37" s="3"/>
      <c r="E37" s="3"/>
      <c r="G37" s="65">
        <v>-100</v>
      </c>
      <c r="H37" s="65">
        <f t="shared" si="1"/>
        <v>-19862.800000000003</v>
      </c>
    </row>
    <row r="38" spans="1:8">
      <c r="B38" t="s">
        <v>1296</v>
      </c>
      <c r="D38" s="3"/>
      <c r="E38" s="3"/>
      <c r="G38">
        <v>-7000</v>
      </c>
      <c r="H38" s="65">
        <f t="shared" si="1"/>
        <v>-26862.800000000003</v>
      </c>
    </row>
    <row r="39" spans="1:8">
      <c r="D39" s="3"/>
      <c r="E39" s="3"/>
      <c r="H39" s="65">
        <f t="shared" si="1"/>
        <v>-26862.800000000003</v>
      </c>
    </row>
    <row r="40" spans="1:8">
      <c r="A40" s="97">
        <v>44774</v>
      </c>
      <c r="B40" t="s">
        <v>1297</v>
      </c>
      <c r="C40" s="94"/>
      <c r="D40" s="103"/>
      <c r="E40" s="84"/>
      <c r="F40" s="65"/>
      <c r="G40" s="65"/>
      <c r="H40" s="65">
        <f t="shared" si="1"/>
        <v>-26862.800000000003</v>
      </c>
    </row>
    <row r="41" spans="1:8">
      <c r="A41" s="97">
        <v>44774</v>
      </c>
      <c r="B41" t="s">
        <v>1298</v>
      </c>
      <c r="C41" s="94"/>
      <c r="D41" s="290"/>
      <c r="E41" s="84"/>
      <c r="F41" s="65">
        <v>20000</v>
      </c>
      <c r="G41" s="65"/>
      <c r="H41" s="65">
        <f t="shared" si="1"/>
        <v>-6862.8000000000029</v>
      </c>
    </row>
    <row r="42" spans="1:8">
      <c r="A42" s="97">
        <v>44778</v>
      </c>
      <c r="B42" t="s">
        <v>1298</v>
      </c>
      <c r="C42" s="94"/>
      <c r="D42" s="103"/>
      <c r="E42" s="84"/>
      <c r="F42" s="65">
        <v>25000</v>
      </c>
      <c r="G42" s="65"/>
      <c r="H42" s="65">
        <f t="shared" si="1"/>
        <v>18137.199999999997</v>
      </c>
    </row>
    <row r="43" spans="1:8">
      <c r="A43" s="97"/>
      <c r="B43" t="s">
        <v>1299</v>
      </c>
      <c r="C43" s="94"/>
      <c r="D43" s="103"/>
      <c r="E43" s="84"/>
      <c r="F43" s="65"/>
      <c r="G43" s="65">
        <v>-5365</v>
      </c>
      <c r="H43" s="65">
        <f t="shared" si="1"/>
        <v>12772.199999999997</v>
      </c>
    </row>
    <row r="44" spans="1:8">
      <c r="A44" s="97"/>
      <c r="B44" t="s">
        <v>1300</v>
      </c>
      <c r="C44" s="94"/>
      <c r="D44" s="103"/>
      <c r="E44" s="84"/>
      <c r="F44" s="65">
        <v>40000</v>
      </c>
      <c r="G44" s="65"/>
      <c r="H44" s="65">
        <f t="shared" si="1"/>
        <v>52772.2</v>
      </c>
    </row>
    <row r="45" spans="1:8">
      <c r="A45" s="97"/>
      <c r="B45" t="s">
        <v>1301</v>
      </c>
      <c r="C45" s="94"/>
      <c r="D45" s="103"/>
      <c r="E45" s="84"/>
      <c r="F45" s="65"/>
      <c r="G45" s="65"/>
      <c r="H45" s="65">
        <f t="shared" si="1"/>
        <v>52772.2</v>
      </c>
    </row>
    <row r="46" spans="1:8">
      <c r="A46" s="97"/>
      <c r="C46" s="94"/>
      <c r="D46" s="103"/>
      <c r="E46" s="84"/>
      <c r="F46" s="65"/>
      <c r="G46" s="65"/>
      <c r="H46" s="65">
        <f t="shared" si="1"/>
        <v>52772.2</v>
      </c>
    </row>
    <row r="47" spans="1:8">
      <c r="B47" t="s">
        <v>218</v>
      </c>
      <c r="D47" s="65">
        <v>4299.5</v>
      </c>
      <c r="E47" s="3"/>
      <c r="F47" s="65">
        <v>4299.5</v>
      </c>
      <c r="G47" s="65"/>
      <c r="H47" s="65">
        <f t="shared" si="1"/>
        <v>57071.7</v>
      </c>
    </row>
    <row r="48" spans="1:8">
      <c r="B48" t="s">
        <v>219</v>
      </c>
      <c r="D48" s="65">
        <v>1650</v>
      </c>
      <c r="E48" s="3"/>
      <c r="F48" s="65">
        <v>1650</v>
      </c>
      <c r="G48" s="65"/>
      <c r="H48" s="65">
        <f t="shared" si="1"/>
        <v>58721.7</v>
      </c>
    </row>
    <row r="49" spans="1:8">
      <c r="A49" s="97">
        <v>44802</v>
      </c>
      <c r="B49" t="s">
        <v>1302</v>
      </c>
      <c r="D49" s="65">
        <v>3000</v>
      </c>
      <c r="E49" s="3"/>
      <c r="F49" s="65">
        <v>3000</v>
      </c>
      <c r="G49" s="65"/>
      <c r="H49" s="65">
        <f t="shared" si="1"/>
        <v>61721.7</v>
      </c>
    </row>
    <row r="50" spans="1:8">
      <c r="B50" t="s">
        <v>1257</v>
      </c>
      <c r="D50" s="13">
        <v>20000</v>
      </c>
      <c r="E50" s="3"/>
      <c r="H50" s="65">
        <f t="shared" si="1"/>
        <v>61721.7</v>
      </c>
    </row>
    <row r="51" spans="1:8">
      <c r="H51" s="65">
        <f t="shared" si="1"/>
        <v>61721.7</v>
      </c>
    </row>
    <row r="52" spans="1:8">
      <c r="B52" t="s">
        <v>1068</v>
      </c>
      <c r="D52" s="13">
        <v>4000</v>
      </c>
      <c r="H52" s="65">
        <f t="shared" si="1"/>
        <v>61721.7</v>
      </c>
    </row>
    <row r="53" spans="1:8">
      <c r="H53" s="65">
        <f t="shared" si="1"/>
        <v>61721.7</v>
      </c>
    </row>
    <row r="54" spans="1:8">
      <c r="B54" s="291" t="s">
        <v>1303</v>
      </c>
      <c r="H54" s="65">
        <f t="shared" si="1"/>
        <v>61721.7</v>
      </c>
    </row>
    <row r="55" spans="1:8">
      <c r="B55" s="259" t="s">
        <v>1304</v>
      </c>
      <c r="C55" s="259"/>
      <c r="D55" s="262">
        <v>1000</v>
      </c>
      <c r="E55" s="259"/>
      <c r="F55" s="292">
        <v>1000</v>
      </c>
      <c r="H55" s="65">
        <f t="shared" si="1"/>
        <v>62721.7</v>
      </c>
    </row>
    <row r="56" spans="1:8">
      <c r="A56" s="97">
        <v>44802</v>
      </c>
      <c r="B56" s="293" t="s">
        <v>1305</v>
      </c>
      <c r="C56" s="293" t="s">
        <v>1306</v>
      </c>
      <c r="D56" s="294">
        <v>5000</v>
      </c>
      <c r="E56" s="293"/>
      <c r="F56" s="295">
        <v>5000</v>
      </c>
      <c r="H56" s="65">
        <f t="shared" si="1"/>
        <v>67721.7</v>
      </c>
    </row>
    <row r="57" spans="1:8">
      <c r="B57" s="259" t="s">
        <v>1307</v>
      </c>
      <c r="C57" s="259"/>
      <c r="D57" s="296"/>
      <c r="E57" s="259"/>
      <c r="F57" s="259">
        <v>445.63</v>
      </c>
      <c r="H57" s="65">
        <f t="shared" si="1"/>
        <v>68167.33</v>
      </c>
    </row>
    <row r="58" spans="1:8">
      <c r="H58" s="65">
        <f t="shared" si="1"/>
        <v>68167.33</v>
      </c>
    </row>
    <row r="59" spans="1:8">
      <c r="B59" s="211" t="s">
        <v>1216</v>
      </c>
      <c r="C59" s="211"/>
      <c r="D59" s="287">
        <f>'07'!D55</f>
        <v>4000</v>
      </c>
      <c r="H59" s="65">
        <f t="shared" si="1"/>
        <v>68167.33</v>
      </c>
    </row>
    <row r="60" spans="1:8">
      <c r="B60" s="211" t="s">
        <v>1215</v>
      </c>
      <c r="C60" s="211"/>
      <c r="D60" s="287">
        <v>4000</v>
      </c>
      <c r="H60" s="65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2.37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1308</v>
      </c>
      <c r="C2" s="87" t="s">
        <v>191</v>
      </c>
      <c r="D2" s="240">
        <f>SUM(D4:D90)</f>
        <v>27131.070000000003</v>
      </c>
      <c r="E2" s="240">
        <f>SUM(E4:E90)</f>
        <v>-17400.82</v>
      </c>
      <c r="F2" s="240">
        <f>SUM(F4:F87)</f>
        <v>16133.3</v>
      </c>
      <c r="G2" s="240">
        <f>SUM(G4:G87)</f>
        <v>-20600.82</v>
      </c>
      <c r="H2" s="240">
        <f>F2+G2</f>
        <v>-4467.5200000000004</v>
      </c>
    </row>
    <row r="3" spans="1:8">
      <c r="B3" s="70"/>
      <c r="C3" s="3"/>
      <c r="D3" s="3"/>
      <c r="E3" s="65"/>
      <c r="F3" s="65"/>
      <c r="G3" s="65"/>
      <c r="H3" s="65"/>
    </row>
    <row r="4" spans="1:8">
      <c r="H4" s="65">
        <f t="shared" ref="H4:H35" si="0">H3+F4+G4</f>
        <v>0</v>
      </c>
    </row>
    <row r="5" spans="1:8">
      <c r="B5" t="s">
        <v>226</v>
      </c>
      <c r="D5">
        <v>1062.9100000000001</v>
      </c>
      <c r="E5" s="65"/>
      <c r="F5">
        <v>1060</v>
      </c>
      <c r="G5" s="65"/>
      <c r="H5" s="65">
        <f t="shared" si="0"/>
        <v>1060</v>
      </c>
    </row>
    <row r="6" spans="1:8">
      <c r="B6" t="s">
        <v>1280</v>
      </c>
      <c r="D6">
        <v>324.23</v>
      </c>
      <c r="E6" s="65"/>
      <c r="F6">
        <v>325</v>
      </c>
      <c r="G6" s="65"/>
      <c r="H6" s="65">
        <f t="shared" si="0"/>
        <v>1385</v>
      </c>
    </row>
    <row r="7" spans="1:8">
      <c r="H7" s="65">
        <f t="shared" si="0"/>
        <v>1385</v>
      </c>
    </row>
    <row r="8" spans="1:8">
      <c r="B8" t="s">
        <v>230</v>
      </c>
      <c r="D8">
        <v>48.8</v>
      </c>
      <c r="E8" s="65"/>
      <c r="F8" s="65">
        <v>48.8</v>
      </c>
      <c r="G8" s="65"/>
      <c r="H8" s="65">
        <f t="shared" si="0"/>
        <v>1433.8</v>
      </c>
    </row>
    <row r="9" spans="1:8">
      <c r="A9" s="97">
        <v>44755</v>
      </c>
      <c r="B9" s="94" t="s">
        <v>1151</v>
      </c>
      <c r="C9" s="94"/>
      <c r="D9" s="94"/>
      <c r="E9" s="65">
        <v>-1429.2</v>
      </c>
      <c r="F9" s="65"/>
      <c r="G9" s="65">
        <v>-1429.2</v>
      </c>
      <c r="H9" s="65">
        <f t="shared" si="0"/>
        <v>4.5999999999999091</v>
      </c>
    </row>
    <row r="10" spans="1:8">
      <c r="A10" s="97"/>
      <c r="B10" s="94"/>
      <c r="C10" s="94"/>
      <c r="D10" s="94"/>
      <c r="E10" s="65"/>
      <c r="F10" s="65"/>
      <c r="G10" s="65"/>
      <c r="H10" s="65">
        <f t="shared" si="0"/>
        <v>4.5999999999999091</v>
      </c>
    </row>
    <row r="11" spans="1:8">
      <c r="A11" s="97">
        <v>44746</v>
      </c>
      <c r="B11" s="88" t="s">
        <v>1144</v>
      </c>
      <c r="C11" s="88"/>
      <c r="D11" s="88"/>
      <c r="E11" s="65">
        <v>-219</v>
      </c>
      <c r="F11" s="84"/>
      <c r="G11" s="65">
        <v>-219</v>
      </c>
      <c r="H11" s="65">
        <f t="shared" si="0"/>
        <v>-214.40000000000009</v>
      </c>
    </row>
    <row r="12" spans="1:8">
      <c r="A12" s="97">
        <v>44746</v>
      </c>
      <c r="B12" s="88" t="s">
        <v>1145</v>
      </c>
      <c r="C12" s="88"/>
      <c r="D12" s="88"/>
      <c r="E12" s="65">
        <v>-438.6</v>
      </c>
      <c r="F12" s="84"/>
      <c r="G12" s="65">
        <v>-438.6</v>
      </c>
      <c r="H12" s="65">
        <f t="shared" si="0"/>
        <v>-653.00000000000011</v>
      </c>
    </row>
    <row r="13" spans="1:8">
      <c r="A13" s="97"/>
      <c r="B13" s="88"/>
      <c r="C13" s="88"/>
      <c r="D13" s="88"/>
      <c r="E13" s="65"/>
      <c r="F13" s="84"/>
      <c r="G13" s="65"/>
      <c r="H13" s="65">
        <f t="shared" si="0"/>
        <v>-653.00000000000011</v>
      </c>
    </row>
    <row r="14" spans="1:8">
      <c r="A14" s="97">
        <v>44747</v>
      </c>
      <c r="B14" s="88" t="s">
        <v>1309</v>
      </c>
      <c r="C14" s="88"/>
      <c r="D14" s="88"/>
      <c r="E14" s="65"/>
      <c r="F14" s="84"/>
      <c r="G14" s="65">
        <v>-3450</v>
      </c>
      <c r="H14" s="65">
        <f t="shared" si="0"/>
        <v>-4103</v>
      </c>
    </row>
    <row r="15" spans="1:8">
      <c r="A15" s="97">
        <v>44747</v>
      </c>
      <c r="B15" t="s">
        <v>1310</v>
      </c>
      <c r="F15" s="2">
        <v>3450</v>
      </c>
      <c r="H15" s="65">
        <f t="shared" si="0"/>
        <v>-653</v>
      </c>
    </row>
    <row r="16" spans="1:8">
      <c r="A16" s="97"/>
      <c r="F16" s="2"/>
      <c r="H16" s="65">
        <f t="shared" si="0"/>
        <v>-653</v>
      </c>
    </row>
    <row r="17" spans="1:8">
      <c r="A17" s="97">
        <v>44749</v>
      </c>
      <c r="B17" t="s">
        <v>1311</v>
      </c>
      <c r="E17" s="65">
        <v>-4.8899999999999997</v>
      </c>
      <c r="F17" s="2"/>
      <c r="G17" s="65">
        <v>-4.8899999999999997</v>
      </c>
      <c r="H17" s="65">
        <f t="shared" si="0"/>
        <v>-657.89</v>
      </c>
    </row>
    <row r="18" spans="1:8">
      <c r="A18" s="97">
        <v>44749</v>
      </c>
      <c r="B18" s="88" t="s">
        <v>1312</v>
      </c>
      <c r="C18" s="88"/>
      <c r="D18" s="88"/>
      <c r="E18" s="65">
        <v>-4300</v>
      </c>
      <c r="F18" s="84"/>
      <c r="G18" s="65">
        <v>-4300</v>
      </c>
      <c r="H18" s="65">
        <f t="shared" si="0"/>
        <v>-4957.8900000000003</v>
      </c>
    </row>
    <row r="19" spans="1:8">
      <c r="A19" s="97">
        <v>44749</v>
      </c>
      <c r="B19" s="88" t="s">
        <v>1313</v>
      </c>
      <c r="C19" s="88"/>
      <c r="D19" s="88"/>
      <c r="E19" s="65">
        <v>-396.5</v>
      </c>
      <c r="F19" s="84"/>
      <c r="G19" s="65">
        <v>-396.5</v>
      </c>
      <c r="H19" s="65">
        <f t="shared" si="0"/>
        <v>-5354.39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-5354.39</v>
      </c>
    </row>
    <row r="21" spans="1:8">
      <c r="B21" s="94" t="s">
        <v>1251</v>
      </c>
      <c r="C21" s="94"/>
      <c r="D21" s="94"/>
      <c r="E21" s="84">
        <v>-200</v>
      </c>
      <c r="F21" s="65"/>
      <c r="G21" s="65"/>
      <c r="H21" s="65">
        <f t="shared" si="0"/>
        <v>-5354.39</v>
      </c>
    </row>
    <row r="22" spans="1:8">
      <c r="B22" s="94" t="s">
        <v>1264</v>
      </c>
      <c r="C22" s="94"/>
      <c r="D22" s="94"/>
      <c r="E22" s="84">
        <v>-50</v>
      </c>
      <c r="F22" s="65"/>
      <c r="G22" s="65"/>
      <c r="H22" s="65">
        <f t="shared" si="0"/>
        <v>-5354.39</v>
      </c>
    </row>
    <row r="23" spans="1:8">
      <c r="B23" s="94"/>
      <c r="C23" s="94"/>
      <c r="D23" s="94"/>
      <c r="E23" s="65"/>
      <c r="F23" s="65"/>
      <c r="G23" s="65"/>
      <c r="H23" s="65">
        <f t="shared" si="0"/>
        <v>-5354.39</v>
      </c>
    </row>
    <row r="24" spans="1:8">
      <c r="B24" s="94" t="s">
        <v>1314</v>
      </c>
      <c r="C24" s="94"/>
      <c r="D24" s="94"/>
      <c r="E24" s="65">
        <v>-177.65</v>
      </c>
      <c r="F24" s="65"/>
      <c r="G24" s="65"/>
      <c r="H24" s="65">
        <f t="shared" si="0"/>
        <v>-5354.39</v>
      </c>
    </row>
    <row r="25" spans="1:8">
      <c r="B25" s="94" t="s">
        <v>1315</v>
      </c>
      <c r="C25" s="94"/>
      <c r="D25" s="94"/>
      <c r="E25" s="65">
        <v>-300</v>
      </c>
      <c r="F25" s="65"/>
      <c r="G25" s="65"/>
      <c r="H25" s="65">
        <f t="shared" si="0"/>
        <v>-5354.39</v>
      </c>
    </row>
    <row r="26" spans="1:8">
      <c r="B26" s="94" t="s">
        <v>1040</v>
      </c>
      <c r="C26" s="94"/>
      <c r="D26" s="94"/>
      <c r="E26" s="65">
        <v>-31.99</v>
      </c>
      <c r="F26" s="65"/>
      <c r="G26" s="65"/>
      <c r="H26" s="65">
        <f t="shared" si="0"/>
        <v>-5354.39</v>
      </c>
    </row>
    <row r="27" spans="1:8">
      <c r="B27" s="94" t="s">
        <v>1316</v>
      </c>
      <c r="C27" s="94"/>
      <c r="D27" s="94"/>
      <c r="E27" s="65">
        <v>-100</v>
      </c>
      <c r="F27" s="65"/>
      <c r="G27" s="65"/>
      <c r="H27" s="65">
        <f t="shared" si="0"/>
        <v>-5354.39</v>
      </c>
    </row>
    <row r="28" spans="1:8">
      <c r="B28" s="94" t="s">
        <v>1317</v>
      </c>
      <c r="C28" s="94"/>
      <c r="D28" s="94"/>
      <c r="E28" s="65">
        <v>-344.2</v>
      </c>
      <c r="F28" s="65"/>
      <c r="G28" s="65"/>
      <c r="H28" s="65">
        <f t="shared" si="0"/>
        <v>-5354.39</v>
      </c>
    </row>
    <row r="29" spans="1:8">
      <c r="B29" s="94" t="s">
        <v>1318</v>
      </c>
      <c r="C29" s="94"/>
      <c r="D29" s="94"/>
      <c r="E29" s="65">
        <v>-400</v>
      </c>
      <c r="F29" s="65"/>
      <c r="G29" s="65"/>
      <c r="H29" s="65">
        <f t="shared" si="0"/>
        <v>-5354.39</v>
      </c>
    </row>
    <row r="30" spans="1:8">
      <c r="B30" s="94" t="s">
        <v>1319</v>
      </c>
      <c r="C30" s="94"/>
      <c r="D30" s="94"/>
      <c r="E30" s="65">
        <v>-256.89</v>
      </c>
      <c r="F30" s="65"/>
      <c r="G30" s="65"/>
      <c r="H30" s="65">
        <f t="shared" si="0"/>
        <v>-5354.39</v>
      </c>
    </row>
    <row r="31" spans="1:8">
      <c r="B31" s="94" t="s">
        <v>1320</v>
      </c>
      <c r="C31" s="94"/>
      <c r="D31" s="94"/>
      <c r="E31" s="65">
        <v>-400</v>
      </c>
      <c r="F31" s="65"/>
      <c r="G31" s="65"/>
      <c r="H31" s="65">
        <f t="shared" si="0"/>
        <v>-5354.39</v>
      </c>
    </row>
    <row r="32" spans="1:8">
      <c r="B32" s="94" t="s">
        <v>1321</v>
      </c>
      <c r="C32" s="94"/>
      <c r="D32" s="94"/>
      <c r="E32" s="65">
        <v>-529.9</v>
      </c>
      <c r="F32" s="65"/>
      <c r="G32" s="65"/>
      <c r="H32" s="65">
        <f t="shared" si="0"/>
        <v>-5354.39</v>
      </c>
    </row>
    <row r="33" spans="1:8">
      <c r="B33" s="94" t="s">
        <v>1044</v>
      </c>
      <c r="C33" s="94"/>
      <c r="D33" s="94"/>
      <c r="E33" s="65">
        <v>-70</v>
      </c>
      <c r="F33" s="65"/>
      <c r="G33" s="65"/>
      <c r="H33" s="65">
        <f t="shared" si="0"/>
        <v>-5354.39</v>
      </c>
    </row>
    <row r="34" spans="1:8">
      <c r="A34" s="97">
        <v>44747</v>
      </c>
      <c r="B34" s="94" t="s">
        <v>1271</v>
      </c>
      <c r="C34" s="94"/>
      <c r="D34" s="94"/>
      <c r="E34" s="84"/>
      <c r="F34" s="65"/>
      <c r="G34" s="65">
        <v>-2610.63</v>
      </c>
      <c r="H34" s="65">
        <f t="shared" si="0"/>
        <v>-7965.02</v>
      </c>
    </row>
    <row r="35" spans="1:8">
      <c r="B35" s="94" t="s">
        <v>1322</v>
      </c>
      <c r="C35" s="94"/>
      <c r="D35" s="290">
        <v>200</v>
      </c>
      <c r="E35" s="65"/>
      <c r="F35" s="65">
        <v>200</v>
      </c>
      <c r="G35" s="65"/>
      <c r="H35" s="65">
        <f t="shared" si="0"/>
        <v>-7765.02</v>
      </c>
    </row>
    <row r="36" spans="1:8">
      <c r="B36" t="s">
        <v>84</v>
      </c>
      <c r="E36" s="65">
        <v>-2107</v>
      </c>
      <c r="F36" s="65"/>
      <c r="G36" s="65">
        <v>-2107</v>
      </c>
      <c r="H36" s="65">
        <f t="shared" ref="H36:H55" si="1">H35+F36+G36</f>
        <v>-9872.02</v>
      </c>
    </row>
    <row r="37" spans="1:8">
      <c r="B37" t="s">
        <v>891</v>
      </c>
      <c r="E37" s="65">
        <v>-500</v>
      </c>
      <c r="F37" s="65"/>
      <c r="G37" s="65">
        <v>-500</v>
      </c>
      <c r="H37" s="65">
        <f t="shared" si="1"/>
        <v>-10372.02</v>
      </c>
    </row>
    <row r="38" spans="1:8">
      <c r="B38" t="s">
        <v>172</v>
      </c>
      <c r="E38" s="65">
        <v>-2107</v>
      </c>
      <c r="F38" s="65"/>
      <c r="G38" s="65">
        <v>-2107</v>
      </c>
      <c r="H38" s="65">
        <f t="shared" si="1"/>
        <v>-12479.02</v>
      </c>
    </row>
    <row r="39" spans="1:8">
      <c r="B39" t="s">
        <v>890</v>
      </c>
      <c r="E39" s="65">
        <v>-500</v>
      </c>
      <c r="F39" s="65"/>
      <c r="G39" s="65">
        <v>-500</v>
      </c>
      <c r="H39" s="65">
        <f t="shared" si="1"/>
        <v>-12979.02</v>
      </c>
    </row>
    <row r="40" spans="1:8">
      <c r="B40" t="s">
        <v>217</v>
      </c>
      <c r="E40" s="65">
        <v>-1500</v>
      </c>
      <c r="G40" s="65">
        <v>-1500</v>
      </c>
      <c r="H40" s="65">
        <f t="shared" si="1"/>
        <v>-14479.02</v>
      </c>
    </row>
    <row r="41" spans="1:8">
      <c r="A41" s="97">
        <v>44764</v>
      </c>
      <c r="B41" t="s">
        <v>1323</v>
      </c>
      <c r="C41" t="s">
        <v>1306</v>
      </c>
      <c r="E41" s="65">
        <v>-1038</v>
      </c>
      <c r="G41" s="65">
        <v>-1038</v>
      </c>
      <c r="H41" s="65">
        <f t="shared" si="1"/>
        <v>-15517.02</v>
      </c>
    </row>
    <row r="42" spans="1:8">
      <c r="B42" s="94"/>
      <c r="C42" s="94"/>
      <c r="D42" s="94"/>
      <c r="E42" s="65"/>
      <c r="F42" s="65"/>
      <c r="G42" s="65"/>
      <c r="H42" s="65">
        <f t="shared" si="1"/>
        <v>-15517.02</v>
      </c>
    </row>
    <row r="43" spans="1:8">
      <c r="B43" s="94" t="s">
        <v>1324</v>
      </c>
      <c r="C43" s="94"/>
      <c r="D43" s="290">
        <v>1100</v>
      </c>
      <c r="E43" s="65"/>
      <c r="F43" s="65">
        <v>1100</v>
      </c>
      <c r="G43" s="65"/>
      <c r="H43" s="65">
        <f t="shared" si="1"/>
        <v>-14417.02</v>
      </c>
    </row>
    <row r="44" spans="1:8">
      <c r="B44" t="s">
        <v>218</v>
      </c>
      <c r="D44" s="84">
        <v>4299.5</v>
      </c>
      <c r="F44" s="65">
        <v>4299.5</v>
      </c>
      <c r="G44" s="65"/>
      <c r="H44" s="65">
        <f t="shared" si="1"/>
        <v>-10117.52</v>
      </c>
    </row>
    <row r="45" spans="1:8">
      <c r="B45" t="s">
        <v>1325</v>
      </c>
      <c r="D45" s="65">
        <v>1650</v>
      </c>
      <c r="F45" s="65">
        <v>1650</v>
      </c>
      <c r="G45" s="65"/>
      <c r="H45" s="65">
        <f t="shared" si="1"/>
        <v>-8467.52</v>
      </c>
    </row>
    <row r="46" spans="1:8">
      <c r="D46" s="84"/>
      <c r="F46" s="65"/>
      <c r="G46" s="65"/>
      <c r="H46" s="65">
        <f t="shared" si="1"/>
        <v>-8467.52</v>
      </c>
    </row>
    <row r="47" spans="1:8">
      <c r="A47" s="297">
        <v>44747</v>
      </c>
      <c r="B47" s="293" t="s">
        <v>1326</v>
      </c>
      <c r="C47" s="293"/>
      <c r="D47" s="294">
        <v>4000</v>
      </c>
      <c r="E47" s="293"/>
      <c r="F47" s="295">
        <v>4000</v>
      </c>
      <c r="G47" s="65"/>
      <c r="H47" s="65">
        <f t="shared" si="1"/>
        <v>-4467.5200000000004</v>
      </c>
    </row>
    <row r="48" spans="1:8">
      <c r="A48" s="97"/>
      <c r="B48" s="288" t="s">
        <v>1304</v>
      </c>
      <c r="C48" s="288"/>
      <c r="D48" s="298">
        <v>1000</v>
      </c>
      <c r="E48" s="288"/>
      <c r="F48" s="299"/>
      <c r="G48" s="300"/>
      <c r="H48" s="65">
        <f t="shared" si="1"/>
        <v>-4467.5200000000004</v>
      </c>
    </row>
    <row r="49" spans="1:8">
      <c r="B49" t="s">
        <v>1327</v>
      </c>
      <c r="D49" s="84">
        <v>5000</v>
      </c>
      <c r="E49" s="65"/>
      <c r="F49" s="65"/>
      <c r="G49" s="65"/>
      <c r="H49" s="65">
        <f t="shared" si="1"/>
        <v>-4467.5200000000004</v>
      </c>
    </row>
    <row r="50" spans="1:8">
      <c r="B50" t="s">
        <v>1215</v>
      </c>
      <c r="D50" s="13">
        <v>4000</v>
      </c>
      <c r="E50" s="65"/>
      <c r="F50" s="65"/>
      <c r="G50" s="65"/>
      <c r="H50" s="65">
        <f t="shared" si="1"/>
        <v>-4467.5200000000004</v>
      </c>
    </row>
    <row r="51" spans="1:8">
      <c r="D51" s="84"/>
      <c r="E51" s="65"/>
      <c r="F51" s="65"/>
      <c r="G51" s="65"/>
      <c r="H51" s="65">
        <f t="shared" si="1"/>
        <v>-4467.5200000000004</v>
      </c>
    </row>
    <row r="52" spans="1:8">
      <c r="D52" s="84"/>
      <c r="E52" s="65"/>
      <c r="F52" s="65"/>
      <c r="G52" s="65"/>
      <c r="H52" s="65">
        <f t="shared" si="1"/>
        <v>-4467.5200000000004</v>
      </c>
    </row>
    <row r="53" spans="1:8">
      <c r="D53" s="84"/>
      <c r="E53" s="65"/>
      <c r="F53" s="65"/>
      <c r="G53" s="65"/>
      <c r="H53" s="65">
        <f t="shared" si="1"/>
        <v>-4467.5200000000004</v>
      </c>
    </row>
    <row r="54" spans="1:8">
      <c r="A54" s="301"/>
      <c r="B54" s="301" t="s">
        <v>1328</v>
      </c>
      <c r="C54" s="301"/>
      <c r="D54" s="302">
        <v>445.63</v>
      </c>
      <c r="E54" s="303"/>
      <c r="F54" s="301"/>
      <c r="G54" s="303"/>
      <c r="H54" s="65">
        <f t="shared" si="1"/>
        <v>-4467.5200000000004</v>
      </c>
    </row>
    <row r="55" spans="1:8">
      <c r="B55" s="301" t="s">
        <v>1216</v>
      </c>
      <c r="C55" s="301"/>
      <c r="D55" s="289">
        <v>4000</v>
      </c>
      <c r="E55" s="288"/>
      <c r="F55" s="288"/>
      <c r="G55" s="288"/>
      <c r="H55" s="65">
        <f t="shared" si="1"/>
        <v>-4467.5200000000004</v>
      </c>
    </row>
    <row r="58" spans="1:8">
      <c r="H5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4.95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1329</v>
      </c>
      <c r="C2" s="87" t="s">
        <v>191</v>
      </c>
      <c r="D2" s="240">
        <f>SUM(D4:D44)</f>
        <v>17837.05</v>
      </c>
      <c r="E2" s="240">
        <f>SUM(E4:E80)</f>
        <v>-28058.100000000002</v>
      </c>
      <c r="F2" s="240">
        <f>SUM(F4:F77)</f>
        <v>16654.189999999999</v>
      </c>
      <c r="G2" s="240">
        <f>SUM(G4:G77)</f>
        <v>-28058.1</v>
      </c>
      <c r="H2" s="240">
        <f>F2+G2</f>
        <v>-11403.91</v>
      </c>
    </row>
    <row r="3" spans="1:8">
      <c r="B3" s="70"/>
      <c r="H3" s="65"/>
    </row>
    <row r="4" spans="1:8">
      <c r="B4" s="3"/>
      <c r="C4" s="3"/>
      <c r="D4" s="3"/>
      <c r="E4" s="65"/>
      <c r="F4" s="65"/>
      <c r="G4" s="65"/>
      <c r="H4" s="65">
        <f t="shared" ref="H4:H47" si="0">H3+F4+G4</f>
        <v>0</v>
      </c>
    </row>
    <row r="5" spans="1:8">
      <c r="A5" s="301"/>
      <c r="B5" s="304" t="s">
        <v>1330</v>
      </c>
      <c r="C5" s="304"/>
      <c r="D5" s="304">
        <v>182.86</v>
      </c>
      <c r="E5" s="305"/>
      <c r="F5" s="305"/>
      <c r="G5" s="305"/>
      <c r="H5" s="65">
        <f t="shared" si="0"/>
        <v>0</v>
      </c>
    </row>
    <row r="6" spans="1:8">
      <c r="B6" t="s">
        <v>226</v>
      </c>
      <c r="D6">
        <v>996.77</v>
      </c>
      <c r="E6" s="65"/>
      <c r="F6" s="65">
        <v>996.77</v>
      </c>
      <c r="G6" s="65"/>
      <c r="H6" s="65">
        <f t="shared" si="0"/>
        <v>996.77</v>
      </c>
    </row>
    <row r="7" spans="1:8">
      <c r="B7" t="s">
        <v>1280</v>
      </c>
      <c r="D7">
        <v>249.02</v>
      </c>
      <c r="E7" s="65"/>
      <c r="F7" s="65">
        <v>249.02</v>
      </c>
      <c r="G7" s="65"/>
      <c r="H7" s="65">
        <f t="shared" si="0"/>
        <v>1245.79</v>
      </c>
    </row>
    <row r="8" spans="1:8">
      <c r="B8" t="s">
        <v>230</v>
      </c>
      <c r="D8">
        <v>140.4</v>
      </c>
      <c r="E8" s="65"/>
      <c r="F8" s="65">
        <v>140.4</v>
      </c>
      <c r="G8" s="65"/>
      <c r="H8" s="65">
        <f t="shared" si="0"/>
        <v>1386.19</v>
      </c>
    </row>
    <row r="9" spans="1:8">
      <c r="B9" s="306" t="s">
        <v>1151</v>
      </c>
      <c r="C9" s="306"/>
      <c r="D9" s="306"/>
      <c r="E9" s="307">
        <v>-1317.2</v>
      </c>
      <c r="F9" s="307"/>
      <c r="G9" s="307">
        <v>-1317.2</v>
      </c>
      <c r="H9" s="65">
        <f t="shared" si="0"/>
        <v>68.990000000000009</v>
      </c>
    </row>
    <row r="10" spans="1:8">
      <c r="B10" s="94"/>
      <c r="C10" s="94"/>
      <c r="D10" s="94"/>
      <c r="E10" s="65"/>
      <c r="F10" s="65"/>
      <c r="G10" s="65"/>
      <c r="H10" s="65">
        <f t="shared" si="0"/>
        <v>68.990000000000009</v>
      </c>
    </row>
    <row r="11" spans="1:8">
      <c r="A11" s="97">
        <v>44718</v>
      </c>
      <c r="B11" s="88" t="s">
        <v>1144</v>
      </c>
      <c r="C11" s="88"/>
      <c r="D11" s="88"/>
      <c r="E11" s="65">
        <v>-200.1</v>
      </c>
      <c r="F11" s="84"/>
      <c r="G11" s="65">
        <v>-200.1</v>
      </c>
      <c r="H11" s="65">
        <f t="shared" si="0"/>
        <v>-131.10999999999999</v>
      </c>
    </row>
    <row r="12" spans="1:8">
      <c r="A12" s="97">
        <v>44718</v>
      </c>
      <c r="B12" s="88" t="s">
        <v>1145</v>
      </c>
      <c r="C12" s="88"/>
      <c r="D12" s="88"/>
      <c r="E12" s="65">
        <v>-395.4</v>
      </c>
      <c r="F12" s="84"/>
      <c r="G12" s="65">
        <v>-395.4</v>
      </c>
      <c r="H12" s="65">
        <f t="shared" si="0"/>
        <v>-526.51</v>
      </c>
    </row>
    <row r="13" spans="1:8">
      <c r="A13" s="97"/>
      <c r="B13" s="88"/>
      <c r="C13" s="88"/>
      <c r="D13" s="88"/>
      <c r="E13" s="84"/>
      <c r="F13" s="84"/>
      <c r="G13" s="65"/>
      <c r="H13" s="65">
        <f t="shared" si="0"/>
        <v>-526.51</v>
      </c>
    </row>
    <row r="14" spans="1:8">
      <c r="A14" s="97">
        <v>44719</v>
      </c>
      <c r="B14" s="88" t="s">
        <v>1331</v>
      </c>
      <c r="C14" s="88"/>
      <c r="D14" s="88"/>
      <c r="E14" s="84"/>
      <c r="F14" s="84"/>
      <c r="G14" s="65"/>
      <c r="H14" s="65">
        <f t="shared" si="0"/>
        <v>-526.51</v>
      </c>
    </row>
    <row r="15" spans="1:8">
      <c r="B15" t="s">
        <v>1332</v>
      </c>
      <c r="C15" t="s">
        <v>1306</v>
      </c>
      <c r="E15" s="65">
        <v>-4820</v>
      </c>
      <c r="F15" s="65"/>
      <c r="G15" s="65">
        <v>-4820</v>
      </c>
      <c r="H15" s="65">
        <f t="shared" si="0"/>
        <v>-5346.51</v>
      </c>
    </row>
    <row r="16" spans="1:8">
      <c r="B16" t="s">
        <v>1333</v>
      </c>
      <c r="C16" t="s">
        <v>1334</v>
      </c>
      <c r="E16" s="65">
        <v>-250</v>
      </c>
      <c r="F16" s="65"/>
      <c r="G16" s="65">
        <v>-250</v>
      </c>
      <c r="H16" s="65">
        <f t="shared" si="0"/>
        <v>-5596.51</v>
      </c>
    </row>
    <row r="17" spans="1:8">
      <c r="F17" s="65"/>
      <c r="G17" s="65"/>
      <c r="H17" s="65">
        <f t="shared" si="0"/>
        <v>-5596.51</v>
      </c>
    </row>
    <row r="18" spans="1:8">
      <c r="B18" t="s">
        <v>1335</v>
      </c>
      <c r="E18" s="65"/>
      <c r="F18" s="65"/>
      <c r="G18" s="65"/>
      <c r="H18" s="65">
        <f t="shared" si="0"/>
        <v>-5596.51</v>
      </c>
    </row>
    <row r="19" spans="1:8">
      <c r="B19" t="s">
        <v>1336</v>
      </c>
      <c r="E19" s="65"/>
      <c r="F19" s="65"/>
      <c r="G19" s="65"/>
      <c r="H19" s="65">
        <f t="shared" si="0"/>
        <v>-5596.51</v>
      </c>
    </row>
    <row r="20" spans="1:8">
      <c r="B20" t="s">
        <v>1337</v>
      </c>
      <c r="E20" s="65"/>
      <c r="F20" s="65"/>
      <c r="G20" s="65"/>
      <c r="H20" s="65">
        <f t="shared" si="0"/>
        <v>-5596.51</v>
      </c>
    </row>
    <row r="21" spans="1:8">
      <c r="B21" t="s">
        <v>1338</v>
      </c>
      <c r="C21" t="s">
        <v>1306</v>
      </c>
      <c r="E21" s="65">
        <v>-12800</v>
      </c>
      <c r="F21" s="65"/>
      <c r="G21" s="65">
        <v>-12800</v>
      </c>
      <c r="H21" s="65">
        <f t="shared" si="0"/>
        <v>-18396.510000000002</v>
      </c>
    </row>
    <row r="22" spans="1:8">
      <c r="B22" t="s">
        <v>1339</v>
      </c>
      <c r="E22" s="65">
        <v>-421.5</v>
      </c>
      <c r="F22" s="65"/>
      <c r="G22" s="65">
        <v>-421.5</v>
      </c>
      <c r="H22" s="65">
        <f t="shared" si="0"/>
        <v>-18818.010000000002</v>
      </c>
    </row>
    <row r="23" spans="1:8">
      <c r="A23" s="97"/>
      <c r="B23" s="88"/>
      <c r="C23" s="88"/>
      <c r="D23" s="88"/>
      <c r="E23" s="84"/>
      <c r="F23" s="84"/>
      <c r="G23" s="65"/>
      <c r="H23" s="65">
        <f t="shared" si="0"/>
        <v>-18818.010000000002</v>
      </c>
    </row>
    <row r="24" spans="1:8">
      <c r="B24" s="308" t="s">
        <v>1340</v>
      </c>
      <c r="C24" s="308"/>
      <c r="D24" s="308"/>
      <c r="E24" s="309">
        <v>-177.65</v>
      </c>
      <c r="F24" s="309"/>
      <c r="G24" s="309"/>
      <c r="H24" s="65">
        <f t="shared" si="0"/>
        <v>-18818.010000000002</v>
      </c>
    </row>
    <row r="25" spans="1:8">
      <c r="B25" s="94" t="s">
        <v>1319</v>
      </c>
      <c r="C25" s="94"/>
      <c r="D25" s="94"/>
      <c r="E25" s="65">
        <v>-389.06</v>
      </c>
      <c r="F25" s="65"/>
      <c r="G25" s="65"/>
      <c r="H25" s="65">
        <f t="shared" si="0"/>
        <v>-18818.010000000002</v>
      </c>
    </row>
    <row r="26" spans="1:8">
      <c r="B26" s="94" t="s">
        <v>1341</v>
      </c>
      <c r="C26" s="94"/>
      <c r="D26" s="94"/>
      <c r="E26" s="65">
        <v>-200</v>
      </c>
      <c r="F26" s="65"/>
      <c r="G26" s="65"/>
      <c r="H26" s="65">
        <f t="shared" si="0"/>
        <v>-18818.010000000002</v>
      </c>
    </row>
    <row r="27" spans="1:8">
      <c r="B27" s="94" t="s">
        <v>1342</v>
      </c>
      <c r="C27" s="94"/>
      <c r="D27" s="94"/>
      <c r="E27" s="65">
        <v>-225</v>
      </c>
      <c r="F27" s="65"/>
      <c r="G27" s="65"/>
      <c r="H27" s="65">
        <f t="shared" si="0"/>
        <v>-18818.010000000002</v>
      </c>
    </row>
    <row r="28" spans="1:8">
      <c r="B28" s="94" t="s">
        <v>1343</v>
      </c>
      <c r="C28" s="94"/>
      <c r="D28" s="94"/>
      <c r="E28" s="65">
        <v>-300</v>
      </c>
      <c r="F28" s="65"/>
      <c r="G28" s="65"/>
      <c r="H28" s="65">
        <f t="shared" si="0"/>
        <v>-18818.010000000002</v>
      </c>
    </row>
    <row r="29" spans="1:8">
      <c r="B29" s="94" t="s">
        <v>1344</v>
      </c>
      <c r="C29" s="94"/>
      <c r="D29" s="94"/>
      <c r="E29" s="65">
        <v>-200</v>
      </c>
      <c r="F29" s="65"/>
      <c r="G29" s="65"/>
      <c r="H29" s="65">
        <f t="shared" si="0"/>
        <v>-18818.010000000002</v>
      </c>
    </row>
    <row r="30" spans="1:8">
      <c r="B30" s="94" t="s">
        <v>874</v>
      </c>
      <c r="C30" s="94"/>
      <c r="D30" s="94"/>
      <c r="E30" s="65">
        <v>-70</v>
      </c>
      <c r="F30" s="65"/>
      <c r="G30" s="65"/>
      <c r="H30" s="65">
        <f t="shared" si="0"/>
        <v>-18818.010000000002</v>
      </c>
    </row>
    <row r="31" spans="1:8">
      <c r="A31" s="97">
        <v>44718</v>
      </c>
      <c r="B31" s="306" t="s">
        <v>1271</v>
      </c>
      <c r="C31" s="306"/>
      <c r="D31" s="306"/>
      <c r="E31" s="310"/>
      <c r="F31" s="307"/>
      <c r="G31" s="307">
        <v>-1561.71</v>
      </c>
      <c r="H31" s="65">
        <f t="shared" si="0"/>
        <v>-20379.72</v>
      </c>
    </row>
    <row r="32" spans="1:8">
      <c r="A32" s="97"/>
      <c r="B32" s="94"/>
      <c r="C32" s="94"/>
      <c r="D32" s="94"/>
      <c r="E32" s="84"/>
      <c r="F32" s="65"/>
      <c r="G32" s="65"/>
      <c r="H32" s="65">
        <f t="shared" si="0"/>
        <v>-20379.72</v>
      </c>
    </row>
    <row r="33" spans="1:8">
      <c r="A33" s="97">
        <v>44728</v>
      </c>
      <c r="B33" s="94" t="s">
        <v>1345</v>
      </c>
      <c r="C33" s="94"/>
      <c r="D33" s="94"/>
      <c r="E33" s="65">
        <v>-99.5</v>
      </c>
      <c r="F33" s="65"/>
      <c r="G33" s="65">
        <v>-130.72999999999999</v>
      </c>
      <c r="H33" s="65">
        <f t="shared" si="0"/>
        <v>-20510.45</v>
      </c>
    </row>
    <row r="34" spans="1:8">
      <c r="A34" s="97">
        <v>44729</v>
      </c>
      <c r="B34" s="94" t="s">
        <v>1251</v>
      </c>
      <c r="C34" s="94"/>
      <c r="D34" s="94"/>
      <c r="E34" s="65">
        <v>-49.96</v>
      </c>
      <c r="F34" s="65"/>
      <c r="G34" s="65">
        <v>-49.96</v>
      </c>
      <c r="H34" s="65">
        <f t="shared" si="0"/>
        <v>-20560.41</v>
      </c>
    </row>
    <row r="35" spans="1:8">
      <c r="A35" s="97">
        <v>44728</v>
      </c>
      <c r="B35" s="94" t="s">
        <v>1264</v>
      </c>
      <c r="C35" s="94"/>
      <c r="D35" s="94"/>
      <c r="E35" s="65">
        <v>-130.72999999999999</v>
      </c>
      <c r="F35" s="65"/>
      <c r="G35" s="65">
        <v>-99.5</v>
      </c>
      <c r="H35" s="65">
        <f t="shared" si="0"/>
        <v>-20659.91</v>
      </c>
    </row>
    <row r="36" spans="1:8">
      <c r="B36" s="94"/>
      <c r="C36" s="94"/>
      <c r="D36" s="94"/>
      <c r="E36" s="65"/>
      <c r="F36" s="65"/>
      <c r="G36" s="65"/>
      <c r="H36" s="65">
        <f t="shared" si="0"/>
        <v>-20659.91</v>
      </c>
    </row>
    <row r="37" spans="1:8">
      <c r="A37" s="97">
        <v>44739</v>
      </c>
      <c r="B37" t="s">
        <v>84</v>
      </c>
      <c r="E37" s="65">
        <v>-1506</v>
      </c>
      <c r="F37" s="65"/>
      <c r="G37" s="65">
        <v>-1506</v>
      </c>
      <c r="H37" s="65">
        <f t="shared" si="0"/>
        <v>-22165.91</v>
      </c>
    </row>
    <row r="38" spans="1:8">
      <c r="A38" s="97">
        <v>44739</v>
      </c>
      <c r="B38" t="s">
        <v>172</v>
      </c>
      <c r="E38" s="65">
        <v>-1506</v>
      </c>
      <c r="F38" s="65"/>
      <c r="G38" s="65">
        <v>-1506</v>
      </c>
      <c r="H38" s="65">
        <f t="shared" si="0"/>
        <v>-23671.91</v>
      </c>
    </row>
    <row r="39" spans="1:8">
      <c r="B39" t="s">
        <v>1346</v>
      </c>
      <c r="E39" s="65">
        <v>-3000</v>
      </c>
      <c r="G39" s="65">
        <v>-3000</v>
      </c>
      <c r="H39" s="65">
        <f t="shared" si="0"/>
        <v>-26671.91</v>
      </c>
    </row>
    <row r="40" spans="1:8">
      <c r="B40" s="94"/>
      <c r="C40" s="94"/>
      <c r="D40" s="94"/>
      <c r="E40" s="65"/>
      <c r="F40" s="65"/>
      <c r="G40" s="65"/>
      <c r="H40" s="65">
        <f t="shared" si="0"/>
        <v>-26671.91</v>
      </c>
    </row>
    <row r="41" spans="1:8">
      <c r="A41" s="97">
        <v>44739</v>
      </c>
      <c r="B41" t="s">
        <v>218</v>
      </c>
      <c r="D41" s="65">
        <v>3020.37</v>
      </c>
      <c r="E41" s="65"/>
      <c r="F41" s="65">
        <v>3020.37</v>
      </c>
      <c r="G41" s="65"/>
      <c r="H41" s="65">
        <f t="shared" si="0"/>
        <v>-23651.54</v>
      </c>
    </row>
    <row r="42" spans="1:8">
      <c r="A42" s="97">
        <v>44742</v>
      </c>
      <c r="B42" t="s">
        <v>1347</v>
      </c>
      <c r="D42" s="65">
        <v>1650</v>
      </c>
      <c r="F42" s="65">
        <v>1650</v>
      </c>
      <c r="G42" s="65"/>
      <c r="H42" s="65">
        <f t="shared" si="0"/>
        <v>-22001.54</v>
      </c>
    </row>
    <row r="43" spans="1:8">
      <c r="A43" s="301"/>
      <c r="B43" s="301" t="s">
        <v>1348</v>
      </c>
      <c r="C43" s="301"/>
      <c r="D43" s="303">
        <v>5000</v>
      </c>
      <c r="E43" s="303"/>
      <c r="F43" s="303"/>
      <c r="G43" s="303"/>
      <c r="H43" s="65">
        <f t="shared" si="0"/>
        <v>-22001.54</v>
      </c>
    </row>
    <row r="44" spans="1:8">
      <c r="A44">
        <v>2022</v>
      </c>
      <c r="B44" t="s">
        <v>1349</v>
      </c>
      <c r="D44" s="2">
        <v>6597.63</v>
      </c>
      <c r="F44" s="2">
        <v>6597.63</v>
      </c>
      <c r="H44" s="65">
        <f t="shared" si="0"/>
        <v>-15403.91</v>
      </c>
    </row>
    <row r="45" spans="1:8">
      <c r="D45" s="2"/>
      <c r="F45" s="2"/>
      <c r="H45" s="65">
        <f t="shared" si="0"/>
        <v>-15403.91</v>
      </c>
    </row>
    <row r="46" spans="1:8">
      <c r="A46" s="297">
        <v>44732</v>
      </c>
      <c r="B46" s="293" t="s">
        <v>1350</v>
      </c>
      <c r="C46" s="293"/>
      <c r="D46" s="293"/>
      <c r="E46" s="293"/>
      <c r="F46" s="295">
        <v>4000</v>
      </c>
      <c r="G46" s="293"/>
      <c r="H46" s="65">
        <f t="shared" si="0"/>
        <v>-11403.91</v>
      </c>
    </row>
    <row r="47" spans="1:8">
      <c r="A47" s="301"/>
      <c r="B47" s="301" t="s">
        <v>1216</v>
      </c>
      <c r="C47" s="301"/>
      <c r="D47" s="311">
        <v>4000</v>
      </c>
      <c r="E47" s="301"/>
      <c r="F47" s="301"/>
      <c r="G47" s="301"/>
      <c r="H47" s="65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1351</v>
      </c>
      <c r="B1" s="43">
        <v>2.98</v>
      </c>
      <c r="F1" s="124" t="s">
        <v>120</v>
      </c>
      <c r="G1" s="124" t="s">
        <v>121</v>
      </c>
      <c r="H1" s="124" t="s">
        <v>3</v>
      </c>
    </row>
    <row r="2" spans="1:8">
      <c r="A2" s="3" t="s">
        <v>1352</v>
      </c>
      <c r="C2" s="87" t="s">
        <v>191</v>
      </c>
      <c r="D2" s="240">
        <f>SUM(D4:D32)</f>
        <v>11328.34</v>
      </c>
      <c r="E2" s="240">
        <f>SUM(E4:E68)</f>
        <v>-7712.66</v>
      </c>
      <c r="F2" s="240">
        <f>SUM(F4:F65)</f>
        <v>9522.369999999999</v>
      </c>
      <c r="G2" s="240">
        <f>SUM(G4:G65)</f>
        <v>-7722.66</v>
      </c>
      <c r="H2" s="240">
        <f>F2+G2</f>
        <v>1799.7099999999991</v>
      </c>
    </row>
    <row r="3" spans="1:8">
      <c r="B3" s="70"/>
      <c r="E3" s="124"/>
      <c r="F3" s="124"/>
      <c r="G3" s="124"/>
      <c r="H3" s="65"/>
    </row>
    <row r="4" spans="1:8">
      <c r="B4" s="3"/>
      <c r="C4" s="3"/>
      <c r="D4" s="3"/>
      <c r="E4" s="65"/>
      <c r="F4" s="65"/>
      <c r="G4" s="65"/>
      <c r="H4" s="65">
        <f t="shared" ref="H4:H34" si="0">H3+F4+G4</f>
        <v>0</v>
      </c>
    </row>
    <row r="5" spans="1:8">
      <c r="B5" t="s">
        <v>1330</v>
      </c>
      <c r="D5">
        <v>155.6</v>
      </c>
      <c r="E5" s="65"/>
      <c r="F5" s="65">
        <v>155</v>
      </c>
      <c r="G5" s="65"/>
      <c r="H5" s="65">
        <f t="shared" si="0"/>
        <v>155</v>
      </c>
    </row>
    <row r="6" spans="1:8">
      <c r="B6" t="s">
        <v>226</v>
      </c>
      <c r="D6">
        <v>1036.21</v>
      </c>
      <c r="E6" s="65"/>
      <c r="F6" s="65">
        <v>1035</v>
      </c>
      <c r="G6" s="65"/>
      <c r="H6" s="65">
        <f t="shared" si="0"/>
        <v>1190</v>
      </c>
    </row>
    <row r="7" spans="1:8">
      <c r="B7" t="s">
        <v>1353</v>
      </c>
      <c r="D7">
        <v>153.68</v>
      </c>
      <c r="E7" s="65"/>
      <c r="F7" s="65">
        <v>350</v>
      </c>
      <c r="G7" s="65"/>
      <c r="H7" s="65">
        <f t="shared" si="0"/>
        <v>1540</v>
      </c>
    </row>
    <row r="8" spans="1:8">
      <c r="B8" t="s">
        <v>1260</v>
      </c>
      <c r="D8">
        <v>230.48</v>
      </c>
      <c r="E8" s="65"/>
      <c r="F8" s="65">
        <v>230</v>
      </c>
      <c r="G8" s="65"/>
      <c r="H8" s="65">
        <f t="shared" si="0"/>
        <v>1770</v>
      </c>
    </row>
    <row r="9" spans="1:8">
      <c r="B9" t="s">
        <v>230</v>
      </c>
      <c r="D9">
        <v>82</v>
      </c>
      <c r="E9" s="65"/>
      <c r="F9" s="65">
        <v>82</v>
      </c>
      <c r="G9" s="65"/>
      <c r="H9" s="65">
        <f t="shared" si="0"/>
        <v>1852</v>
      </c>
    </row>
    <row r="10" spans="1:8">
      <c r="A10" s="97">
        <v>44691</v>
      </c>
      <c r="B10" s="94" t="s">
        <v>1151</v>
      </c>
      <c r="C10" s="94"/>
      <c r="D10" s="94"/>
      <c r="E10" s="65">
        <v>-1360.1</v>
      </c>
      <c r="F10" s="65"/>
      <c r="G10" s="65">
        <v>-1360.1</v>
      </c>
      <c r="H10" s="65">
        <f t="shared" si="0"/>
        <v>491.90000000000009</v>
      </c>
    </row>
    <row r="11" spans="1:8">
      <c r="A11" s="97">
        <v>44686</v>
      </c>
      <c r="B11" s="88" t="s">
        <v>1144</v>
      </c>
      <c r="C11" s="88"/>
      <c r="D11" s="88"/>
      <c r="E11" s="65">
        <v>-197.1</v>
      </c>
      <c r="F11" s="65"/>
      <c r="G11" s="65">
        <v>-197.1</v>
      </c>
      <c r="H11" s="65">
        <f t="shared" si="0"/>
        <v>294.80000000000007</v>
      </c>
    </row>
    <row r="12" spans="1:8">
      <c r="A12" s="97">
        <v>44686</v>
      </c>
      <c r="B12" s="88" t="s">
        <v>1145</v>
      </c>
      <c r="C12" s="88"/>
      <c r="D12" s="88"/>
      <c r="E12" s="65">
        <v>-365.7</v>
      </c>
      <c r="F12" s="65"/>
      <c r="G12" s="65">
        <v>-365.7</v>
      </c>
      <c r="H12" s="65">
        <f t="shared" si="0"/>
        <v>-70.89999999999992</v>
      </c>
    </row>
    <row r="13" spans="1:8">
      <c r="B13" s="94"/>
      <c r="C13" s="94"/>
      <c r="D13" s="94"/>
      <c r="E13" s="65"/>
      <c r="F13" s="65"/>
      <c r="G13" s="65"/>
      <c r="H13" s="65">
        <f t="shared" si="0"/>
        <v>-70.89999999999992</v>
      </c>
    </row>
    <row r="14" spans="1:8">
      <c r="B14" s="94" t="s">
        <v>1251</v>
      </c>
      <c r="C14" s="94"/>
      <c r="D14" s="94"/>
      <c r="E14" s="65">
        <v>-54.54</v>
      </c>
      <c r="F14" s="65"/>
      <c r="G14" s="65">
        <v>-54.54</v>
      </c>
      <c r="H14" s="65">
        <f t="shared" si="0"/>
        <v>-125.43999999999991</v>
      </c>
    </row>
    <row r="15" spans="1:8">
      <c r="B15" s="94" t="s">
        <v>1264</v>
      </c>
      <c r="C15" s="94"/>
      <c r="D15" s="94"/>
      <c r="E15" s="65">
        <v>-327.25</v>
      </c>
      <c r="F15" s="65"/>
      <c r="G15" s="65">
        <v>-327.25</v>
      </c>
      <c r="H15" s="65">
        <f t="shared" si="0"/>
        <v>-452.68999999999994</v>
      </c>
    </row>
    <row r="16" spans="1:8">
      <c r="B16" s="94"/>
      <c r="C16" s="94"/>
      <c r="D16" s="94"/>
      <c r="E16" s="65"/>
      <c r="F16" s="65"/>
      <c r="G16" s="65"/>
      <c r="H16" s="65">
        <f t="shared" si="0"/>
        <v>-452.68999999999994</v>
      </c>
    </row>
    <row r="17" spans="1:8">
      <c r="B17" s="308" t="s">
        <v>595</v>
      </c>
      <c r="C17" s="308"/>
      <c r="D17" s="308"/>
      <c r="E17" s="309">
        <v>-100</v>
      </c>
      <c r="F17" s="309"/>
      <c r="G17" s="309"/>
      <c r="H17" s="65">
        <f t="shared" si="0"/>
        <v>-452.68999999999994</v>
      </c>
    </row>
    <row r="18" spans="1:8">
      <c r="B18" s="94" t="s">
        <v>1354</v>
      </c>
      <c r="C18" s="94"/>
      <c r="D18" s="94"/>
      <c r="E18" s="65">
        <v>-115.31</v>
      </c>
      <c r="F18" s="65"/>
      <c r="G18" s="65"/>
      <c r="H18" s="65">
        <f t="shared" si="0"/>
        <v>-452.68999999999994</v>
      </c>
    </row>
    <row r="19" spans="1:8">
      <c r="B19" s="94" t="s">
        <v>1354</v>
      </c>
      <c r="C19" s="94"/>
      <c r="D19" s="94"/>
      <c r="E19" s="65">
        <v>-39.18</v>
      </c>
      <c r="F19" s="65"/>
      <c r="G19" s="65"/>
      <c r="H19" s="65">
        <f t="shared" si="0"/>
        <v>-452.68999999999994</v>
      </c>
    </row>
    <row r="20" spans="1:8">
      <c r="B20" s="94" t="s">
        <v>595</v>
      </c>
      <c r="C20" s="94"/>
      <c r="D20" s="94"/>
      <c r="E20" s="65">
        <v>-200</v>
      </c>
      <c r="F20" s="65"/>
      <c r="G20" s="65"/>
      <c r="H20" s="65">
        <f t="shared" si="0"/>
        <v>-452.68999999999994</v>
      </c>
    </row>
    <row r="21" spans="1:8">
      <c r="B21" s="94" t="s">
        <v>1166</v>
      </c>
      <c r="C21" s="94"/>
      <c r="D21" s="94"/>
      <c r="E21" s="65">
        <v>-70</v>
      </c>
      <c r="F21" s="65"/>
      <c r="G21" s="65"/>
      <c r="H21" s="65">
        <f t="shared" si="0"/>
        <v>-452.68999999999994</v>
      </c>
    </row>
    <row r="22" spans="1:8">
      <c r="B22" s="94" t="s">
        <v>1355</v>
      </c>
      <c r="C22" s="94"/>
      <c r="D22" s="94"/>
      <c r="E22" s="65">
        <v>-205.83</v>
      </c>
      <c r="F22" s="65"/>
      <c r="G22" s="65"/>
      <c r="H22" s="65">
        <f t="shared" si="0"/>
        <v>-452.68999999999994</v>
      </c>
    </row>
    <row r="23" spans="1:8">
      <c r="B23" s="94" t="s">
        <v>1356</v>
      </c>
      <c r="C23" s="94"/>
      <c r="D23" s="94"/>
      <c r="E23" s="65">
        <v>-177.65</v>
      </c>
      <c r="F23" s="65"/>
      <c r="G23" s="65"/>
      <c r="H23" s="65">
        <f t="shared" si="0"/>
        <v>-452.68999999999994</v>
      </c>
    </row>
    <row r="24" spans="1:8">
      <c r="A24" s="97">
        <v>44686</v>
      </c>
      <c r="B24" s="306" t="s">
        <v>1271</v>
      </c>
      <c r="C24" s="306"/>
      <c r="D24" s="306"/>
      <c r="E24" s="310"/>
      <c r="F24" s="307"/>
      <c r="G24" s="307">
        <v>-907.97</v>
      </c>
      <c r="H24" s="65">
        <f t="shared" si="0"/>
        <v>-1360.6599999999999</v>
      </c>
    </row>
    <row r="25" spans="1:8">
      <c r="B25" s="94"/>
      <c r="C25" s="94"/>
      <c r="D25" s="94"/>
      <c r="E25" s="65"/>
      <c r="F25" s="65"/>
      <c r="G25" s="65"/>
      <c r="H25" s="65">
        <f t="shared" si="0"/>
        <v>-1360.6599999999999</v>
      </c>
    </row>
    <row r="26" spans="1:8">
      <c r="A26" s="97">
        <v>44708</v>
      </c>
      <c r="B26" t="s">
        <v>84</v>
      </c>
      <c r="E26" s="65">
        <v>-1500</v>
      </c>
      <c r="F26" s="65"/>
      <c r="G26" s="65">
        <v>-1505</v>
      </c>
      <c r="H26" s="65">
        <f t="shared" si="0"/>
        <v>-2865.66</v>
      </c>
    </row>
    <row r="27" spans="1:8">
      <c r="A27" s="97">
        <v>44708</v>
      </c>
      <c r="B27" t="s">
        <v>172</v>
      </c>
      <c r="E27" s="65">
        <v>-1500</v>
      </c>
      <c r="F27" s="65"/>
      <c r="G27" s="65">
        <v>-1505</v>
      </c>
      <c r="H27" s="65">
        <f t="shared" si="0"/>
        <v>-4370.66</v>
      </c>
    </row>
    <row r="28" spans="1:8">
      <c r="A28" s="97">
        <v>44708</v>
      </c>
      <c r="B28" t="s">
        <v>217</v>
      </c>
      <c r="E28" s="65">
        <v>-1500</v>
      </c>
      <c r="F28" s="65"/>
      <c r="G28" s="65">
        <v>-1500</v>
      </c>
      <c r="H28" s="65">
        <f t="shared" si="0"/>
        <v>-5870.66</v>
      </c>
    </row>
    <row r="29" spans="1:8">
      <c r="E29" s="65"/>
      <c r="F29" s="65"/>
      <c r="G29" s="65"/>
      <c r="H29" s="65">
        <f t="shared" si="0"/>
        <v>-5870.66</v>
      </c>
    </row>
    <row r="30" spans="1:8">
      <c r="A30" s="97">
        <v>44708</v>
      </c>
      <c r="B30" t="s">
        <v>218</v>
      </c>
      <c r="D30" s="65">
        <v>3020.37</v>
      </c>
      <c r="E30" s="65"/>
      <c r="F30" s="65">
        <v>3020.37</v>
      </c>
      <c r="G30" s="65"/>
      <c r="H30" s="65">
        <f t="shared" si="0"/>
        <v>-2850.29</v>
      </c>
    </row>
    <row r="31" spans="1:8">
      <c r="A31" s="97">
        <v>44711</v>
      </c>
      <c r="B31" t="s">
        <v>219</v>
      </c>
      <c r="D31" s="65">
        <v>1650</v>
      </c>
      <c r="F31" s="65">
        <v>1650</v>
      </c>
      <c r="G31" s="65"/>
      <c r="H31" s="65">
        <f t="shared" si="0"/>
        <v>-1200.29</v>
      </c>
    </row>
    <row r="32" spans="1:8">
      <c r="A32" s="97">
        <v>44711</v>
      </c>
      <c r="B32" t="s">
        <v>1357</v>
      </c>
      <c r="C32" s="312"/>
      <c r="D32" s="65">
        <v>5000</v>
      </c>
      <c r="E32" s="65"/>
      <c r="F32" s="65">
        <v>3000</v>
      </c>
      <c r="G32" s="65"/>
      <c r="H32" s="65">
        <f t="shared" si="0"/>
        <v>1799.71</v>
      </c>
    </row>
    <row r="33" spans="1:8">
      <c r="F33" s="65"/>
      <c r="G33" s="65"/>
      <c r="H33" s="65">
        <f t="shared" si="0"/>
        <v>1799.71</v>
      </c>
    </row>
    <row r="34" spans="1:8">
      <c r="A34" s="313"/>
      <c r="B34" s="301" t="s">
        <v>1350</v>
      </c>
      <c r="C34" s="301"/>
      <c r="D34" s="314">
        <v>4000</v>
      </c>
      <c r="E34" s="301"/>
      <c r="F34" s="303"/>
      <c r="G34" s="303"/>
      <c r="H34" s="65">
        <f t="shared" si="0"/>
        <v>1799.71</v>
      </c>
    </row>
    <row r="35" spans="1:8">
      <c r="F35" s="65"/>
      <c r="G35" s="65"/>
      <c r="H35" s="65"/>
    </row>
    <row r="36" spans="1:8">
      <c r="F36" s="65"/>
      <c r="G36" s="65"/>
      <c r="H36" s="65"/>
    </row>
    <row r="37" spans="1:8">
      <c r="E37" s="65"/>
      <c r="F37" s="65"/>
      <c r="G37" s="65"/>
      <c r="H37" s="65"/>
    </row>
    <row r="38" spans="1:8">
      <c r="E38" s="65"/>
      <c r="F38" s="65"/>
      <c r="G38" s="65"/>
      <c r="H38" s="65"/>
    </row>
    <row r="39" spans="1:8">
      <c r="H39" s="65"/>
    </row>
    <row r="40" spans="1:8">
      <c r="H40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3">
        <v>7.25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1358</v>
      </c>
      <c r="C2" s="87" t="s">
        <v>191</v>
      </c>
      <c r="D2" s="240">
        <f>SUM(D5:D66)</f>
        <v>15937.59</v>
      </c>
      <c r="E2" s="240">
        <f>SUM(E5:E66)</f>
        <v>-11790.68</v>
      </c>
      <c r="F2" s="240">
        <f>SUM(F5:F66)</f>
        <v>17940.28</v>
      </c>
      <c r="G2" s="240">
        <f>SUM(G5:G66)</f>
        <v>-11140.68</v>
      </c>
      <c r="H2" s="240">
        <f>F2+G2</f>
        <v>6799.5999999999985</v>
      </c>
    </row>
    <row r="3" spans="1:8">
      <c r="A3" s="97"/>
      <c r="B3" s="70"/>
      <c r="E3" s="65"/>
      <c r="F3" s="65"/>
      <c r="G3" s="65"/>
      <c r="H3" s="65"/>
    </row>
    <row r="4" spans="1:8">
      <c r="A4" s="97"/>
      <c r="E4" s="65"/>
      <c r="F4" s="65"/>
      <c r="G4" s="65"/>
      <c r="H4" s="65">
        <f t="shared" ref="H4:H36" si="0">H3+F4+G4</f>
        <v>0</v>
      </c>
    </row>
    <row r="5" spans="1:8">
      <c r="A5" s="97">
        <v>44658</v>
      </c>
      <c r="B5" t="s">
        <v>1330</v>
      </c>
      <c r="D5">
        <v>257.31</v>
      </c>
      <c r="E5" s="65"/>
      <c r="F5" s="65">
        <v>260</v>
      </c>
      <c r="G5" s="65"/>
      <c r="H5" s="65">
        <f t="shared" si="0"/>
        <v>260</v>
      </c>
    </row>
    <row r="6" spans="1:8">
      <c r="A6" s="97"/>
      <c r="B6" t="s">
        <v>226</v>
      </c>
      <c r="D6">
        <v>1089.6300000000001</v>
      </c>
      <c r="E6" s="65"/>
      <c r="F6" s="65">
        <v>1089.6300000000001</v>
      </c>
      <c r="G6" s="65"/>
      <c r="H6" s="65">
        <f t="shared" si="0"/>
        <v>1349.63</v>
      </c>
    </row>
    <row r="7" spans="1:8">
      <c r="A7" s="97">
        <v>44654</v>
      </c>
      <c r="B7" t="s">
        <v>1280</v>
      </c>
      <c r="D7">
        <v>384.4</v>
      </c>
      <c r="E7" s="65"/>
      <c r="F7" s="65">
        <v>384.4</v>
      </c>
      <c r="G7" s="65"/>
      <c r="H7" s="65">
        <f t="shared" si="0"/>
        <v>1734.0300000000002</v>
      </c>
    </row>
    <row r="8" spans="1:8">
      <c r="A8" s="97">
        <v>44654</v>
      </c>
      <c r="B8" t="s">
        <v>230</v>
      </c>
      <c r="D8">
        <v>85.88</v>
      </c>
      <c r="E8" s="65"/>
      <c r="F8" s="65">
        <v>85.88</v>
      </c>
      <c r="G8" s="65"/>
      <c r="H8" s="65">
        <f t="shared" si="0"/>
        <v>1819.9100000000003</v>
      </c>
    </row>
    <row r="9" spans="1:8">
      <c r="A9" s="97"/>
      <c r="B9" s="94" t="s">
        <v>1151</v>
      </c>
      <c r="C9" s="94"/>
      <c r="D9" s="94"/>
      <c r="E9" s="65">
        <v>-1578.43</v>
      </c>
      <c r="F9" s="65"/>
      <c r="G9" s="65">
        <v>-1578.43</v>
      </c>
      <c r="H9" s="65">
        <f t="shared" si="0"/>
        <v>241.48000000000025</v>
      </c>
    </row>
    <row r="10" spans="1:8">
      <c r="A10" s="97">
        <v>44655</v>
      </c>
      <c r="B10" s="88" t="s">
        <v>1144</v>
      </c>
      <c r="C10" s="88"/>
      <c r="D10" s="88"/>
      <c r="E10" s="65">
        <v>-383.8</v>
      </c>
      <c r="F10" s="84"/>
      <c r="G10" s="65">
        <v>-383.8</v>
      </c>
      <c r="H10" s="65">
        <f t="shared" si="0"/>
        <v>-142.31999999999977</v>
      </c>
    </row>
    <row r="11" spans="1:8">
      <c r="A11" s="97">
        <v>44655</v>
      </c>
      <c r="B11" s="88" t="s">
        <v>1145</v>
      </c>
      <c r="C11" s="88"/>
      <c r="D11" s="88"/>
      <c r="E11" s="65">
        <v>-171.6</v>
      </c>
      <c r="F11" s="84"/>
      <c r="G11" s="65">
        <v>-171.6</v>
      </c>
      <c r="H11" s="65">
        <f t="shared" si="0"/>
        <v>-313.91999999999973</v>
      </c>
    </row>
    <row r="12" spans="1:8">
      <c r="A12" s="97"/>
      <c r="B12" s="88"/>
      <c r="C12" s="88"/>
      <c r="D12" s="88"/>
      <c r="F12" s="84"/>
      <c r="G12" s="65"/>
      <c r="H12" s="65">
        <f t="shared" si="0"/>
        <v>-313.91999999999973</v>
      </c>
    </row>
    <row r="13" spans="1:8">
      <c r="A13" s="97"/>
      <c r="B13" s="94" t="s">
        <v>1251</v>
      </c>
      <c r="C13" s="94"/>
      <c r="D13" s="94"/>
      <c r="E13" s="65">
        <v>-600</v>
      </c>
      <c r="F13" s="65"/>
      <c r="G13" s="65"/>
      <c r="H13" s="65">
        <f t="shared" si="0"/>
        <v>-313.91999999999973</v>
      </c>
    </row>
    <row r="14" spans="1:8">
      <c r="A14" s="97"/>
      <c r="B14" s="94" t="s">
        <v>1264</v>
      </c>
      <c r="C14" s="94"/>
      <c r="D14" s="94"/>
      <c r="E14" s="65">
        <v>-50</v>
      </c>
      <c r="F14" s="65"/>
      <c r="G14" s="65"/>
      <c r="H14" s="65">
        <f t="shared" si="0"/>
        <v>-313.91999999999973</v>
      </c>
    </row>
    <row r="15" spans="1:8">
      <c r="A15" s="97"/>
      <c r="B15" s="88"/>
      <c r="C15" s="88"/>
      <c r="D15" s="88"/>
      <c r="E15" s="65"/>
      <c r="F15" s="84"/>
      <c r="G15" s="65"/>
      <c r="H15" s="65">
        <f t="shared" si="0"/>
        <v>-313.91999999999973</v>
      </c>
    </row>
    <row r="16" spans="1:8">
      <c r="A16" s="97"/>
      <c r="B16" s="308" t="s">
        <v>1359</v>
      </c>
      <c r="C16" s="308"/>
      <c r="D16" s="308"/>
      <c r="E16" s="309">
        <v>-169</v>
      </c>
      <c r="F16" s="315"/>
      <c r="G16" s="309"/>
      <c r="H16" s="65">
        <f t="shared" si="0"/>
        <v>-313.91999999999973</v>
      </c>
    </row>
    <row r="17" spans="1:8">
      <c r="A17" s="97"/>
      <c r="B17" s="94" t="s">
        <v>1360</v>
      </c>
      <c r="C17" s="94"/>
      <c r="D17" s="94"/>
      <c r="E17" s="65">
        <v>-3270</v>
      </c>
      <c r="F17" s="84"/>
      <c r="G17" s="65"/>
      <c r="H17" s="65">
        <f t="shared" si="0"/>
        <v>-313.91999999999973</v>
      </c>
    </row>
    <row r="18" spans="1:8">
      <c r="A18" s="97"/>
      <c r="B18" s="94" t="s">
        <v>1361</v>
      </c>
      <c r="C18" s="94"/>
      <c r="D18" s="94"/>
      <c r="E18" s="65">
        <v>-238</v>
      </c>
      <c r="F18" s="84"/>
      <c r="G18" s="65"/>
      <c r="H18" s="65">
        <f t="shared" si="0"/>
        <v>-313.91999999999973</v>
      </c>
    </row>
    <row r="19" spans="1:8">
      <c r="A19" s="97"/>
      <c r="B19" s="94" t="s">
        <v>1362</v>
      </c>
      <c r="C19" s="94"/>
      <c r="D19" s="94"/>
      <c r="E19" s="65">
        <v>-11.9</v>
      </c>
      <c r="F19" s="84"/>
      <c r="G19" s="65"/>
      <c r="H19" s="65">
        <f t="shared" si="0"/>
        <v>-313.91999999999973</v>
      </c>
    </row>
    <row r="20" spans="1:8">
      <c r="A20" s="97"/>
      <c r="B20" s="94" t="s">
        <v>1363</v>
      </c>
      <c r="C20" s="94"/>
      <c r="D20" s="94"/>
      <c r="E20" s="65">
        <v>-177.65</v>
      </c>
      <c r="F20" s="84"/>
      <c r="G20" s="65"/>
      <c r="H20" s="65">
        <f t="shared" si="0"/>
        <v>-313.91999999999973</v>
      </c>
    </row>
    <row r="21" spans="1:8">
      <c r="A21" s="97"/>
      <c r="B21" s="94" t="s">
        <v>1364</v>
      </c>
      <c r="C21" s="94"/>
      <c r="D21" s="94"/>
      <c r="E21" s="65">
        <v>-132.30000000000001</v>
      </c>
      <c r="F21" s="84"/>
      <c r="G21" s="65"/>
      <c r="H21" s="65">
        <f t="shared" si="0"/>
        <v>-313.91999999999973</v>
      </c>
    </row>
    <row r="22" spans="1:8">
      <c r="A22" s="97">
        <v>44655</v>
      </c>
      <c r="B22" s="306" t="s">
        <v>1271</v>
      </c>
      <c r="C22" s="306"/>
      <c r="D22" s="306"/>
      <c r="E22" s="310"/>
      <c r="F22" s="310"/>
      <c r="G22" s="307">
        <v>-3998.85</v>
      </c>
      <c r="H22" s="65">
        <f t="shared" si="0"/>
        <v>-4312.7699999999995</v>
      </c>
    </row>
    <row r="23" spans="1:8">
      <c r="A23" s="97"/>
      <c r="B23" s="94"/>
      <c r="C23" s="94"/>
      <c r="D23" s="94"/>
      <c r="E23" s="84"/>
      <c r="F23" s="84"/>
      <c r="G23" s="65"/>
      <c r="H23" s="65">
        <f t="shared" si="0"/>
        <v>-4312.7699999999995</v>
      </c>
    </row>
    <row r="24" spans="1:8">
      <c r="A24" s="97"/>
      <c r="B24" t="s">
        <v>84</v>
      </c>
      <c r="E24" s="65">
        <v>-1504</v>
      </c>
      <c r="G24" s="65">
        <v>-1504</v>
      </c>
      <c r="H24" s="65">
        <f t="shared" si="0"/>
        <v>-5816.7699999999995</v>
      </c>
    </row>
    <row r="25" spans="1:8">
      <c r="A25" s="97"/>
      <c r="B25" t="s">
        <v>172</v>
      </c>
      <c r="E25" s="65">
        <v>-1504</v>
      </c>
      <c r="G25" s="65">
        <v>-1504</v>
      </c>
      <c r="H25" s="65">
        <f t="shared" si="0"/>
        <v>-7320.7699999999995</v>
      </c>
    </row>
    <row r="26" spans="1:8">
      <c r="A26" s="97"/>
      <c r="B26" t="s">
        <v>1365</v>
      </c>
      <c r="E26" s="65">
        <v>-500</v>
      </c>
      <c r="G26" s="65">
        <v>-500</v>
      </c>
      <c r="H26" s="65">
        <f t="shared" si="0"/>
        <v>-7820.7699999999995</v>
      </c>
    </row>
    <row r="27" spans="1:8">
      <c r="B27" t="s">
        <v>217</v>
      </c>
      <c r="E27" s="65">
        <v>-1500</v>
      </c>
      <c r="G27" s="65">
        <v>-1500</v>
      </c>
      <c r="H27" s="65">
        <f t="shared" si="0"/>
        <v>-9320.77</v>
      </c>
    </row>
    <row r="28" spans="1:8">
      <c r="H28" s="65">
        <f t="shared" si="0"/>
        <v>-9320.77</v>
      </c>
    </row>
    <row r="29" spans="1:8">
      <c r="A29" s="97"/>
      <c r="B29" t="s">
        <v>218</v>
      </c>
      <c r="D29" s="65">
        <v>3020.37</v>
      </c>
      <c r="E29" s="65"/>
      <c r="F29" s="65">
        <v>3020.37</v>
      </c>
      <c r="G29" s="65"/>
      <c r="H29" s="65">
        <f t="shared" si="0"/>
        <v>-6300.4000000000005</v>
      </c>
    </row>
    <row r="30" spans="1:8">
      <c r="A30" s="97">
        <v>44655</v>
      </c>
      <c r="B30" t="s">
        <v>1366</v>
      </c>
      <c r="D30" s="65">
        <v>2500</v>
      </c>
      <c r="E30" s="65"/>
      <c r="F30" s="65">
        <v>2500</v>
      </c>
      <c r="G30" s="65"/>
      <c r="H30" s="65">
        <f t="shared" si="0"/>
        <v>-3800.4000000000005</v>
      </c>
    </row>
    <row r="31" spans="1:8">
      <c r="A31" s="97">
        <v>44693</v>
      </c>
      <c r="B31" t="s">
        <v>1367</v>
      </c>
      <c r="D31" s="65">
        <v>1600</v>
      </c>
      <c r="F31" s="65">
        <v>1600</v>
      </c>
      <c r="G31" s="65"/>
      <c r="H31" s="65">
        <f t="shared" si="0"/>
        <v>-2200.4000000000005</v>
      </c>
    </row>
    <row r="32" spans="1:8">
      <c r="A32" s="97">
        <v>44691</v>
      </c>
      <c r="B32" s="293" t="s">
        <v>1368</v>
      </c>
      <c r="C32" s="312"/>
      <c r="D32" s="65">
        <v>3000</v>
      </c>
      <c r="F32" s="65">
        <v>5000</v>
      </c>
      <c r="G32" s="65"/>
      <c r="H32" s="65">
        <f t="shared" si="0"/>
        <v>2799.5999999999995</v>
      </c>
    </row>
    <row r="33" spans="1:8">
      <c r="H33" s="65">
        <f t="shared" si="0"/>
        <v>2799.5999999999995</v>
      </c>
    </row>
    <row r="34" spans="1:8">
      <c r="A34" s="97">
        <v>44688</v>
      </c>
      <c r="B34" t="s">
        <v>1369</v>
      </c>
      <c r="D34" s="2">
        <v>4000</v>
      </c>
      <c r="F34" s="2">
        <v>4000</v>
      </c>
      <c r="H34" s="65">
        <f t="shared" si="0"/>
        <v>6799.5999999999995</v>
      </c>
    </row>
    <row r="35" spans="1:8">
      <c r="A35" s="97"/>
      <c r="B35" t="s">
        <v>1370</v>
      </c>
      <c r="D35" s="65"/>
      <c r="F35" s="65"/>
      <c r="G35" s="65"/>
      <c r="H35" s="65">
        <f t="shared" si="0"/>
        <v>6799.5999999999995</v>
      </c>
    </row>
    <row r="36" spans="1:8">
      <c r="H36" s="65">
        <f t="shared" si="0"/>
        <v>6799.5999999999995</v>
      </c>
    </row>
    <row r="38" spans="1:8">
      <c r="A38" s="97"/>
      <c r="F38" s="65"/>
      <c r="G38" s="65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3">
        <v>5.46</v>
      </c>
      <c r="E1" s="124"/>
      <c r="F1" s="124" t="s">
        <v>120</v>
      </c>
      <c r="G1" s="124" t="s">
        <v>121</v>
      </c>
      <c r="H1" s="124" t="s">
        <v>3</v>
      </c>
    </row>
    <row r="2" spans="1:9">
      <c r="A2" s="3" t="s">
        <v>1371</v>
      </c>
      <c r="C2" s="87" t="s">
        <v>191</v>
      </c>
      <c r="D2" s="240">
        <f>SUM(D5:D61)</f>
        <v>36859.61</v>
      </c>
      <c r="E2" s="240">
        <f>SUM(E5:E61)</f>
        <v>-30109.3</v>
      </c>
      <c r="F2" s="240">
        <f>SUM(F5:F61)</f>
        <v>35859.61</v>
      </c>
      <c r="G2" s="240">
        <f>SUM(G5:G61)</f>
        <v>-30109.3</v>
      </c>
      <c r="H2" s="240">
        <f>F2+G2</f>
        <v>5750.3100000000013</v>
      </c>
    </row>
    <row r="3" spans="1:9">
      <c r="A3" s="97"/>
      <c r="B3" s="70"/>
      <c r="C3" s="3"/>
      <c r="D3" s="3"/>
      <c r="E3" s="84"/>
      <c r="F3" s="84"/>
      <c r="G3" s="84"/>
      <c r="H3" s="65"/>
      <c r="I3" s="3"/>
    </row>
    <row r="4" spans="1:9">
      <c r="A4" s="97"/>
      <c r="B4" s="3"/>
      <c r="C4" s="3"/>
      <c r="D4" s="3"/>
      <c r="E4" s="84"/>
      <c r="F4" s="84"/>
      <c r="G4" s="84"/>
      <c r="H4" s="65">
        <f t="shared" ref="H4:H32" si="0">H3+F4+G4</f>
        <v>0</v>
      </c>
      <c r="I4" s="3"/>
    </row>
    <row r="5" spans="1:9">
      <c r="A5" s="97">
        <v>44623</v>
      </c>
      <c r="B5" t="s">
        <v>1330</v>
      </c>
      <c r="C5" t="s">
        <v>1372</v>
      </c>
      <c r="D5" s="65">
        <v>375.6</v>
      </c>
      <c r="F5" s="65">
        <v>375.6</v>
      </c>
      <c r="G5" s="65"/>
      <c r="H5" s="65">
        <f t="shared" si="0"/>
        <v>375.6</v>
      </c>
    </row>
    <row r="6" spans="1:9">
      <c r="A6" s="97">
        <v>44623</v>
      </c>
      <c r="B6" t="s">
        <v>226</v>
      </c>
      <c r="C6" t="s">
        <v>1372</v>
      </c>
      <c r="D6" s="65">
        <v>1137.8800000000001</v>
      </c>
      <c r="F6" s="65">
        <v>1137.8800000000001</v>
      </c>
      <c r="G6" s="65"/>
      <c r="H6" s="65">
        <f t="shared" si="0"/>
        <v>1513.48</v>
      </c>
    </row>
    <row r="7" spans="1:9">
      <c r="A7" s="97">
        <v>44623</v>
      </c>
      <c r="B7" t="s">
        <v>1280</v>
      </c>
      <c r="C7" t="s">
        <v>1372</v>
      </c>
      <c r="D7" s="65">
        <v>256.45</v>
      </c>
      <c r="F7" s="65">
        <v>256.45</v>
      </c>
      <c r="G7" s="65"/>
      <c r="H7" s="65">
        <f t="shared" si="0"/>
        <v>1769.93</v>
      </c>
    </row>
    <row r="8" spans="1:9">
      <c r="A8" s="97">
        <v>44623</v>
      </c>
      <c r="B8" t="s">
        <v>230</v>
      </c>
      <c r="C8" t="s">
        <v>1372</v>
      </c>
      <c r="D8" s="65">
        <v>69.31</v>
      </c>
      <c r="F8" s="65">
        <v>69.31</v>
      </c>
      <c r="G8" s="65"/>
      <c r="H8" s="65">
        <f t="shared" si="0"/>
        <v>1839.24</v>
      </c>
    </row>
    <row r="9" spans="1:9">
      <c r="A9" s="97">
        <v>44631</v>
      </c>
      <c r="B9" s="94" t="s">
        <v>1151</v>
      </c>
      <c r="C9" s="94" t="s">
        <v>1373</v>
      </c>
      <c r="D9" s="94"/>
      <c r="E9" s="65">
        <v>-1608.4</v>
      </c>
      <c r="F9" s="65"/>
      <c r="G9" s="65">
        <v>-1608.4</v>
      </c>
      <c r="H9" s="65">
        <f t="shared" si="0"/>
        <v>230.83999999999992</v>
      </c>
    </row>
    <row r="10" spans="1:9">
      <c r="A10" s="97">
        <v>44624</v>
      </c>
      <c r="B10" s="88" t="s">
        <v>1144</v>
      </c>
      <c r="C10" s="88" t="s">
        <v>1373</v>
      </c>
      <c r="D10" s="88"/>
      <c r="E10" s="65">
        <v>-167</v>
      </c>
      <c r="F10" s="84"/>
      <c r="G10" s="84">
        <v>-167</v>
      </c>
      <c r="H10" s="65">
        <f t="shared" si="0"/>
        <v>63.839999999999918</v>
      </c>
      <c r="I10" s="3"/>
    </row>
    <row r="11" spans="1:9">
      <c r="A11" s="97"/>
      <c r="B11" s="88" t="s">
        <v>1145</v>
      </c>
      <c r="C11" s="88" t="s">
        <v>1373</v>
      </c>
      <c r="D11" s="88"/>
      <c r="E11" s="65">
        <v>-428</v>
      </c>
      <c r="F11" s="84"/>
      <c r="G11" s="84">
        <v>-428</v>
      </c>
      <c r="H11" s="65">
        <f t="shared" si="0"/>
        <v>-364.16000000000008</v>
      </c>
      <c r="I11" s="3"/>
    </row>
    <row r="12" spans="1:9">
      <c r="A12" s="97"/>
      <c r="B12" s="94"/>
      <c r="C12" s="94"/>
      <c r="D12" s="94"/>
      <c r="E12" s="65"/>
      <c r="F12" s="65"/>
      <c r="G12" s="65"/>
      <c r="H12" s="65">
        <f t="shared" si="0"/>
        <v>-364.16000000000008</v>
      </c>
    </row>
    <row r="13" spans="1:9">
      <c r="A13" s="97"/>
      <c r="B13" s="94" t="s">
        <v>1251</v>
      </c>
      <c r="C13" s="94" t="s">
        <v>1373</v>
      </c>
      <c r="E13" s="65">
        <v>-37.229999999999997</v>
      </c>
      <c r="F13" s="65"/>
      <c r="G13" s="65">
        <v>-37.229999999999997</v>
      </c>
      <c r="H13" s="65">
        <f t="shared" si="0"/>
        <v>-401.3900000000001</v>
      </c>
    </row>
    <row r="14" spans="1:9">
      <c r="A14" s="97"/>
      <c r="B14" s="94" t="s">
        <v>1264</v>
      </c>
      <c r="C14" s="94" t="s">
        <v>1373</v>
      </c>
      <c r="E14" s="65">
        <v>-632.91999999999996</v>
      </c>
      <c r="F14" s="65"/>
      <c r="G14" s="65">
        <v>-632.91999999999996</v>
      </c>
      <c r="H14" s="65">
        <f t="shared" si="0"/>
        <v>-1034.31</v>
      </c>
    </row>
    <row r="15" spans="1:9">
      <c r="A15" s="97"/>
      <c r="B15" s="88"/>
      <c r="C15" s="88"/>
      <c r="D15" s="88"/>
      <c r="E15" s="65"/>
      <c r="F15" s="84"/>
      <c r="G15" s="84"/>
      <c r="H15" s="65">
        <f t="shared" si="0"/>
        <v>-1034.31</v>
      </c>
      <c r="I15" s="3"/>
    </row>
    <row r="16" spans="1:9">
      <c r="A16" s="97"/>
      <c r="B16" s="94" t="s">
        <v>1374</v>
      </c>
      <c r="C16" s="94"/>
      <c r="D16" s="94"/>
      <c r="E16" s="65">
        <v>-50</v>
      </c>
      <c r="F16" s="84"/>
      <c r="G16" s="84"/>
      <c r="H16" s="65">
        <f t="shared" si="0"/>
        <v>-1034.31</v>
      </c>
      <c r="I16" s="3"/>
    </row>
    <row r="17" spans="1:9">
      <c r="A17" s="97"/>
      <c r="B17" s="94" t="s">
        <v>1375</v>
      </c>
      <c r="C17" s="94"/>
      <c r="D17" s="94"/>
      <c r="E17" s="65">
        <v>-21510.75</v>
      </c>
      <c r="F17" s="84"/>
      <c r="G17" s="84"/>
      <c r="H17" s="65">
        <f t="shared" si="0"/>
        <v>-1034.31</v>
      </c>
      <c r="I17" s="3"/>
    </row>
    <row r="18" spans="1:9">
      <c r="A18" s="97"/>
      <c r="B18" s="94" t="s">
        <v>1376</v>
      </c>
      <c r="C18" s="94"/>
      <c r="D18" s="94"/>
      <c r="E18" s="65">
        <v>-169</v>
      </c>
      <c r="F18" s="84"/>
      <c r="G18" s="84"/>
      <c r="H18" s="65">
        <f t="shared" si="0"/>
        <v>-1034.31</v>
      </c>
      <c r="I18" s="3"/>
    </row>
    <row r="19" spans="1:9">
      <c r="A19" s="97">
        <v>44627</v>
      </c>
      <c r="B19" s="316" t="s">
        <v>1271</v>
      </c>
      <c r="C19" s="316" t="s">
        <v>1373</v>
      </c>
      <c r="D19" s="316"/>
      <c r="E19" s="65"/>
      <c r="F19" s="84"/>
      <c r="G19" s="84">
        <v>-21729.75</v>
      </c>
      <c r="H19" s="65">
        <f t="shared" si="0"/>
        <v>-22764.06</v>
      </c>
      <c r="I19" s="3"/>
    </row>
    <row r="20" spans="1:9">
      <c r="A20" s="97"/>
      <c r="B20" s="94"/>
      <c r="C20" s="94"/>
      <c r="D20" s="94"/>
      <c r="E20" s="84"/>
      <c r="F20" s="84"/>
      <c r="G20" s="84"/>
      <c r="H20" s="65">
        <f t="shared" si="0"/>
        <v>-22764.06</v>
      </c>
      <c r="I20" s="3"/>
    </row>
    <row r="21" spans="1:9">
      <c r="A21" s="97">
        <v>44647</v>
      </c>
      <c r="B21" t="s">
        <v>84</v>
      </c>
      <c r="C21" t="s">
        <v>1373</v>
      </c>
      <c r="D21" s="65"/>
      <c r="E21" s="65">
        <v>-1503</v>
      </c>
      <c r="G21" s="65">
        <v>-1503</v>
      </c>
      <c r="H21" s="65">
        <f t="shared" si="0"/>
        <v>-24267.06</v>
      </c>
    </row>
    <row r="22" spans="1:9">
      <c r="A22" s="97">
        <v>44647</v>
      </c>
      <c r="B22" t="s">
        <v>172</v>
      </c>
      <c r="C22" t="s">
        <v>1373</v>
      </c>
      <c r="D22" s="65"/>
      <c r="E22" s="65">
        <v>-1503</v>
      </c>
      <c r="G22" s="65">
        <v>-1503</v>
      </c>
      <c r="H22" s="65">
        <f t="shared" si="0"/>
        <v>-25770.06</v>
      </c>
    </row>
    <row r="23" spans="1:9">
      <c r="A23" s="97">
        <v>44651</v>
      </c>
      <c r="B23" t="s">
        <v>1377</v>
      </c>
      <c r="C23" t="s">
        <v>1373</v>
      </c>
      <c r="D23" s="65"/>
      <c r="E23" s="65">
        <v>-1000</v>
      </c>
      <c r="G23" s="65">
        <v>-1000</v>
      </c>
      <c r="H23" s="65">
        <f t="shared" si="0"/>
        <v>-26770.06</v>
      </c>
    </row>
    <row r="24" spans="1:9">
      <c r="B24" t="s">
        <v>217</v>
      </c>
      <c r="E24" s="65">
        <v>-1500</v>
      </c>
      <c r="F24" s="65"/>
      <c r="G24" s="65">
        <v>-1500</v>
      </c>
      <c r="H24" s="65">
        <f t="shared" si="0"/>
        <v>-28270.06</v>
      </c>
    </row>
    <row r="25" spans="1:9">
      <c r="H25" s="65">
        <f t="shared" si="0"/>
        <v>-28270.06</v>
      </c>
    </row>
    <row r="26" spans="1:9">
      <c r="A26" s="97">
        <v>44647</v>
      </c>
      <c r="B26" t="s">
        <v>218</v>
      </c>
      <c r="C26" t="s">
        <v>1373</v>
      </c>
      <c r="D26" s="65">
        <v>3020.37</v>
      </c>
      <c r="E26" s="65"/>
      <c r="F26" s="65">
        <v>3020.37</v>
      </c>
      <c r="G26" s="65"/>
      <c r="H26" s="65">
        <f t="shared" si="0"/>
        <v>-25249.690000000002</v>
      </c>
    </row>
    <row r="27" spans="1:9">
      <c r="A27" s="97">
        <v>44642</v>
      </c>
      <c r="B27" t="s">
        <v>219</v>
      </c>
      <c r="D27" s="65">
        <v>1000</v>
      </c>
      <c r="F27" s="65">
        <v>0</v>
      </c>
      <c r="G27" s="65"/>
      <c r="H27" s="65">
        <f t="shared" si="0"/>
        <v>-25249.690000000002</v>
      </c>
    </row>
    <row r="28" spans="1:9">
      <c r="A28" s="97">
        <v>44648</v>
      </c>
      <c r="B28" t="s">
        <v>1378</v>
      </c>
      <c r="C28" s="65" t="s">
        <v>1372</v>
      </c>
      <c r="D28" s="65">
        <v>3000</v>
      </c>
      <c r="E28" s="65"/>
      <c r="F28" s="65">
        <v>3000</v>
      </c>
      <c r="G28" s="65"/>
      <c r="H28" s="65">
        <f t="shared" si="0"/>
        <v>-22249.690000000002</v>
      </c>
    </row>
    <row r="29" spans="1:9">
      <c r="H29" s="65">
        <f t="shared" si="0"/>
        <v>-22249.690000000002</v>
      </c>
    </row>
    <row r="30" spans="1:9">
      <c r="A30" s="97">
        <v>44650</v>
      </c>
      <c r="B30" t="s">
        <v>1379</v>
      </c>
      <c r="C30" s="65" t="s">
        <v>1372</v>
      </c>
      <c r="D30" s="65">
        <v>28000</v>
      </c>
      <c r="E30" s="65"/>
      <c r="F30" s="65">
        <v>28000</v>
      </c>
      <c r="H30" s="65">
        <f t="shared" si="0"/>
        <v>5750.3099999999977</v>
      </c>
    </row>
    <row r="31" spans="1:9">
      <c r="A31" s="97"/>
      <c r="B31" t="s">
        <v>1380</v>
      </c>
      <c r="C31" s="65"/>
      <c r="D31" s="65"/>
      <c r="E31" s="65"/>
      <c r="F31" s="65"/>
      <c r="H31" s="65">
        <f t="shared" si="0"/>
        <v>5750.3099999999977</v>
      </c>
    </row>
    <row r="32" spans="1:9">
      <c r="A32" s="97"/>
      <c r="B32" t="s">
        <v>1381</v>
      </c>
      <c r="C32" s="65"/>
      <c r="D32" s="65"/>
      <c r="E32" s="65"/>
      <c r="F32" s="65"/>
      <c r="H32" s="65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3">
        <v>4.8099999999999996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1382</v>
      </c>
      <c r="C2" s="87" t="s">
        <v>191</v>
      </c>
      <c r="D2" s="240">
        <f>SUM(D5:D63)</f>
        <v>10567.09</v>
      </c>
      <c r="E2" s="240">
        <f>SUM(E5:E63)</f>
        <v>-21938.15</v>
      </c>
      <c r="F2" s="240">
        <f>SUM(F5:F63)</f>
        <v>11567.09</v>
      </c>
      <c r="G2" s="240">
        <f>SUM(G5:G63)</f>
        <v>-21938.15</v>
      </c>
      <c r="H2" s="240">
        <f>F2+G2</f>
        <v>-10371.060000000001</v>
      </c>
    </row>
    <row r="3" spans="1:8">
      <c r="A3" s="97"/>
      <c r="B3" s="70"/>
      <c r="E3" s="65"/>
      <c r="F3" s="84"/>
      <c r="G3" s="84"/>
      <c r="H3" s="124"/>
    </row>
    <row r="4" spans="1:8">
      <c r="A4" s="97"/>
      <c r="B4" s="70"/>
      <c r="E4" s="65"/>
      <c r="F4" s="84"/>
      <c r="G4" s="84"/>
      <c r="H4" s="65">
        <f t="shared" ref="H4:H30" si="0">H3+F4+G4</f>
        <v>0</v>
      </c>
    </row>
    <row r="5" spans="1:8">
      <c r="A5" s="97">
        <v>44595</v>
      </c>
      <c r="B5" t="s">
        <v>1330</v>
      </c>
      <c r="D5" s="65">
        <v>508.99</v>
      </c>
      <c r="F5" s="65">
        <v>508.99</v>
      </c>
      <c r="G5" s="65"/>
      <c r="H5" s="65">
        <f t="shared" si="0"/>
        <v>508.99</v>
      </c>
    </row>
    <row r="6" spans="1:8">
      <c r="A6" s="97">
        <v>44595</v>
      </c>
      <c r="B6" t="s">
        <v>226</v>
      </c>
      <c r="D6" s="65">
        <v>1487.83</v>
      </c>
      <c r="F6" s="65">
        <v>1487.83</v>
      </c>
      <c r="G6" s="65"/>
      <c r="H6" s="65">
        <f t="shared" si="0"/>
        <v>1996.82</v>
      </c>
    </row>
    <row r="7" spans="1:8">
      <c r="A7" s="97">
        <v>44595</v>
      </c>
      <c r="B7" t="s">
        <v>1280</v>
      </c>
      <c r="D7" s="65">
        <v>489.66</v>
      </c>
      <c r="F7" s="65">
        <v>489.66</v>
      </c>
      <c r="G7" s="65"/>
      <c r="H7" s="65">
        <f t="shared" si="0"/>
        <v>2486.48</v>
      </c>
    </row>
    <row r="8" spans="1:8">
      <c r="A8" s="97">
        <v>44595</v>
      </c>
      <c r="B8" t="s">
        <v>230</v>
      </c>
      <c r="D8" s="65">
        <v>60.24</v>
      </c>
      <c r="F8" s="65">
        <v>60.24</v>
      </c>
      <c r="G8" s="65"/>
      <c r="H8" s="65">
        <f t="shared" si="0"/>
        <v>2546.7199999999998</v>
      </c>
    </row>
    <row r="9" spans="1:8">
      <c r="A9" s="97">
        <v>44606</v>
      </c>
      <c r="B9" s="94" t="s">
        <v>1151</v>
      </c>
      <c r="C9" s="94" t="s">
        <v>1373</v>
      </c>
      <c r="D9" s="94"/>
      <c r="E9" s="65">
        <v>-2319.48</v>
      </c>
      <c r="F9" s="65"/>
      <c r="G9" s="65">
        <v>-2319.48</v>
      </c>
      <c r="H9" s="65">
        <f t="shared" si="0"/>
        <v>227.23999999999978</v>
      </c>
    </row>
    <row r="10" spans="1:8">
      <c r="A10" s="97">
        <v>44595</v>
      </c>
      <c r="B10" s="88" t="s">
        <v>1144</v>
      </c>
      <c r="C10" s="88" t="s">
        <v>1373</v>
      </c>
      <c r="D10" s="88"/>
      <c r="E10" s="65">
        <v>-182.2</v>
      </c>
      <c r="F10" s="65"/>
      <c r="G10" s="65">
        <v>-182.2</v>
      </c>
      <c r="H10" s="65">
        <f t="shared" si="0"/>
        <v>45.039999999999793</v>
      </c>
    </row>
    <row r="11" spans="1:8">
      <c r="A11" s="97">
        <v>44595</v>
      </c>
      <c r="B11" s="88" t="s">
        <v>1145</v>
      </c>
      <c r="C11" s="88" t="s">
        <v>1373</v>
      </c>
      <c r="D11" s="88"/>
      <c r="E11" s="65">
        <v>-436.3</v>
      </c>
      <c r="F11" s="65"/>
      <c r="G11" s="65">
        <v>-436.3</v>
      </c>
      <c r="H11" s="65">
        <f t="shared" si="0"/>
        <v>-391.26000000000022</v>
      </c>
    </row>
    <row r="12" spans="1:8">
      <c r="A12" s="97"/>
      <c r="B12" s="88"/>
      <c r="C12" s="88"/>
      <c r="D12" s="88"/>
      <c r="E12" s="65"/>
      <c r="F12" s="65"/>
      <c r="G12" s="65"/>
      <c r="H12" s="65">
        <f t="shared" si="0"/>
        <v>-391.26000000000022</v>
      </c>
    </row>
    <row r="13" spans="1:8">
      <c r="A13" s="97">
        <v>44610</v>
      </c>
      <c r="B13" s="94" t="s">
        <v>1251</v>
      </c>
      <c r="C13" s="94" t="s">
        <v>1373</v>
      </c>
      <c r="D13" s="94"/>
      <c r="E13" s="65">
        <v>-44.38</v>
      </c>
      <c r="F13" s="65"/>
      <c r="G13" s="65">
        <v>-44.38</v>
      </c>
      <c r="H13" s="65">
        <f t="shared" si="0"/>
        <v>-435.64000000000021</v>
      </c>
    </row>
    <row r="14" spans="1:8">
      <c r="A14" s="97">
        <v>44610</v>
      </c>
      <c r="B14" s="94" t="s">
        <v>1264</v>
      </c>
      <c r="C14" s="94" t="s">
        <v>1373</v>
      </c>
      <c r="D14" s="94"/>
      <c r="E14" s="65">
        <v>-1078.07</v>
      </c>
      <c r="F14" s="65"/>
      <c r="G14" s="65">
        <v>-1078.07</v>
      </c>
      <c r="H14" s="65">
        <f t="shared" si="0"/>
        <v>-1513.71</v>
      </c>
    </row>
    <row r="15" spans="1:8">
      <c r="A15" s="97"/>
      <c r="B15" s="94"/>
      <c r="C15" s="94"/>
      <c r="D15" s="94"/>
      <c r="E15" s="65"/>
      <c r="F15" s="65"/>
      <c r="G15" s="65"/>
      <c r="H15" s="65">
        <f t="shared" si="0"/>
        <v>-1513.71</v>
      </c>
    </row>
    <row r="16" spans="1:8">
      <c r="A16" s="97">
        <v>44596</v>
      </c>
      <c r="B16" s="316" t="s">
        <v>1271</v>
      </c>
      <c r="C16" s="316" t="s">
        <v>1373</v>
      </c>
      <c r="D16" s="316"/>
      <c r="E16" s="65"/>
      <c r="F16" s="65"/>
      <c r="G16" s="65">
        <v>-5577.72</v>
      </c>
      <c r="H16" s="65">
        <f t="shared" si="0"/>
        <v>-7091.43</v>
      </c>
    </row>
    <row r="17" spans="1:8">
      <c r="A17" s="97"/>
      <c r="B17" s="94" t="s">
        <v>1374</v>
      </c>
      <c r="C17" s="94"/>
      <c r="D17" s="94"/>
      <c r="E17" s="65">
        <v>-15</v>
      </c>
      <c r="F17" s="65"/>
      <c r="G17" s="65"/>
      <c r="H17" s="65">
        <f t="shared" si="0"/>
        <v>-7091.43</v>
      </c>
    </row>
    <row r="18" spans="1:8">
      <c r="A18" s="97"/>
      <c r="B18" s="94" t="s">
        <v>1383</v>
      </c>
      <c r="C18" s="94"/>
      <c r="D18" s="94"/>
      <c r="E18" s="65">
        <v>-5254.4</v>
      </c>
      <c r="F18" s="65"/>
      <c r="G18" s="65"/>
      <c r="H18" s="65">
        <f t="shared" si="0"/>
        <v>-7091.43</v>
      </c>
    </row>
    <row r="19" spans="1:8">
      <c r="A19" s="97"/>
      <c r="B19" s="94" t="s">
        <v>1384</v>
      </c>
      <c r="C19" s="94"/>
      <c r="D19" s="94"/>
      <c r="E19" s="65">
        <v>-308.32</v>
      </c>
      <c r="F19" s="65"/>
      <c r="G19" s="65"/>
      <c r="H19" s="65">
        <f t="shared" si="0"/>
        <v>-7091.43</v>
      </c>
    </row>
    <row r="20" spans="1:8">
      <c r="A20" s="97"/>
      <c r="B20" s="94"/>
      <c r="C20" s="94"/>
      <c r="D20" s="94"/>
      <c r="E20" s="65"/>
      <c r="F20" s="65"/>
      <c r="G20" s="65"/>
      <c r="H20" s="65">
        <f t="shared" si="0"/>
        <v>-7091.43</v>
      </c>
    </row>
    <row r="21" spans="1:8">
      <c r="A21" s="97">
        <v>44619</v>
      </c>
      <c r="B21" t="s">
        <v>84</v>
      </c>
      <c r="C21" t="s">
        <v>1306</v>
      </c>
      <c r="E21" s="65">
        <v>-1500</v>
      </c>
      <c r="F21" s="65"/>
      <c r="G21" s="65">
        <v>-1500</v>
      </c>
      <c r="H21" s="65">
        <f t="shared" si="0"/>
        <v>-8591.43</v>
      </c>
    </row>
    <row r="22" spans="1:8">
      <c r="A22" s="97">
        <v>44619</v>
      </c>
      <c r="B22" t="s">
        <v>1385</v>
      </c>
      <c r="C22" t="s">
        <v>1386</v>
      </c>
      <c r="E22" s="65"/>
      <c r="F22" s="65"/>
      <c r="G22" s="65"/>
      <c r="H22" s="65">
        <f t="shared" si="0"/>
        <v>-8591.43</v>
      </c>
    </row>
    <row r="23" spans="1:8">
      <c r="A23" s="97">
        <v>44619</v>
      </c>
      <c r="B23" t="s">
        <v>172</v>
      </c>
      <c r="C23" t="s">
        <v>1306</v>
      </c>
      <c r="E23" s="65">
        <v>-1400</v>
      </c>
      <c r="F23" s="65"/>
      <c r="G23" s="65">
        <v>-1400</v>
      </c>
      <c r="H23" s="65">
        <f t="shared" si="0"/>
        <v>-9991.43</v>
      </c>
    </row>
    <row r="24" spans="1:8">
      <c r="A24" s="97"/>
      <c r="B24" t="s">
        <v>1387</v>
      </c>
      <c r="C24" t="s">
        <v>1306</v>
      </c>
      <c r="E24" s="65">
        <v>-7900</v>
      </c>
      <c r="F24" s="65"/>
      <c r="G24" s="65">
        <v>-7900</v>
      </c>
      <c r="H24" s="65">
        <f t="shared" si="0"/>
        <v>-17891.43</v>
      </c>
    </row>
    <row r="25" spans="1:8">
      <c r="A25" s="97"/>
      <c r="B25" t="s">
        <v>217</v>
      </c>
      <c r="E25" s="65">
        <v>-1500</v>
      </c>
      <c r="F25" s="65"/>
      <c r="G25" s="65">
        <v>-1500</v>
      </c>
      <c r="H25" s="65">
        <f t="shared" si="0"/>
        <v>-19391.43</v>
      </c>
    </row>
    <row r="26" spans="1:8">
      <c r="H26" s="65">
        <f t="shared" si="0"/>
        <v>-19391.43</v>
      </c>
    </row>
    <row r="27" spans="1:8">
      <c r="A27" s="97">
        <v>44619</v>
      </c>
      <c r="B27" t="s">
        <v>218</v>
      </c>
      <c r="D27" s="65">
        <v>3020.37</v>
      </c>
      <c r="F27" s="65">
        <v>3020.37</v>
      </c>
      <c r="G27" s="65"/>
      <c r="H27" s="65">
        <f t="shared" si="0"/>
        <v>-16371.060000000001</v>
      </c>
    </row>
    <row r="28" spans="1:8">
      <c r="A28" s="97">
        <v>44614</v>
      </c>
      <c r="B28" t="s">
        <v>1388</v>
      </c>
      <c r="C28" t="s">
        <v>1373</v>
      </c>
      <c r="D28" s="65">
        <v>2000</v>
      </c>
      <c r="F28" s="65">
        <v>2500</v>
      </c>
      <c r="G28" s="65"/>
      <c r="H28" s="65">
        <f t="shared" si="0"/>
        <v>-13871.060000000001</v>
      </c>
    </row>
    <row r="29" spans="1:8">
      <c r="A29" s="97">
        <v>44614</v>
      </c>
      <c r="B29" t="s">
        <v>1388</v>
      </c>
      <c r="C29" t="s">
        <v>1373</v>
      </c>
      <c r="D29" s="65"/>
      <c r="F29" s="65">
        <v>500</v>
      </c>
      <c r="G29" s="65"/>
      <c r="H29" s="65">
        <f t="shared" si="0"/>
        <v>-13371.060000000001</v>
      </c>
    </row>
    <row r="30" spans="1:8">
      <c r="A30" s="97">
        <v>44620</v>
      </c>
      <c r="B30" t="s">
        <v>1389</v>
      </c>
      <c r="D30" s="65">
        <v>3000</v>
      </c>
      <c r="F30" s="65">
        <v>3000</v>
      </c>
      <c r="G30" s="65"/>
      <c r="H30" s="65">
        <f t="shared" si="0"/>
        <v>-10371.060000000001</v>
      </c>
    </row>
    <row r="37" spans="1:8">
      <c r="A37" s="97"/>
      <c r="E37" s="65"/>
      <c r="F37" s="65"/>
      <c r="G37" s="65"/>
      <c r="H37" s="65"/>
    </row>
    <row r="38" spans="1:8">
      <c r="A38" s="97"/>
      <c r="E38" s="65"/>
      <c r="F38" s="84"/>
      <c r="G38" s="84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5" customWidth="1"/>
    <col min="6" max="8" width="11.140625" style="65" customWidth="1"/>
    <col min="9" max="9" width="12.28515625" customWidth="1"/>
    <col min="10" max="10" width="9.140625" customWidth="1"/>
  </cols>
  <sheetData>
    <row r="1" spans="1:8">
      <c r="B1" s="43">
        <v>11.1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180" t="s">
        <v>1390</v>
      </c>
      <c r="C2" s="87" t="s">
        <v>191</v>
      </c>
      <c r="D2" s="240">
        <f>SUM(D3:D57)</f>
        <v>7333.3</v>
      </c>
      <c r="E2" s="240">
        <f>SUM(E3:E57)</f>
        <v>-6834.05</v>
      </c>
      <c r="F2" s="240">
        <f>SUM(F3:F57)</f>
        <v>46462.64</v>
      </c>
      <c r="G2" s="240">
        <f>SUM(G3:G57)</f>
        <v>-6834.05</v>
      </c>
      <c r="H2" s="240">
        <f>F2+G2</f>
        <v>39628.589999999997</v>
      </c>
    </row>
    <row r="3" spans="1:8">
      <c r="A3" s="97"/>
      <c r="B3" s="70" t="s">
        <v>1391</v>
      </c>
      <c r="F3" s="65">
        <v>40129.339999999997</v>
      </c>
      <c r="H3" s="65">
        <f>F3+G3</f>
        <v>40129.339999999997</v>
      </c>
    </row>
    <row r="4" spans="1:8">
      <c r="A4" s="97"/>
      <c r="H4" s="65">
        <f t="shared" ref="H4:H25" si="0">H3+F4+G4</f>
        <v>40129.339999999997</v>
      </c>
    </row>
    <row r="5" spans="1:8">
      <c r="A5" s="97">
        <v>44564</v>
      </c>
      <c r="B5" t="s">
        <v>1330</v>
      </c>
      <c r="C5" t="s">
        <v>1372</v>
      </c>
      <c r="D5" s="65">
        <v>298.99</v>
      </c>
      <c r="F5" s="65">
        <v>298.99</v>
      </c>
      <c r="H5" s="65">
        <f t="shared" si="0"/>
        <v>40428.329999999994</v>
      </c>
    </row>
    <row r="6" spans="1:8">
      <c r="A6" s="97">
        <v>44564</v>
      </c>
      <c r="B6" t="s">
        <v>226</v>
      </c>
      <c r="C6" t="s">
        <v>1372</v>
      </c>
      <c r="D6" s="65">
        <v>630.74</v>
      </c>
      <c r="F6" s="65">
        <v>630.74</v>
      </c>
      <c r="H6" s="65">
        <f t="shared" si="0"/>
        <v>41059.069999999992</v>
      </c>
    </row>
    <row r="7" spans="1:8">
      <c r="A7" s="97">
        <v>44564</v>
      </c>
      <c r="B7" t="s">
        <v>1280</v>
      </c>
      <c r="C7" t="s">
        <v>1372</v>
      </c>
      <c r="D7" s="65">
        <v>230.29</v>
      </c>
      <c r="F7" s="65">
        <v>230.29</v>
      </c>
      <c r="H7" s="65">
        <f t="shared" si="0"/>
        <v>41289.359999999993</v>
      </c>
    </row>
    <row r="8" spans="1:8">
      <c r="A8" s="97">
        <v>44564</v>
      </c>
      <c r="B8" t="s">
        <v>230</v>
      </c>
      <c r="C8" t="s">
        <v>1372</v>
      </c>
      <c r="D8" s="65">
        <v>152.91</v>
      </c>
      <c r="F8" s="65">
        <v>152.91</v>
      </c>
      <c r="H8" s="65">
        <f t="shared" si="0"/>
        <v>41442.269999999997</v>
      </c>
    </row>
    <row r="9" spans="1:8">
      <c r="A9" s="97">
        <v>44574</v>
      </c>
      <c r="B9" s="94" t="s">
        <v>1151</v>
      </c>
      <c r="C9" s="94" t="s">
        <v>1373</v>
      </c>
      <c r="D9" s="94"/>
      <c r="E9" s="65">
        <v>-1250.4000000000001</v>
      </c>
      <c r="G9" s="65">
        <v>-1250.4000000000001</v>
      </c>
      <c r="H9" s="65">
        <f t="shared" si="0"/>
        <v>40191.869999999995</v>
      </c>
    </row>
    <row r="10" spans="1:8">
      <c r="A10" s="97">
        <v>44564</v>
      </c>
      <c r="B10" s="88" t="s">
        <v>1144</v>
      </c>
      <c r="C10" s="88" t="s">
        <v>1373</v>
      </c>
      <c r="D10" s="88"/>
      <c r="E10" s="124">
        <v>-130.30000000000001</v>
      </c>
      <c r="F10" s="124"/>
      <c r="G10" s="124">
        <v>-130.30000000000001</v>
      </c>
      <c r="H10" s="65">
        <f t="shared" si="0"/>
        <v>40061.569999999992</v>
      </c>
    </row>
    <row r="11" spans="1:8">
      <c r="A11" s="97">
        <v>44564</v>
      </c>
      <c r="B11" s="88" t="s">
        <v>1145</v>
      </c>
      <c r="C11" s="88" t="s">
        <v>1373</v>
      </c>
      <c r="D11" s="88"/>
      <c r="E11" s="124">
        <v>-255.4</v>
      </c>
      <c r="F11" s="124"/>
      <c r="G11" s="124">
        <v>-255.4</v>
      </c>
      <c r="H11" s="65">
        <f t="shared" si="0"/>
        <v>39806.169999999991</v>
      </c>
    </row>
    <row r="12" spans="1:8">
      <c r="A12" s="97"/>
      <c r="B12" s="94"/>
      <c r="C12" s="94"/>
      <c r="D12" s="94"/>
      <c r="H12" s="65">
        <f t="shared" si="0"/>
        <v>39806.169999999991</v>
      </c>
    </row>
    <row r="13" spans="1:8">
      <c r="A13" s="97">
        <v>44578</v>
      </c>
      <c r="B13" s="94" t="s">
        <v>1251</v>
      </c>
      <c r="C13" s="94" t="s">
        <v>1373</v>
      </c>
      <c r="D13" s="94"/>
      <c r="E13" s="65">
        <v>-37.869999999999997</v>
      </c>
      <c r="G13" s="65">
        <v>-37.869999999999997</v>
      </c>
      <c r="H13" s="65">
        <f t="shared" si="0"/>
        <v>39768.299999999988</v>
      </c>
    </row>
    <row r="14" spans="1:8">
      <c r="A14" s="97">
        <v>44578</v>
      </c>
      <c r="B14" s="94" t="s">
        <v>1264</v>
      </c>
      <c r="C14" s="94" t="s">
        <v>1373</v>
      </c>
      <c r="D14" s="94"/>
      <c r="E14" s="65">
        <v>-608.08000000000004</v>
      </c>
      <c r="G14" s="65">
        <v>-608.08000000000004</v>
      </c>
      <c r="H14" s="65">
        <f t="shared" si="0"/>
        <v>39160.219999999987</v>
      </c>
    </row>
    <row r="15" spans="1:8">
      <c r="A15" s="97"/>
      <c r="B15" s="94"/>
      <c r="C15" s="94"/>
      <c r="D15" s="94"/>
      <c r="H15" s="65">
        <f t="shared" si="0"/>
        <v>39160.219999999987</v>
      </c>
    </row>
    <row r="16" spans="1:8">
      <c r="A16" s="97"/>
      <c r="B16" s="94" t="s">
        <v>1374</v>
      </c>
      <c r="C16" s="94"/>
      <c r="D16" s="94"/>
      <c r="E16" s="124">
        <v>-50</v>
      </c>
      <c r="F16" s="124"/>
      <c r="G16" s="124"/>
      <c r="H16" s="65">
        <f t="shared" si="0"/>
        <v>39160.219999999987</v>
      </c>
    </row>
    <row r="17" spans="1:8">
      <c r="A17" s="97">
        <v>44565</v>
      </c>
      <c r="B17" s="316" t="s">
        <v>1271</v>
      </c>
      <c r="C17" s="316" t="s">
        <v>1373</v>
      </c>
      <c r="D17" s="316"/>
      <c r="E17" s="124"/>
      <c r="F17" s="124"/>
      <c r="G17" s="124">
        <v>-50</v>
      </c>
      <c r="H17" s="65">
        <f t="shared" si="0"/>
        <v>39110.219999999987</v>
      </c>
    </row>
    <row r="18" spans="1:8">
      <c r="A18" s="97"/>
      <c r="B18" s="94"/>
      <c r="C18" s="94"/>
      <c r="D18" s="94"/>
      <c r="E18" s="124"/>
      <c r="F18" s="124"/>
      <c r="G18" s="124"/>
      <c r="H18" s="65">
        <f t="shared" si="0"/>
        <v>39110.219999999987</v>
      </c>
    </row>
    <row r="19" spans="1:8">
      <c r="A19" s="97">
        <v>44588</v>
      </c>
      <c r="B19" t="s">
        <v>84</v>
      </c>
      <c r="C19" t="s">
        <v>1306</v>
      </c>
      <c r="E19" s="65">
        <v>-1501</v>
      </c>
      <c r="G19" s="65">
        <v>-1501</v>
      </c>
      <c r="H19" s="65">
        <f t="shared" si="0"/>
        <v>37609.219999999987</v>
      </c>
    </row>
    <row r="20" spans="1:8">
      <c r="A20" s="97">
        <v>44588</v>
      </c>
      <c r="B20" t="s">
        <v>172</v>
      </c>
      <c r="C20" t="s">
        <v>1306</v>
      </c>
      <c r="E20" s="65">
        <v>-1501</v>
      </c>
      <c r="G20" s="65">
        <v>-1501</v>
      </c>
      <c r="H20" s="65">
        <f t="shared" si="0"/>
        <v>36108.219999999987</v>
      </c>
    </row>
    <row r="21" spans="1:8">
      <c r="A21" s="97">
        <v>44591</v>
      </c>
      <c r="B21" t="s">
        <v>217</v>
      </c>
      <c r="E21" s="65">
        <v>-1500</v>
      </c>
      <c r="G21" s="65">
        <v>-1500</v>
      </c>
      <c r="H21" s="65">
        <f t="shared" si="0"/>
        <v>34608.219999999987</v>
      </c>
    </row>
    <row r="22" spans="1:8">
      <c r="A22" s="97"/>
      <c r="B22" s="94"/>
      <c r="C22" s="94"/>
      <c r="D22" s="94"/>
      <c r="E22" s="124"/>
      <c r="F22" s="124"/>
      <c r="G22" s="124"/>
      <c r="H22" s="65">
        <f t="shared" si="0"/>
        <v>34608.219999999987</v>
      </c>
    </row>
    <row r="23" spans="1:8">
      <c r="A23" s="97">
        <v>44588</v>
      </c>
      <c r="B23" t="s">
        <v>218</v>
      </c>
      <c r="C23" t="s">
        <v>1373</v>
      </c>
      <c r="D23" s="65">
        <v>3020.37</v>
      </c>
      <c r="F23" s="65">
        <v>3020.37</v>
      </c>
      <c r="H23" s="65">
        <f t="shared" si="0"/>
        <v>37628.589999999989</v>
      </c>
    </row>
    <row r="24" spans="1:8">
      <c r="A24" s="97">
        <v>44583</v>
      </c>
      <c r="B24" t="s">
        <v>219</v>
      </c>
      <c r="D24" s="65">
        <v>1000</v>
      </c>
      <c r="F24" s="65">
        <v>0</v>
      </c>
      <c r="H24" s="65">
        <f t="shared" si="0"/>
        <v>37628.589999999989</v>
      </c>
    </row>
    <row r="25" spans="1:8">
      <c r="A25" s="97">
        <v>44591</v>
      </c>
      <c r="B25" t="s">
        <v>1392</v>
      </c>
      <c r="C25" t="s">
        <v>1372</v>
      </c>
      <c r="D25" s="65">
        <v>2000</v>
      </c>
      <c r="F25" s="65">
        <v>2000</v>
      </c>
      <c r="H25" s="65">
        <f t="shared" si="0"/>
        <v>39628.589999999989</v>
      </c>
    </row>
    <row r="29" spans="1:8">
      <c r="A29" s="97"/>
    </row>
    <row r="30" spans="1:8">
      <c r="A30" s="97"/>
    </row>
    <row r="31" spans="1:8">
      <c r="A31" s="97"/>
    </row>
    <row r="32" spans="1:8">
      <c r="A32" s="97"/>
      <c r="E32" s="124"/>
      <c r="F32" s="124"/>
      <c r="G32" s="124"/>
      <c r="H32" s="124"/>
    </row>
    <row r="54" spans="1:9">
      <c r="I54" s="3"/>
    </row>
    <row r="55" spans="1:9">
      <c r="A55" s="97"/>
      <c r="E55" s="84"/>
      <c r="F55" s="84"/>
      <c r="G55" s="84"/>
      <c r="I55" s="3"/>
    </row>
    <row r="75" spans="1:7">
      <c r="A75" s="97"/>
    </row>
    <row r="76" spans="1:7">
      <c r="A76" s="97"/>
    </row>
    <row r="77" spans="1:7">
      <c r="A77" s="97"/>
      <c r="E77" s="84"/>
      <c r="F77" s="84"/>
      <c r="G77" s="84"/>
    </row>
    <row r="78" spans="1:7">
      <c r="A78" s="97"/>
    </row>
    <row r="100" spans="1:7">
      <c r="A100" s="97"/>
      <c r="E100" s="84"/>
      <c r="F100" s="84"/>
      <c r="G100" s="84"/>
    </row>
    <row r="101" spans="1:7">
      <c r="A101" s="97"/>
      <c r="B101" s="3"/>
      <c r="C101" s="3"/>
      <c r="D101" s="3"/>
    </row>
    <row r="102" spans="1:7">
      <c r="A102" s="97"/>
      <c r="B102" s="88"/>
      <c r="C102" s="88"/>
      <c r="D102" s="88"/>
      <c r="E102" s="84"/>
      <c r="F102" s="84"/>
    </row>
    <row r="103" spans="1:7">
      <c r="A103" s="97"/>
      <c r="B103" s="88"/>
      <c r="C103" s="88"/>
      <c r="D103" s="88"/>
      <c r="E103" s="84"/>
      <c r="F103" s="84"/>
    </row>
    <row r="104" spans="1:7">
      <c r="A104" s="97"/>
      <c r="B104" s="94"/>
      <c r="C104" s="94"/>
      <c r="D104" s="94"/>
      <c r="E104" s="84"/>
      <c r="F104" s="84"/>
    </row>
    <row r="105" spans="1:7">
      <c r="A105" s="97"/>
    </row>
    <row r="106" spans="1:7">
      <c r="A106" s="97"/>
    </row>
    <row r="107" spans="1:7">
      <c r="A107" s="97"/>
    </row>
    <row r="108" spans="1:7">
      <c r="A108" s="97"/>
    </row>
    <row r="109" spans="1:7">
      <c r="A109" s="97"/>
    </row>
    <row r="110" spans="1:7">
      <c r="A110" s="97"/>
      <c r="B110" s="94"/>
      <c r="C110" s="94"/>
      <c r="D110" s="94"/>
    </row>
    <row r="111" spans="1:7">
      <c r="A111" s="97"/>
      <c r="B111" s="94"/>
      <c r="C111" s="94"/>
      <c r="D111" s="94"/>
    </row>
    <row r="112" spans="1:7">
      <c r="A112" s="97"/>
      <c r="B112" s="94"/>
      <c r="C112" s="94"/>
      <c r="D112" s="94"/>
    </row>
    <row r="113" spans="1:7">
      <c r="A113" s="97"/>
    </row>
    <row r="114" spans="1:7">
      <c r="A114" s="97"/>
    </row>
    <row r="115" spans="1:7">
      <c r="A115" s="97"/>
    </row>
    <row r="116" spans="1:7">
      <c r="A116" s="97"/>
    </row>
    <row r="117" spans="1:7">
      <c r="A117" s="97"/>
    </row>
    <row r="118" spans="1:7">
      <c r="A118" s="97"/>
    </row>
    <row r="119" spans="1:7">
      <c r="A119" s="97"/>
    </row>
    <row r="120" spans="1:7">
      <c r="A120" s="97"/>
    </row>
    <row r="121" spans="1:7">
      <c r="A121" s="97"/>
    </row>
    <row r="122" spans="1:7">
      <c r="A122" s="97"/>
      <c r="E122" s="84"/>
      <c r="F122" s="84"/>
      <c r="G122" s="84"/>
    </row>
    <row r="123" spans="1:7">
      <c r="A123" s="97"/>
    </row>
    <row r="124" spans="1:7">
      <c r="A124" s="97"/>
    </row>
    <row r="125" spans="1:7">
      <c r="A125" s="97"/>
    </row>
    <row r="126" spans="1:7">
      <c r="A126" s="97"/>
    </row>
    <row r="127" spans="1:7">
      <c r="A127" s="97"/>
    </row>
    <row r="128" spans="1:7">
      <c r="A128" s="97"/>
    </row>
    <row r="129" spans="1:1">
      <c r="A129" s="97"/>
    </row>
    <row r="130" spans="1:1">
      <c r="A130" s="97"/>
    </row>
    <row r="131" spans="1:1">
      <c r="A131" s="97"/>
    </row>
    <row r="132" spans="1:1">
      <c r="A132" s="97"/>
    </row>
    <row r="133" spans="1:1">
      <c r="A133" s="97"/>
    </row>
    <row r="134" spans="1:1">
      <c r="A134" s="97"/>
    </row>
    <row r="135" spans="1:1">
      <c r="A135" s="97"/>
    </row>
    <row r="136" spans="1:1">
      <c r="A136" s="97"/>
    </row>
    <row r="137" spans="1:1">
      <c r="A137" s="97"/>
    </row>
    <row r="138" spans="1:1">
      <c r="A138" s="97"/>
    </row>
    <row r="139" spans="1:1">
      <c r="A139" s="97"/>
    </row>
    <row r="140" spans="1:1">
      <c r="A140" s="97"/>
    </row>
    <row r="141" spans="1:1">
      <c r="A141" s="97"/>
    </row>
    <row r="142" spans="1:1">
      <c r="A142" s="97"/>
    </row>
    <row r="143" spans="1:1">
      <c r="A143" s="97"/>
    </row>
    <row r="144" spans="1:1">
      <c r="A144" s="97"/>
    </row>
    <row r="145" spans="1:7">
      <c r="A145" s="97"/>
      <c r="E145" s="84"/>
      <c r="F145" s="84"/>
      <c r="G145" s="84"/>
    </row>
    <row r="146" spans="1:7">
      <c r="A146" s="97"/>
      <c r="B146" s="3"/>
      <c r="C146" s="3"/>
      <c r="D146" s="3"/>
    </row>
    <row r="147" spans="1:7">
      <c r="A147" s="97"/>
      <c r="B147" s="3"/>
      <c r="C147" s="3"/>
      <c r="D147" s="3"/>
    </row>
    <row r="148" spans="1:7">
      <c r="A148" s="97"/>
      <c r="B148" s="88"/>
      <c r="C148" s="88"/>
      <c r="D148" s="88"/>
      <c r="E148" s="84"/>
      <c r="F148" s="84"/>
    </row>
    <row r="149" spans="1:7">
      <c r="A149" s="97"/>
      <c r="B149" s="88"/>
      <c r="C149" s="88"/>
      <c r="D149" s="88"/>
      <c r="E149" s="84"/>
      <c r="F149" s="84"/>
    </row>
    <row r="150" spans="1:7">
      <c r="A150" s="97"/>
      <c r="B150" s="94"/>
      <c r="C150" s="94"/>
      <c r="D150" s="94"/>
      <c r="E150" s="84"/>
      <c r="F150" s="84"/>
    </row>
    <row r="151" spans="1:7">
      <c r="A151" s="97"/>
    </row>
    <row r="152" spans="1:7">
      <c r="A152" s="97"/>
    </row>
    <row r="153" spans="1:7">
      <c r="A153" s="97"/>
    </row>
    <row r="154" spans="1:7">
      <c r="A154" s="97"/>
    </row>
    <row r="155" spans="1:7">
      <c r="A155" s="97"/>
    </row>
    <row r="156" spans="1:7">
      <c r="A156" s="97"/>
      <c r="B156" s="94"/>
      <c r="C156" s="94"/>
      <c r="D156" s="94"/>
    </row>
    <row r="157" spans="1:7">
      <c r="A157" s="97"/>
      <c r="B157" s="94"/>
      <c r="C157" s="94"/>
      <c r="D157" s="94"/>
    </row>
    <row r="158" spans="1:7">
      <c r="A158" s="97"/>
      <c r="B158" s="94"/>
      <c r="C158" s="94"/>
      <c r="D158" s="94"/>
    </row>
    <row r="159" spans="1:7">
      <c r="A159" s="97"/>
    </row>
    <row r="160" spans="1:7">
      <c r="A160" s="97"/>
    </row>
    <row r="161" spans="1:7">
      <c r="A161" s="97"/>
    </row>
    <row r="162" spans="1:7">
      <c r="A162" s="97"/>
    </row>
    <row r="163" spans="1:7">
      <c r="A163" s="97"/>
    </row>
    <row r="164" spans="1:7">
      <c r="A164" s="97"/>
    </row>
    <row r="165" spans="1:7">
      <c r="A165" s="97"/>
    </row>
    <row r="166" spans="1:7">
      <c r="A166" s="97"/>
    </row>
    <row r="167" spans="1:7">
      <c r="A167" s="97"/>
    </row>
    <row r="168" spans="1:7">
      <c r="A168" s="97"/>
      <c r="E168" s="84"/>
      <c r="F168" s="84"/>
      <c r="G168" s="84"/>
    </row>
    <row r="169" spans="1:7">
      <c r="A169" s="97"/>
      <c r="B169" s="3"/>
      <c r="C169" s="3"/>
      <c r="D169" s="3"/>
    </row>
    <row r="170" spans="1:7">
      <c r="B170" s="3"/>
      <c r="C170" s="3"/>
      <c r="D170" s="3"/>
    </row>
    <row r="171" spans="1:7">
      <c r="A171" s="97"/>
      <c r="B171" s="88"/>
      <c r="C171" s="88"/>
      <c r="D171" s="88"/>
      <c r="E171" s="84"/>
      <c r="F171" s="84"/>
    </row>
    <row r="172" spans="1:7">
      <c r="A172" s="97"/>
      <c r="B172" s="88"/>
      <c r="C172" s="88"/>
      <c r="D172" s="88"/>
      <c r="E172" s="84"/>
      <c r="F172" s="84"/>
    </row>
    <row r="173" spans="1:7">
      <c r="A173" s="97"/>
      <c r="B173" s="94"/>
      <c r="C173" s="94"/>
      <c r="D173" s="94"/>
      <c r="E173" s="84"/>
      <c r="F173" s="84"/>
    </row>
    <row r="174" spans="1:7">
      <c r="A174" s="97"/>
    </row>
    <row r="175" spans="1:7">
      <c r="A175" s="97"/>
    </row>
    <row r="176" spans="1:7">
      <c r="A176" s="97"/>
    </row>
    <row r="177" spans="1:7">
      <c r="A177" s="97"/>
    </row>
    <row r="178" spans="1:7">
      <c r="A178" s="97"/>
    </row>
    <row r="179" spans="1:7">
      <c r="A179" s="97"/>
      <c r="B179" s="94"/>
      <c r="C179" s="94"/>
      <c r="D179" s="94"/>
    </row>
    <row r="180" spans="1:7">
      <c r="A180" s="97"/>
      <c r="B180" s="94"/>
      <c r="C180" s="94"/>
      <c r="D180" s="94"/>
    </row>
    <row r="181" spans="1:7">
      <c r="A181" s="97"/>
      <c r="B181" s="94"/>
      <c r="C181" s="94"/>
      <c r="D181" s="94"/>
    </row>
    <row r="182" spans="1:7">
      <c r="A182" s="97"/>
    </row>
    <row r="183" spans="1:7">
      <c r="A183" s="97"/>
    </row>
    <row r="184" spans="1:7">
      <c r="A184" s="97"/>
    </row>
    <row r="185" spans="1:7">
      <c r="A185" s="97"/>
    </row>
    <row r="186" spans="1:7">
      <c r="A186" s="97"/>
    </row>
    <row r="187" spans="1:7">
      <c r="A187" s="97"/>
    </row>
    <row r="188" spans="1:7">
      <c r="A188" s="97"/>
    </row>
    <row r="189" spans="1:7">
      <c r="A189" s="97"/>
    </row>
    <row r="190" spans="1:7">
      <c r="A190" s="97"/>
    </row>
    <row r="191" spans="1:7">
      <c r="A191" s="97"/>
      <c r="E191" s="84"/>
      <c r="F191" s="84"/>
      <c r="G191" s="84"/>
    </row>
    <row r="192" spans="1:7">
      <c r="B192" s="3"/>
      <c r="C192" s="3"/>
      <c r="D192" s="3"/>
    </row>
    <row r="193" spans="1:6">
      <c r="B193" s="3"/>
      <c r="C193" s="3"/>
      <c r="D193" s="3"/>
      <c r="E193" s="84"/>
    </row>
    <row r="194" spans="1:6">
      <c r="A194" s="97"/>
      <c r="B194" s="88"/>
      <c r="C194" s="88"/>
      <c r="D194" s="88"/>
      <c r="E194" s="84"/>
      <c r="F194" s="84"/>
    </row>
    <row r="195" spans="1:6">
      <c r="A195" s="97"/>
      <c r="B195" s="88"/>
      <c r="C195" s="88"/>
      <c r="D195" s="88"/>
      <c r="E195" s="84"/>
      <c r="F195" s="84"/>
    </row>
    <row r="196" spans="1:6">
      <c r="A196" s="97"/>
      <c r="B196" s="94"/>
      <c r="C196" s="94"/>
      <c r="D196" s="94"/>
      <c r="E196" s="84"/>
      <c r="F196" s="84"/>
    </row>
    <row r="197" spans="1:6">
      <c r="A197" s="97"/>
    </row>
    <row r="198" spans="1:6">
      <c r="A198" s="97"/>
    </row>
    <row r="199" spans="1:6">
      <c r="A199" s="97"/>
    </row>
    <row r="200" spans="1:6">
      <c r="A200" s="97"/>
    </row>
    <row r="201" spans="1:6">
      <c r="A201" s="97"/>
    </row>
    <row r="202" spans="1:6">
      <c r="A202" s="97"/>
      <c r="B202" s="94"/>
      <c r="C202" s="94"/>
      <c r="D202" s="94"/>
    </row>
    <row r="203" spans="1:6">
      <c r="A203" s="97"/>
      <c r="B203" s="94"/>
      <c r="C203" s="94"/>
      <c r="D203" s="94"/>
    </row>
    <row r="204" spans="1:6">
      <c r="A204" s="97"/>
      <c r="B204" s="94"/>
      <c r="C204" s="94"/>
      <c r="D204" s="94"/>
    </row>
    <row r="205" spans="1:6">
      <c r="A205" s="97"/>
    </row>
    <row r="206" spans="1:6">
      <c r="A206" s="97"/>
    </row>
    <row r="207" spans="1:6">
      <c r="A207" s="97"/>
    </row>
    <row r="208" spans="1:6">
      <c r="A208" s="97"/>
    </row>
    <row r="209" spans="1:7">
      <c r="A209" s="97"/>
    </row>
    <row r="210" spans="1:7">
      <c r="A210" s="97"/>
    </row>
    <row r="211" spans="1:7">
      <c r="A211" s="97"/>
    </row>
    <row r="212" spans="1:7">
      <c r="A212" s="97"/>
    </row>
    <row r="213" spans="1:7">
      <c r="A213" s="97"/>
    </row>
    <row r="214" spans="1:7">
      <c r="A214" s="97"/>
      <c r="E214" s="84"/>
      <c r="F214" s="84"/>
      <c r="G214" s="84"/>
    </row>
    <row r="215" spans="1:7">
      <c r="B215" s="3"/>
      <c r="C215" s="3"/>
      <c r="D215" s="3"/>
      <c r="E215" s="84"/>
    </row>
    <row r="216" spans="1:7">
      <c r="B216" s="3"/>
      <c r="C216" s="3"/>
      <c r="D216" s="3"/>
    </row>
    <row r="217" spans="1:7">
      <c r="A217" s="97"/>
      <c r="B217" s="88"/>
      <c r="C217" s="88"/>
      <c r="D217" s="88"/>
      <c r="E217" s="84"/>
      <c r="F217" s="84"/>
    </row>
    <row r="218" spans="1:7">
      <c r="A218" s="97"/>
      <c r="B218" s="88"/>
      <c r="C218" s="88"/>
      <c r="D218" s="88"/>
      <c r="E218" s="84"/>
      <c r="F218" s="84"/>
    </row>
    <row r="219" spans="1:7">
      <c r="A219" s="97"/>
      <c r="B219" s="94"/>
      <c r="C219" s="94"/>
      <c r="D219" s="94"/>
      <c r="E219" s="84"/>
      <c r="F219" s="84"/>
    </row>
    <row r="220" spans="1:7">
      <c r="A220" s="97"/>
    </row>
    <row r="221" spans="1:7">
      <c r="A221" s="97"/>
    </row>
    <row r="222" spans="1:7">
      <c r="A222" s="97"/>
    </row>
    <row r="223" spans="1:7">
      <c r="A223" s="97"/>
    </row>
    <row r="224" spans="1:7">
      <c r="A224" s="97"/>
    </row>
    <row r="225" spans="1:7">
      <c r="A225" s="97"/>
      <c r="B225" s="94"/>
      <c r="C225" s="94"/>
      <c r="D225" s="94"/>
    </row>
    <row r="226" spans="1:7">
      <c r="A226" s="97"/>
      <c r="B226" s="94"/>
      <c r="C226" s="94"/>
      <c r="D226" s="94"/>
    </row>
    <row r="227" spans="1:7">
      <c r="A227" s="97"/>
      <c r="B227" s="94"/>
      <c r="C227" s="94"/>
      <c r="D227" s="94"/>
    </row>
    <row r="228" spans="1:7">
      <c r="A228" s="97"/>
    </row>
    <row r="229" spans="1:7">
      <c r="A229" s="97"/>
    </row>
    <row r="230" spans="1:7">
      <c r="A230" s="97"/>
    </row>
    <row r="231" spans="1:7">
      <c r="A231" s="97"/>
    </row>
    <row r="232" spans="1:7">
      <c r="A232" s="97"/>
    </row>
    <row r="233" spans="1:7">
      <c r="A233" s="97"/>
    </row>
    <row r="234" spans="1:7">
      <c r="A234" s="97"/>
    </row>
    <row r="235" spans="1:7">
      <c r="A235" s="97"/>
    </row>
    <row r="236" spans="1:7">
      <c r="A236" s="97"/>
    </row>
    <row r="237" spans="1:7">
      <c r="A237" s="97"/>
      <c r="E237" s="84"/>
      <c r="F237" s="84"/>
      <c r="G237" s="84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97"/>
      <c r="B240" s="88"/>
      <c r="C240" s="88"/>
      <c r="D240" s="88"/>
      <c r="E240" s="84"/>
      <c r="F240" s="84"/>
    </row>
    <row r="241" spans="1:6">
      <c r="A241" s="97"/>
      <c r="B241" s="88"/>
      <c r="C241" s="88"/>
      <c r="D241" s="88"/>
      <c r="E241" s="84"/>
      <c r="F241" s="84"/>
    </row>
    <row r="242" spans="1:6">
      <c r="A242" s="97"/>
      <c r="B242" s="94"/>
      <c r="C242" s="94"/>
      <c r="D242" s="94"/>
      <c r="E242" s="84"/>
      <c r="F242" s="84"/>
    </row>
    <row r="243" spans="1:6">
      <c r="A243" s="97"/>
    </row>
    <row r="244" spans="1:6">
      <c r="A244" s="97"/>
    </row>
    <row r="245" spans="1:6">
      <c r="A245" s="97"/>
    </row>
    <row r="246" spans="1:6">
      <c r="A246" s="97"/>
    </row>
    <row r="247" spans="1:6">
      <c r="A247" s="97"/>
    </row>
    <row r="248" spans="1:6">
      <c r="A248" s="97"/>
      <c r="B248" s="94"/>
      <c r="C248" s="94"/>
      <c r="D248" s="94"/>
    </row>
    <row r="249" spans="1:6">
      <c r="A249" s="97"/>
      <c r="B249" s="94"/>
      <c r="C249" s="94"/>
      <c r="D249" s="94"/>
    </row>
    <row r="250" spans="1:6">
      <c r="A250" s="97"/>
      <c r="B250" s="94"/>
      <c r="C250" s="94"/>
      <c r="D250" s="94"/>
    </row>
    <row r="251" spans="1:6">
      <c r="A251" s="97"/>
    </row>
    <row r="252" spans="1:6">
      <c r="A252" s="97"/>
    </row>
    <row r="253" spans="1:6">
      <c r="A253" s="97"/>
    </row>
    <row r="254" spans="1:6">
      <c r="A254" s="97"/>
    </row>
    <row r="255" spans="1:6">
      <c r="A255" s="97"/>
    </row>
    <row r="256" spans="1:6">
      <c r="A256" s="97"/>
    </row>
    <row r="257" spans="1:7">
      <c r="A257" s="97"/>
    </row>
    <row r="258" spans="1:7">
      <c r="A258" s="97"/>
    </row>
    <row r="259" spans="1:7">
      <c r="A259" s="97"/>
    </row>
    <row r="260" spans="1:7">
      <c r="A260" s="97"/>
      <c r="E260" s="84"/>
      <c r="F260" s="84"/>
      <c r="G260" s="84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97"/>
      <c r="B263" s="88"/>
      <c r="C263" s="88"/>
      <c r="D263" s="88"/>
      <c r="E263" s="84"/>
      <c r="F263" s="84"/>
    </row>
    <row r="264" spans="1:7">
      <c r="A264" s="97"/>
      <c r="B264" s="88"/>
      <c r="C264" s="88"/>
      <c r="D264" s="88"/>
      <c r="E264" s="84"/>
      <c r="F264" s="84"/>
    </row>
    <row r="265" spans="1:7">
      <c r="A265" s="97"/>
      <c r="B265" s="94"/>
      <c r="C265" s="94"/>
      <c r="D265" s="94"/>
      <c r="E265" s="84"/>
      <c r="F265" s="84"/>
    </row>
    <row r="266" spans="1:7">
      <c r="A266" s="97"/>
    </row>
    <row r="267" spans="1:7">
      <c r="A267" s="97"/>
    </row>
    <row r="268" spans="1:7">
      <c r="A268" s="97"/>
    </row>
    <row r="269" spans="1:7">
      <c r="A269" s="97"/>
    </row>
    <row r="270" spans="1:7">
      <c r="A270" s="97"/>
    </row>
    <row r="271" spans="1:7">
      <c r="A271" s="97"/>
      <c r="B271" s="94"/>
      <c r="C271" s="94"/>
      <c r="D271" s="94"/>
    </row>
    <row r="272" spans="1:7">
      <c r="A272" s="97"/>
      <c r="B272" s="94"/>
      <c r="C272" s="94"/>
      <c r="D272" s="94"/>
    </row>
    <row r="273" spans="1:7">
      <c r="A273" s="97"/>
      <c r="B273" s="94"/>
      <c r="C273" s="94"/>
      <c r="D273" s="94"/>
    </row>
    <row r="274" spans="1:7">
      <c r="A274" s="97"/>
    </row>
    <row r="275" spans="1:7">
      <c r="A275" s="97"/>
    </row>
    <row r="276" spans="1:7">
      <c r="A276" s="97"/>
    </row>
    <row r="277" spans="1:7">
      <c r="A277" s="97"/>
    </row>
    <row r="278" spans="1:7">
      <c r="A278" s="97"/>
    </row>
    <row r="279" spans="1:7">
      <c r="A279" s="97"/>
    </row>
    <row r="280" spans="1:7">
      <c r="A280" s="97"/>
    </row>
    <row r="281" spans="1:7">
      <c r="A281" s="97"/>
    </row>
    <row r="282" spans="1:7">
      <c r="A282" s="97"/>
    </row>
    <row r="283" spans="1:7">
      <c r="A283" s="97"/>
      <c r="E283" s="84"/>
      <c r="F283" s="84"/>
      <c r="G283" s="84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2:N25"/>
  <sheetViews>
    <sheetView zoomScale="170" zoomScaleNormal="17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1393</v>
      </c>
    </row>
    <row r="3" spans="1:14">
      <c r="A3" t="s">
        <v>1394</v>
      </c>
      <c r="C3" t="s">
        <v>1395</v>
      </c>
      <c r="D3" t="s">
        <v>1396</v>
      </c>
    </row>
    <row r="4" spans="1:14">
      <c r="A4" t="s">
        <v>1397</v>
      </c>
      <c r="C4" t="s">
        <v>1398</v>
      </c>
      <c r="D4" t="s">
        <v>1399</v>
      </c>
    </row>
    <row r="5" spans="1:14">
      <c r="A5" t="s">
        <v>1400</v>
      </c>
      <c r="C5" t="s">
        <v>1398</v>
      </c>
      <c r="D5" t="s">
        <v>1401</v>
      </c>
    </row>
    <row r="10" spans="1:14" ht="15.75">
      <c r="A10" s="21"/>
      <c r="B10" s="22"/>
      <c r="C10" s="23" t="s">
        <v>115</v>
      </c>
      <c r="D10" s="24"/>
      <c r="E10" s="25"/>
      <c r="F10" s="23" t="s">
        <v>116</v>
      </c>
      <c r="G10" s="24"/>
      <c r="H10" s="26"/>
      <c r="I10" s="27"/>
      <c r="J10" s="28"/>
      <c r="K10" s="268">
        <v>0.23471</v>
      </c>
      <c r="L10" s="268">
        <v>0.76529000000000003</v>
      </c>
      <c r="M10" s="269"/>
      <c r="N10" s="28" t="s">
        <v>118</v>
      </c>
    </row>
    <row r="11" spans="1:14" ht="15.75">
      <c r="A11" s="21">
        <v>-2022</v>
      </c>
      <c r="B11" s="25" t="s">
        <v>120</v>
      </c>
      <c r="C11" s="30" t="s">
        <v>121</v>
      </c>
      <c r="D11" s="24" t="s">
        <v>122</v>
      </c>
      <c r="E11" s="25" t="s">
        <v>120</v>
      </c>
      <c r="F11" s="30" t="s">
        <v>121</v>
      </c>
      <c r="G11" s="24" t="s">
        <v>3</v>
      </c>
      <c r="H11" s="26"/>
      <c r="I11" s="27"/>
      <c r="J11" s="28" t="s">
        <v>123</v>
      </c>
      <c r="K11" s="269" t="s">
        <v>613</v>
      </c>
      <c r="L11" s="269" t="s">
        <v>614</v>
      </c>
      <c r="M11" s="269" t="s">
        <v>124</v>
      </c>
      <c r="N11" s="28" t="s">
        <v>1138</v>
      </c>
    </row>
    <row r="12" spans="1:14">
      <c r="A12" t="s">
        <v>125</v>
      </c>
      <c r="B12" s="148">
        <v>7333.3</v>
      </c>
      <c r="C12" s="149">
        <v>-6834.05</v>
      </c>
      <c r="D12" s="150">
        <v>499.25</v>
      </c>
      <c r="E12" s="148">
        <v>46462.64</v>
      </c>
      <c r="F12" s="149">
        <v>-6834.05</v>
      </c>
      <c r="G12" s="151">
        <v>39628.589999999997</v>
      </c>
      <c r="H12" s="36"/>
      <c r="I12" s="37" t="s">
        <v>126</v>
      </c>
      <c r="J12">
        <v>36</v>
      </c>
      <c r="K12" s="2"/>
      <c r="M12" s="2">
        <v>36</v>
      </c>
    </row>
    <row r="13" spans="1:14">
      <c r="A13" t="s">
        <v>127</v>
      </c>
      <c r="B13" s="148">
        <v>10567.09</v>
      </c>
      <c r="C13" s="149">
        <v>-21938.15</v>
      </c>
      <c r="D13" s="150">
        <v>-10871.81</v>
      </c>
      <c r="E13" s="148">
        <v>11567.09</v>
      </c>
      <c r="F13" s="149">
        <v>-21938.15</v>
      </c>
      <c r="G13" s="151">
        <v>29257.53</v>
      </c>
      <c r="H13" s="36"/>
      <c r="I13" s="37" t="s">
        <v>130</v>
      </c>
      <c r="J13">
        <v>19.8</v>
      </c>
      <c r="K13" s="2"/>
      <c r="M13" s="2">
        <v>19.8</v>
      </c>
    </row>
    <row r="14" spans="1:14">
      <c r="A14" t="s">
        <v>129</v>
      </c>
      <c r="B14" s="148">
        <v>36859.61</v>
      </c>
      <c r="C14" s="149">
        <v>-30109.3</v>
      </c>
      <c r="D14" s="150">
        <v>-4121.5</v>
      </c>
      <c r="E14" s="148">
        <v>35859.61</v>
      </c>
      <c r="F14" s="149">
        <v>-30109.3</v>
      </c>
      <c r="G14" s="151">
        <v>35007.839999999997</v>
      </c>
      <c r="H14" s="36"/>
      <c r="I14" s="37" t="s">
        <v>218</v>
      </c>
      <c r="N14" s="2">
        <v>46.1</v>
      </c>
    </row>
    <row r="15" spans="1:14">
      <c r="A15" t="s">
        <v>131</v>
      </c>
      <c r="B15" s="148">
        <v>15937.59</v>
      </c>
      <c r="C15" s="149">
        <v>-11790.68</v>
      </c>
      <c r="D15" s="150">
        <v>25.4100000000035</v>
      </c>
      <c r="E15" s="148">
        <v>17940.28</v>
      </c>
      <c r="F15" s="149">
        <v>-11140.68</v>
      </c>
      <c r="G15" s="151">
        <v>41807.440000000002</v>
      </c>
      <c r="H15" s="36"/>
      <c r="I15" s="37" t="s">
        <v>140</v>
      </c>
      <c r="J15">
        <v>60</v>
      </c>
      <c r="K15" s="2"/>
      <c r="M15" s="2">
        <v>6.5</v>
      </c>
    </row>
    <row r="16" spans="1:14">
      <c r="A16" t="s">
        <v>133</v>
      </c>
      <c r="B16" s="148">
        <v>11328.34</v>
      </c>
      <c r="C16" s="149">
        <v>-7712.66</v>
      </c>
      <c r="D16" s="150">
        <v>3641.09</v>
      </c>
      <c r="E16" s="148">
        <v>9522.3700000000008</v>
      </c>
      <c r="F16" s="149">
        <v>-7722.66</v>
      </c>
      <c r="G16" s="151">
        <v>43607.15</v>
      </c>
      <c r="H16" s="36"/>
      <c r="I16" s="37" t="s">
        <v>1139</v>
      </c>
      <c r="J16">
        <v>95</v>
      </c>
      <c r="K16" s="2"/>
      <c r="M16" s="2">
        <v>23.75</v>
      </c>
    </row>
    <row r="17" spans="1:14">
      <c r="A17" t="s">
        <v>1140</v>
      </c>
      <c r="B17" s="148">
        <v>17837.05</v>
      </c>
      <c r="C17" s="149">
        <v>-28058.1</v>
      </c>
      <c r="D17" s="150">
        <v>-6579.96</v>
      </c>
      <c r="E17" s="148">
        <v>16654.189999999999</v>
      </c>
      <c r="F17" s="149">
        <v>-28058.1</v>
      </c>
      <c r="G17" s="151">
        <v>32203.24</v>
      </c>
      <c r="H17" s="36"/>
    </row>
    <row r="18" spans="1:14">
      <c r="A18" t="s">
        <v>1141</v>
      </c>
      <c r="B18" s="148">
        <v>27131.07</v>
      </c>
      <c r="C18" s="149">
        <v>-17400.82</v>
      </c>
      <c r="D18" s="150">
        <v>3150.29</v>
      </c>
      <c r="E18" s="148">
        <v>16133.3</v>
      </c>
      <c r="F18" s="149">
        <v>-20600.82</v>
      </c>
      <c r="G18" s="151">
        <v>27735.72</v>
      </c>
      <c r="H18" s="36"/>
      <c r="I18" s="37" t="s">
        <v>144</v>
      </c>
      <c r="J18">
        <v>42</v>
      </c>
      <c r="K18" s="2">
        <v>9.8578200000000002</v>
      </c>
      <c r="L18" s="2">
        <v>32.142180000000003</v>
      </c>
    </row>
    <row r="19" spans="1:14">
      <c r="A19" t="s">
        <v>1142</v>
      </c>
      <c r="B19" s="148">
        <v>34617.910000000003</v>
      </c>
      <c r="C19" s="149">
        <v>-11695.35</v>
      </c>
      <c r="D19" s="150">
        <v>26072.85</v>
      </c>
      <c r="E19" s="148">
        <v>102061.66</v>
      </c>
      <c r="F19" s="149">
        <v>-33894.33</v>
      </c>
      <c r="G19" s="151">
        <v>95903.05</v>
      </c>
      <c r="H19" s="36"/>
      <c r="I19" s="37" t="s">
        <v>148</v>
      </c>
      <c r="J19">
        <v>84</v>
      </c>
      <c r="K19" s="2">
        <v>19.71564</v>
      </c>
      <c r="L19" s="2">
        <v>64.284360000000007</v>
      </c>
    </row>
    <row r="20" spans="1:14">
      <c r="A20" t="s">
        <v>141</v>
      </c>
      <c r="B20" s="148">
        <v>66162.31</v>
      </c>
      <c r="C20" s="149">
        <v>-61978.720000000001</v>
      </c>
      <c r="D20" s="150">
        <v>30256.44</v>
      </c>
      <c r="E20" s="148">
        <v>9260.5</v>
      </c>
      <c r="F20" s="149">
        <v>-25729.24</v>
      </c>
      <c r="G20" s="151">
        <v>79434.31</v>
      </c>
      <c r="H20" s="36"/>
      <c r="I20" s="37" t="s">
        <v>146</v>
      </c>
      <c r="J20">
        <v>84</v>
      </c>
      <c r="K20" s="2">
        <v>19.71564</v>
      </c>
      <c r="L20" s="2">
        <v>64.284360000000007</v>
      </c>
    </row>
    <row r="21" spans="1:14">
      <c r="A21" t="s">
        <v>143</v>
      </c>
      <c r="B21" s="148">
        <v>23872.2</v>
      </c>
      <c r="C21" s="149">
        <v>-34541.120000000003</v>
      </c>
      <c r="D21" s="150">
        <v>19587.52</v>
      </c>
      <c r="E21" s="148">
        <v>79418.41</v>
      </c>
      <c r="F21" s="149">
        <v>-90424.320000000007</v>
      </c>
      <c r="G21" s="151">
        <v>68428.399999999994</v>
      </c>
      <c r="H21" s="36"/>
      <c r="I21" s="37" t="s">
        <v>138</v>
      </c>
      <c r="J21">
        <v>45</v>
      </c>
      <c r="K21" s="2">
        <v>10.56195</v>
      </c>
      <c r="L21" s="2">
        <v>34.438049999999997</v>
      </c>
      <c r="N21" s="270">
        <v>400.76679000000001</v>
      </c>
    </row>
    <row r="22" spans="1:14">
      <c r="A22" t="s">
        <v>145</v>
      </c>
      <c r="B22" s="148">
        <v>179191.62</v>
      </c>
      <c r="C22" s="149">
        <v>-14175.82</v>
      </c>
      <c r="D22" s="150">
        <v>184603.32</v>
      </c>
      <c r="E22" s="148">
        <v>178439.6</v>
      </c>
      <c r="F22" s="149">
        <v>-18452.8</v>
      </c>
      <c r="G22" s="151">
        <v>228415.2</v>
      </c>
      <c r="H22" s="36"/>
      <c r="I22" s="37" t="s">
        <v>128</v>
      </c>
      <c r="J22">
        <v>48</v>
      </c>
      <c r="K22" s="2">
        <v>11.266080000000001</v>
      </c>
      <c r="L22" s="2">
        <v>36.733919999999998</v>
      </c>
      <c r="N22" s="271">
        <v>33.397232500000001</v>
      </c>
    </row>
    <row r="23" spans="1:14">
      <c r="A23" t="s">
        <v>147</v>
      </c>
      <c r="B23" s="148">
        <v>15475.96</v>
      </c>
      <c r="C23" s="149">
        <v>-16961.34</v>
      </c>
      <c r="D23" s="150">
        <v>183117.94</v>
      </c>
      <c r="E23" s="148">
        <v>22052.39</v>
      </c>
      <c r="F23" s="149">
        <v>-21692.25</v>
      </c>
      <c r="G23" s="151">
        <v>228775.34</v>
      </c>
      <c r="H23" s="36"/>
      <c r="I23" s="37" t="s">
        <v>142</v>
      </c>
      <c r="J23">
        <v>48</v>
      </c>
      <c r="K23" s="2">
        <v>11.266080000000001</v>
      </c>
      <c r="L23" s="2">
        <v>36.733919999999998</v>
      </c>
    </row>
    <row r="24" spans="1:14">
      <c r="A24" s="48" t="s">
        <v>191</v>
      </c>
      <c r="B24" s="154">
        <v>446314.05</v>
      </c>
      <c r="C24" s="155">
        <v>-263196.11</v>
      </c>
      <c r="D24" s="272">
        <v>183117.94</v>
      </c>
      <c r="E24" s="154">
        <v>545372.04</v>
      </c>
      <c r="F24" s="155">
        <v>-316596.7</v>
      </c>
      <c r="G24" s="272">
        <v>228775.34</v>
      </c>
      <c r="H24" s="36"/>
      <c r="I24" s="157"/>
      <c r="J24" s="157">
        <v>351</v>
      </c>
      <c r="K24" s="273">
        <v>82.383210000000005</v>
      </c>
      <c r="L24" s="273">
        <v>268.61678999999998</v>
      </c>
      <c r="M24" s="273">
        <v>86.05</v>
      </c>
      <c r="N24" s="273">
        <v>46.1</v>
      </c>
    </row>
    <row r="25" spans="1:14">
      <c r="A25" s="274">
        <v>12</v>
      </c>
      <c r="B25" s="275">
        <v>37192.837500000001</v>
      </c>
      <c r="C25" s="276">
        <v>-21933.009166666699</v>
      </c>
      <c r="D25" s="276"/>
      <c r="E25" s="276">
        <v>45447.67</v>
      </c>
      <c r="F25" s="276">
        <v>-26383.058333333302</v>
      </c>
      <c r="G25" s="276">
        <v>19064.6116666667</v>
      </c>
      <c r="H25" s="58"/>
      <c r="I25" s="159"/>
      <c r="J25" s="276">
        <v>29.25</v>
      </c>
      <c r="K25" s="276">
        <v>6.8652674999999999</v>
      </c>
      <c r="L25" s="276">
        <v>22.384732499999998</v>
      </c>
      <c r="M25" s="276">
        <v>7.1708333333333298</v>
      </c>
      <c r="N25" s="276">
        <v>3.8416666666666699</v>
      </c>
    </row>
  </sheetData>
  <hyperlinks>
    <hyperlink ref="D3" r:id="rId1" xr:uid="{00000000-0004-0000-2C00-000000000000}"/>
    <hyperlink ref="D4" r:id="rId2" xr:uid="{00000000-0004-0000-2C00-000001000000}"/>
    <hyperlink ref="D5" r:id="rId3" xr:uid="{00000000-0004-0000-2C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1126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45</vt:i4>
      </vt:variant>
    </vt:vector>
  </HeadingPairs>
  <TitlesOfParts>
    <vt:vector size="45" baseType="lpstr"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Ali</cp:lastModifiedBy>
  <cp:revision>270</cp:revision>
  <cp:lastPrinted>2023-12-11T05:55:06Z</cp:lastPrinted>
  <dcterms:created xsi:type="dcterms:W3CDTF">2022-03-04T11:30:59Z</dcterms:created>
  <dcterms:modified xsi:type="dcterms:W3CDTF">2024-10-31T10:27:52Z</dcterms:modified>
  <dc:language>tr-TR</dc:language>
</cp:coreProperties>
</file>