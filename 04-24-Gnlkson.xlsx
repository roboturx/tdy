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049D494C-F71E-4B5C-B5D8-B87A63C955CF}" xr6:coauthVersionLast="47" xr6:coauthVersionMax="47" xr10:uidLastSave="{00000000-0000-0000-0000-000000000000}"/>
  <bookViews>
    <workbookView xWindow="570" yWindow="510" windowWidth="19320" windowHeight="10320" tabRatio="851" activeTab="3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4" i="4" l="1"/>
  <c r="E111" i="5"/>
  <c r="E126" i="5"/>
  <c r="E125" i="5"/>
  <c r="E124" i="5"/>
  <c r="E123" i="5"/>
  <c r="E122" i="5"/>
  <c r="E121" i="5"/>
  <c r="E120" i="5"/>
  <c r="E119" i="5"/>
  <c r="E118" i="5"/>
  <c r="E117" i="5"/>
  <c r="E116" i="5"/>
  <c r="E128" i="5" s="1"/>
  <c r="N13" i="3"/>
  <c r="E130" i="4"/>
  <c r="E131" i="4"/>
  <c r="E132" i="4"/>
  <c r="E133" i="4"/>
  <c r="E126" i="4"/>
  <c r="E127" i="4"/>
  <c r="E128" i="4"/>
  <c r="E129" i="4"/>
  <c r="E124" i="4"/>
  <c r="D2" i="4"/>
  <c r="H20" i="7" l="1"/>
  <c r="H21" i="7" s="1"/>
  <c r="H22" i="7" s="1"/>
  <c r="H23" i="7" s="1"/>
  <c r="H24" i="7" s="1"/>
  <c r="H25" i="7" s="1"/>
  <c r="H26" i="7" s="1"/>
  <c r="C102" i="5"/>
  <c r="E69" i="5"/>
  <c r="E7" i="5" s="1"/>
  <c r="C117" i="8"/>
  <c r="C81" i="11"/>
  <c r="E66" i="6"/>
  <c r="C105" i="6"/>
  <c r="E19" i="3"/>
  <c r="M7" i="3" s="1"/>
  <c r="E116" i="7"/>
  <c r="E115" i="7"/>
  <c r="E114" i="7"/>
  <c r="C125" i="7"/>
  <c r="E119" i="7"/>
  <c r="E113" i="7"/>
  <c r="N11" i="3" s="1"/>
  <c r="E112" i="7"/>
  <c r="E110" i="7"/>
  <c r="E109" i="7"/>
  <c r="E108" i="7"/>
  <c r="E107" i="7"/>
  <c r="A103" i="7"/>
  <c r="A104" i="7" s="1"/>
  <c r="A106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B8" i="32"/>
  <c r="B5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25" i="4"/>
  <c r="E123" i="4"/>
  <c r="E118" i="4" s="1"/>
  <c r="N14" i="3" s="1"/>
  <c r="E6" i="4"/>
  <c r="G6" i="4" s="1"/>
  <c r="E69" i="4"/>
  <c r="E5" i="4" s="1"/>
  <c r="G5" i="4" s="1"/>
  <c r="G2" i="4" s="1"/>
  <c r="F14" i="3" s="1"/>
  <c r="E58" i="4"/>
  <c r="D58" i="4"/>
  <c r="E9" i="4"/>
  <c r="M27" i="4"/>
  <c r="M26" i="4"/>
  <c r="M25" i="4"/>
  <c r="M24" i="4"/>
  <c r="M23" i="4"/>
  <c r="H4" i="4"/>
  <c r="F2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K14" i="3"/>
  <c r="L14" i="3" s="1"/>
  <c r="K13" i="3"/>
  <c r="L13" i="3" s="1"/>
  <c r="N12" i="3"/>
  <c r="K12" i="3"/>
  <c r="L12" i="3" s="1"/>
  <c r="K11" i="3"/>
  <c r="L11" i="3" s="1"/>
  <c r="N10" i="3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5" i="4" l="1"/>
  <c r="H6" i="4" s="1"/>
  <c r="H7" i="4" s="1"/>
  <c r="H8" i="4" s="1"/>
  <c r="H9" i="4" s="1"/>
  <c r="H10" i="4" s="1"/>
  <c r="H21" i="4" s="1"/>
  <c r="H22" i="4" s="1"/>
  <c r="H23" i="4" s="1"/>
  <c r="H24" i="4" s="1"/>
  <c r="H25" i="4" s="1"/>
  <c r="E2" i="4"/>
  <c r="C14" i="3" s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7" i="7" s="1"/>
  <c r="H28" i="7" s="1"/>
  <c r="H29" i="7" s="1"/>
  <c r="H30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35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5" i="7"/>
  <c r="A107" i="7" s="1"/>
  <c r="A108" i="7" s="1"/>
  <c r="A109" i="7" s="1"/>
  <c r="A110" i="7" s="1"/>
  <c r="A111" i="7" s="1"/>
  <c r="A112" i="7" s="1"/>
  <c r="A113" i="7" s="1"/>
  <c r="A114" i="7" s="1"/>
  <c r="E124" i="7"/>
  <c r="E101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28" i="4"/>
  <c r="N22" i="4" s="1"/>
  <c r="N23" i="4" s="1"/>
  <c r="N24" i="4" s="1"/>
  <c r="N25" i="4" s="1"/>
  <c r="N26" i="4" s="1"/>
  <c r="N27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8" i="4" l="1"/>
  <c r="H32" i="4" s="1"/>
  <c r="H33" i="4" s="1"/>
  <c r="H34" i="4" s="1"/>
  <c r="H35" i="4" s="1"/>
  <c r="H12" i="20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5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8" i="7"/>
  <c r="A119" i="7" s="1"/>
  <c r="A120" i="7" s="1"/>
  <c r="A121" i="7" s="1"/>
  <c r="A115" i="7"/>
  <c r="A116" i="7" s="1"/>
  <c r="A117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6" i="4" l="1"/>
  <c r="H37" i="4" s="1"/>
  <c r="H38" i="4" s="1"/>
  <c r="H39" i="4" s="1"/>
  <c r="H40" i="4" s="1"/>
  <c r="H41" i="4" s="1"/>
  <c r="H42" i="4" s="1"/>
  <c r="H43" i="4" s="1"/>
  <c r="H44" i="4" s="1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<sst xmlns="http://schemas.openxmlformats.org/spreadsheetml/2006/main" count="3876" uniqueCount="1544">
  <si>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</si>
  <si>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</si>
  <si>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</si>
  <si>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</si>
  <si>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</si>
  <si>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</si>
  <si>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</si>
  <si>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</si>
  <si>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</si>
  <si>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</si>
  <si>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</si>
  <si>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</si>
  <si>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</si>
  <si>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</si>
  <si>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</si>
  <si>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</si>
  <si>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</si>
  <si>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</si>
  <si>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</si>
  <si>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</si>
  <si>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</si>
  <si>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</si>
  <si>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</si>
  <si>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</si>
  <si>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</si>
  <si>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</si>
  <si>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</si>
  <si>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</si>
  <si>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</si>
  <si>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</si>
  <si>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</si>
  <si>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</si>
  <si>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</si>
  <si>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</si>
  <si>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</si>
  <si>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</si>
  <si>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</si>
  <si>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</si>
  <si>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</si>
  <si>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</si>
  <si>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</si>
  <si>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</si>
  <si>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</si>
  <si>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</si>
  <si>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</si>
  <si>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</si>
  <si>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</si>
  <si>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</si>
  <si>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</si>
  <si>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</si>
  <si>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</si>
  <si>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</si>
  <si>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</si>
  <si>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</si>
  <si>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</si>
  <si>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</si>
  <si>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</si>
  <si>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</si>
  <si>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</si>
  <si>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</si>
  <si>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</si>
  <si>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</si>
  <si>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</si>
  <si>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</si>
  <si>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</si>
  <si>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</si>
  <si>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</si>
  <si>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</si>
  <si>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</si>
  <si>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</si>
  <si>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</si>
  <si>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</si>
  <si>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</si>
  <si>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</si>
  <si>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</si>
  <si>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</si>
  <si>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</si>
  <si>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</si>
  <si>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</si>
  <si>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</si>
  <si>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</si>
  <si>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</si>
  <si>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</si>
  <si>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</si>
  <si>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</si>
  <si>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</si>
  <si>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</si>
  <si>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</si>
  <si>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</si>
  <si>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</si>
  <si>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</si>
  <si>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</si>
  <si>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</si>
  <si>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</si>
  <si>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</si>
  <si>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</si>
  <si>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</si>
  <si>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</si>
  <si>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</si>
  <si>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</si>
  <si>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</si>
  <si>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</si>
  <si>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</si>
  <si>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</si>
  <si>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</si>
  <si>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</si>
  <si>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</si>
  <si>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</si>
  <si>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</si>
  <si>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</si>
  <si>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</si>
  <si>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</si>
  <si>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</si>
  <si>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</si>
  <si>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</si>
  <si>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</si>
  <si>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</si>
  <si>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</si>
  <si>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</si>
  <si>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</si>
  <si>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</si>
  <si>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</si>
  <si>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</si>
  <si>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</si>
  <si>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</si>
  <si>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</si>
  <si>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</si>
  <si>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</si>
  <si>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</si>
  <si>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</si>
  <si>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</si>
  <si>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</si>
  <si>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</si>
  <si>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</si>
  <si>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</si>
  <si>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</si>
  <si>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</si>
  <si>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</si>
  <si>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</si>
  <si>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</si>
  <si>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</si>
  <si>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</si>
  <si>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</si>
  <si>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</si>
  <si>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</si>
  <si>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</si>
  <si>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</si>
  <si>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</si>
  <si>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</si>
  <si>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</si>
  <si>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</si>
  <si>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</si>
  <si>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</si>
  <si>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</si>
  <si>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</si>
  <si>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</si>
  <si>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</si>
  <si>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</si>
  <si>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</si>
  <si>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</si>
  <si>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</si>
  <si>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</si>
  <si>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</si>
  <si>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</si>
  <si>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</si>
  <si>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</si>
  <si>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</si>
  <si>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</si>
  <si>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</si>
  <si>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</si>
  <si>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</si>
  <si>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</si>
  <si>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</si>
  <si>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</si>
  <si>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</si>
  <si>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</si>
  <si>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</si>
  <si>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</si>
  <si>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</si>
  <si>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</si>
  <si>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</si>
  <si>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</si>
  <si>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</si>
  <si>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</si>
  <si>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</si>
  <si>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</si>
  <si>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</si>
  <si>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</si>
  <si>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</si>
  <si>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</si>
  <si>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</si>
  <si>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</si>
  <si>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</si>
  <si>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</si>
  <si>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</si>
  <si>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</si>
  <si>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</si>
  <si>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</si>
  <si>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</si>
  <si>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</si>
  <si>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</si>
  <si>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</si>
  <si>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</si>
  <si>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</si>
  <si>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</si>
  <si>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</si>
  <si>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</si>
  <si>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</si>
  <si>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</si>
  <si>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</si>
  <si>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</si>
  <si>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</si>
  <si>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</si>
  <si>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</si>
  <si>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</si>
  <si>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</si>
  <si>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</si>
  <si>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</si>
  <si>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</si>
  <si>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</si>
  <si>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</si>
  <si>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</si>
  <si>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</si>
  <si>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</si>
  <si>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</si>
  <si>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</si>
  <si>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</si>
  <si>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</si>
  <si>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</si>
  <si>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</si>
  <si>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</si>
  <si>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</si>
  <si>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</si>
  <si>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</si>
  <si>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</si>
  <si>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</si>
  <si>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</si>
  <si>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</si>
  <si>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</si>
  <si>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</si>
  <si>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</si>
  <si>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</si>
  <si>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</si>
  <si>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</si>
  <si>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</si>
  <si>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</si>
  <si>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</si>
  <si>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</si>
  <si>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</si>
  <si>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</si>
  <si>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</si>
  <si>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</si>
  <si>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</si>
  <si>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</si>
  <si>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</si>
  <si>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</si>
  <si>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</si>
  <si>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</si>
  <si>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</si>
  <si>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</si>
  <si>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</si>
  <si>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</si>
  <si>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</si>
  <si>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</si>
  <si>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</si>
  <si>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</si>
  <si>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</si>
  <si>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</si>
  <si>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</si>
  <si>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</si>
  <si>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</si>
  <si>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</si>
  <si>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</si>
  <si>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</si>
  <si>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</si>
  <si>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</si>
  <si>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</si>
  <si>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</si>
  <si>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</si>
  <si>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</si>
  <si>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</si>
  <si>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</si>
  <si>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</si>
  <si>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</si>
  <si>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</si>
  <si>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</si>
  <si>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</si>
  <si>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</si>
  <si>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</si>
  <si>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</si>
  <si>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</si>
  <si>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</si>
  <si>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</si>
  <si>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</si>
  <si>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</si>
  <si>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</si>
  <si>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</si>
  <si>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</si>
  <si>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</si>
  <si>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</si>
  <si>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</si>
  <si>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</si>
  <si>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</si>
  <si>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</si>
  <si>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</si>
  <si>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</si>
  <si>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</si>
  <si>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</si>
  <si>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</si>
  <si>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</si>
  <si>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</si>
  <si>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</si>
  <si>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</si>
  <si>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</si>
  <si>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</si>
  <si>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</si>
  <si>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</si>
  <si>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</si>
  <si>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</si>
  <si>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</si>
  <si>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</si>
  <si>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</si>
  <si>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</si>
  <si>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</si>
  <si>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</si>
  <si>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</si>
  <si>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</si>
  <si>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</si>
  <si>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</si>
  <si>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</si>
  <si>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</si>
  <si>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</si>
  <si>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</si>
  <si>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</si>
  <si>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</si>
  <si>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</si>
  <si>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</si>
  <si>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</si>
  <si>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</si>
  <si>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</si>
  <si>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</si>
  <si>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</si>
  <si>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</si>
  <si>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</si>
  <si>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</si>
  <si>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</si>
  <si>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</si>
  <si>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</si>
  <si>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</si>
  <si>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</si>
  <si>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</si>
  <si>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</si>
  <si>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</si>
  <si>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</si>
  <si>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</si>
  <si>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</si>
  <si>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</si>
  <si>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</si>
  <si>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</si>
  <si>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</si>
  <si>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</si>
  <si>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</si>
  <si>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</si>
  <si>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</si>
  <si>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</si>
  <si>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</si>
  <si>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</si>
  <si>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</si>
  <si>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</si>
  <si>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</si>
  <si>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</si>
  <si>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</si>
  <si>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</si>
  <si>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</si>
  <si>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</si>
  <si>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</si>
  <si>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</si>
  <si>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</si>
  <si>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</si>
  <si>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</si>
  <si>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</si>
  <si>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</si>
  <si>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</si>
  <si>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</si>
  <si>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</si>
  <si>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</si>
  <si>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</si>
  <si>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</si>
  <si>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</si>
  <si>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</si>
  <si>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</si>
  <si>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</si>
  <si>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</si>
  <si>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</si>
  <si>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</si>
  <si>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</si>
  <si>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</si>
  <si>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</si>
  <si>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</si>
  <si>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</si>
  <si>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</si>
  <si>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</si>
  <si>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</si>
  <si>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</si>
  <si>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</si>
  <si>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</si>
  <si>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</si>
  <si>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</si>
  <si>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</si>
  <si>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</si>
  <si>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</si>
  <si>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</si>
  <si>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</si>
  <si>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</si>
  <si>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</si>
  <si>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</si>
  <si>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</si>
  <si>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</si>
  <si>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</si>
  <si>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</si>
  <si>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</si>
  <si>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</si>
  <si>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</si>
  <si>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</si>
  <si>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</si>
  <si>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</si>
  <si>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</si>
  <si>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</si>
  <si>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</si>
  <si>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</si>
  <si>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</si>
  <si>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</si>
  <si>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</si>
  <si>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</si>
  <si>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</si>
  <si>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</si>
  <si>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</si>
  <si>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</si>
  <si>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</si>
  <si>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</si>
  <si>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</si>
  <si>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</si>
  <si>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</si>
  <si>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</si>
  <si>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</si>
  <si>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</si>
  <si>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</si>
  <si>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</si>
  <si>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</si>
  <si>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</si>
  <si>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</si>
  <si>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</si>
  <si>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</si>
  <si>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</si>
  <si>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</si>
  <si>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</si>
  <si>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</si>
  <si>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</si>
  <si>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</si>
  <si>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</si>
  <si>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</si>
  <si>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</si>
  <si>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</si>
  <si>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</si>
  <si>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</si>
  <si>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</si>
  <si>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</si>
  <si>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</si>
  <si>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</si>
  <si>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</si>
  <si>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</si>
  <si>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</si>
  <si>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</si>
  <si>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</si>
  <si>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</si>
  <si>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</si>
  <si>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</si>
  <si>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</si>
  <si>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</si>
  <si>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</si>
  <si>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</si>
  <si>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</si>
  <si>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</si>
  <si>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</si>
  <si>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</si>
  <si>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</si>
  <si>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</si>
  <si>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</si>
  <si>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</si>
  <si>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</si>
  <si>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</si>
  <si>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</si>
  <si>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</si>
  <si>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</si>
  <si>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</si>
  <si>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</si>
  <si>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</si>
  <si>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</si>
  <si>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</si>
  <si>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</si>
  <si>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</si>
  <si>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</si>
  <si>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</si>
  <si>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</si>
  <si>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</si>
  <si>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</si>
  <si>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</si>
  <si>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</si>
  <si>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</si>
  <si>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</si>
  <si>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</si>
  <si>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</si>
  <si>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</si>
  <si>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</si>
  <si>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</si>
  <si>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</si>
  <si>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</si>
  <si>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</si>
  <si>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</si>
  <si>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</si>
  <si>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</si>
  <si>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</si>
  <si>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</si>
  <si>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</si>
  <si>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</si>
  <si>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</si>
  <si>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</si>
  <si>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</si>
  <si>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</si>
  <si>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</si>
  <si>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</si>
  <si>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</si>
  <si>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</si>
  <si>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</si>
  <si>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</si>
  <si>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</si>
  <si>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</si>
  <si>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</si>
  <si>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</si>
  <si>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</si>
  <si>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</si>
  <si>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</si>
  <si>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</si>
  <si>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</si>
  <si>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</si>
  <si>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</si>
  <si>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</si>
  <si>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</si>
  <si>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</si>
  <si>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</si>
  <si>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</si>
  <si>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</si>
  <si>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</si>
  <si>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</si>
  <si>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</si>
  <si>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</si>
  <si>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</si>
  <si>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</si>
  <si>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</si>
  <si>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</si>
  <si>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</si>
  <si>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</si>
  <si>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</si>
  <si>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</si>
  <si>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</si>
  <si>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</si>
  <si>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</si>
  <si>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</si>
  <si>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</si>
  <si>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</si>
  <si>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</si>
  <si>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</si>
  <si>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</si>
  <si>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</si>
  <si>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</si>
  <si>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</si>
  <si>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</si>
  <si>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</si>
  <si>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</si>
  <si>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</si>
  <si>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</si>
  <si>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</si>
  <si>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</si>
  <si>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</si>
  <si>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</si>
  <si>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</si>
  <si>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</si>
  <si>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</si>
  <si>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</si>
  <si>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</si>
  <si>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</si>
  <si>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</si>
  <si>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</si>
  <si>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</si>
  <si>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</si>
  <si>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</si>
  <si>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</si>
  <si>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</si>
  <si>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</si>
  <si>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</si>
  <si>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</si>
  <si>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</si>
  <si>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</si>
  <si>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</si>
  <si>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</si>
  <si>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</si>
  <si>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</si>
  <si>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</si>
  <si>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</si>
  <si>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</si>
  <si>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</si>
  <si>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</si>
  <si>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</si>
  <si>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</si>
  <si>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</si>
  <si>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</si>
  <si>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</si>
  <si>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</si>
  <si>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</si>
  <si>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</si>
  <si>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</si>
  <si>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</si>
  <si>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</si>
  <si>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</si>
  <si>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</si>
  <si>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</si>
  <si>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</si>
  <si>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</si>
  <si>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</si>
  <si>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</si>
  <si>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</si>
  <si>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</si>
  <si>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</si>
  <si>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</si>
  <si>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</si>
  <si>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</si>
  <si>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</si>
  <si>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</si>
  <si>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</si>
  <si>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</si>
  <si>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</si>
  <si>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</si>
  <si>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</si>
  <si>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</si>
  <si>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</si>
  <si>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</si>
  <si>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</si>
  <si>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</si>
  <si>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</si>
  <si>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</si>
  <si>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</si>
  <si>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</si>
  <si>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</si>
  <si>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</si>
  <si>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</si>
  <si>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</si>
  <si>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</si>
  <si>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</si>
  <si>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</si>
  <si>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</si>
  <si>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</si>
  <si>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</si>
  <si>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</si>
  <si>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</si>
  <si>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</si>
  <si>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</si>
  <si>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</si>
  <si>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</si>
  <si>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</si>
  <si>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</si>
  <si>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</si>
  <si>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</si>
  <si>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</si>
  <si>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</si>
  <si>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</si>
  <si>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</si>
  <si>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</si>
  <si>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</si>
  <si>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</si>
  <si>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</si>
  <si>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</si>
  <si>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</si>
  <si>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</si>
  <si>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</si>
  <si>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</si>
  <si>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</si>
  <si>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</si>
  <si>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</si>
  <si>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</si>
  <si>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</si>
  <si>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</si>
  <si>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</si>
  <si>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</si>
  <si>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</si>
  <si>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</si>
  <si>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</si>
  <si>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</si>
  <si>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</si>
  <si>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</si>
  <si>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</si>
  <si>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</si>
  <si>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</si>
  <si>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</si>
  <si>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</si>
  <si>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</si>
  <si>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</si>
  <si>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</si>
  <si>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</si>
  <si>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</si>
  <si>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</si>
  <si>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</si>
  <si>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</si>
  <si>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</si>
  <si>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</si>
  <si>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</si>
  <si>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</si>
  <si>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</si>
  <si>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</si>
  <si>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</si>
  <si>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</si>
  <si>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</si>
  <si>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</si>
  <si>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</si>
  <si>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</si>
  <si>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</si>
  <si>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</si>
  <si>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</si>
  <si>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</si>
  <si>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</si>
  <si>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</si>
  <si>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</si>
  <si>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</si>
  <si>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</si>
  <si>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</si>
  <si>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</si>
  <si>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</si>
  <si>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</si>
  <si>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</si>
  <si>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</si>
  <si>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</si>
  <si>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</si>
  <si>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</si>
  <si>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</si>
  <si>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</si>
  <si>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</si>
  <si>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</si>
  <si>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</si>
  <si>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</si>
  <si>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</si>
  <si>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</si>
  <si>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</si>
  <si>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</si>
  <si>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</si>
  <si>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</si>
  <si>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</si>
  <si>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</si>
  <si>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</si>
  <si>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</si>
  <si>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</si>
  <si>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</si>
  <si>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</si>
  <si>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</si>
  <si>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</si>
  <si>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</si>
  <si>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</si>
  <si>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</si>
  <si>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</si>
  <si>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</si>
  <si>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</si>
  <si>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</si>
  <si>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</si>
  <si>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</si>
  <si>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</si>
  <si>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</si>
  <si>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</si>
  <si>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</si>
  <si>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</si>
  <si>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</si>
  <si>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</si>
  <si>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</si>
  <si>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</si>
  <si>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</si>
  <si>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</si>
  <si>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</si>
  <si>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</si>
  <si>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</si>
  <si>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</si>
  <si>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</si>
  <si>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</si>
  <si>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</si>
  <si>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</si>
  <si>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</si>
  <si>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</si>
  <si>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</si>
  <si>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</si>
  <si>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</si>
  <si>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</si>
  <si>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</si>
  <si>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</si>
  <si>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</si>
  <si>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</si>
  <si>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</si>
  <si>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</si>
  <si>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</si>
  <si>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</si>
  <si>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</si>
  <si>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</si>
  <si>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</si>
  <si>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</si>
  <si>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</si>
  <si>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</si>
  <si>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</si>
  <si>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</si>
  <si>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</si>
  <si>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</si>
  <si>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</si>
  <si>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</si>
  <si>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</si>
  <si>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</si>
  <si>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</si>
  <si>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</si>
  <si>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</si>
  <si>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</si>
  <si>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</si>
  <si>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</si>
  <si>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</si>
  <si>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</si>
  <si>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</si>
  <si>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</si>
  <si>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</si>
  <si>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</si>
  <si>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</si>
  <si>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</si>
  <si>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</si>
  <si>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</si>
  <si>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</si>
  <si>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</si>
  <si>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</si>
  <si>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</si>
  <si>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</si>
  <si>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</si>
  <si>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</si>
  <si>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</si>
  <si>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</si>
  <si>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</si>
  <si>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</si>
  <si>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</si>
  <si>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</si>
  <si>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</si>
  <si>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</si>
  <si>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</si>
  <si>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</si>
  <si>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</si>
  <si>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</si>
  <si>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</si>
  <si>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</si>
  <si>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</si>
  <si>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</si>
  <si>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</si>
  <si>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</si>
  <si>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</si>
  <si>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</si>
  <si>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</si>
  <si>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</si>
  <si>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</si>
  <si>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</si>
  <si>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</si>
  <si>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</si>
  <si>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</si>
  <si>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</si>
  <si>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</si>
  <si>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</si>
  <si>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</si>
  <si>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</si>
  <si>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</si>
  <si>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</si>
  <si>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</si>
  <si>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</si>
  <si>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</si>
  <si>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</si>
  <si>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</si>
  <si>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</si>
  <si>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</si>
  <si>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</si>
  <si>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</si>
  <si>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</si>
  <si>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</si>
  <si>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</si>
  <si>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</si>
  <si>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</si>
  <si>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</si>
  <si>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</si>
  <si>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</si>
  <si>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</si>
  <si>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</si>
  <si>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</si>
  <si>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</si>
  <si>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</si>
  <si>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</si>
  <si>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</si>
  <si>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</si>
  <si>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</si>
  <si>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</si>
  <si>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</si>
  <si>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</si>
  <si>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</si>
  <si>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</si>
  <si>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</si>
  <si>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</si>
  <si>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</si>
  <si>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</si>
  <si>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</si>
  <si>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</si>
  <si>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</si>
  <si>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</si>
  <si>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</si>
  <si>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</si>
  <si>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</si>
  <si>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</si>
  <si>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</si>
  <si>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</si>
  <si>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</si>
  <si>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</si>
  <si>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</si>
  <si>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</si>
  <si>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</si>
  <si>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</si>
  <si>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</si>
  <si>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</si>
  <si>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</si>
  <si>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</si>
  <si>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</si>
  <si>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</si>
  <si>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</si>
  <si>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</si>
  <si>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</si>
  <si>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</si>
  <si>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</si>
  <si>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</si>
  <si>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</si>
  <si>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</si>
  <si>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</si>
  <si>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</si>
  <si>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</si>
  <si>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</si>
  <si>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</si>
  <si>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</si>
  <si>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</si>
  <si>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</si>
  <si>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</si>
  <si>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</si>
  <si>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</si>
  <si>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</si>
  <si>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</si>
  <si>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</si>
  <si>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</si>
  <si>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</si>
  <si>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</si>
  <si>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</si>
  <si>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</si>
  <si>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</si>
  <si>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</si>
  <si>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</si>
  <si>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</si>
  <si>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</si>
  <si>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</si>
  <si>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</si>
  <si>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</si>
  <si>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</si>
  <si>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</si>
  <si>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</si>
  <si>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</si>
  <si>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</si>
  <si>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</si>
  <si>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</si>
  <si>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</si>
  <si>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</si>
  <si>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</si>
  <si>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</si>
  <si>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</si>
  <si>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</si>
  <si>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</si>
  <si>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</si>
  <si>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</si>
  <si>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</si>
  <si>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</si>
  <si>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</si>
  <si>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</si>
  <si>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</si>
  <si>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</si>
  <si>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</si>
  <si>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</si>
  <si>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</si>
  <si>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</si>
  <si>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</si>
  <si>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</si>
  <si>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</si>
  <si>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</si>
  <si>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</si>
  <si>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</si>
  <si>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</si>
  <si>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</si>
  <si>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</si>
  <si>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</si>
  <si>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</si>
  <si>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</si>
  <si>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</si>
  <si>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</si>
  <si>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</si>
  <si>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</si>
  <si>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</si>
  <si>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</si>
  <si>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</si>
  <si>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</si>
  <si>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</si>
  <si>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</si>
  <si>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</si>
  <si>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</si>
  <si>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</si>
  <si>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</si>
  <si>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</si>
  <si>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</si>
  <si>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</si>
  <si>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</si>
  <si>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</si>
  <si>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</si>
  <si>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</si>
  <si>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</si>
  <si>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</si>
  <si>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</si>
  <si>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</si>
  <si>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</si>
  <si>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</si>
  <si>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</si>
  <si>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</si>
  <si>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</si>
  <si>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</si>
  <si>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</si>
  <si>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</si>
  <si>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</si>
  <si>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</si>
  <si>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</si>
  <si>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</si>
  <si>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</si>
  <si>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</si>
  <si>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</si>
  <si>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</si>
  <si>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</si>
  <si>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</si>
  <si>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</si>
  <si>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</si>
  <si>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</si>
  <si>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</si>
  <si>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</si>
  <si>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</si>
  <si>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</si>
  <si>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</si>
  <si>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</si>
  <si>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</si>
  <si>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</si>
  <si>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</si>
  <si>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</si>
  <si>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</si>
  <si>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</si>
  <si>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</si>
  <si>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</si>
  <si>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</si>
  <si>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</si>
  <si>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</si>
  <si>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</si>
  <si>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</si>
  <si>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</si>
  <si>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</si>
  <si>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</si>
  <si>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</si>
  <si>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</si>
  <si>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</si>
  <si>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</si>
  <si>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</si>
  <si>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</si>
  <si>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</si>
  <si>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</si>
  <si>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</si>
  <si>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</si>
  <si>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</si>
  <si>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</si>
  <si>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</si>
  <si>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</si>
  <si>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</si>
  <si>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</si>
  <si>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</si>
  <si>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</si>
  <si>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</si>
  <si>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</si>
  <si>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</si>
  <si>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</si>
  <si>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</si>
  <si>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</si>
  <si>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</si>
  <si>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</si>
  <si>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</si>
  <si>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</si>
  <si>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</si>
  <si>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</si>
  <si>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</si>
  <si>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</si>
  <si>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</si>
  <si>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</si>
  <si>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</si>
  <si>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</si>
  <si>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</si>
  <si>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</si>
  <si>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</si>
  <si>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</si>
  <si>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</si>
  <si>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</si>
  <si>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</si>
  <si>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</si>
  <si>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</si>
  <si>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</si>
  <si>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</si>
  <si>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</si>
  <si>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</si>
  <si>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</si>
  <si>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</si>
  <si>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</si>
  <si>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</si>
  <si>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</si>
  <si>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</si>
  <si>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</si>
  <si>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</si>
  <si>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</si>
  <si>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</si>
  <si>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</si>
  <si>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</si>
  <si>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</si>
  <si>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</si>
  <si>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</si>
  <si>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</si>
  <si>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</si>
  <si>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</si>
  <si>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</si>
  <si>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</si>
  <si>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</si>
  <si>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</si>
  <si>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</si>
  <si>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</si>
  <si>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</si>
  <si>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</si>
  <si>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</si>
  <si>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</si>
  <si>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</si>
  <si>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</si>
  <si>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</si>
  <si>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</si>
  <si>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</si>
  <si>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</si>
  <si>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</si>
  <si>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</si>
  <si>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</si>
  <si>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</si>
  <si>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</si>
  <si>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</si>
  <si>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</si>
  <si>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</si>
  <si>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</si>
  <si>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</si>
  <si>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</si>
  <si>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</si>
  <si>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</si>
  <si>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</si>
  <si>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</si>
  <si>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</si>
  <si>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</si>
  <si>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</si>
  <si>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</si>
  <si>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</si>
  <si>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</si>
  <si>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</si>
  <si>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</si>
  <si>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</si>
  <si>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</si>
  <si>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</si>
  <si>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</si>
  <si>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</si>
  <si>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</si>
  <si>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</si>
  <si>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</si>
  <si>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</si>
  <si>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</si>
  <si>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</si>
  <si>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</si>
  <si>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</si>
  <si>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</si>
  <si>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</si>
  <si>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</si>
  <si>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</si>
  <si>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</si>
  <si>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</si>
  <si>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</si>
  <si>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</si>
  <si>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</si>
  <si>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</si>
  <si>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</si>
  <si>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</si>
  <si>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</si>
  <si>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</si>
  <si>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</si>
  <si>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</si>
  <si>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</si>
  <si>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</si>
  <si>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</si>
  <si>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</si>
  <si>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</si>
  <si>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</si>
  <si>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</si>
  <si>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</si>
  <si>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</si>
  <si>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</si>
  <si>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</si>
  <si>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</si>
  <si>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</si>
  <si>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</si>
  <si>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</si>
  <si>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</si>
  <si>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</si>
  <si>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</si>
  <si>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</si>
  <si>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</si>
  <si>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</si>
  <si>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</si>
  <si>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</si>
  <si>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</si>
  <si>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</si>
  <si>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</si>
  <si>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</si>
  <si>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</si>
  <si>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</si>
  <si>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</si>
  <si>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</si>
  <si>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</si>
  <si>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</si>
  <si>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</si>
  <si>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</si>
  <si>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</si>
  <si>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</si>
  <si>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</si>
  <si>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</si>
  <si>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</si>
  <si>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</si>
  <si>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</si>
  <si>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</si>
  <si>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</si>
  <si>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</si>
  <si>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</si>
  <si>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</si>
  <si>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</si>
  <si>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</si>
  <si>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</si>
  <si>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</si>
  <si>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</si>
  <si>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</si>
  <si>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</si>
  <si>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</si>
  <si>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</si>
  <si>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</si>
  <si>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</si>
  <si>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</si>
  <si>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</si>
  <si>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</si>
  <si>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</si>
  <si>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</si>
  <si>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</si>
  <si>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</si>
  <si>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</si>
  <si>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</si>
  <si>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</si>
  <si>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</si>
  <si>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</si>
  <si>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</si>
  <si>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</si>
  <si>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</si>
  <si>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</si>
  <si>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</si>
  <si>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</si>
  <si>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</si>
  <si>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</si>
  <si>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</si>
  <si>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</si>
  <si>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</si>
  <si>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</si>
  <si>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</si>
  <si>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</si>
  <si>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</si>
  <si>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</si>
  <si>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</si>
  <si>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</si>
  <si>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</si>
  <si>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</si>
  <si>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</si>
  <si>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</si>
  <si>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</si>
  <si>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</si>
  <si>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</si>
  <si>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</si>
  <si>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</si>
  <si>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</si>
  <si>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</si>
  <si>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</si>
  <si>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</si>
  <si>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</si>
  <si>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</si>
  <si>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</si>
  <si>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</si>
  <si>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</si>
  <si>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</si>
  <si>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</si>
  <si>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</si>
  <si>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</si>
  <si>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</si>
  <si>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</si>
  <si>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</si>
  <si>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</si>
  <si>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</si>
  <si>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</si>
  <si>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</si>
  <si>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</si>
  <si>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</si>
  <si>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</si>
  <si>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</si>
  <si>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</si>
  <si>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</si>
  <si>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</si>
  <si>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</si>
  <si>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</si>
  <si>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</si>
  <si>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</si>
  <si>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</si>
  <si>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</si>
  <si>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</si>
  <si>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</si>
  <si>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</si>
  <si>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</si>
  <si>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</si>
  <si>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</si>
  <si>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</si>
  <si>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</si>
  <si>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</si>
  <si>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</si>
  <si>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</si>
  <si>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</si>
  <si>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</si>
  <si>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</si>
  <si>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</si>
  <si>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</si>
  <si>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</si>
  <si>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</si>
  <si>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</si>
  <si>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</si>
  <si>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</si>
  <si>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</si>
  <si>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</si>
  <si>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</si>
  <si>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</si>
  <si>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</si>
  <si>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</si>
  <si>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</si>
  <si>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</si>
  <si>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</si>
  <si>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</si>
  <si>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</si>
  <si>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</si>
  <si>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</si>
  <si>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</si>
  <si>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</si>
  <si>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</si>
  <si>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</si>
  <si>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</si>
  <si>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</si>
  <si>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</si>
  <si>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</si>
  <si>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</si>
  <si>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</si>
  <si>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</si>
  <si>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</si>
  <si>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</si>
  <si>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</si>
  <si>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</si>
  <si>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</si>
  <si>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</si>
  <si>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</si>
  <si>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</si>
  <si>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</si>
  <si>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</si>
  <si>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</si>
  <si>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</si>
  <si>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</si>
  <si>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</si>
  <si>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</si>
  <si>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</si>
  <si>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</si>
  <si>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</si>
  <si>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</si>
  <si>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</si>
  <si>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</si>
  <si>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</si>
  <si>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</si>
  <si>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</si>
  <si>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</si>
  <si>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</si>
  <si>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</si>
  <si>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</si>
  <si>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</si>
  <si>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</si>
  <si>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</si>
  <si>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</si>
  <si>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</si>
  <si>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</si>
  <si>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</si>
  <si>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</si>
  <si>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</si>
  <si>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</si>
  <si>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</si>
  <si>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</si>
  <si>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</si>
  <si>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</si>
  <si>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</si>
  <si>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</si>
  <si>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</si>
  <si>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</si>
  <si>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</si>
  <si>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</si>
  <si>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</si>
  <si>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</si>
  <si>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</si>
  <si>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</si>
  <si>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</si>
  <si>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</si>
  <si>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</si>
  <si>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</si>
  <si>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</si>
  <si>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</si>
  <si>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</si>
  <si>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</si>
  <si>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</si>
  <si>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</si>
  <si>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</si>
  <si>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</si>
  <si>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</si>
  <si>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</si>
  <si>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</si>
  <si>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</si>
  <si>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</si>
  <si>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</si>
  <si>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</si>
  <si>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</si>
  <si>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</si>
  <si>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</si>
  <si>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</si>
  <si>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</si>
  <si>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</si>
  <si>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</si>
  <si>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</si>
  <si>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</si>
  <si>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</si>
  <si>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</si>
  <si>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</si>
  <si>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</si>
  <si>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</si>
  <si>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</si>
  <si>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</si>
  <si>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</si>
  <si>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</si>
  <si>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</si>
  <si>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</si>
  <si>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</si>
  <si>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</si>
  <si>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</si>
  <si>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</si>
  <si>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</si>
  <si>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</si>
  <si>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</si>
  <si>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</si>
  <si>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</si>
  <si>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</si>
  <si>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</si>
  <si>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</si>
  <si>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</si>
  <si>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</si>
  <si>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</si>
  <si>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</si>
  <si>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</si>
  <si>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</si>
  <si>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</si>
  <si>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</si>
  <si>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</si>
  <si>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</si>
  <si>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</si>
  <si>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</si>
  <si>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</si>
  <si>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</si>
  <si>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</si>
  <si>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</si>
  <si>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</si>
  <si>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</si>
  <si>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</si>
  <si>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</si>
  <si>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</si>
  <si>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</si>
  <si>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</si>
  <si>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</si>
  <si>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</si>
  <si>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</si>
  <si>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</si>
  <si>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1</t>
  </si>
  <si>
    <t>tcross pervinden 2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</si>
  <si>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</si>
  <si>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</si>
  <si>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</si>
  <si>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</si>
  <si>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</si>
  <si>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</si>
  <si>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</si>
  <si>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</si>
  <si>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</si>
  <si>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altın.s1</t>
  </si>
  <si>
    <t>iş tte</t>
  </si>
  <si>
    <t>İş 748</t>
  </si>
  <si>
    <t>kasa çeyrek</t>
  </si>
  <si>
    <t>kasa tam</t>
  </si>
  <si>
    <t>kasa gram</t>
  </si>
  <si>
    <t>kasa çeyrek (hasibeden mustafaya)</t>
  </si>
  <si>
    <t>pervinden   16 ad çeyrek *4100</t>
  </si>
  <si>
    <t>pervinden   1 ad tam *16200</t>
  </si>
  <si>
    <t xml:space="preserve">pervinden   1 ad gram *2500 </t>
  </si>
  <si>
    <t>2025 Ocağa  Devir</t>
  </si>
  <si>
    <t>2025 Aralığa  Devir</t>
  </si>
  <si>
    <t>koctas</t>
  </si>
  <si>
    <t>koton</t>
  </si>
  <si>
    <t>tcross benzn</t>
  </si>
  <si>
    <t>dürümle</t>
  </si>
  <si>
    <t>mrkt erenler</t>
  </si>
  <si>
    <t>tcdd tkt-ist-tkt bsnss</t>
  </si>
  <si>
    <t>dnxkk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</si>
</sst>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77" fontId="24" fillId="0" borderId="0" xfId="0" applyNumberFormat="1" applyFont="1" applyBorder="1"/>
    <xf numFmtId="177" fontId="0" fillId="0" borderId="0" xfId="0" applyNumberFormat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40" zoomScale="175" zoomScaleNormal="175" workbookViewId="0">
      <selection activeCell="B47" sqref="B47:B5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102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37</v>
      </c>
      <c r="C58" s="352" t="s">
        <v>102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38</v>
      </c>
      <c r="C60" s="352" t="s">
        <v>102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39</v>
      </c>
      <c r="C62" s="10" t="s">
        <v>1521</v>
      </c>
      <c r="E62" s="2">
        <v>35800</v>
      </c>
      <c r="F62" s="2">
        <f t="shared" si="0"/>
        <v>293700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257200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220700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184200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147700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111200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74700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38200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1700</v>
      </c>
    </row>
    <row r="71" spans="1:6">
      <c r="E71" s="344"/>
      <c r="F71" s="345">
        <f t="shared" si="0"/>
        <v>1700</v>
      </c>
    </row>
    <row r="72" spans="1:6" ht="13.5" thickBot="1">
      <c r="E72" s="346"/>
      <c r="F72" s="347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30" zoomScaleNormal="130" workbookViewId="0">
      <selection activeCell="G21" sqref="G21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54" t="s">
        <v>118</v>
      </c>
      <c r="M1" s="354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63606.38</v>
      </c>
      <c r="F10" s="34">
        <f>'08_24'!G2</f>
        <v>-88381.87</v>
      </c>
      <c r="G10" s="35">
        <f t="shared" si="1"/>
        <v>20132.206307000015</v>
      </c>
      <c r="H10" s="36"/>
      <c r="I10" s="37" t="s">
        <v>140</v>
      </c>
      <c r="J10">
        <v>500</v>
      </c>
      <c r="K10" s="41"/>
      <c r="L10" s="42"/>
      <c r="M10" s="40">
        <f>J10*0.13</f>
        <v>65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48275.046307000026</v>
      </c>
      <c r="H11" s="36"/>
      <c r="I11" s="37" t="s">
        <v>142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'09_24'!E113/1000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-10760.163692999988</v>
      </c>
      <c r="H12" s="36"/>
      <c r="I12" s="37" t="s">
        <v>144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213806.38</v>
      </c>
      <c r="F13" s="34">
        <f>'11_24'!G2</f>
        <v>-220559.32</v>
      </c>
      <c r="G13" s="35">
        <f t="shared" si="1"/>
        <v>-17513.10369299999</v>
      </c>
      <c r="H13" s="36"/>
      <c r="I13" s="37" t="s">
        <v>146</v>
      </c>
      <c r="J13">
        <v>0</v>
      </c>
      <c r="K13" s="41">
        <f>J13*$K$2</f>
        <v>0</v>
      </c>
      <c r="L13" s="42">
        <f>J13-K13</f>
        <v>0</v>
      </c>
      <c r="M13" s="45"/>
      <c r="N13">
        <f>'11_24'!E111/1000</f>
        <v>418.34126276399996</v>
      </c>
    </row>
    <row r="14" spans="1:14">
      <c r="A14" t="s">
        <v>147</v>
      </c>
      <c r="B14" s="34">
        <f>'12_24'!D2</f>
        <v>27984.15</v>
      </c>
      <c r="C14" s="34">
        <f>'12_24'!E2</f>
        <v>-62452.759999999995</v>
      </c>
      <c r="D14" s="35">
        <f t="shared" si="0"/>
        <v>35891.996306999987</v>
      </c>
      <c r="E14" s="34">
        <f>'12_24'!F2</f>
        <v>0</v>
      </c>
      <c r="F14" s="34">
        <f>'12_24'!G2</f>
        <v>-12548.39</v>
      </c>
      <c r="G14" s="35">
        <f t="shared" si="1"/>
        <v>-30061.493692999989</v>
      </c>
      <c r="H14" s="36"/>
      <c r="I14" s="46" t="s">
        <v>148</v>
      </c>
      <c r="J14" s="47">
        <v>0</v>
      </c>
      <c r="K14" s="41">
        <f>J14*$K$2</f>
        <v>0</v>
      </c>
      <c r="L14" s="42">
        <f>J14-K14</f>
        <v>0</v>
      </c>
      <c r="M14" s="40"/>
      <c r="N14">
        <f>'12_24'!E118/1000</f>
        <v>418.34126276399996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-1052093.353693</v>
      </c>
      <c r="D15" s="35">
        <f>B15+C15</f>
        <v>35891.996307000052</v>
      </c>
      <c r="E15" s="35">
        <f>SUM(E3:E14)</f>
        <v>1073815.2400000002</v>
      </c>
      <c r="F15" s="35">
        <f>SUM(F3:F14)</f>
        <v>-1103876.7336929999</v>
      </c>
      <c r="G15" s="35">
        <f>E15+F15</f>
        <v>-30061.493692999706</v>
      </c>
      <c r="H15" s="49"/>
      <c r="I15" s="50"/>
      <c r="J15" s="51">
        <f>SUM(J3:J14)</f>
        <v>1344</v>
      </c>
      <c r="K15" s="52">
        <f>SUM(K4:K14)</f>
        <v>103.33357600000001</v>
      </c>
      <c r="L15" s="53">
        <f>SUM(L4:L14)</f>
        <v>335.66642400000001</v>
      </c>
      <c r="M15" s="54">
        <f>M10+M8+M6+M5+M3+M7</f>
        <v>419.18009999999998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-87674.446141083332</v>
      </c>
      <c r="D16" s="57"/>
      <c r="E16" s="57">
        <f>E15/A16</f>
        <v>89484.603333333347</v>
      </c>
      <c r="F16" s="57">
        <f>F15/A16</f>
        <v>-91989.727807749994</v>
      </c>
      <c r="G16" s="57">
        <f>G15/A16</f>
        <v>-2505.124474416642</v>
      </c>
      <c r="H16" s="58"/>
      <c r="I16" s="59"/>
      <c r="J16" s="60">
        <f>J15/12</f>
        <v>112</v>
      </c>
      <c r="K16" s="61">
        <f>K15/12</f>
        <v>8.6111313333333346</v>
      </c>
      <c r="L16" s="62">
        <f>L15/12</f>
        <v>27.972201999999999</v>
      </c>
      <c r="M16" s="63">
        <f>M15/12</f>
        <v>34.931674999999998</v>
      </c>
      <c r="N16" s="64">
        <f>AVERAGE(N2:N15)</f>
        <v>574.77059474384612</v>
      </c>
    </row>
    <row r="17" spans="2:13">
      <c r="C17" s="2"/>
      <c r="D17" s="2"/>
      <c r="G17" s="65"/>
      <c r="H17" s="65"/>
      <c r="I17" s="37"/>
      <c r="K17" s="2" t="s">
        <v>149</v>
      </c>
      <c r="L17" s="355">
        <f>L15+M15</f>
        <v>754.84652400000004</v>
      </c>
      <c r="M17" s="355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62.903877000000001</v>
      </c>
    </row>
    <row r="19" spans="2:13">
      <c r="C19" s="10"/>
      <c r="D19" s="69" t="s">
        <v>152</v>
      </c>
      <c r="E19" s="9">
        <f>'07_24'!F30+'08_24'!F24+'09_24'!F19+'10_24'!F25+'11_24'!F27+'12_24'!F37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40"/>
  <sheetViews>
    <sheetView tabSelected="1" zoomScale="145" zoomScaleNormal="145" workbookViewId="0">
      <selection activeCell="D11" sqref="D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1488</v>
      </c>
      <c r="C2" s="87" t="s">
        <v>191</v>
      </c>
      <c r="D2" s="85">
        <f>SUM(D4:D50)</f>
        <v>27984.15</v>
      </c>
      <c r="E2" s="85">
        <f>SUM(E4:E51)</f>
        <v>-62452.759999999995</v>
      </c>
      <c r="F2" s="85">
        <f>SUM(F4:F46)</f>
        <v>0</v>
      </c>
      <c r="G2" s="85">
        <f>SUM(G4:G46)</f>
        <v>-12548.39</v>
      </c>
      <c r="H2" s="85">
        <f>F2+G2</f>
        <v>-12548.39</v>
      </c>
    </row>
    <row r="3" spans="1:8">
      <c r="B3" s="70"/>
    </row>
    <row r="4" spans="1:8">
      <c r="B4" s="43"/>
      <c r="H4" s="85">
        <f>H3+F4+G4</f>
        <v>0</v>
      </c>
    </row>
    <row r="5" spans="1:8">
      <c r="A5" s="335">
        <v>45631</v>
      </c>
      <c r="B5" s="95" t="s">
        <v>213</v>
      </c>
      <c r="E5" s="85">
        <f>E69</f>
        <v>-1797.23</v>
      </c>
      <c r="G5" s="85">
        <f>E5</f>
        <v>-1797.23</v>
      </c>
      <c r="H5" s="85">
        <f t="shared" ref="H5:H24" si="0">H4+F5+G5</f>
        <v>-1797.23</v>
      </c>
    </row>
    <row r="6" spans="1:8">
      <c r="A6" s="96">
        <v>45630</v>
      </c>
      <c r="B6" s="95" t="s">
        <v>214</v>
      </c>
      <c r="E6" s="85">
        <f>E84</f>
        <v>-9239.0299999999988</v>
      </c>
      <c r="G6" s="85">
        <f>E6</f>
        <v>-9239.0299999999988</v>
      </c>
      <c r="H6" s="85">
        <f t="shared" si="0"/>
        <v>-11036.259999999998</v>
      </c>
    </row>
    <row r="7" spans="1:8">
      <c r="A7" s="335">
        <v>45630</v>
      </c>
      <c r="B7" s="88" t="s">
        <v>216</v>
      </c>
      <c r="C7" s="88"/>
      <c r="E7" s="85">
        <v>-1500</v>
      </c>
      <c r="G7" s="85">
        <v>-1512.13</v>
      </c>
      <c r="H7" s="85">
        <f t="shared" si="0"/>
        <v>-12548.39</v>
      </c>
    </row>
    <row r="8" spans="1:8">
      <c r="B8" s="88" t="s">
        <v>215</v>
      </c>
      <c r="C8" s="88"/>
      <c r="E8" s="85">
        <v>-17500</v>
      </c>
      <c r="H8" s="85">
        <f t="shared" si="0"/>
        <v>-12548.39</v>
      </c>
    </row>
    <row r="9" spans="1:8">
      <c r="B9" s="95" t="s">
        <v>212</v>
      </c>
      <c r="E9" s="85">
        <f>E64*-1</f>
        <v>0</v>
      </c>
      <c r="H9" s="85">
        <f t="shared" si="0"/>
        <v>-12548.39</v>
      </c>
    </row>
    <row r="10" spans="1:8">
      <c r="H10" s="85">
        <f t="shared" si="0"/>
        <v>-12548.39</v>
      </c>
    </row>
    <row r="11" spans="1:8">
      <c r="A11" s="335">
        <v>45630</v>
      </c>
      <c r="B11" t="s">
        <v>1450</v>
      </c>
      <c r="C11" t="s">
        <v>1458</v>
      </c>
      <c r="D11" s="85" t="s">
        <v>1543</v>
      </c>
      <c r="E11" s="85">
        <v>-1380</v>
      </c>
    </row>
    <row r="12" spans="1:8">
      <c r="A12" s="335">
        <v>45630</v>
      </c>
      <c r="B12" t="s">
        <v>1450</v>
      </c>
      <c r="C12" t="s">
        <v>1457</v>
      </c>
      <c r="D12" s="85" t="s">
        <v>1543</v>
      </c>
      <c r="E12" s="86">
        <v>-1380</v>
      </c>
    </row>
    <row r="13" spans="1:8">
      <c r="A13" s="335">
        <v>45630</v>
      </c>
      <c r="B13" s="88" t="s">
        <v>1459</v>
      </c>
      <c r="D13" s="85" t="s">
        <v>1543</v>
      </c>
      <c r="E13" s="86">
        <v>-1415</v>
      </c>
    </row>
    <row r="14" spans="1:8">
      <c r="A14" s="335">
        <v>45630</v>
      </c>
      <c r="B14" s="88" t="s">
        <v>1460</v>
      </c>
      <c r="D14" s="85" t="s">
        <v>1543</v>
      </c>
      <c r="E14" s="86">
        <v>-141.5</v>
      </c>
    </row>
    <row r="21" spans="2:15">
      <c r="H21" s="85">
        <f>H10+F21+G21</f>
        <v>-12548.39</v>
      </c>
    </row>
    <row r="22" spans="2:15">
      <c r="B22" s="88" t="s">
        <v>196</v>
      </c>
      <c r="C22" s="88" t="s">
        <v>197</v>
      </c>
      <c r="E22" s="85">
        <v>-250</v>
      </c>
      <c r="H22" s="85">
        <f t="shared" si="0"/>
        <v>-12548.39</v>
      </c>
      <c r="N22" s="86">
        <f>M28</f>
        <v>93450</v>
      </c>
    </row>
    <row r="23" spans="2:15">
      <c r="B23" s="89" t="s">
        <v>198</v>
      </c>
      <c r="C23" s="88"/>
      <c r="H23" s="85">
        <f t="shared" si="0"/>
        <v>-12548.39</v>
      </c>
      <c r="J23" s="90" t="s">
        <v>199</v>
      </c>
      <c r="K23" s="86">
        <v>8</v>
      </c>
      <c r="L23" s="91">
        <v>250</v>
      </c>
      <c r="M23" s="86">
        <f>L23*K23</f>
        <v>2000</v>
      </c>
      <c r="N23" s="86">
        <f>N22-M23</f>
        <v>91450</v>
      </c>
      <c r="O23" t="s">
        <v>102</v>
      </c>
    </row>
    <row r="24" spans="2:15">
      <c r="B24" s="89" t="s">
        <v>200</v>
      </c>
      <c r="C24" s="88"/>
      <c r="H24" s="85">
        <f t="shared" si="0"/>
        <v>-12548.39</v>
      </c>
      <c r="J24" s="90" t="s">
        <v>201</v>
      </c>
      <c r="K24" s="91">
        <v>2</v>
      </c>
      <c r="L24" s="91">
        <v>250</v>
      </c>
      <c r="M24" s="86">
        <f>L24*K24</f>
        <v>500</v>
      </c>
      <c r="N24" s="86">
        <f>N23-M24</f>
        <v>90950</v>
      </c>
      <c r="O24" t="s">
        <v>102</v>
      </c>
    </row>
    <row r="25" spans="2:15">
      <c r="B25" s="88" t="s">
        <v>202</v>
      </c>
      <c r="C25" s="88"/>
      <c r="H25" s="85">
        <f t="shared" ref="H25" si="1">H24+F25+G25</f>
        <v>-12548.39</v>
      </c>
      <c r="J25" s="90" t="s">
        <v>203</v>
      </c>
      <c r="K25" s="86">
        <v>11</v>
      </c>
      <c r="L25" s="86">
        <v>250</v>
      </c>
      <c r="M25" s="86">
        <f>L25*K25</f>
        <v>2750</v>
      </c>
      <c r="N25" s="86">
        <f>N24-M25</f>
        <v>88200</v>
      </c>
      <c r="O25" t="s">
        <v>102</v>
      </c>
    </row>
    <row r="26" spans="2:15">
      <c r="B26" s="88" t="s">
        <v>204</v>
      </c>
      <c r="C26" s="88"/>
      <c r="J26" s="90" t="s">
        <v>205</v>
      </c>
      <c r="K26" s="85">
        <v>1</v>
      </c>
      <c r="L26" s="85">
        <v>8595</v>
      </c>
      <c r="M26" s="85">
        <f>L26*K26</f>
        <v>8595</v>
      </c>
      <c r="N26" s="86">
        <f>N25-M26</f>
        <v>79605</v>
      </c>
      <c r="O26" s="3" t="s">
        <v>206</v>
      </c>
    </row>
    <row r="27" spans="2:15">
      <c r="B27" s="88" t="s">
        <v>207</v>
      </c>
      <c r="C27" s="88"/>
      <c r="J27" s="90" t="s">
        <v>205</v>
      </c>
      <c r="K27" s="85">
        <v>9</v>
      </c>
      <c r="L27" s="85">
        <v>8845</v>
      </c>
      <c r="M27" s="85">
        <f>L27*K27</f>
        <v>79605</v>
      </c>
      <c r="N27" s="86">
        <f>N26-M27</f>
        <v>0</v>
      </c>
      <c r="O27" s="3" t="s">
        <v>206</v>
      </c>
    </row>
    <row r="28" spans="2:15">
      <c r="B28" s="88"/>
      <c r="C28" s="88"/>
      <c r="H28" s="85">
        <f>H22+F28+G28</f>
        <v>-12548.39</v>
      </c>
      <c r="J28" s="91"/>
      <c r="K28" s="91"/>
      <c r="L28" s="92" t="s">
        <v>191</v>
      </c>
      <c r="M28" s="93">
        <f>SUM(M23:M27)</f>
        <v>93450</v>
      </c>
    </row>
    <row r="29" spans="2:15">
      <c r="B29" s="88"/>
      <c r="C29" s="88"/>
      <c r="J29" s="91"/>
      <c r="K29" s="91"/>
      <c r="L29" s="356"/>
      <c r="M29" s="357"/>
    </row>
    <row r="30" spans="2:15">
      <c r="B30" s="88" t="s">
        <v>194</v>
      </c>
      <c r="C30" s="88"/>
      <c r="E30" s="85">
        <v>-400</v>
      </c>
      <c r="J30" s="91"/>
      <c r="K30" s="91"/>
      <c r="L30" s="356"/>
      <c r="M30" s="357"/>
    </row>
    <row r="31" spans="2:15">
      <c r="B31" s="88" t="s">
        <v>195</v>
      </c>
      <c r="C31" s="88"/>
      <c r="E31" s="85">
        <v>-500</v>
      </c>
      <c r="J31" s="91"/>
      <c r="K31" s="91"/>
      <c r="L31" s="356"/>
      <c r="M31" s="357"/>
    </row>
    <row r="32" spans="2:15">
      <c r="B32" s="88" t="s">
        <v>208</v>
      </c>
      <c r="C32" s="88" t="s">
        <v>209</v>
      </c>
      <c r="E32" s="85">
        <v>-150</v>
      </c>
      <c r="H32" s="85">
        <f>H28+F32+G32</f>
        <v>-12548.39</v>
      </c>
    </row>
    <row r="33" spans="1:13">
      <c r="B33" s="94" t="s">
        <v>210</v>
      </c>
      <c r="C33" s="94" t="s">
        <v>209</v>
      </c>
      <c r="E33" s="85">
        <v>-300</v>
      </c>
      <c r="H33" s="85">
        <f t="shared" ref="H33:H44" si="2">H32+F33+G33</f>
        <v>-12548.39</v>
      </c>
    </row>
    <row r="34" spans="1:13">
      <c r="B34" s="94" t="s">
        <v>211</v>
      </c>
      <c r="C34" s="94" t="s">
        <v>209</v>
      </c>
      <c r="E34" s="85">
        <v>-100</v>
      </c>
      <c r="H34" s="85">
        <f t="shared" si="2"/>
        <v>-12548.39</v>
      </c>
    </row>
    <row r="35" spans="1:13">
      <c r="B35" s="88"/>
      <c r="C35" s="88"/>
      <c r="H35" s="85">
        <f t="shared" si="2"/>
        <v>-12548.39</v>
      </c>
      <c r="K35" s="91"/>
      <c r="L35" s="91"/>
      <c r="M35" s="91"/>
    </row>
    <row r="36" spans="1:13">
      <c r="B36" t="s">
        <v>84</v>
      </c>
      <c r="H36" s="85">
        <f t="shared" si="2"/>
        <v>-12548.39</v>
      </c>
    </row>
    <row r="37" spans="1:13">
      <c r="B37" t="s">
        <v>84</v>
      </c>
      <c r="E37" s="85">
        <v>-6500</v>
      </c>
      <c r="H37" s="85">
        <f t="shared" si="2"/>
        <v>-12548.39</v>
      </c>
    </row>
    <row r="38" spans="1:13">
      <c r="B38" t="s">
        <v>172</v>
      </c>
      <c r="E38" s="85">
        <v>-6500</v>
      </c>
      <c r="H38" s="85">
        <f t="shared" si="2"/>
        <v>-12548.39</v>
      </c>
    </row>
    <row r="39" spans="1:13">
      <c r="B39" t="s">
        <v>217</v>
      </c>
      <c r="E39" s="85">
        <v>-6500</v>
      </c>
      <c r="H39" s="85">
        <f t="shared" si="2"/>
        <v>-12548.39</v>
      </c>
    </row>
    <row r="40" spans="1:13">
      <c r="H40" s="85">
        <f t="shared" si="2"/>
        <v>-12548.39</v>
      </c>
    </row>
    <row r="41" spans="1:13">
      <c r="B41" t="s">
        <v>218</v>
      </c>
      <c r="D41" s="86">
        <v>12984.15</v>
      </c>
      <c r="H41" s="85">
        <f t="shared" si="2"/>
        <v>-12548.39</v>
      </c>
    </row>
    <row r="42" spans="1:13">
      <c r="A42" s="97"/>
      <c r="B42" t="s">
        <v>220</v>
      </c>
      <c r="D42" s="85">
        <v>15000</v>
      </c>
      <c r="H42" s="85">
        <f t="shared" si="2"/>
        <v>-12548.39</v>
      </c>
    </row>
    <row r="43" spans="1:13">
      <c r="A43" s="97"/>
      <c r="H43" s="85">
        <f t="shared" si="2"/>
        <v>-12548.39</v>
      </c>
    </row>
    <row r="44" spans="1:13">
      <c r="B44" t="s">
        <v>221</v>
      </c>
      <c r="C44" s="98">
        <v>0.234011</v>
      </c>
      <c r="H44" s="85">
        <f t="shared" si="2"/>
        <v>-12548.39</v>
      </c>
    </row>
    <row r="46" spans="1:13">
      <c r="A46" s="337">
        <v>45655</v>
      </c>
      <c r="B46" t="s">
        <v>1450</v>
      </c>
      <c r="C46" t="s">
        <v>1453</v>
      </c>
      <c r="E46" s="85">
        <v>-1380</v>
      </c>
    </row>
    <row r="47" spans="1:13">
      <c r="A47" s="337">
        <v>45686</v>
      </c>
      <c r="B47" t="s">
        <v>1450</v>
      </c>
      <c r="C47" t="s">
        <v>1452</v>
      </c>
      <c r="E47" s="85">
        <v>-1380</v>
      </c>
    </row>
    <row r="48" spans="1:13">
      <c r="A48" s="337">
        <v>45716</v>
      </c>
      <c r="B48" t="s">
        <v>1450</v>
      </c>
      <c r="C48" t="s">
        <v>1454</v>
      </c>
      <c r="E48" s="85">
        <v>-1380</v>
      </c>
    </row>
    <row r="49" spans="1:5">
      <c r="A49" s="337">
        <v>45745</v>
      </c>
      <c r="B49" t="s">
        <v>1450</v>
      </c>
      <c r="C49" t="s">
        <v>1455</v>
      </c>
      <c r="E49" s="85">
        <v>-1380</v>
      </c>
    </row>
    <row r="50" spans="1:5">
      <c r="A50" s="337">
        <v>45776</v>
      </c>
      <c r="B50" t="s">
        <v>1450</v>
      </c>
      <c r="C50" t="s">
        <v>1456</v>
      </c>
      <c r="E50" s="85">
        <v>-1380</v>
      </c>
    </row>
    <row r="51" spans="1:5">
      <c r="A51" s="337"/>
    </row>
    <row r="52" spans="1:5">
      <c r="A52" s="335"/>
    </row>
    <row r="53" spans="1:5">
      <c r="A53" s="335"/>
    </row>
    <row r="55" spans="1:5">
      <c r="B55" t="s">
        <v>222</v>
      </c>
    </row>
    <row r="56" spans="1:5">
      <c r="A56" s="78" t="s">
        <v>223</v>
      </c>
      <c r="B56" s="78"/>
      <c r="C56" s="78"/>
    </row>
    <row r="57" spans="1:5">
      <c r="A57" s="97"/>
      <c r="C57" s="98"/>
    </row>
    <row r="58" spans="1:5">
      <c r="A58" s="100">
        <v>44929</v>
      </c>
      <c r="B58" s="101" t="s">
        <v>224</v>
      </c>
      <c r="C58" s="78"/>
      <c r="D58" s="85">
        <f>SUM(D59:D64)</f>
        <v>0</v>
      </c>
      <c r="E58" s="85">
        <f>SUM(E59:E64)</f>
        <v>0</v>
      </c>
    </row>
    <row r="59" spans="1:5">
      <c r="A59" s="97"/>
      <c r="B59" s="94" t="s">
        <v>225</v>
      </c>
    </row>
    <row r="60" spans="1:5">
      <c r="B60" t="s">
        <v>226</v>
      </c>
    </row>
    <row r="61" spans="1:5">
      <c r="B61" t="s">
        <v>227</v>
      </c>
    </row>
    <row r="62" spans="1:5">
      <c r="B62" t="s">
        <v>228</v>
      </c>
    </row>
    <row r="63" spans="1:5">
      <c r="B63" t="s">
        <v>229</v>
      </c>
    </row>
    <row r="64" spans="1:5">
      <c r="B64" t="s">
        <v>230</v>
      </c>
      <c r="C64" s="94"/>
    </row>
    <row r="65" spans="1:5">
      <c r="C65" s="94"/>
    </row>
    <row r="67" spans="1:5">
      <c r="B67" s="13"/>
    </row>
    <row r="68" spans="1:5">
      <c r="B68" s="102"/>
    </row>
    <row r="69" spans="1:5">
      <c r="A69" s="78"/>
      <c r="B69" s="77" t="s">
        <v>231</v>
      </c>
      <c r="C69" s="78"/>
      <c r="E69" s="85">
        <f>SUM(E70:E81)</f>
        <v>-1797.23</v>
      </c>
    </row>
    <row r="71" spans="1:5">
      <c r="A71" s="20">
        <v>45373</v>
      </c>
      <c r="B71" t="s">
        <v>232</v>
      </c>
      <c r="C71">
        <v>10176.39</v>
      </c>
      <c r="D71" s="85" t="s">
        <v>233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233</v>
      </c>
      <c r="E72" s="85">
        <v>-666.52</v>
      </c>
    </row>
    <row r="73" spans="1:5">
      <c r="A73" s="20"/>
    </row>
    <row r="74" spans="1:5" ht="15">
      <c r="A74" s="20"/>
      <c r="C74" s="108" t="s">
        <v>285</v>
      </c>
    </row>
    <row r="76" spans="1:5">
      <c r="A76" s="97"/>
      <c r="B76" s="94"/>
      <c r="C76" s="94"/>
    </row>
    <row r="77" spans="1:5">
      <c r="A77" s="97"/>
      <c r="B77" s="94"/>
      <c r="C77" s="94"/>
    </row>
    <row r="78" spans="1:5">
      <c r="A78" s="97"/>
      <c r="B78" s="103"/>
      <c r="C78" s="94"/>
    </row>
    <row r="79" spans="1:5">
      <c r="A79" s="97"/>
      <c r="B79" s="103"/>
      <c r="C79" s="94"/>
    </row>
    <row r="80" spans="1:5">
      <c r="A80" s="97"/>
      <c r="B80" s="103"/>
    </row>
    <row r="81" spans="1:5">
      <c r="A81" s="97"/>
      <c r="B81" s="103"/>
      <c r="C81" s="94"/>
    </row>
    <row r="82" spans="1:5">
      <c r="A82" s="97"/>
      <c r="B82" s="3"/>
    </row>
    <row r="83" spans="1:5">
      <c r="A83" s="97"/>
      <c r="B83" s="94"/>
      <c r="C83" s="94"/>
    </row>
    <row r="84" spans="1:5">
      <c r="A84" s="78"/>
      <c r="B84" s="77" t="s">
        <v>235</v>
      </c>
      <c r="C84" s="78"/>
      <c r="E84" s="85">
        <f>SUM(E85:E103)</f>
        <v>-9239.0299999999988</v>
      </c>
    </row>
    <row r="85" spans="1:5">
      <c r="A85" s="97"/>
      <c r="B85" s="94"/>
      <c r="C85" s="94"/>
    </row>
    <row r="86" spans="1:5">
      <c r="A86" s="97"/>
      <c r="B86" s="94"/>
      <c r="C86" s="94"/>
    </row>
    <row r="87" spans="1:5">
      <c r="A87" s="97"/>
      <c r="B87" s="3" t="s">
        <v>1537</v>
      </c>
      <c r="C87" s="94"/>
      <c r="E87" s="85">
        <v>-429.88</v>
      </c>
    </row>
    <row r="88" spans="1:5">
      <c r="A88" s="97"/>
      <c r="B88" s="3" t="s">
        <v>1538</v>
      </c>
      <c r="C88" s="94"/>
      <c r="E88" s="85">
        <v>-654.99</v>
      </c>
    </row>
    <row r="89" spans="1:5">
      <c r="A89" s="97"/>
      <c r="B89" s="3" t="s">
        <v>1539</v>
      </c>
      <c r="C89" s="94"/>
      <c r="E89" s="85">
        <v>-1600</v>
      </c>
    </row>
    <row r="90" spans="1:5">
      <c r="A90" s="97"/>
      <c r="B90" s="3" t="s">
        <v>301</v>
      </c>
      <c r="C90" s="94"/>
      <c r="E90" s="85">
        <v>-125.48</v>
      </c>
    </row>
    <row r="91" spans="1:5">
      <c r="A91" s="97"/>
      <c r="B91" s="3" t="s">
        <v>301</v>
      </c>
      <c r="C91" s="94"/>
      <c r="E91" s="85">
        <v>-297.45</v>
      </c>
    </row>
    <row r="92" spans="1:5">
      <c r="A92" s="97"/>
      <c r="B92" s="3" t="s">
        <v>301</v>
      </c>
      <c r="C92" s="94"/>
      <c r="E92" s="85">
        <v>-174</v>
      </c>
    </row>
    <row r="93" spans="1:5">
      <c r="A93" s="97"/>
      <c r="B93" s="3" t="s">
        <v>301</v>
      </c>
      <c r="C93" s="94"/>
      <c r="E93" s="85">
        <v>-49</v>
      </c>
    </row>
    <row r="94" spans="1:5">
      <c r="A94" s="97"/>
      <c r="B94" s="3" t="s">
        <v>301</v>
      </c>
      <c r="C94" s="94"/>
      <c r="E94" s="85">
        <v>-29.9</v>
      </c>
    </row>
    <row r="95" spans="1:5">
      <c r="A95" s="97"/>
      <c r="B95" s="3" t="s">
        <v>1540</v>
      </c>
      <c r="C95" s="94"/>
      <c r="E95" s="85">
        <v>-525</v>
      </c>
    </row>
    <row r="96" spans="1:5">
      <c r="A96" s="97"/>
      <c r="B96" s="3" t="s">
        <v>301</v>
      </c>
      <c r="C96" s="94"/>
      <c r="E96" s="85">
        <v>-257.33</v>
      </c>
    </row>
    <row r="97" spans="1:5">
      <c r="A97" s="97"/>
      <c r="B97" s="3" t="s">
        <v>1541</v>
      </c>
      <c r="C97" s="94"/>
      <c r="E97" s="85">
        <v>-84.95</v>
      </c>
    </row>
    <row r="98" spans="1:5">
      <c r="A98" s="97"/>
      <c r="B98" s="3" t="s">
        <v>284</v>
      </c>
      <c r="C98" s="94">
        <v>129000.63</v>
      </c>
    </row>
    <row r="99" spans="1:5">
      <c r="A99" s="97"/>
      <c r="B99" s="3" t="s">
        <v>743</v>
      </c>
      <c r="C99" s="94"/>
      <c r="E99" s="85">
        <v>-500</v>
      </c>
    </row>
    <row r="100" spans="1:5">
      <c r="A100" s="97"/>
      <c r="B100" s="3" t="s">
        <v>1541</v>
      </c>
      <c r="C100" s="94"/>
      <c r="E100" s="85">
        <v>-886.3</v>
      </c>
    </row>
    <row r="101" spans="1:5">
      <c r="A101" s="97"/>
      <c r="B101" s="3" t="s">
        <v>1541</v>
      </c>
      <c r="C101" s="94"/>
      <c r="E101" s="85">
        <v>-99.75</v>
      </c>
    </row>
    <row r="102" spans="1:5">
      <c r="A102" s="97">
        <v>45606</v>
      </c>
      <c r="B102" s="3" t="s">
        <v>1542</v>
      </c>
      <c r="C102" s="94"/>
      <c r="E102" s="85">
        <v>-3525</v>
      </c>
    </row>
    <row r="103" spans="1:5">
      <c r="A103" s="97"/>
      <c r="B103" s="3"/>
      <c r="C103" s="94"/>
    </row>
    <row r="104" spans="1:5" ht="15">
      <c r="A104" s="97"/>
      <c r="B104" s="3"/>
      <c r="C104" s="108" t="s">
        <v>285</v>
      </c>
    </row>
    <row r="105" spans="1:5">
      <c r="A105" s="97"/>
      <c r="B105" s="3"/>
      <c r="C105" s="94"/>
    </row>
    <row r="106" spans="1:5">
      <c r="A106" s="97"/>
      <c r="B106" s="3"/>
      <c r="C106" s="94"/>
    </row>
    <row r="107" spans="1:5">
      <c r="A107" s="97"/>
      <c r="B107" s="3"/>
      <c r="C107" s="94"/>
    </row>
    <row r="108" spans="1:5">
      <c r="A108" s="97"/>
      <c r="B108" s="3"/>
      <c r="C108" s="94"/>
    </row>
    <row r="109" spans="1:5">
      <c r="A109" s="97"/>
      <c r="B109" s="3"/>
      <c r="C109" s="94"/>
    </row>
    <row r="110" spans="1:5">
      <c r="A110" s="97"/>
      <c r="B110" s="3"/>
      <c r="C110" s="94"/>
    </row>
    <row r="111" spans="1:5">
      <c r="A111" s="97"/>
      <c r="B111" s="3"/>
      <c r="C111" s="94"/>
    </row>
    <row r="112" spans="1:5">
      <c r="A112" s="97"/>
      <c r="B112" s="3"/>
      <c r="C112" s="94"/>
    </row>
    <row r="113" spans="1:5">
      <c r="A113" s="97"/>
      <c r="B113" s="3"/>
      <c r="C113" s="94"/>
    </row>
    <row r="114" spans="1:5">
      <c r="A114" s="97"/>
      <c r="B114" s="3"/>
      <c r="C114" s="94"/>
    </row>
    <row r="115" spans="1:5">
      <c r="A115" s="97"/>
      <c r="B115" s="3"/>
      <c r="C115" s="94"/>
    </row>
    <row r="118" spans="1:5">
      <c r="A118" s="78"/>
      <c r="B118" s="77" t="s">
        <v>1535</v>
      </c>
      <c r="C118" s="78"/>
      <c r="E118" s="85">
        <f>SUM(E119:E133)</f>
        <v>418341.26276399998</v>
      </c>
    </row>
    <row r="119" spans="1:5">
      <c r="A119" s="97"/>
      <c r="B119" t="s">
        <v>84</v>
      </c>
      <c r="E119" s="85">
        <v>-34000</v>
      </c>
    </row>
    <row r="120" spans="1:5">
      <c r="A120" s="97"/>
      <c r="B120" t="s">
        <v>172</v>
      </c>
    </row>
    <row r="121" spans="1:5">
      <c r="A121" s="97"/>
      <c r="B121" t="s">
        <v>1527</v>
      </c>
      <c r="E121" s="85">
        <v>22079</v>
      </c>
    </row>
    <row r="122" spans="1:5">
      <c r="A122" s="97"/>
      <c r="B122" t="s">
        <v>174</v>
      </c>
    </row>
    <row r="123" spans="1:5">
      <c r="A123" s="97"/>
      <c r="B123" t="s">
        <v>1525</v>
      </c>
      <c r="C123">
        <v>4000</v>
      </c>
      <c r="D123" s="85">
        <v>32.479999999999997</v>
      </c>
      <c r="E123" s="85">
        <f>D123*C123</f>
        <v>129919.99999999999</v>
      </c>
    </row>
    <row r="124" spans="1:5">
      <c r="A124" s="97"/>
      <c r="B124" t="s">
        <v>60</v>
      </c>
      <c r="C124">
        <v>62</v>
      </c>
      <c r="D124" s="85">
        <v>823.93972199999996</v>
      </c>
      <c r="E124" s="85">
        <f>D124*C124</f>
        <v>51084.262763999999</v>
      </c>
    </row>
    <row r="125" spans="1:5">
      <c r="A125" s="97"/>
      <c r="B125" t="s">
        <v>1526</v>
      </c>
      <c r="C125">
        <v>125000</v>
      </c>
      <c r="D125" s="85">
        <v>0.75446400000000002</v>
      </c>
      <c r="E125" s="85">
        <f>D125*C125</f>
        <v>94308</v>
      </c>
    </row>
    <row r="126" spans="1:5">
      <c r="A126" s="97"/>
      <c r="B126" t="s">
        <v>239</v>
      </c>
      <c r="E126" s="85">
        <f t="shared" ref="E126:E133" si="3">D126*C126</f>
        <v>0</v>
      </c>
    </row>
    <row r="127" spans="1:5">
      <c r="A127" s="97"/>
      <c r="B127" t="s">
        <v>240</v>
      </c>
      <c r="E127" s="85">
        <f t="shared" si="3"/>
        <v>0</v>
      </c>
    </row>
    <row r="128" spans="1:5">
      <c r="A128" s="97"/>
      <c r="B128" t="s">
        <v>1528</v>
      </c>
      <c r="C128">
        <v>16</v>
      </c>
      <c r="D128" s="85">
        <v>5000</v>
      </c>
      <c r="E128" s="85">
        <f t="shared" si="3"/>
        <v>80000</v>
      </c>
    </row>
    <row r="129" spans="1:5">
      <c r="A129" s="97"/>
      <c r="B129" t="s">
        <v>1529</v>
      </c>
      <c r="C129">
        <v>1</v>
      </c>
      <c r="D129" s="85">
        <v>22000</v>
      </c>
      <c r="E129" s="85">
        <f t="shared" si="3"/>
        <v>22000</v>
      </c>
    </row>
    <row r="130" spans="1:5">
      <c r="A130" s="97"/>
      <c r="B130" t="s">
        <v>1530</v>
      </c>
      <c r="C130">
        <v>1</v>
      </c>
      <c r="D130" s="85">
        <v>2950</v>
      </c>
      <c r="E130" s="85">
        <f t="shared" si="3"/>
        <v>2950</v>
      </c>
    </row>
    <row r="131" spans="1:5">
      <c r="A131" s="97"/>
      <c r="B131" t="s">
        <v>1531</v>
      </c>
      <c r="C131">
        <v>10</v>
      </c>
      <c r="D131" s="85">
        <v>5000</v>
      </c>
      <c r="E131" s="85">
        <f t="shared" si="3"/>
        <v>50000</v>
      </c>
    </row>
    <row r="132" spans="1:5">
      <c r="A132" s="97"/>
      <c r="E132" s="85">
        <f t="shared" si="3"/>
        <v>0</v>
      </c>
    </row>
    <row r="133" spans="1:5">
      <c r="B133" t="s">
        <v>241</v>
      </c>
      <c r="E133" s="85">
        <f t="shared" si="3"/>
        <v>0</v>
      </c>
    </row>
    <row r="135" spans="1:5">
      <c r="D135" s="85" t="s">
        <v>189</v>
      </c>
      <c r="E135" s="85">
        <f>SUM(E119:E134)</f>
        <v>418341.26276399998</v>
      </c>
    </row>
    <row r="137" spans="1:5">
      <c r="B137" s="3" t="s">
        <v>1532</v>
      </c>
    </row>
    <row r="138" spans="1:5">
      <c r="B138" s="3" t="s">
        <v>1533</v>
      </c>
    </row>
    <row r="139" spans="1:5">
      <c r="B139" s="3" t="s">
        <v>1534</v>
      </c>
    </row>
    <row r="140" spans="1:5">
      <c r="B140" s="1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32"/>
  <sheetViews>
    <sheetView topLeftCell="A16" zoomScale="145" zoomScaleNormal="145" workbookViewId="0">
      <selection activeCell="B24" sqref="B24:E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SUM(D4:D38)</f>
        <v>277984.15000000002</v>
      </c>
      <c r="E2" s="85">
        <f>SUM(E4:E38)</f>
        <v>-182434.39</v>
      </c>
      <c r="F2" s="85">
        <f>SUM(F4:F38)</f>
        <v>213806.38</v>
      </c>
      <c r="G2" s="85">
        <f>SUM(G4:G38)</f>
        <v>-220559.32</v>
      </c>
      <c r="H2" s="85">
        <f>F2+G2</f>
        <v>-6752.9400000000023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216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213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212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243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251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1496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194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195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1524</v>
      </c>
      <c r="E16" s="86"/>
      <c r="F16" s="86">
        <v>150000</v>
      </c>
      <c r="G16" s="86"/>
      <c r="H16" s="85">
        <f t="shared" si="0"/>
        <v>14983.679999999993</v>
      </c>
    </row>
    <row r="17" spans="1:8">
      <c r="B17" s="88"/>
      <c r="C17" s="88"/>
      <c r="E17" s="86"/>
      <c r="F17" s="86"/>
      <c r="G17" s="86"/>
      <c r="H17" s="85">
        <f t="shared" si="0"/>
        <v>14983.679999999993</v>
      </c>
    </row>
    <row r="18" spans="1:8">
      <c r="A18" s="335">
        <v>45617</v>
      </c>
      <c r="B18" s="88" t="s">
        <v>208</v>
      </c>
      <c r="C18" s="88"/>
      <c r="E18" s="86">
        <v>-150</v>
      </c>
      <c r="F18" s="86"/>
      <c r="G18" s="86">
        <v>-146</v>
      </c>
      <c r="H18" s="85">
        <f t="shared" si="0"/>
        <v>14837.679999999993</v>
      </c>
    </row>
    <row r="19" spans="1:8">
      <c r="A19" s="335">
        <v>45614</v>
      </c>
      <c r="B19" s="94" t="s">
        <v>210</v>
      </c>
      <c r="C19" s="94"/>
      <c r="E19" s="86">
        <v>-300</v>
      </c>
      <c r="F19" s="86"/>
      <c r="G19" s="86">
        <v>-850</v>
      </c>
      <c r="H19" s="85">
        <f t="shared" si="0"/>
        <v>13987.679999999993</v>
      </c>
    </row>
    <row r="20" spans="1:8">
      <c r="A20" s="335">
        <v>45614</v>
      </c>
      <c r="B20" s="94" t="s">
        <v>211</v>
      </c>
      <c r="C20" s="94"/>
      <c r="E20" s="86">
        <v>-100</v>
      </c>
      <c r="F20" s="86"/>
      <c r="G20" s="86">
        <v>-25</v>
      </c>
      <c r="H20" s="85">
        <f t="shared" ref="H20:H36" si="1">H19+F20+G20</f>
        <v>13962.679999999993</v>
      </c>
    </row>
    <row r="21" spans="1:8">
      <c r="B21" s="88"/>
      <c r="C21" s="88"/>
      <c r="E21" s="86"/>
      <c r="F21" s="86"/>
      <c r="G21" s="86"/>
      <c r="H21" s="85">
        <f t="shared" si="1"/>
        <v>13962.679999999993</v>
      </c>
    </row>
    <row r="22" spans="1:8">
      <c r="A22" s="335">
        <v>45620</v>
      </c>
      <c r="B22" s="349" t="s">
        <v>1520</v>
      </c>
      <c r="E22" s="86"/>
      <c r="F22" s="341">
        <v>35800</v>
      </c>
      <c r="G22" s="86"/>
      <c r="H22" s="85">
        <f t="shared" si="1"/>
        <v>49762.679999999993</v>
      </c>
    </row>
    <row r="23" spans="1:8">
      <c r="A23" s="335">
        <v>45623</v>
      </c>
      <c r="B23" t="s">
        <v>1513</v>
      </c>
      <c r="E23" s="86">
        <v>-10000</v>
      </c>
      <c r="F23" s="86"/>
      <c r="G23" s="86">
        <v>-40000</v>
      </c>
      <c r="H23" s="85">
        <f t="shared" si="1"/>
        <v>9762.679999999993</v>
      </c>
    </row>
    <row r="24" spans="1:8">
      <c r="A24" s="335">
        <v>45625</v>
      </c>
      <c r="B24" t="s">
        <v>1450</v>
      </c>
      <c r="C24" t="s">
        <v>1457</v>
      </c>
      <c r="E24" s="86">
        <v>-1380</v>
      </c>
      <c r="F24" s="86"/>
      <c r="G24" s="86"/>
      <c r="H24" s="85">
        <f t="shared" si="1"/>
        <v>9762.679999999993</v>
      </c>
    </row>
    <row r="25" spans="1:8">
      <c r="A25" s="335">
        <v>45626</v>
      </c>
      <c r="B25" s="88" t="s">
        <v>1459</v>
      </c>
      <c r="E25" s="86">
        <v>-1415</v>
      </c>
      <c r="F25" s="86"/>
      <c r="G25" s="86"/>
      <c r="H25" s="85">
        <f t="shared" si="1"/>
        <v>9762.679999999993</v>
      </c>
    </row>
    <row r="26" spans="1:8">
      <c r="A26" s="335">
        <v>45626</v>
      </c>
      <c r="B26" s="88" t="s">
        <v>1460</v>
      </c>
      <c r="E26" s="86">
        <v>-141.5</v>
      </c>
      <c r="F26" s="86"/>
      <c r="G26" s="86"/>
      <c r="H26" s="85">
        <f t="shared" si="1"/>
        <v>9762.679999999993</v>
      </c>
    </row>
    <row r="27" spans="1:8">
      <c r="E27" s="86"/>
      <c r="F27" s="86"/>
      <c r="G27" s="86"/>
      <c r="H27" s="85">
        <f t="shared" si="1"/>
        <v>9762.679999999993</v>
      </c>
    </row>
    <row r="28" spans="1:8">
      <c r="B28" t="s">
        <v>1523</v>
      </c>
      <c r="E28" s="86"/>
      <c r="F28" s="86"/>
      <c r="G28" s="86">
        <v>-5000</v>
      </c>
      <c r="H28" s="85">
        <f t="shared" si="1"/>
        <v>4762.679999999993</v>
      </c>
    </row>
    <row r="29" spans="1:8">
      <c r="B29" t="s">
        <v>84</v>
      </c>
      <c r="E29" s="86">
        <v>-6500</v>
      </c>
      <c r="F29" s="86"/>
      <c r="G29" s="86">
        <v>-6511</v>
      </c>
      <c r="H29" s="85">
        <f t="shared" si="1"/>
        <v>-1748.320000000007</v>
      </c>
    </row>
    <row r="30" spans="1:8">
      <c r="B30" t="s">
        <v>1522</v>
      </c>
      <c r="E30" s="86"/>
      <c r="F30" s="86"/>
      <c r="G30" s="86">
        <v>-5000</v>
      </c>
      <c r="H30" s="85">
        <f t="shared" si="1"/>
        <v>-6748.320000000007</v>
      </c>
    </row>
    <row r="31" spans="1:8">
      <c r="B31" t="s">
        <v>172</v>
      </c>
      <c r="E31" s="86">
        <v>-6500</v>
      </c>
      <c r="F31" s="86"/>
      <c r="G31" s="86">
        <v>-6511</v>
      </c>
      <c r="H31" s="85">
        <f t="shared" si="1"/>
        <v>-13259.320000000007</v>
      </c>
    </row>
    <row r="32" spans="1:8">
      <c r="B32" t="s">
        <v>217</v>
      </c>
      <c r="E32" s="86">
        <v>-6500</v>
      </c>
      <c r="F32" s="86"/>
      <c r="G32" s="86">
        <v>-6500</v>
      </c>
      <c r="H32" s="85">
        <f t="shared" si="1"/>
        <v>-19759.320000000007</v>
      </c>
    </row>
    <row r="33" spans="1:8">
      <c r="H33" s="85">
        <f t="shared" si="1"/>
        <v>-19759.320000000007</v>
      </c>
    </row>
    <row r="34" spans="1:8">
      <c r="B34" t="s">
        <v>218</v>
      </c>
      <c r="D34" s="86">
        <v>12984.15</v>
      </c>
      <c r="F34" s="85">
        <v>13006.38</v>
      </c>
      <c r="H34" s="85">
        <f t="shared" si="1"/>
        <v>-6752.9400000000078</v>
      </c>
    </row>
    <row r="35" spans="1:8">
      <c r="A35" s="97"/>
      <c r="B35" t="s">
        <v>244</v>
      </c>
      <c r="D35" s="85">
        <v>15000</v>
      </c>
      <c r="H35" s="85">
        <f t="shared" si="1"/>
        <v>-6752.9400000000078</v>
      </c>
    </row>
    <row r="36" spans="1:8">
      <c r="B36" t="s">
        <v>245</v>
      </c>
      <c r="C36" s="98">
        <v>0.234011</v>
      </c>
      <c r="D36" s="85">
        <v>250000</v>
      </c>
      <c r="H36" s="85">
        <f t="shared" si="1"/>
        <v>-6752.9400000000078</v>
      </c>
    </row>
    <row r="38" spans="1:8" ht="15.75">
      <c r="B38" s="99"/>
    </row>
    <row r="40" spans="1:8">
      <c r="B40" t="s">
        <v>222</v>
      </c>
    </row>
    <row r="41" spans="1:8">
      <c r="A41" s="78" t="s">
        <v>223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224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225</v>
      </c>
    </row>
    <row r="45" spans="1:8">
      <c r="B45" t="s">
        <v>226</v>
      </c>
    </row>
    <row r="46" spans="1:8">
      <c r="B46" t="s">
        <v>227</v>
      </c>
    </row>
    <row r="47" spans="1:8">
      <c r="B47" t="s">
        <v>228</v>
      </c>
    </row>
    <row r="48" spans="1:8">
      <c r="B48" t="s">
        <v>229</v>
      </c>
    </row>
    <row r="49" spans="1:5">
      <c r="B49" t="s">
        <v>230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231</v>
      </c>
      <c r="C54" s="78"/>
      <c r="E54" s="85">
        <f>SUM(E55:E66)</f>
        <v>-1797.26</v>
      </c>
    </row>
    <row r="56" spans="1:5">
      <c r="A56" s="20">
        <v>45373</v>
      </c>
      <c r="B56" t="s">
        <v>232</v>
      </c>
      <c r="C56">
        <v>10176.39</v>
      </c>
      <c r="D56" s="85" t="s">
        <v>246</v>
      </c>
      <c r="E56" s="85">
        <v>-1130.71</v>
      </c>
    </row>
    <row r="57" spans="1:5">
      <c r="A57" s="20">
        <v>45375</v>
      </c>
      <c r="B57" t="s">
        <v>234</v>
      </c>
      <c r="C57">
        <v>5999</v>
      </c>
      <c r="D57" s="85" t="s">
        <v>247</v>
      </c>
      <c r="E57" s="85">
        <v>-666.55</v>
      </c>
    </row>
    <row r="58" spans="1:5">
      <c r="A58" s="20"/>
    </row>
    <row r="59" spans="1:5" ht="15">
      <c r="D59" s="108" t="s">
        <v>285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235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250</v>
      </c>
      <c r="C71" s="94"/>
      <c r="E71" s="85">
        <v>-118966.5</v>
      </c>
    </row>
    <row r="72" spans="1:5">
      <c r="A72" s="97"/>
      <c r="B72" s="94" t="s">
        <v>250</v>
      </c>
      <c r="C72" s="94"/>
      <c r="E72" s="85">
        <v>-277.72000000000003</v>
      </c>
    </row>
    <row r="73" spans="1:5">
      <c r="A73" s="97"/>
      <c r="B73" s="3" t="s">
        <v>1497</v>
      </c>
      <c r="C73" s="94"/>
      <c r="E73" s="85">
        <v>-1398.6</v>
      </c>
    </row>
    <row r="74" spans="1:5">
      <c r="A74" s="97"/>
      <c r="B74" s="3" t="s">
        <v>1498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1499</v>
      </c>
      <c r="C76" s="94"/>
      <c r="E76" s="85">
        <v>-480</v>
      </c>
    </row>
    <row r="77" spans="1:5">
      <c r="A77" s="97"/>
      <c r="B77" s="3" t="s">
        <v>1500</v>
      </c>
      <c r="C77" s="94"/>
      <c r="E77" s="85">
        <v>-147.80000000000001</v>
      </c>
    </row>
    <row r="78" spans="1:5">
      <c r="A78" s="97"/>
      <c r="B78" s="3" t="s">
        <v>1500</v>
      </c>
      <c r="C78" s="94">
        <v>17.59</v>
      </c>
      <c r="E78" s="85">
        <v>-17.59</v>
      </c>
    </row>
    <row r="79" spans="1:5">
      <c r="A79" s="97"/>
      <c r="B79" s="3" t="s">
        <v>1501</v>
      </c>
      <c r="C79" s="94">
        <v>330</v>
      </c>
      <c r="E79" s="85">
        <v>-330</v>
      </c>
    </row>
    <row r="80" spans="1:5">
      <c r="A80" s="97"/>
      <c r="B80" s="3" t="s">
        <v>1502</v>
      </c>
      <c r="C80" s="94">
        <v>-130</v>
      </c>
      <c r="E80" s="85">
        <v>-130</v>
      </c>
    </row>
    <row r="81" spans="1:5">
      <c r="A81" s="97"/>
      <c r="B81" s="3" t="s">
        <v>97</v>
      </c>
      <c r="C81" s="94"/>
      <c r="D81" s="85">
        <v>71389.3</v>
      </c>
    </row>
    <row r="82" spans="1:5">
      <c r="A82" s="97"/>
      <c r="B82" s="3" t="s">
        <v>1503</v>
      </c>
      <c r="C82" s="94"/>
      <c r="E82" s="85">
        <v>-140</v>
      </c>
    </row>
    <row r="83" spans="1:5">
      <c r="A83" s="97"/>
      <c r="B83" s="3" t="s">
        <v>1501</v>
      </c>
      <c r="C83" s="94">
        <v>750</v>
      </c>
      <c r="E83" s="85">
        <v>-750</v>
      </c>
    </row>
    <row r="84" spans="1:5">
      <c r="A84" s="97"/>
      <c r="B84" s="3" t="s">
        <v>1500</v>
      </c>
      <c r="C84" s="94"/>
      <c r="E84" s="85">
        <v>-253.55</v>
      </c>
    </row>
    <row r="85" spans="1:5">
      <c r="A85" s="97"/>
      <c r="B85" s="3" t="s">
        <v>1504</v>
      </c>
      <c r="C85" s="94"/>
      <c r="E85" s="85">
        <v>-250</v>
      </c>
    </row>
    <row r="86" spans="1:5">
      <c r="A86" s="97"/>
      <c r="B86" s="3" t="s">
        <v>1505</v>
      </c>
      <c r="C86" s="94"/>
      <c r="E86" s="85">
        <v>-400</v>
      </c>
    </row>
    <row r="87" spans="1:5">
      <c r="A87" s="97"/>
      <c r="B87" s="3" t="s">
        <v>1505</v>
      </c>
      <c r="C87" s="94"/>
      <c r="E87" s="85">
        <v>-100</v>
      </c>
    </row>
    <row r="88" spans="1:5">
      <c r="A88" s="97"/>
      <c r="B88" s="3" t="s">
        <v>1500</v>
      </c>
      <c r="C88" s="94"/>
      <c r="E88" s="85">
        <v>-68.5</v>
      </c>
    </row>
    <row r="89" spans="1:5">
      <c r="A89" s="97"/>
      <c r="B89" s="3" t="s">
        <v>1500</v>
      </c>
      <c r="C89" s="94">
        <v>43.13</v>
      </c>
      <c r="E89" s="85">
        <v>-43.13</v>
      </c>
    </row>
    <row r="90" spans="1:5">
      <c r="A90" s="97"/>
      <c r="B90" s="3" t="s">
        <v>1501</v>
      </c>
      <c r="C90" s="94">
        <v>235</v>
      </c>
      <c r="E90" s="85">
        <v>-235</v>
      </c>
    </row>
    <row r="91" spans="1:5">
      <c r="A91" s="97"/>
      <c r="B91" s="3" t="s">
        <v>1502</v>
      </c>
      <c r="C91" s="94">
        <v>375</v>
      </c>
      <c r="E91" s="85">
        <v>-375</v>
      </c>
    </row>
    <row r="92" spans="1:5">
      <c r="A92" s="97"/>
      <c r="B92" s="3" t="s">
        <v>1500</v>
      </c>
      <c r="C92" s="94">
        <v>79.84</v>
      </c>
      <c r="E92" s="85">
        <v>-79.84</v>
      </c>
    </row>
    <row r="93" spans="1:5">
      <c r="A93" s="97"/>
      <c r="B93" s="3" t="s">
        <v>1501</v>
      </c>
      <c r="C93" s="94">
        <v>235</v>
      </c>
      <c r="E93" s="85">
        <v>-235</v>
      </c>
    </row>
    <row r="94" spans="1:5">
      <c r="A94" s="97"/>
      <c r="B94" s="3" t="s">
        <v>1502</v>
      </c>
      <c r="C94" s="94">
        <v>210</v>
      </c>
      <c r="E94" s="85">
        <v>-210</v>
      </c>
    </row>
    <row r="95" spans="1:5">
      <c r="A95" s="97"/>
      <c r="B95" s="3" t="s">
        <v>1500</v>
      </c>
      <c r="C95" s="94"/>
      <c r="E95" s="85">
        <v>-112.3</v>
      </c>
    </row>
    <row r="96" spans="1:5">
      <c r="A96" s="97"/>
      <c r="B96" s="3" t="s">
        <v>1505</v>
      </c>
      <c r="C96" s="94"/>
      <c r="E96" s="85">
        <v>-230</v>
      </c>
    </row>
    <row r="97" spans="1:5">
      <c r="A97" s="97"/>
      <c r="B97" s="3" t="s">
        <v>1500</v>
      </c>
      <c r="C97" s="94"/>
      <c r="E97" s="85">
        <v>-187.2</v>
      </c>
    </row>
    <row r="98" spans="1:5">
      <c r="A98" s="97"/>
      <c r="B98" s="3" t="s">
        <v>1506</v>
      </c>
      <c r="C98" s="94">
        <v>1062.9000000000001</v>
      </c>
      <c r="E98" s="85">
        <v>-1062.9000000000001</v>
      </c>
    </row>
    <row r="99" spans="1:5">
      <c r="A99" s="97"/>
      <c r="B99" s="3" t="s">
        <v>1507</v>
      </c>
      <c r="C99" s="94"/>
      <c r="E99" s="85">
        <v>-240</v>
      </c>
    </row>
    <row r="100" spans="1:5">
      <c r="A100" s="97"/>
      <c r="B100" s="3" t="s">
        <v>1508</v>
      </c>
      <c r="C100" s="94"/>
      <c r="E100" s="85">
        <v>-280</v>
      </c>
    </row>
    <row r="101" spans="1:5">
      <c r="B101" s="3" t="s">
        <v>1502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285</v>
      </c>
    </row>
    <row r="111" spans="1:5">
      <c r="A111" s="78"/>
      <c r="B111" s="77" t="s">
        <v>1536</v>
      </c>
      <c r="C111" s="78"/>
      <c r="E111" s="85">
        <f>SUM(E112:E127)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1527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1525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1526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239</v>
      </c>
      <c r="E119" s="85">
        <f t="shared" ref="E119:E126" si="2">D119*C119</f>
        <v>0</v>
      </c>
    </row>
    <row r="120" spans="1:5">
      <c r="A120" s="97"/>
      <c r="B120" t="s">
        <v>240</v>
      </c>
      <c r="E120" s="85">
        <f t="shared" si="2"/>
        <v>0</v>
      </c>
    </row>
    <row r="121" spans="1:5">
      <c r="A121" s="97"/>
      <c r="B121" t="s">
        <v>1528</v>
      </c>
      <c r="C121">
        <v>16</v>
      </c>
      <c r="D121" s="85">
        <v>5000</v>
      </c>
      <c r="E121" s="85">
        <f t="shared" si="2"/>
        <v>80000</v>
      </c>
    </row>
    <row r="122" spans="1:5">
      <c r="A122" s="97"/>
      <c r="B122" t="s">
        <v>1529</v>
      </c>
      <c r="C122">
        <v>1</v>
      </c>
      <c r="D122" s="85">
        <v>22000</v>
      </c>
      <c r="E122" s="85">
        <f t="shared" si="2"/>
        <v>22000</v>
      </c>
    </row>
    <row r="123" spans="1:5">
      <c r="A123" s="97"/>
      <c r="B123" t="s">
        <v>1530</v>
      </c>
      <c r="C123">
        <v>1</v>
      </c>
      <c r="D123" s="85">
        <v>2950</v>
      </c>
      <c r="E123" s="85">
        <f t="shared" si="2"/>
        <v>2950</v>
      </c>
    </row>
    <row r="124" spans="1:5">
      <c r="A124" s="97"/>
      <c r="B124" t="s">
        <v>1531</v>
      </c>
      <c r="C124">
        <v>10</v>
      </c>
      <c r="D124" s="85">
        <v>5000</v>
      </c>
      <c r="E124" s="85">
        <f t="shared" si="2"/>
        <v>50000</v>
      </c>
    </row>
    <row r="125" spans="1:5">
      <c r="A125" s="97"/>
      <c r="E125" s="85">
        <f t="shared" si="2"/>
        <v>0</v>
      </c>
    </row>
    <row r="126" spans="1:5">
      <c r="B126" t="s">
        <v>241</v>
      </c>
      <c r="E126" s="85">
        <f t="shared" si="2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1532</v>
      </c>
    </row>
    <row r="131" spans="2:2">
      <c r="B131" s="3" t="s">
        <v>1533</v>
      </c>
    </row>
    <row r="132" spans="2:2">
      <c r="B132" s="3" t="s">
        <v>1534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7" zoomScale="145" zoomScaleNormal="145" workbookViewId="0">
      <selection activeCell="G34" sqref="G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1518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1519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1510</v>
      </c>
      <c r="C33" s="98">
        <v>0.234011</v>
      </c>
      <c r="H33" s="85">
        <f t="shared" si="1"/>
        <v>-59035.210000000014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-59035.210000000014</v>
      </c>
    </row>
    <row r="122" spans="1:5">
      <c r="D122" s="85" t="s">
        <v>189</v>
      </c>
      <c r="E122" s="85">
        <f>SUM(E112:E121)</f>
        <v>-59035.210000000014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5"/>
  <sheetViews>
    <sheetView topLeftCell="A11" zoomScale="145" zoomScaleNormal="145" workbookViewId="0">
      <selection activeCell="C17" sqref="C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1516</v>
      </c>
      <c r="F15" s="85">
        <v>30000</v>
      </c>
      <c r="H15" s="85">
        <f t="shared" si="0"/>
        <v>30093.86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1517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1466</v>
      </c>
      <c r="G24" s="86">
        <v>-197.4</v>
      </c>
      <c r="H24" s="85">
        <f t="shared" si="0"/>
        <v>28142.839999999997</v>
      </c>
    </row>
    <row r="25" spans="1:8">
      <c r="B25" s="105" t="s">
        <v>270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255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193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208</v>
      </c>
      <c r="C28" s="88" t="s">
        <v>209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1462</v>
      </c>
      <c r="G29" s="86">
        <v>-10000</v>
      </c>
      <c r="H29" s="85">
        <f t="shared" si="0"/>
        <v>18142.839999999997</v>
      </c>
    </row>
    <row r="30" spans="1:8">
      <c r="B30" t="s">
        <v>256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222</v>
      </c>
    </row>
    <row r="33" spans="1:5">
      <c r="A33" s="78" t="s">
        <v>223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224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225</v>
      </c>
    </row>
    <row r="37" spans="1:5">
      <c r="B37" t="s">
        <v>226</v>
      </c>
    </row>
    <row r="38" spans="1:5">
      <c r="B38" t="s">
        <v>227</v>
      </c>
    </row>
    <row r="39" spans="1:5">
      <c r="B39" t="s">
        <v>228</v>
      </c>
    </row>
    <row r="40" spans="1:5">
      <c r="B40" t="s">
        <v>229</v>
      </c>
    </row>
    <row r="41" spans="1:5">
      <c r="B41" t="s">
        <v>230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231</v>
      </c>
      <c r="C46" s="78"/>
      <c r="E46" s="85">
        <f>SUM(E47:E58)</f>
        <v>-8037.9</v>
      </c>
    </row>
    <row r="48" spans="1:5">
      <c r="A48" s="20">
        <v>45348</v>
      </c>
      <c r="B48" t="s">
        <v>257</v>
      </c>
      <c r="C48">
        <v>1406</v>
      </c>
      <c r="D48" s="85" t="s">
        <v>258</v>
      </c>
      <c r="E48" s="85">
        <v>-234.35</v>
      </c>
    </row>
    <row r="49" spans="1:5">
      <c r="A49" s="20">
        <v>45373</v>
      </c>
      <c r="B49" t="s">
        <v>232</v>
      </c>
      <c r="C49">
        <v>10176.39</v>
      </c>
      <c r="D49" s="85" t="s">
        <v>259</v>
      </c>
      <c r="E49" s="85">
        <v>-1130.71</v>
      </c>
    </row>
    <row r="50" spans="1:5">
      <c r="A50" s="20">
        <v>45375</v>
      </c>
      <c r="B50" t="s">
        <v>234</v>
      </c>
      <c r="C50">
        <v>5999</v>
      </c>
      <c r="D50" s="85" t="s">
        <v>259</v>
      </c>
      <c r="E50" s="85">
        <v>-666.56</v>
      </c>
    </row>
    <row r="51" spans="1:5">
      <c r="A51" s="20">
        <v>45358</v>
      </c>
      <c r="B51" t="s">
        <v>260</v>
      </c>
      <c r="C51">
        <v>2273</v>
      </c>
      <c r="D51" s="85" t="s">
        <v>258</v>
      </c>
      <c r="E51" s="85">
        <v>-378.87</v>
      </c>
    </row>
    <row r="52" spans="1:5">
      <c r="A52" s="20">
        <v>45371</v>
      </c>
      <c r="B52" t="s">
        <v>261</v>
      </c>
      <c r="D52" s="85" t="s">
        <v>258</v>
      </c>
      <c r="E52" s="85">
        <v>101.79</v>
      </c>
    </row>
    <row r="53" spans="1:5">
      <c r="A53" s="97">
        <v>45456</v>
      </c>
      <c r="B53" s="103" t="s">
        <v>262</v>
      </c>
      <c r="C53" s="94"/>
      <c r="D53" s="85" t="s">
        <v>263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284</v>
      </c>
      <c r="C55" s="94">
        <v>8154.2</v>
      </c>
    </row>
    <row r="56" spans="1:5">
      <c r="A56" s="97"/>
      <c r="B56" s="103" t="s">
        <v>847</v>
      </c>
      <c r="C56" s="94"/>
      <c r="E56" s="85">
        <v>-1805.86</v>
      </c>
    </row>
    <row r="57" spans="1:5" ht="15">
      <c r="A57" s="97"/>
      <c r="B57" s="103"/>
      <c r="C57" s="108" t="s">
        <v>285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235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285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1438</v>
      </c>
      <c r="B101" s="77" t="s">
        <v>171</v>
      </c>
      <c r="C101" s="78">
        <v>2024</v>
      </c>
      <c r="D101" s="79"/>
      <c r="E101" s="80">
        <f>SUM(E102:E121)</f>
        <v>412438.42000000004</v>
      </c>
    </row>
    <row r="102" spans="1:5">
      <c r="A102" s="81">
        <v>45534</v>
      </c>
      <c r="B102" t="s">
        <v>84</v>
      </c>
      <c r="C102" s="2"/>
      <c r="D102" s="2"/>
      <c r="E102" s="2">
        <v>0</v>
      </c>
    </row>
    <row r="103" spans="1:5">
      <c r="A103" s="81">
        <f t="shared" ref="A103:A121" si="1">A102</f>
        <v>45534</v>
      </c>
      <c r="B103" t="s">
        <v>309</v>
      </c>
      <c r="C103" s="2"/>
      <c r="D103" s="2"/>
      <c r="E103" s="2">
        <v>0</v>
      </c>
    </row>
    <row r="104" spans="1:5">
      <c r="A104" s="81">
        <f t="shared" si="1"/>
        <v>45534</v>
      </c>
      <c r="B104" t="s">
        <v>1439</v>
      </c>
      <c r="C104" s="2"/>
      <c r="D104" s="2"/>
      <c r="E104" s="13">
        <v>5105.2299999999996</v>
      </c>
    </row>
    <row r="105" spans="1:5">
      <c r="A105" s="81">
        <f>A103</f>
        <v>45534</v>
      </c>
      <c r="B105" t="s">
        <v>1445</v>
      </c>
      <c r="C105" s="2">
        <v>288</v>
      </c>
      <c r="D105" s="111">
        <v>732.60648300000003</v>
      </c>
      <c r="E105" s="13">
        <v>211121.2</v>
      </c>
    </row>
    <row r="106" spans="1:5">
      <c r="A106" s="81">
        <f>A104</f>
        <v>45534</v>
      </c>
      <c r="B106" t="s">
        <v>1446</v>
      </c>
      <c r="C106" s="112">
        <v>125000</v>
      </c>
      <c r="D106" s="111">
        <v>0.77971599999999996</v>
      </c>
      <c r="E106" s="13">
        <v>99989.38</v>
      </c>
    </row>
    <row r="107" spans="1:5">
      <c r="A107" s="81">
        <f>A105</f>
        <v>45534</v>
      </c>
      <c r="B107" t="s">
        <v>1447</v>
      </c>
      <c r="C107" s="2">
        <v>10</v>
      </c>
      <c r="D107" s="2">
        <v>103.7</v>
      </c>
      <c r="E107" s="13">
        <f t="shared" ref="E107:E119" si="2">D107*C107</f>
        <v>1037</v>
      </c>
    </row>
    <row r="108" spans="1:5">
      <c r="A108" s="81">
        <f t="shared" si="1"/>
        <v>45534</v>
      </c>
      <c r="B108" t="s">
        <v>1448</v>
      </c>
      <c r="C108" s="2">
        <v>38</v>
      </c>
      <c r="D108" s="2">
        <v>21.42</v>
      </c>
      <c r="E108" s="13">
        <f t="shared" si="2"/>
        <v>813.96</v>
      </c>
    </row>
    <row r="109" spans="1:5">
      <c r="A109" s="81">
        <f t="shared" si="1"/>
        <v>45534</v>
      </c>
      <c r="B109" t="s">
        <v>1449</v>
      </c>
      <c r="C109" s="2">
        <v>26</v>
      </c>
      <c r="D109" s="2">
        <v>25.92</v>
      </c>
      <c r="E109" s="13">
        <f t="shared" si="2"/>
        <v>673.92000000000007</v>
      </c>
    </row>
    <row r="110" spans="1:5">
      <c r="A110" s="81">
        <f t="shared" si="1"/>
        <v>45534</v>
      </c>
      <c r="B110" t="s">
        <v>183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B111" t="s">
        <v>315</v>
      </c>
      <c r="C111" s="2">
        <v>28.5</v>
      </c>
      <c r="D111" s="2">
        <v>0</v>
      </c>
      <c r="E111" s="13"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C113" s="2"/>
      <c r="D113" s="2"/>
      <c r="E113" s="13">
        <f t="shared" si="2"/>
        <v>0</v>
      </c>
    </row>
    <row r="114" spans="1:5">
      <c r="A114" s="81">
        <f t="shared" si="1"/>
        <v>45534</v>
      </c>
      <c r="B114" t="s">
        <v>1440</v>
      </c>
      <c r="C114" s="2">
        <v>2697.73</v>
      </c>
      <c r="D114" s="2">
        <v>1</v>
      </c>
      <c r="E114" s="13">
        <f>D114*C114</f>
        <v>2697.73</v>
      </c>
    </row>
    <row r="115" spans="1:5">
      <c r="A115" s="81">
        <f t="shared" si="1"/>
        <v>45534</v>
      </c>
      <c r="B115" t="s">
        <v>1443</v>
      </c>
      <c r="C115" s="2">
        <v>4500</v>
      </c>
      <c r="D115" s="2">
        <v>16</v>
      </c>
      <c r="E115" s="13">
        <f>D115*C115</f>
        <v>72000</v>
      </c>
    </row>
    <row r="116" spans="1:5">
      <c r="A116" s="81">
        <f t="shared" si="1"/>
        <v>45534</v>
      </c>
      <c r="B116" t="s">
        <v>1444</v>
      </c>
      <c r="C116" s="2">
        <v>18000</v>
      </c>
      <c r="D116" s="2">
        <v>1</v>
      </c>
      <c r="E116" s="13">
        <f>D116*C116</f>
        <v>18000</v>
      </c>
    </row>
    <row r="117" spans="1:5">
      <c r="A117" s="81">
        <f t="shared" si="1"/>
        <v>45534</v>
      </c>
      <c r="C117" s="2"/>
      <c r="D117" s="2"/>
      <c r="E117" s="13"/>
    </row>
    <row r="118" spans="1:5">
      <c r="A118" s="81">
        <f>A114</f>
        <v>45534</v>
      </c>
      <c r="B118" t="s">
        <v>1442</v>
      </c>
      <c r="C118" s="336">
        <v>33.250599999999999</v>
      </c>
      <c r="D118" s="2">
        <v>0</v>
      </c>
      <c r="E118" s="13"/>
    </row>
    <row r="119" spans="1:5">
      <c r="A119" s="81">
        <f t="shared" si="1"/>
        <v>45534</v>
      </c>
      <c r="B119" t="s">
        <v>1441</v>
      </c>
      <c r="C119" s="336">
        <v>36.854999999999997</v>
      </c>
      <c r="D119" s="2">
        <v>0</v>
      </c>
      <c r="E119" s="13">
        <f t="shared" si="2"/>
        <v>0</v>
      </c>
    </row>
    <row r="120" spans="1:5">
      <c r="A120" s="81">
        <f t="shared" si="1"/>
        <v>45534</v>
      </c>
      <c r="B120" t="s">
        <v>187</v>
      </c>
      <c r="C120" s="2"/>
      <c r="D120" s="2"/>
      <c r="E120" s="13">
        <v>0</v>
      </c>
    </row>
    <row r="121" spans="1:5">
      <c r="A121" s="81">
        <f t="shared" si="1"/>
        <v>45534</v>
      </c>
      <c r="B121" t="s">
        <v>94</v>
      </c>
      <c r="C121" s="2"/>
      <c r="D121" s="2"/>
      <c r="E121" s="13">
        <v>1000</v>
      </c>
    </row>
    <row r="122" spans="1:5">
      <c r="E122" s="113"/>
    </row>
    <row r="123" spans="1:5">
      <c r="C123" s="110"/>
      <c r="D123" s="3"/>
      <c r="E123" s="110"/>
    </row>
    <row r="124" spans="1:5">
      <c r="C124" s="110"/>
      <c r="D124" s="70" t="s">
        <v>189</v>
      </c>
      <c r="E124" s="8">
        <f>SUM(E102:E121)</f>
        <v>412438.42000000004</v>
      </c>
    </row>
    <row r="125" spans="1:5">
      <c r="C125" s="114" t="str">
        <f>A101</f>
        <v>EYLÜLe</v>
      </c>
      <c r="D125" s="115" t="s">
        <v>188</v>
      </c>
      <c r="E125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20" zoomScale="145" zoomScaleNormal="145" workbookViewId="0">
      <selection activeCell="B39" sqref="B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63606.38</v>
      </c>
      <c r="G2" s="85">
        <f>SUM(G4:G46)</f>
        <v>-88381.87</v>
      </c>
      <c r="H2" s="85">
        <f>F2+G2</f>
        <v>-24775.489999999998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>
        <v>45519</v>
      </c>
      <c r="B13" s="349" t="s">
        <v>1514</v>
      </c>
      <c r="C13" s="88"/>
      <c r="D13" s="86"/>
      <c r="E13" s="86"/>
      <c r="F13" s="86">
        <v>30000</v>
      </c>
      <c r="G13" s="86"/>
      <c r="H13" s="86">
        <f t="shared" si="0"/>
        <v>-14383.489999999998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-14478.489999999998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-14534.489999999998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-14562.489999999998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-15062.489999999998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-15927.489999999998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-15927.489999999998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-22427.489999999998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-28927.489999999998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-35427.49</v>
      </c>
    </row>
    <row r="23" spans="1:8">
      <c r="H23" s="86">
        <f t="shared" si="0"/>
        <v>-35427.49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-22421.11</v>
      </c>
    </row>
    <row r="25" spans="1:8">
      <c r="A25" s="97"/>
      <c r="H25" s="86">
        <f t="shared" si="0"/>
        <v>-22421.11</v>
      </c>
    </row>
    <row r="26" spans="1:8">
      <c r="H26" s="86">
        <f t="shared" si="0"/>
        <v>-22421.11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-23171.11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-25308.61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-26233.61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-26858.61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-27933.61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-29758.61</v>
      </c>
    </row>
    <row r="33" spans="1:8">
      <c r="A33" s="20"/>
      <c r="C33" s="98"/>
      <c r="E33" s="86"/>
      <c r="F33" s="86"/>
      <c r="G33" s="86"/>
      <c r="H33" s="86">
        <f t="shared" si="0"/>
        <v>-29758.61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-29894.690000000002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-30153.300000000003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-30272.370000000003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-30375.49</v>
      </c>
    </row>
    <row r="38" spans="1:8">
      <c r="C38" s="98"/>
      <c r="H38" s="86">
        <f t="shared" si="0"/>
        <v>-30375.49</v>
      </c>
    </row>
    <row r="39" spans="1:8">
      <c r="A39" s="335">
        <v>45535</v>
      </c>
      <c r="B39" s="349" t="s">
        <v>1515</v>
      </c>
      <c r="C39" s="98"/>
      <c r="F39" s="85">
        <v>5600</v>
      </c>
      <c r="H39" s="86">
        <f t="shared" si="0"/>
        <v>-24775.49</v>
      </c>
    </row>
    <row r="40" spans="1:8">
      <c r="H40" s="86">
        <f t="shared" si="0"/>
        <v>-24775.49</v>
      </c>
    </row>
    <row r="41" spans="1:8">
      <c r="B41" s="339" t="s">
        <v>269</v>
      </c>
      <c r="C41" s="339"/>
      <c r="D41" s="343">
        <v>15000</v>
      </c>
      <c r="H41" s="86">
        <f t="shared" si="0"/>
        <v>-24775.49</v>
      </c>
    </row>
    <row r="42" spans="1:8">
      <c r="B42" s="105" t="s">
        <v>270</v>
      </c>
      <c r="C42" s="105"/>
      <c r="D42" s="106">
        <v>8500</v>
      </c>
      <c r="H42" s="86">
        <f t="shared" si="0"/>
        <v>-24775.49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-24775.49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-24775.49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-24775.49</v>
      </c>
    </row>
    <row r="46" spans="1:8">
      <c r="H46" s="86">
        <f t="shared" si="0"/>
        <v>-24775.49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-24775.489999999998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2024-12-04T08:50:20Z</dcterms:modified>
  <dc:language>tr-TR</dc:language>
</cp:coreProperties>
</file>