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aGitMe_main-2024-08\tdy-main\"/>
    </mc:Choice>
  </mc:AlternateContent>
  <xr:revisionPtr revIDLastSave="0" documentId="13_ncr:1_{ABD6B649-2AEB-4163-A780-FFBE8D6C8348}" xr6:coauthVersionLast="47" xr6:coauthVersionMax="47" xr10:uidLastSave="{00000000-0000-0000-0000-000000000000}"/>
  <bookViews>
    <workbookView xWindow="-120" yWindow="-120" windowWidth="20730" windowHeight="11160" tabRatio="500" activeTab="4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" i="7" l="1"/>
  <c r="H11" i="7"/>
  <c r="H12" i="7"/>
  <c r="H13" i="7" s="1"/>
  <c r="H14" i="7" s="1"/>
  <c r="G8" i="7"/>
  <c r="G7" i="7"/>
  <c r="E124" i="7"/>
  <c r="E123" i="7"/>
  <c r="A125" i="7"/>
  <c r="A124" i="7"/>
  <c r="A123" i="7"/>
  <c r="E122" i="7"/>
  <c r="C133" i="7"/>
  <c r="E127" i="7"/>
  <c r="E121" i="7"/>
  <c r="E120" i="7"/>
  <c r="E118" i="7"/>
  <c r="E117" i="7"/>
  <c r="E116" i="7"/>
  <c r="E115" i="7"/>
  <c r="A111" i="7"/>
  <c r="A112" i="7" s="1"/>
  <c r="A114" i="7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G2" i="7"/>
  <c r="F11" i="3" s="1"/>
  <c r="G32" i="8"/>
  <c r="G31" i="8"/>
  <c r="G30" i="8"/>
  <c r="G29" i="8"/>
  <c r="G28" i="8"/>
  <c r="G27" i="8"/>
  <c r="F119" i="1"/>
  <c r="F120" i="1" s="1"/>
  <c r="F121" i="1" s="1"/>
  <c r="F122" i="1" s="1"/>
  <c r="F123" i="1" s="1"/>
  <c r="F124" i="1" s="1"/>
  <c r="E86" i="1"/>
  <c r="E92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D2" i="39"/>
  <c r="H7" i="38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H5" i="38"/>
  <c r="H6" i="38" s="1"/>
  <c r="H4" i="38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5" i="34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4" i="34"/>
  <c r="G2" i="34"/>
  <c r="F13" i="32" s="1"/>
  <c r="F2" i="34"/>
  <c r="E13" i="32" s="1"/>
  <c r="E2" i="34"/>
  <c r="C13" i="32" s="1"/>
  <c r="C15" i="32" s="1"/>
  <c r="C16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H2" i="33" s="1"/>
  <c r="E2" i="33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C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C8" i="32"/>
  <c r="B8" i="32"/>
  <c r="F7" i="32"/>
  <c r="E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111" i="30" s="1"/>
  <c r="N4" i="16" s="1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2" i="29" s="1"/>
  <c r="C5" i="16" s="1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H2" i="28" s="1"/>
  <c r="E121" i="28" s="1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H2" i="27" s="1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53" i="25"/>
  <c r="E41" i="25"/>
  <c r="D41" i="25"/>
  <c r="E11" i="25"/>
  <c r="E2" i="25" s="1"/>
  <c r="E10" i="25"/>
  <c r="E9" i="25"/>
  <c r="G9" i="25" s="1"/>
  <c r="G2" i="25" s="1"/>
  <c r="F9" i="16" s="1"/>
  <c r="H4" i="25"/>
  <c r="H5" i="25" s="1"/>
  <c r="H6" i="25" s="1"/>
  <c r="H7" i="25" s="1"/>
  <c r="H8" i="25" s="1"/>
  <c r="H9" i="25" s="1"/>
  <c r="H10" i="25" s="1"/>
  <c r="H11" i="25" s="1"/>
  <c r="H12" i="25" s="1"/>
  <c r="H13" i="25" s="1"/>
  <c r="F2" i="25"/>
  <c r="D2" i="25"/>
  <c r="C121" i="24"/>
  <c r="E118" i="24"/>
  <c r="E117" i="24"/>
  <c r="E116" i="24"/>
  <c r="E111" i="24" s="1"/>
  <c r="C74" i="24"/>
  <c r="E67" i="24"/>
  <c r="E49" i="24"/>
  <c r="E8" i="24" s="1"/>
  <c r="E37" i="24"/>
  <c r="F7" i="24" s="1"/>
  <c r="F2" i="24" s="1"/>
  <c r="D37" i="24"/>
  <c r="D7" i="24" s="1"/>
  <c r="D2" i="24" s="1"/>
  <c r="B10" i="16" s="1"/>
  <c r="E9" i="24"/>
  <c r="H5" i="24"/>
  <c r="H6" i="24" s="1"/>
  <c r="H4" i="24"/>
  <c r="G2" i="24"/>
  <c r="C121" i="23"/>
  <c r="E118" i="23"/>
  <c r="E117" i="23"/>
  <c r="E116" i="23"/>
  <c r="E111" i="23" s="1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2" i="22" s="1"/>
  <c r="C12" i="16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E125" i="21" s="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G11" i="20"/>
  <c r="E11" i="20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I25" i="19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I36" i="18" s="1"/>
  <c r="I35" i="18" s="1"/>
  <c r="I34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G60" i="17"/>
  <c r="F60" i="17"/>
  <c r="E60" i="17"/>
  <c r="D60" i="17"/>
  <c r="F39" i="17"/>
  <c r="E39" i="17"/>
  <c r="G6" i="17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4" i="17"/>
  <c r="G5" i="17" s="1"/>
  <c r="G3" i="17"/>
  <c r="F33" i="16"/>
  <c r="F32" i="16"/>
  <c r="F31" i="16"/>
  <c r="F21" i="16"/>
  <c r="F19" i="16"/>
  <c r="E19" i="16"/>
  <c r="E18" i="16"/>
  <c r="M6" i="16" s="1"/>
  <c r="J15" i="16"/>
  <c r="J16" i="16" s="1"/>
  <c r="N14" i="16"/>
  <c r="L14" i="16"/>
  <c r="K14" i="16"/>
  <c r="E14" i="16"/>
  <c r="B14" i="16"/>
  <c r="K13" i="16"/>
  <c r="L13" i="16" s="1"/>
  <c r="E13" i="16"/>
  <c r="B13" i="16"/>
  <c r="L12" i="16"/>
  <c r="K12" i="16"/>
  <c r="E12" i="16"/>
  <c r="B12" i="16"/>
  <c r="N11" i="16"/>
  <c r="K11" i="16"/>
  <c r="L11" i="16" s="1"/>
  <c r="F11" i="16"/>
  <c r="E11" i="16"/>
  <c r="B11" i="16"/>
  <c r="N10" i="16"/>
  <c r="F10" i="16"/>
  <c r="K9" i="16"/>
  <c r="L9" i="16" s="1"/>
  <c r="E9" i="16"/>
  <c r="C9" i="16"/>
  <c r="B9" i="16"/>
  <c r="M8" i="16"/>
  <c r="F8" i="16"/>
  <c r="E8" i="16"/>
  <c r="B8" i="16"/>
  <c r="M7" i="16"/>
  <c r="F7" i="16"/>
  <c r="E7" i="16"/>
  <c r="B7" i="16"/>
  <c r="N6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D149" i="15" s="1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31" i="14" s="1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C40" i="14"/>
  <c r="E36" i="14"/>
  <c r="D36" i="14"/>
  <c r="E19" i="14"/>
  <c r="G19" i="14" s="1"/>
  <c r="G15" i="14"/>
  <c r="G13" i="14"/>
  <c r="G12" i="14"/>
  <c r="E9" i="14"/>
  <c r="G9" i="14" s="1"/>
  <c r="H6" i="14"/>
  <c r="H7" i="14" s="1"/>
  <c r="H8" i="14" s="1"/>
  <c r="H4" i="14"/>
  <c r="H5" i="14" s="1"/>
  <c r="F2" i="14"/>
  <c r="E4" i="3" s="1"/>
  <c r="D2" i="14"/>
  <c r="C131" i="13"/>
  <c r="E125" i="13"/>
  <c r="E124" i="13"/>
  <c r="E123" i="13"/>
  <c r="E130" i="13" s="1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6" i="13"/>
  <c r="H7" i="13" s="1"/>
  <c r="H4" i="13"/>
  <c r="H5" i="13" s="1"/>
  <c r="F2" i="13"/>
  <c r="D2" i="13"/>
  <c r="B5" i="3" s="1"/>
  <c r="C130" i="12"/>
  <c r="E124" i="12"/>
  <c r="C123" i="12"/>
  <c r="E123" i="12" s="1"/>
  <c r="E122" i="12"/>
  <c r="E121" i="12"/>
  <c r="E111" i="12" s="1"/>
  <c r="N6" i="3" s="1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E54" i="12"/>
  <c r="D54" i="12"/>
  <c r="G18" i="12"/>
  <c r="G17" i="12"/>
  <c r="G16" i="12"/>
  <c r="E12" i="12"/>
  <c r="H6" i="12"/>
  <c r="H7" i="12" s="1"/>
  <c r="H8" i="12" s="1"/>
  <c r="H9" i="12" s="1"/>
  <c r="H10" i="12" s="1"/>
  <c r="H11" i="12" s="1"/>
  <c r="H5" i="12"/>
  <c r="F2" i="12"/>
  <c r="D2" i="12"/>
  <c r="B6" i="3" s="1"/>
  <c r="C122" i="11"/>
  <c r="E116" i="11"/>
  <c r="E115" i="11"/>
  <c r="C115" i="1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41" i="11"/>
  <c r="E10" i="11" s="1"/>
  <c r="E30" i="11"/>
  <c r="D30" i="11"/>
  <c r="E18" i="11"/>
  <c r="G18" i="11" s="1"/>
  <c r="G2" i="11" s="1"/>
  <c r="F7" i="3" s="1"/>
  <c r="E11" i="1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F65" i="10"/>
  <c r="E65" i="10"/>
  <c r="E50" i="10"/>
  <c r="E41" i="10"/>
  <c r="D41" i="10"/>
  <c r="E20" i="10"/>
  <c r="G16" i="10"/>
  <c r="G15" i="10"/>
  <c r="G14" i="10"/>
  <c r="G11" i="10"/>
  <c r="E11" i="10"/>
  <c r="E10" i="10"/>
  <c r="G7" i="10"/>
  <c r="E7" i="10"/>
  <c r="G5" i="10"/>
  <c r="H4" i="10"/>
  <c r="F2" i="10"/>
  <c r="D2" i="10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6" i="9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35" i="9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9" i="7"/>
  <c r="E7" i="7" s="1"/>
  <c r="E54" i="7"/>
  <c r="E8" i="7" s="1"/>
  <c r="E43" i="7"/>
  <c r="D43" i="7"/>
  <c r="E11" i="7"/>
  <c r="H4" i="7"/>
  <c r="H5" i="7" s="1"/>
  <c r="H6" i="7" s="1"/>
  <c r="H7" i="7" s="1"/>
  <c r="H8" i="7" s="1"/>
  <c r="H9" i="7" s="1"/>
  <c r="F2" i="7"/>
  <c r="E11" i="3" s="1"/>
  <c r="D2" i="7"/>
  <c r="B11" i="3" s="1"/>
  <c r="E112" i="6"/>
  <c r="E111" i="6"/>
  <c r="E110" i="6"/>
  <c r="E65" i="6"/>
  <c r="E16" i="6" s="1"/>
  <c r="E50" i="6"/>
  <c r="E15" i="6" s="1"/>
  <c r="E39" i="6"/>
  <c r="D39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2" i="5" s="1"/>
  <c r="C13" i="3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E2" i="4" s="1"/>
  <c r="C14" i="3" s="1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H2" i="4" s="1"/>
  <c r="E126" i="4" s="1"/>
  <c r="D2" i="4"/>
  <c r="B14" i="3" s="1"/>
  <c r="F133" i="3"/>
  <c r="D133" i="3"/>
  <c r="F130" i="3"/>
  <c r="F129" i="3"/>
  <c r="F128" i="3"/>
  <c r="F135" i="3" s="1"/>
  <c r="B117" i="3"/>
  <c r="B118" i="3" s="1"/>
  <c r="B119" i="3" s="1"/>
  <c r="B120" i="3" s="1"/>
  <c r="B24" i="3"/>
  <c r="D23" i="3"/>
  <c r="D24" i="3" s="1"/>
  <c r="B23" i="3"/>
  <c r="E19" i="3"/>
  <c r="M7" i="3" s="1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N11" i="3"/>
  <c r="K11" i="3"/>
  <c r="L11" i="3" s="1"/>
  <c r="N10" i="3"/>
  <c r="M10" i="3"/>
  <c r="L9" i="3"/>
  <c r="K9" i="3"/>
  <c r="E9" i="3"/>
  <c r="B9" i="3"/>
  <c r="M8" i="3"/>
  <c r="E8" i="3"/>
  <c r="B8" i="3"/>
  <c r="E7" i="3"/>
  <c r="B7" i="3"/>
  <c r="E6" i="3"/>
  <c r="M5" i="3"/>
  <c r="E5" i="3"/>
  <c r="K4" i="3"/>
  <c r="L4" i="3" s="1"/>
  <c r="B4" i="3"/>
  <c r="M3" i="3"/>
  <c r="B3" i="3"/>
  <c r="L2" i="3"/>
  <c r="F74" i="2"/>
  <c r="H69" i="2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F60" i="2"/>
  <c r="F58" i="2"/>
  <c r="F57" i="2"/>
  <c r="F55" i="2"/>
  <c r="H55" i="2" s="1"/>
  <c r="H56" i="2" s="1"/>
  <c r="J50" i="2"/>
  <c r="J46" i="2"/>
  <c r="H45" i="2"/>
  <c r="H46" i="2" s="1"/>
  <c r="H47" i="2" s="1"/>
  <c r="H48" i="2" s="1"/>
  <c r="H49" i="2" s="1"/>
  <c r="H50" i="2" s="1"/>
  <c r="H44" i="2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F22" i="2"/>
  <c r="E22" i="2"/>
  <c r="F21" i="2"/>
  <c r="E21" i="2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H15" i="2" s="1"/>
  <c r="F76" i="1"/>
  <c r="F77" i="1" s="1"/>
  <c r="F78" i="1" s="1"/>
  <c r="F79" i="1" s="1"/>
  <c r="F80" i="1" s="1"/>
  <c r="F81" i="1" s="1"/>
  <c r="F84" i="1" s="1"/>
  <c r="F85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107" i="5" l="1"/>
  <c r="H2" i="5"/>
  <c r="E116" i="5" s="1"/>
  <c r="H15" i="7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F36" i="1"/>
  <c r="F37" i="1" s="1"/>
  <c r="F38" i="1" s="1"/>
  <c r="F39" i="1" s="1"/>
  <c r="A113" i="7"/>
  <c r="A115" i="7" s="1"/>
  <c r="A116" i="7" s="1"/>
  <c r="A117" i="7" s="1"/>
  <c r="A118" i="7" s="1"/>
  <c r="A119" i="7" s="1"/>
  <c r="A120" i="7" s="1"/>
  <c r="A121" i="7" s="1"/>
  <c r="A122" i="7" s="1"/>
  <c r="A126" i="7" s="1"/>
  <c r="A127" i="7" s="1"/>
  <c r="E132" i="7"/>
  <c r="E109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42" i="8" s="1"/>
  <c r="H43" i="8" s="1"/>
  <c r="H44" i="8" s="1"/>
  <c r="H45" i="8" s="1"/>
  <c r="H46" i="8" s="1"/>
  <c r="G2" i="8"/>
  <c r="F10" i="3" s="1"/>
  <c r="D125" i="1"/>
  <c r="F125" i="1" s="1"/>
  <c r="F126" i="1" s="1"/>
  <c r="F86" i="1"/>
  <c r="F87" i="1" s="1"/>
  <c r="F88" i="1" s="1"/>
  <c r="F89" i="1" s="1"/>
  <c r="F90" i="1" s="1"/>
  <c r="F91" i="1" s="1"/>
  <c r="F94" i="1" s="1"/>
  <c r="F95" i="1" s="1"/>
  <c r="F96" i="1" s="1"/>
  <c r="E40" i="1"/>
  <c r="E97" i="1"/>
  <c r="H2" i="24"/>
  <c r="E10" i="16"/>
  <c r="E121" i="26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H16" i="2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08" i="13"/>
  <c r="N5" i="3" s="1"/>
  <c r="E23" i="18"/>
  <c r="E2" i="24"/>
  <c r="C10" i="16" s="1"/>
  <c r="E123" i="26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E123" i="28"/>
  <c r="H2" i="31"/>
  <c r="E120" i="31" s="1"/>
  <c r="E122" i="31" s="1"/>
  <c r="E6" i="32"/>
  <c r="E2" i="7"/>
  <c r="C11" i="3" s="1"/>
  <c r="E129" i="12"/>
  <c r="G31" i="2"/>
  <c r="E2" i="6"/>
  <c r="C12" i="3" s="1"/>
  <c r="F42" i="18"/>
  <c r="H7" i="24"/>
  <c r="H8" i="24" s="1"/>
  <c r="H9" i="24" s="1"/>
  <c r="H10" i="24" s="1"/>
  <c r="H11" i="24" s="1"/>
  <c r="H12" i="24" s="1"/>
  <c r="H1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I33" i="18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K15" i="3"/>
  <c r="K16" i="3" s="1"/>
  <c r="M6" i="3"/>
  <c r="M15" i="3" s="1"/>
  <c r="M16" i="3" s="1"/>
  <c r="E20" i="3"/>
  <c r="H2" i="7"/>
  <c r="E133" i="7" s="1"/>
  <c r="E2" i="12"/>
  <c r="C6" i="3" s="1"/>
  <c r="G12" i="12"/>
  <c r="G2" i="12" s="1"/>
  <c r="L4" i="16"/>
  <c r="L15" i="16" s="1"/>
  <c r="L15" i="3"/>
  <c r="E12" i="3"/>
  <c r="H2" i="6"/>
  <c r="E114" i="6" s="1"/>
  <c r="E116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15" i="3" s="1"/>
  <c r="E2" i="9"/>
  <c r="C9" i="3" s="1"/>
  <c r="J51" i="2"/>
  <c r="J63" i="2" s="1"/>
  <c r="J64" i="2" s="1"/>
  <c r="D6" i="16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D4" i="16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E15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E34" i="19"/>
  <c r="D39" i="19"/>
  <c r="F39" i="19" s="1"/>
  <c r="D5" i="16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10" i="2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05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21" i="11"/>
  <c r="E15" i="32"/>
  <c r="G3" i="32"/>
  <c r="G4" i="32" s="1"/>
  <c r="G5" i="32" s="1"/>
  <c r="G6" i="32" s="1"/>
  <c r="G7" i="32" s="1"/>
  <c r="G8" i="32" s="1"/>
  <c r="G9" i="32" s="1"/>
  <c r="G10" i="32" s="1"/>
  <c r="G11" i="32" s="1"/>
  <c r="G12" i="32" s="1"/>
  <c r="G13" i="32" s="1"/>
  <c r="G14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D7" i="16" s="1"/>
  <c r="D8" i="16" s="1"/>
  <c r="D9" i="16" s="1"/>
  <c r="D10" i="16" s="1"/>
  <c r="D11" i="16" s="1"/>
  <c r="D12" i="16" s="1"/>
  <c r="D13" i="16" s="1"/>
  <c r="E111" i="29"/>
  <c r="N5" i="16" s="1"/>
  <c r="N16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A128" i="7" l="1"/>
  <c r="A129" i="7" s="1"/>
  <c r="H2" i="8"/>
  <c r="E149" i="8" s="1"/>
  <c r="E100" i="1"/>
  <c r="F97" i="1"/>
  <c r="F98" i="1" s="1"/>
  <c r="F99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E16" i="3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D15" i="16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3" l="1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58" i="1" s="1"/>
  <c r="G14" i="16"/>
  <c r="F15" i="16"/>
  <c r="F16" i="3"/>
  <c r="G15" i="3"/>
  <c r="G16" i="3" s="1"/>
  <c r="D43" i="18"/>
  <c r="D44" i="18" s="1"/>
  <c r="D49" i="18"/>
  <c r="F49" i="18" s="1"/>
  <c r="E44" i="18"/>
  <c r="F59" i="1" l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16" i="16"/>
  <c r="G15" i="16"/>
  <c r="G16" i="16" s="1"/>
</calcChain>
</file>

<file path=xl/sharedStrings.xml><?xml version="1.0" encoding="utf-8"?>
<sst xmlns="http://schemas.openxmlformats.org/spreadsheetml/2006/main" count="3728" uniqueCount="1463">
  <si>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</si>
  <si>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</si>
  <si>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</si>
  <si>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</si>
  <si>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</si>
  <si>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</si>
  <si>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</si>
  <si>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</si>
  <si>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</si>
  <si>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</si>
  <si>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</si>
  <si>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</si>
  <si>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</si>
  <si>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</si>
  <si>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</si>
  <si>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</si>
  <si>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</si>
  <si>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</si>
  <si>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</si>
  <si>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</si>
  <si>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</si>
  <si>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</si>
  <si>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</si>
  <si>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</si>
  <si>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</si>
  <si>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</si>
  <si>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</si>
  <si>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</si>
  <si>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</si>
  <si>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</si>
  <si>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</si>
  <si>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</si>
  <si>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</si>
  <si>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</si>
  <si>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</si>
  <si>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</si>
  <si>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</si>
  <si>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</si>
  <si>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</si>
  <si>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</si>
  <si>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</si>
  <si>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</si>
  <si>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</si>
  <si>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</si>
  <si>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</si>
  <si>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</si>
  <si>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</si>
  <si>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</si>
  <si>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</si>
  <si>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</si>
  <si>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</si>
  <si>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</si>
  <si>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</si>
  <si>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</si>
  <si>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</si>
  <si>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</si>
  <si>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</si>
  <si>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</si>
  <si>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</si>
  <si>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</si>
  <si>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</si>
  <si>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</si>
  <si>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</si>
  <si>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</si>
  <si>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</si>
  <si>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</si>
  <si>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</si>
  <si>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</si>
  <si>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</si>
  <si>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</si>
  <si>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</si>
  <si>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</si>
  <si>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</si>
  <si>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</si>
  <si>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</si>
  <si>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</si>
  <si>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</si>
  <si>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</si>
  <si>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</si>
  <si>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</si>
  <si>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</si>
  <si>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</si>
  <si>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</si>
  <si>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</si>
  <si>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</si>
  <si>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</si>
  <si>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</si>
  <si>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</si>
  <si>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</si>
  <si>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</si>
  <si>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</si>
  <si>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</si>
  <si>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</si>
  <si>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</si>
  <si>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</si>
  <si>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</si>
  <si>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</si>
  <si>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</si>
  <si>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</si>
  <si>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</si>
  <si>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</si>
  <si>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</si>
  <si>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</si>
  <si>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</si>
  <si>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</si>
  <si>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</si>
  <si>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</si>
  <si>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</si>
  <si>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</si>
  <si>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</si>
  <si>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</si>
  <si>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</si>
  <si>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</si>
  <si>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</si>
  <si>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</si>
  <si>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</si>
  <si>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</si>
  <si>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</si>
  <si>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</si>
  <si>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</si>
  <si>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</si>
  <si>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</si>
  <si>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</si>
  <si>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</si>
  <si>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</si>
  <si>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</si>
  <si>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</si>
  <si>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</si>
  <si>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</si>
  <si>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</si>
  <si>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</si>
  <si>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</si>
  <si>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</si>
  <si>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</si>
  <si>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</si>
  <si>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</si>
  <si>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</si>
  <si>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</si>
  <si>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</si>
  <si>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</si>
  <si>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</si>
  <si>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</si>
  <si>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</si>
  <si>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</si>
  <si>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</si>
  <si>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</si>
  <si>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</si>
  <si>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</si>
  <si>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</si>
  <si>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</si>
  <si>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</si>
  <si>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</si>
  <si>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</si>
  <si>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</si>
  <si>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</si>
  <si>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</si>
  <si>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</si>
  <si>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</si>
  <si>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</si>
  <si>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</si>
  <si>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</si>
  <si>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</si>
  <si>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</si>
  <si>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</si>
  <si>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</si>
  <si>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</si>
  <si>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</si>
  <si>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</si>
  <si>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</si>
  <si>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</si>
  <si>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</si>
  <si>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</si>
  <si>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</si>
  <si>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</si>
  <si>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</si>
  <si>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</si>
  <si>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</si>
  <si>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</si>
  <si>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</si>
  <si>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</si>
  <si>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</si>
  <si>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</si>
  <si>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</si>
  <si>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</si>
  <si>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</si>
  <si>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</si>
  <si>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</si>
  <si>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</si>
  <si>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</si>
  <si>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</si>
  <si>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</si>
  <si>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</si>
  <si>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</si>
  <si>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</si>
  <si>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</si>
  <si>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</si>
  <si>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</si>
  <si>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</si>
  <si>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</si>
  <si>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</si>
  <si>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</si>
  <si>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</si>
  <si>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</si>
  <si>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</si>
  <si>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</si>
  <si>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</si>
  <si>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</si>
  <si>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</si>
  <si>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</si>
  <si>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</si>
  <si>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</si>
  <si>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</si>
  <si>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</si>
  <si>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</si>
  <si>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</si>
  <si>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</si>
  <si>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</si>
  <si>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</si>
  <si>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</si>
  <si>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</si>
  <si>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</si>
  <si>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</si>
  <si>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</si>
  <si>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</si>
  <si>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</si>
  <si>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</si>
  <si>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</si>
  <si>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</si>
  <si>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</si>
  <si>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</si>
  <si>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</si>
  <si>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</si>
  <si>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</si>
  <si>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</si>
  <si>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</si>
  <si>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</si>
  <si>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</si>
  <si>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</si>
  <si>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</si>
  <si>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</si>
  <si>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</si>
  <si>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</si>
  <si>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</si>
  <si>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</si>
  <si>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</si>
  <si>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</si>
  <si>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</si>
  <si>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</si>
  <si>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</si>
  <si>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</si>
  <si>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</si>
  <si>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</si>
  <si>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</si>
  <si>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</si>
  <si>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</si>
  <si>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</si>
  <si>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</si>
  <si>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</si>
  <si>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</si>
  <si>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</si>
  <si>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</si>
  <si>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</si>
  <si>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</si>
  <si>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</si>
  <si>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</si>
  <si>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</si>
  <si>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</si>
  <si>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</si>
  <si>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</si>
  <si>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</si>
  <si>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</si>
  <si>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</si>
  <si>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</si>
  <si>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</si>
  <si>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</si>
  <si>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</si>
  <si>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</si>
  <si>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</si>
  <si>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</si>
  <si>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</si>
  <si>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</si>
  <si>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</si>
  <si>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</si>
  <si>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</si>
  <si>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</si>
  <si>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</si>
  <si>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</si>
  <si>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</si>
  <si>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</si>
  <si>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</si>
  <si>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</si>
  <si>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</si>
  <si>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</si>
  <si>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</si>
  <si>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</si>
  <si>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</si>
  <si>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</si>
  <si>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</si>
  <si>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</si>
  <si>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</si>
  <si>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</si>
  <si>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</si>
  <si>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</si>
  <si>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</si>
  <si>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</si>
  <si>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</si>
  <si>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</si>
  <si>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</si>
  <si>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</si>
  <si>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</si>
  <si>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</si>
  <si>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</si>
  <si>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</si>
  <si>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</si>
  <si>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</si>
  <si>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</si>
  <si>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</si>
  <si>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</si>
  <si>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</si>
  <si>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</si>
  <si>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</si>
  <si>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</si>
  <si>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</si>
  <si>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</si>
  <si>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</si>
  <si>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</si>
  <si>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</si>
  <si>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</si>
  <si>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</si>
  <si>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</si>
  <si>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</si>
  <si>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</si>
  <si>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</si>
  <si>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</si>
  <si>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</si>
  <si>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</si>
  <si>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</si>
  <si>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</si>
  <si>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</si>
  <si>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</si>
  <si>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</si>
  <si>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</si>
  <si>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</si>
  <si>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</si>
  <si>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</si>
  <si>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</si>
  <si>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</si>
  <si>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</si>
  <si>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</si>
  <si>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</si>
  <si>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</si>
  <si>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</si>
  <si>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</si>
  <si>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</si>
  <si>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</si>
  <si>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</si>
  <si>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</si>
  <si>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</si>
  <si>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</si>
  <si>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</si>
  <si>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</si>
  <si>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</si>
  <si>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</si>
  <si>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</si>
  <si>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</si>
  <si>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</si>
  <si>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</si>
  <si>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</si>
  <si>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</si>
  <si>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</si>
  <si>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</si>
  <si>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</si>
  <si>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</si>
  <si>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</si>
  <si>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</si>
  <si>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</si>
  <si>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</si>
  <si>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</si>
  <si>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</si>
  <si>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</si>
  <si>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</si>
  <si>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</si>
  <si>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</si>
  <si>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</si>
  <si>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</si>
  <si>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</si>
  <si>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</si>
  <si>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</si>
  <si>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</si>
  <si>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</si>
  <si>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</si>
  <si>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</si>
  <si>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</si>
  <si>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</si>
  <si>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</si>
  <si>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</si>
  <si>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</si>
  <si>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</si>
  <si>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</si>
  <si>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</si>
  <si>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</si>
  <si>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</si>
  <si>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</si>
  <si>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</si>
  <si>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</si>
  <si>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</si>
  <si>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</si>
  <si>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</si>
  <si>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</si>
  <si>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</si>
  <si>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</si>
  <si>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</si>
  <si>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</si>
  <si>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</si>
  <si>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</si>
  <si>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</si>
  <si>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</si>
  <si>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</si>
  <si>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</si>
  <si>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</si>
  <si>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</si>
  <si>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</si>
  <si>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</si>
  <si>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</si>
  <si>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</si>
  <si>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</si>
  <si>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</si>
  <si>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</si>
  <si>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</si>
  <si>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</si>
  <si>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</si>
  <si>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</si>
  <si>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</si>
  <si>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</si>
  <si>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</si>
  <si>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</si>
  <si>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</si>
  <si>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</si>
  <si>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</si>
  <si>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</si>
  <si>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</si>
  <si>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</si>
  <si>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</si>
  <si>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</si>
  <si>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</si>
  <si>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</si>
  <si>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</si>
  <si>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</si>
  <si>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</si>
  <si>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</si>
  <si>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</si>
  <si>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</si>
  <si>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</si>
  <si>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</si>
  <si>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</si>
  <si>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</si>
  <si>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</si>
  <si>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</si>
  <si>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</si>
  <si>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</si>
  <si>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</si>
  <si>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</si>
  <si>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</si>
  <si>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</si>
  <si>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</si>
  <si>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</si>
  <si>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</si>
  <si>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</si>
  <si>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</si>
  <si>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</si>
  <si>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</si>
  <si>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</si>
  <si>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</si>
  <si>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</si>
  <si>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</si>
  <si>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</si>
  <si>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</si>
  <si>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</si>
  <si>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</si>
  <si>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</si>
  <si>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</si>
  <si>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</si>
  <si>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</si>
  <si>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</si>
  <si>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</si>
  <si>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</si>
  <si>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</si>
  <si>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</si>
  <si>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</si>
  <si>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</si>
  <si>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</si>
  <si>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</si>
  <si>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</si>
  <si>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</si>
  <si>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</si>
  <si>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</si>
  <si>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</si>
  <si>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</si>
  <si>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</si>
  <si>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</si>
  <si>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</si>
  <si>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</si>
  <si>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</si>
  <si>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</si>
  <si>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</si>
  <si>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</si>
  <si>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</si>
  <si>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</si>
  <si>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</si>
  <si>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</si>
  <si>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</si>
  <si>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</si>
  <si>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</si>
  <si>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</si>
  <si>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</si>
  <si>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</si>
  <si>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</si>
  <si>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</si>
  <si>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</si>
  <si>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</si>
  <si>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</si>
  <si>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</si>
  <si>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</si>
  <si>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</si>
  <si>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</si>
  <si>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</si>
  <si>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</si>
  <si>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</si>
  <si>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</si>
  <si>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</si>
  <si>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</si>
  <si>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</si>
  <si>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</si>
  <si>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</si>
  <si>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</si>
  <si>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</si>
  <si>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</si>
  <si>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</si>
  <si>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</si>
  <si>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</si>
  <si>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</si>
  <si>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</si>
  <si>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</si>
  <si>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</si>
  <si>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</si>
  <si>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</si>
  <si>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</si>
  <si>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</si>
  <si>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</si>
  <si>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</si>
  <si>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</si>
  <si>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</si>
  <si>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</si>
  <si>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</si>
  <si>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</si>
  <si>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</si>
  <si>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</si>
  <si>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</si>
  <si>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</si>
  <si>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</si>
  <si>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</si>
  <si>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</si>
  <si>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</si>
  <si>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</si>
  <si>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</si>
  <si>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</si>
  <si>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</si>
  <si>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</si>
  <si>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</si>
  <si>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</si>
  <si>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</si>
  <si>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</si>
  <si>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</si>
  <si>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</si>
  <si>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</si>
  <si>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</si>
  <si>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</si>
  <si>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</si>
  <si>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</si>
  <si>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</si>
  <si>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</si>
  <si>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</si>
  <si>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</si>
  <si>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</si>
  <si>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</si>
  <si>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</si>
  <si>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</si>
  <si>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</si>
  <si>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</si>
  <si>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</si>
  <si>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</si>
  <si>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</si>
  <si>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</si>
  <si>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</si>
  <si>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</si>
  <si>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</si>
  <si>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</si>
  <si>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</si>
  <si>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</si>
  <si>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</si>
  <si>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</si>
  <si>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</si>
  <si>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</si>
  <si>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</si>
  <si>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</si>
  <si>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</si>
  <si>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</si>
  <si>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</si>
  <si>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</si>
  <si>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</si>
  <si>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</si>
  <si>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</si>
  <si>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</si>
  <si>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</si>
  <si>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</si>
  <si>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</si>
  <si>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</si>
  <si>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</si>
  <si>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</si>
  <si>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</si>
  <si>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</si>
  <si>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</si>
  <si>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</si>
  <si>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</si>
  <si>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</si>
  <si>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</si>
  <si>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</si>
  <si>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</si>
  <si>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</si>
  <si>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</si>
  <si>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</si>
  <si>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</si>
  <si>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</si>
  <si>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</si>
  <si>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</si>
  <si>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</si>
  <si>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</si>
  <si>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</si>
  <si>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</si>
  <si>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</si>
  <si>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</si>
  <si>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</si>
  <si>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</si>
  <si>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</si>
  <si>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</si>
  <si>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</si>
  <si>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</si>
  <si>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</si>
  <si>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</si>
  <si>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</si>
  <si>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</si>
  <si>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</si>
  <si>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</si>
  <si>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</si>
  <si>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</si>
  <si>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</si>
  <si>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</si>
  <si>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</si>
  <si>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</si>
  <si>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</si>
  <si>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</si>
  <si>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</si>
  <si>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</si>
  <si>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</si>
  <si>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</si>
  <si>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</si>
  <si>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</si>
  <si>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</si>
  <si>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</si>
  <si>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</si>
  <si>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</si>
  <si>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</si>
  <si>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</si>
  <si>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</si>
  <si>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</si>
  <si>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</si>
  <si>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</si>
  <si>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</si>
  <si>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</si>
  <si>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</si>
  <si>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</si>
  <si>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</si>
  <si>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</si>
  <si>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</si>
  <si>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</si>
  <si>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</si>
  <si>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</si>
  <si>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</si>
  <si>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</si>
  <si>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</si>
  <si>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</si>
  <si>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</si>
  <si>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</si>
  <si>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</si>
  <si>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</si>
  <si>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</si>
  <si>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</si>
  <si>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</si>
  <si>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</si>
  <si>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</si>
  <si>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</si>
  <si>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</si>
  <si>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</si>
  <si>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</si>
  <si>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</si>
  <si>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</si>
  <si>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</si>
  <si>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</si>
  <si>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</si>
  <si>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</si>
  <si>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</si>
  <si>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</si>
  <si>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</si>
  <si>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</si>
  <si>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</si>
  <si>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</si>
  <si>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</si>
  <si>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</si>
  <si>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</si>
  <si>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</si>
  <si>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</si>
  <si>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</si>
  <si>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</si>
  <si>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</si>
  <si>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</si>
  <si>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</si>
  <si>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</si>
  <si>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</si>
  <si>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</si>
  <si>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</si>
  <si>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</si>
  <si>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</si>
  <si>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</si>
  <si>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</si>
  <si>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</si>
  <si>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</si>
  <si>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</si>
  <si>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</si>
  <si>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</si>
  <si>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</si>
  <si>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</si>
  <si>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</si>
  <si>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</si>
  <si>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</si>
  <si>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</si>
  <si>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</si>
  <si>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</si>
  <si>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</si>
  <si>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</si>
  <si>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</si>
  <si>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</si>
  <si>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</si>
  <si>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</si>
  <si>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</si>
  <si>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</si>
  <si>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</si>
  <si>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</si>
  <si>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</si>
  <si>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</si>
  <si>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</si>
  <si>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</si>
  <si>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</si>
  <si>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</si>
  <si>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</si>
  <si>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</si>
  <si>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</si>
  <si>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</si>
  <si>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</si>
  <si>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</si>
  <si>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</si>
  <si>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</si>
  <si>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</si>
  <si>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</si>
  <si>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</si>
  <si>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</si>
  <si>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</si>
  <si>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</si>
  <si>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</si>
  <si>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</si>
  <si>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</si>
  <si>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</si>
  <si>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</si>
  <si>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</si>
  <si>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</si>
  <si>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</si>
  <si>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</si>
  <si>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</si>
  <si>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</si>
  <si>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</si>
  <si>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</si>
  <si>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</si>
  <si>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</si>
  <si>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</si>
  <si>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</si>
  <si>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</si>
  <si>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</si>
  <si>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</si>
  <si>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</si>
  <si>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</si>
  <si>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</si>
  <si>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</si>
  <si>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</si>
  <si>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</si>
  <si>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</si>
  <si>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</si>
  <si>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</si>
  <si>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</si>
  <si>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</si>
  <si>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</si>
  <si>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</si>
  <si>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</si>
  <si>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</si>
  <si>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</si>
  <si>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</si>
  <si>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</si>
  <si>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</si>
  <si>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</si>
  <si>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</si>
  <si>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</si>
  <si>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</si>
  <si>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</si>
  <si>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</si>
  <si>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</si>
  <si>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</si>
  <si>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</si>
  <si>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</si>
  <si>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</si>
  <si>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</si>
  <si>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</si>
  <si>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</si>
  <si>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</si>
  <si>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</si>
  <si>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</si>
  <si>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</si>
  <si>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</si>
  <si>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</si>
  <si>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</si>
  <si>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</si>
  <si>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</si>
  <si>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</si>
  <si>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</si>
  <si>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</si>
  <si>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</si>
  <si>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</si>
  <si>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</si>
  <si>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</si>
  <si>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</si>
  <si>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</si>
  <si>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</si>
  <si>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</si>
  <si>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</si>
  <si>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</si>
  <si>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</si>
  <si>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</si>
  <si>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</si>
  <si>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</si>
  <si>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</si>
  <si>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</si>
  <si>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</si>
  <si>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</si>
  <si>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</si>
  <si>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</si>
  <si>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</si>
  <si>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</si>
  <si>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</si>
  <si>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</si>
  <si>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</si>
  <si>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</si>
  <si>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</si>
  <si>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</si>
  <si>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</si>
  <si>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</si>
  <si>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</si>
  <si>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</si>
  <si>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</si>
  <si>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</si>
  <si>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</si>
  <si>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</si>
  <si>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</si>
  <si>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</si>
  <si>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</si>
  <si>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</si>
  <si>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</si>
  <si>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</si>
  <si>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</si>
  <si>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</si>
  <si>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</si>
  <si>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</si>
  <si>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</si>
  <si>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</si>
  <si>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</si>
  <si>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</si>
  <si>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</si>
  <si>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</si>
  <si>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</si>
  <si>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</si>
  <si>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</si>
  <si>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</si>
  <si>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</si>
  <si>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</si>
  <si>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</si>
  <si>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</si>
  <si>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</si>
  <si>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</si>
  <si>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</si>
  <si>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</si>
  <si>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</si>
  <si>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</si>
  <si>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</si>
  <si>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</si>
  <si>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</si>
  <si>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</si>
  <si>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</si>
  <si>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</si>
  <si>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</si>
  <si>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</si>
  <si>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</si>
  <si>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</si>
  <si>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</si>
  <si>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</si>
  <si>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</si>
  <si>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</si>
  <si>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</si>
  <si>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</si>
  <si>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</si>
  <si>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</si>
  <si>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</si>
  <si>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</si>
  <si>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</si>
  <si>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</si>
  <si>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</si>
  <si>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</si>
  <si>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</si>
  <si>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</si>
  <si>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</si>
  <si>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</si>
  <si>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</si>
  <si>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</si>
  <si>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</si>
  <si>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</si>
  <si>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</si>
  <si>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</si>
  <si>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</si>
  <si>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</si>
  <si>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</si>
  <si>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</si>
  <si>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</si>
  <si>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</si>
  <si>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</si>
  <si>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</si>
  <si>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</si>
  <si>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</si>
  <si>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</si>
  <si>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</si>
  <si>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</si>
  <si>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</si>
  <si>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</si>
  <si>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</si>
  <si>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</si>
  <si>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</si>
  <si>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</si>
  <si>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</si>
  <si>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</si>
  <si>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</si>
  <si>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</si>
  <si>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</si>
  <si>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</si>
  <si>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</si>
  <si>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</si>
  <si>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</si>
  <si>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</si>
  <si>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</si>
  <si>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</si>
  <si>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</si>
  <si>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</si>
  <si>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</si>
  <si>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</si>
  <si>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</si>
  <si>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</si>
  <si>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</si>
  <si>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</si>
  <si>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</si>
  <si>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</si>
  <si>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</si>
  <si>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</si>
  <si>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</si>
  <si>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</si>
  <si>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</si>
  <si>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</si>
  <si>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</si>
  <si>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</si>
  <si>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</si>
  <si>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</si>
  <si>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</si>
  <si>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</si>
  <si>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</si>
  <si>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</si>
  <si>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</si>
  <si>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</si>
  <si>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</si>
  <si>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</si>
  <si>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</si>
  <si>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</si>
  <si>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</si>
  <si>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</si>
  <si>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</si>
  <si>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</si>
  <si>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</si>
  <si>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</si>
  <si>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</si>
  <si>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</si>
  <si>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</si>
  <si>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</si>
  <si>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</si>
  <si>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</si>
  <si>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</si>
  <si>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</si>
  <si>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</si>
  <si>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</si>
  <si>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</si>
  <si>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</si>
  <si>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</si>
  <si>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</si>
  <si>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</si>
  <si>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</si>
  <si>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</si>
  <si>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</si>
  <si>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</si>
  <si>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</si>
  <si>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</si>
  <si>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</si>
  <si>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</si>
  <si>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</si>
  <si>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</si>
  <si>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</si>
  <si>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</si>
  <si>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</si>
  <si>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</si>
  <si>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</si>
  <si>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</si>
  <si>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</si>
  <si>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</si>
  <si>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</si>
  <si>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</si>
  <si>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</si>
  <si>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</si>
  <si>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</si>
  <si>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</si>
  <si>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</si>
  <si>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</si>
  <si>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</si>
  <si>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</si>
  <si>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</si>
  <si>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</si>
  <si>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</si>
  <si>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</si>
  <si>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</si>
  <si>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</si>
  <si>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</si>
  <si>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</si>
  <si>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</si>
  <si>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</si>
  <si>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</si>
  <si>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</si>
  <si>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</si>
  <si>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</si>
  <si>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</si>
  <si>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</si>
  <si>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</si>
  <si>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</si>
  <si>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</si>
  <si>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</si>
  <si>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</si>
  <si>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</si>
  <si>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</si>
  <si>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</si>
  <si>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</si>
  <si>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</si>
  <si>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</si>
  <si>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</si>
  <si>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</si>
  <si>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</si>
  <si>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</si>
  <si>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</si>
  <si>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</si>
  <si>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</si>
  <si>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</si>
  <si>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</si>
  <si>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</si>
  <si>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</si>
  <si>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</si>
  <si>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</si>
  <si>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</si>
  <si>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</si>
  <si>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</si>
  <si>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</si>
  <si>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</si>
  <si>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</si>
  <si>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</si>
  <si>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</si>
  <si>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</si>
  <si>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</si>
  <si>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</si>
  <si>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</si>
  <si>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</si>
  <si>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</si>
  <si>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</si>
  <si>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</si>
  <si>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</si>
  <si>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</si>
  <si>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</si>
  <si>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</si>
  <si>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</si>
  <si>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</si>
  <si>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</si>
  <si>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</si>
  <si>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</si>
  <si>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</si>
  <si>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</si>
  <si>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</si>
  <si>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</si>
  <si>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</si>
  <si>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</si>
  <si>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</si>
  <si>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</si>
  <si>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</si>
  <si>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</si>
  <si>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</si>
  <si>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</si>
  <si>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</si>
  <si>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</si>
  <si>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</si>
  <si>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</si>
  <si>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</si>
  <si>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</si>
  <si>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</si>
  <si>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</si>
  <si>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</si>
  <si>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</si>
  <si>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</si>
  <si>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</si>
  <si>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</si>
  <si>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</si>
  <si>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</si>
  <si>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</si>
  <si>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</si>
  <si>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</si>
  <si>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</si>
  <si>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</si>
  <si>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</si>
  <si>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</si>
  <si>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</si>
  <si>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</si>
  <si>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</si>
  <si>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</si>
  <si>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</si>
  <si>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</si>
  <si>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</si>
  <si>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</si>
  <si>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</si>
  <si>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</si>
  <si>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</si>
  <si>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</si>
  <si>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</si>
  <si>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</si>
  <si>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</si>
  <si>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</si>
  <si>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</si>
  <si>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</si>
  <si>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</si>
  <si>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</si>
  <si>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</si>
  <si>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</si>
  <si>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</si>
  <si>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</si>
  <si>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</si>
  <si>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</si>
  <si>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</si>
  <si>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</si>
  <si>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</si>
  <si>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</si>
  <si>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</si>
  <si>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</si>
  <si>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</si>
  <si>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</si>
  <si>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</si>
  <si>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</si>
  <si>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</si>
  <si>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</si>
  <si>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</si>
  <si>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</si>
  <si>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</si>
  <si>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</si>
  <si>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</si>
  <si>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</si>
  <si>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</si>
  <si>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</si>
  <si>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</si>
  <si>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</si>
  <si>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</si>
  <si>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</si>
  <si>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</si>
  <si>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</si>
  <si>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</si>
  <si>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</si>
  <si>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</si>
  <si>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</si>
  <si>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</si>
  <si>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</si>
  <si>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</si>
  <si>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</si>
  <si>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</si>
  <si>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</si>
  <si>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</si>
  <si>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</si>
  <si>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</si>
  <si>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</si>
  <si>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</si>
  <si>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</si>
  <si>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</si>
  <si>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</si>
  <si>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</si>
  <si>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</si>
  <si>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</si>
  <si>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</si>
  <si>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</si>
  <si>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</si>
  <si>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</si>
  <si>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</si>
  <si>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</si>
  <si>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</si>
  <si>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</si>
  <si>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</si>
  <si>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</si>
  <si>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</si>
  <si>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</si>
  <si>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</si>
  <si>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</si>
  <si>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</si>
  <si>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</si>
  <si>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</si>
  <si>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</si>
  <si>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</si>
  <si>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</si>
  <si>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</si>
  <si>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</si>
  <si>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</si>
  <si>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</si>
  <si>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</si>
  <si>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</si>
  <si>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</si>
  <si>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</si>
  <si>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</si>
  <si>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</si>
  <si>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</si>
  <si>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</si>
  <si>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</si>
  <si>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</si>
  <si>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</si>
  <si>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</si>
  <si>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</si>
  <si>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</si>
  <si>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</si>
  <si>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</si>
  <si>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</si>
  <si>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</si>
  <si>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</si>
  <si>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</si>
  <si>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</si>
  <si>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</si>
  <si>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</si>
  <si>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</si>
  <si>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</si>
  <si>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</si>
  <si>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</si>
  <si>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</si>
  <si>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</si>
  <si>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</si>
  <si>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</si>
  <si>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</si>
  <si>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</si>
  <si>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</si>
  <si>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</si>
  <si>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</si>
  <si>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</si>
  <si>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</si>
  <si>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</si>
  <si>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</si>
  <si>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</si>
  <si>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</si>
  <si>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</si>
  <si>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</si>
  <si>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</si>
  <si>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</si>
  <si>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</si>
  <si>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</si>
  <si>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</si>
  <si>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</si>
  <si>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</si>
  <si>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</si>
  <si>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</si>
  <si>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</si>
  <si>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</si>
  <si>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</si>
  <si>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</si>
  <si>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</si>
  <si>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</si>
  <si>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</si>
  <si>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</si>
  <si>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</si>
  <si>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</si>
  <si>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</si>
  <si>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</si>
  <si>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</si>
  <si>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</si>
  <si>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</si>
  <si>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</si>
  <si>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</si>
  <si>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</si>
  <si>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</si>
  <si>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</si>
  <si>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</si>
  <si>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</si>
  <si>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</si>
  <si>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</si>
  <si>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</si>
  <si>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</si>
  <si>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</si>
  <si>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</si>
  <si>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</si>
  <si>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</si>
  <si>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</si>
  <si>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</si>
  <si>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</si>
  <si>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</si>
  <si>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</si>
  <si>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</si>
  <si>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</si>
  <si>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</si>
  <si>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</si>
  <si>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</si>
  <si>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</si>
  <si>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</si>
  <si>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</si>
  <si>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</si>
  <si>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</si>
  <si>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</si>
  <si>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</si>
  <si>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</si>
  <si>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</si>
  <si>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</si>
  <si>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</si>
  <si>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</si>
  <si>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</si>
  <si>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</si>
  <si>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</si>
  <si>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</si>
  <si>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</si>
  <si>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</si>
  <si>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</si>
  <si>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</si>
  <si>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</si>
  <si>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</si>
  <si>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</si>
  <si>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</si>
  <si>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</si>
  <si>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</si>
  <si>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</si>
  <si>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</si>
  <si>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</si>
  <si>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</si>
  <si>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</si>
  <si>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</si>
  <si>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</si>
  <si>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</si>
  <si>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</si>
  <si>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</si>
  <si>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</si>
  <si>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</si>
  <si>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</si>
  <si>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</si>
  <si>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</si>
  <si>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</si>
  <si>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</si>
  <si>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</si>
  <si>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</si>
  <si>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</si>
  <si>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</si>
  <si>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</si>
  <si>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</si>
  <si>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</si>
  <si>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</si>
  <si>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</si>
  <si>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</si>
  <si>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</si>
  <si>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</si>
  <si>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</si>
  <si>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</si>
  <si>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</si>
  <si>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</si>
  <si>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</si>
  <si>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</si>
  <si>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</si>
  <si>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</si>
  <si>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</si>
  <si>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</si>
  <si>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</si>
  <si>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</si>
  <si>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</si>
  <si>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</si>
  <si>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</si>
  <si>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</si>
  <si>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</si>
  <si>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</si>
  <si>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</si>
  <si>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</si>
  <si>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</si>
  <si>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</si>
  <si>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</si>
  <si>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</si>
  <si>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</si>
  <si>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</si>
  <si>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</si>
  <si>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</si>
  <si>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</si>
  <si>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</si>
  <si>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</si>
  <si>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</si>
  <si>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</si>
  <si>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</si>
  <si>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</si>
  <si>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</si>
  <si>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</si>
  <si>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</si>
  <si>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istanbul tokat topçam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</si>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</sst>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8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4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177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77" fontId="0" fillId="0" borderId="0" xfId="0" applyNumberFormat="1" applyFont="1"/>
    <xf numFmtId="188" fontId="0" fillId="0" borderId="0" xfId="0" applyNumberForma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"/>
  <sheetViews>
    <sheetView topLeftCell="A52" zoomScale="130" zoomScaleNormal="130" workbookViewId="0">
      <selection activeCell="H36" sqref="H36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69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20" t="s">
        <v>1405</v>
      </c>
      <c r="C35" s="321"/>
      <c r="D35" s="322">
        <v>1466500</v>
      </c>
      <c r="E35" s="323"/>
      <c r="F35" s="324">
        <f>D35-E35</f>
        <v>1466500</v>
      </c>
    </row>
    <row r="36" spans="1:6">
      <c r="B36" s="325"/>
      <c r="D36" s="2">
        <v>11631</v>
      </c>
      <c r="E36" s="9"/>
      <c r="F36" s="326">
        <f t="shared" si="0"/>
        <v>1478131</v>
      </c>
    </row>
    <row r="37" spans="1:6">
      <c r="B37" s="325"/>
      <c r="D37" s="2">
        <v>15500</v>
      </c>
      <c r="E37" s="9"/>
      <c r="F37" s="326">
        <f t="shared" si="0"/>
        <v>1493631</v>
      </c>
    </row>
    <row r="38" spans="1:6" ht="13.5" thickBot="1">
      <c r="B38" s="328" t="s">
        <v>1422</v>
      </c>
      <c r="C38" s="329"/>
      <c r="D38" s="330"/>
      <c r="E38" s="331"/>
      <c r="F38" s="332">
        <f t="shared" si="0"/>
        <v>1493631</v>
      </c>
    </row>
    <row r="39" spans="1:6" ht="13.5" thickBot="1">
      <c r="E39" s="9"/>
      <c r="F39" s="327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1434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>
        <v>6500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1403</v>
      </c>
      <c r="E58" s="2">
        <v>36500</v>
      </c>
      <c r="F58" s="2">
        <f>F57+D58-E58</f>
        <v>365000</v>
      </c>
    </row>
    <row r="59" spans="1:6">
      <c r="A59" s="1">
        <v>45580</v>
      </c>
      <c r="B59" t="s">
        <v>38</v>
      </c>
      <c r="C59" t="s">
        <v>1403</v>
      </c>
      <c r="E59" s="2">
        <v>36500</v>
      </c>
      <c r="F59" s="2">
        <f t="shared" si="0"/>
        <v>328500</v>
      </c>
    </row>
    <row r="60" spans="1:6">
      <c r="A60" s="1">
        <v>45611</v>
      </c>
      <c r="B60" t="s">
        <v>39</v>
      </c>
      <c r="C60" t="s">
        <v>1403</v>
      </c>
      <c r="E60" s="2">
        <v>36500</v>
      </c>
      <c r="F60" s="2">
        <f t="shared" si="0"/>
        <v>292000</v>
      </c>
    </row>
    <row r="61" spans="1:6">
      <c r="A61" s="1">
        <v>45641</v>
      </c>
      <c r="B61" t="s">
        <v>40</v>
      </c>
      <c r="C61" t="s">
        <v>1403</v>
      </c>
      <c r="E61" s="2">
        <v>36500</v>
      </c>
      <c r="F61" s="2">
        <f t="shared" si="0"/>
        <v>255500</v>
      </c>
    </row>
    <row r="62" spans="1:6">
      <c r="A62" s="1">
        <v>45672</v>
      </c>
      <c r="B62" t="s">
        <v>41</v>
      </c>
      <c r="C62" t="s">
        <v>1403</v>
      </c>
      <c r="E62" s="2">
        <v>36500</v>
      </c>
      <c r="F62" s="2">
        <f t="shared" si="0"/>
        <v>219000</v>
      </c>
    </row>
    <row r="63" spans="1:6">
      <c r="A63" s="1">
        <v>45703</v>
      </c>
      <c r="B63" t="s">
        <v>42</v>
      </c>
      <c r="C63" t="s">
        <v>1403</v>
      </c>
      <c r="E63" s="2">
        <v>36500</v>
      </c>
      <c r="F63" s="2">
        <f t="shared" si="0"/>
        <v>182500</v>
      </c>
    </row>
    <row r="64" spans="1:6">
      <c r="A64" s="1">
        <v>45731</v>
      </c>
      <c r="B64" t="s">
        <v>43</v>
      </c>
      <c r="C64" t="s">
        <v>1403</v>
      </c>
      <c r="E64" s="2">
        <v>36500</v>
      </c>
      <c r="F64" s="2">
        <f t="shared" si="0"/>
        <v>146000</v>
      </c>
    </row>
    <row r="65" spans="1:6">
      <c r="A65" s="1">
        <v>45762</v>
      </c>
      <c r="B65" t="s">
        <v>44</v>
      </c>
      <c r="C65" t="s">
        <v>1403</v>
      </c>
      <c r="E65" s="2">
        <v>36500</v>
      </c>
      <c r="F65" s="2">
        <f t="shared" si="0"/>
        <v>109500</v>
      </c>
    </row>
    <row r="66" spans="1:6">
      <c r="A66" s="1">
        <v>45792</v>
      </c>
      <c r="B66" t="s">
        <v>45</v>
      </c>
      <c r="C66" t="s">
        <v>1403</v>
      </c>
      <c r="E66" s="2">
        <v>36500</v>
      </c>
      <c r="F66" s="2">
        <f t="shared" si="0"/>
        <v>73000</v>
      </c>
    </row>
    <row r="67" spans="1:6">
      <c r="A67" s="1">
        <v>45823</v>
      </c>
      <c r="B67" t="s">
        <v>46</v>
      </c>
      <c r="C67" t="s">
        <v>1403</v>
      </c>
      <c r="E67" s="2">
        <v>36500</v>
      </c>
      <c r="F67" s="2">
        <f t="shared" si="0"/>
        <v>36500</v>
      </c>
    </row>
    <row r="68" spans="1:6">
      <c r="A68" s="1">
        <v>45853</v>
      </c>
      <c r="B68" t="s">
        <v>47</v>
      </c>
      <c r="C68" t="s">
        <v>1403</v>
      </c>
      <c r="E68" s="2">
        <v>36500</v>
      </c>
      <c r="F68" s="2">
        <f t="shared" si="0"/>
        <v>0</v>
      </c>
    </row>
    <row r="69" spans="1:6">
      <c r="F69" s="2">
        <f t="shared" si="0"/>
        <v>0</v>
      </c>
    </row>
    <row r="76" spans="1:6">
      <c r="B76" t="s">
        <v>48</v>
      </c>
      <c r="D76" s="2">
        <v>1466500</v>
      </c>
      <c r="F76" s="2">
        <f t="shared" ref="F76:F81" si="1">F75+D76-E76</f>
        <v>1466500</v>
      </c>
    </row>
    <row r="77" spans="1:6">
      <c r="B77" t="s">
        <v>35</v>
      </c>
      <c r="D77" s="2">
        <v>11631</v>
      </c>
      <c r="F77" s="2">
        <f t="shared" si="1"/>
        <v>1478131</v>
      </c>
    </row>
    <row r="78" spans="1:6">
      <c r="B78" t="s">
        <v>49</v>
      </c>
      <c r="D78" s="2">
        <v>15500</v>
      </c>
      <c r="F78" s="2">
        <f t="shared" si="1"/>
        <v>1493631</v>
      </c>
    </row>
    <row r="79" spans="1:6">
      <c r="F79" s="2">
        <f t="shared" si="1"/>
        <v>1493631</v>
      </c>
    </row>
    <row r="80" spans="1:6">
      <c r="F80" s="2">
        <f t="shared" si="1"/>
        <v>1493631</v>
      </c>
    </row>
    <row r="81" spans="2:6">
      <c r="B81" s="3" t="s">
        <v>50</v>
      </c>
      <c r="C81" s="3"/>
      <c r="D81" s="13"/>
      <c r="E81" s="13"/>
      <c r="F81" s="13">
        <f t="shared" si="1"/>
        <v>1493631</v>
      </c>
    </row>
    <row r="83" spans="2:6">
      <c r="B83" s="292" t="s">
        <v>1414</v>
      </c>
      <c r="C83" s="292" t="s">
        <v>1415</v>
      </c>
      <c r="D83" s="318"/>
      <c r="E83" s="319" t="s">
        <v>1416</v>
      </c>
      <c r="F83" s="319" t="s">
        <v>679</v>
      </c>
    </row>
    <row r="84" spans="2:6">
      <c r="F84" s="14">
        <f>F81+D84-E84</f>
        <v>1493631</v>
      </c>
    </row>
    <row r="85" spans="2:6">
      <c r="F85" s="2">
        <f>F84-E85</f>
        <v>1493631</v>
      </c>
    </row>
    <row r="86" spans="2:6">
      <c r="B86" t="s">
        <v>1424</v>
      </c>
      <c r="C86" t="s">
        <v>1420</v>
      </c>
      <c r="E86" s="2">
        <f>E44+E45</f>
        <v>134783.84</v>
      </c>
      <c r="F86" s="2">
        <f t="shared" ref="F86:F99" si="2">F85-E86</f>
        <v>1358847.16</v>
      </c>
    </row>
    <row r="87" spans="2:6">
      <c r="F87" s="2">
        <f t="shared" si="2"/>
        <v>1358847.16</v>
      </c>
    </row>
    <row r="88" spans="2:6">
      <c r="B88" t="s">
        <v>51</v>
      </c>
      <c r="C88" t="s">
        <v>93</v>
      </c>
      <c r="E88" s="2">
        <v>100000</v>
      </c>
      <c r="F88" s="2">
        <f t="shared" si="2"/>
        <v>1258847.1599999999</v>
      </c>
    </row>
    <row r="89" spans="2:6">
      <c r="F89" s="2">
        <f t="shared" si="2"/>
        <v>1258847.1599999999</v>
      </c>
    </row>
    <row r="90" spans="2:6">
      <c r="B90" t="s">
        <v>1412</v>
      </c>
      <c r="C90" t="s">
        <v>76</v>
      </c>
      <c r="E90" s="2">
        <v>11631</v>
      </c>
      <c r="F90" s="2">
        <f t="shared" si="2"/>
        <v>1247216.1599999999</v>
      </c>
    </row>
    <row r="91" spans="2:6" ht="13.5" thickBot="1">
      <c r="B91" t="s">
        <v>1413</v>
      </c>
      <c r="C91" t="s">
        <v>76</v>
      </c>
      <c r="E91" s="2">
        <v>15500</v>
      </c>
      <c r="F91" s="2">
        <f t="shared" si="2"/>
        <v>1231716.1599999999</v>
      </c>
    </row>
    <row r="92" spans="2:6" ht="13.5" thickBot="1">
      <c r="B92" s="333"/>
      <c r="C92" s="334"/>
      <c r="D92" s="335" t="s">
        <v>1427</v>
      </c>
      <c r="E92" s="327">
        <f>SUM(E86:E91)</f>
        <v>261914.84</v>
      </c>
    </row>
    <row r="94" spans="2:6">
      <c r="F94" s="13">
        <f>F91-E94</f>
        <v>1231716.1599999999</v>
      </c>
    </row>
    <row r="95" spans="2:6">
      <c r="B95" t="s">
        <v>53</v>
      </c>
      <c r="C95" t="s">
        <v>1418</v>
      </c>
      <c r="E95" s="2">
        <v>84313</v>
      </c>
      <c r="F95" s="2">
        <f t="shared" si="2"/>
        <v>1147403.1599999999</v>
      </c>
    </row>
    <row r="96" spans="2:6">
      <c r="B96" t="s">
        <v>1417</v>
      </c>
      <c r="C96" t="s">
        <v>1418</v>
      </c>
      <c r="E96" s="2">
        <v>68000</v>
      </c>
      <c r="F96" s="2">
        <f t="shared" si="2"/>
        <v>1079403.1599999999</v>
      </c>
    </row>
    <row r="97" spans="2:6">
      <c r="B97" t="s">
        <v>52</v>
      </c>
      <c r="C97" t="s">
        <v>1418</v>
      </c>
      <c r="E97" s="2">
        <f>F33*-1</f>
        <v>91403.16</v>
      </c>
      <c r="F97" s="2">
        <f t="shared" si="2"/>
        <v>987999.99999999988</v>
      </c>
    </row>
    <row r="98" spans="2:6">
      <c r="B98" t="s">
        <v>1419</v>
      </c>
      <c r="C98" t="s">
        <v>1418</v>
      </c>
      <c r="E98" s="2">
        <v>550000</v>
      </c>
      <c r="F98" s="2">
        <f t="shared" si="2"/>
        <v>437999.99999999988</v>
      </c>
    </row>
    <row r="99" spans="2:6" ht="13.5" thickBot="1">
      <c r="B99" t="s">
        <v>1425</v>
      </c>
      <c r="C99" t="s">
        <v>1418</v>
      </c>
      <c r="E99" s="2">
        <v>438000</v>
      </c>
      <c r="F99" s="2">
        <f t="shared" si="2"/>
        <v>0</v>
      </c>
    </row>
    <row r="100" spans="2:6" ht="13.5" thickBot="1">
      <c r="B100" s="333"/>
      <c r="C100" s="334"/>
      <c r="D100" s="335" t="s">
        <v>1426</v>
      </c>
      <c r="E100" s="327">
        <f>SUM(E95:E99)</f>
        <v>1231716.1600000001</v>
      </c>
    </row>
    <row r="117" spans="2:6">
      <c r="B117" t="s">
        <v>1428</v>
      </c>
    </row>
    <row r="119" spans="2:6">
      <c r="F119" s="2">
        <f t="shared" ref="F119:F124" si="3">F118+D119-E119</f>
        <v>0</v>
      </c>
    </row>
    <row r="120" spans="2:6">
      <c r="B120" t="s">
        <v>54</v>
      </c>
      <c r="D120" s="2">
        <v>50000</v>
      </c>
      <c r="F120" s="2">
        <f t="shared" si="3"/>
        <v>50000</v>
      </c>
    </row>
    <row r="121" spans="2:6">
      <c r="B121" t="s">
        <v>55</v>
      </c>
      <c r="D121" s="2">
        <v>140000</v>
      </c>
      <c r="F121" s="2">
        <f t="shared" si="3"/>
        <v>190000</v>
      </c>
    </row>
    <row r="122" spans="2:6">
      <c r="B122" t="s">
        <v>56</v>
      </c>
      <c r="D122" s="2">
        <v>195000</v>
      </c>
      <c r="F122" s="2">
        <f t="shared" si="3"/>
        <v>385000</v>
      </c>
    </row>
    <row r="123" spans="2:6">
      <c r="B123" t="s">
        <v>112</v>
      </c>
      <c r="E123" s="2">
        <v>310000</v>
      </c>
      <c r="F123" s="2">
        <f t="shared" si="3"/>
        <v>75000</v>
      </c>
    </row>
    <row r="124" spans="2:6">
      <c r="B124" s="3" t="s">
        <v>1430</v>
      </c>
      <c r="C124" s="3"/>
      <c r="D124" s="13"/>
      <c r="E124" s="13"/>
      <c r="F124" s="13">
        <f t="shared" si="3"/>
        <v>75000</v>
      </c>
    </row>
    <row r="125" spans="2:6">
      <c r="B125" s="3" t="s">
        <v>1431</v>
      </c>
      <c r="C125" s="3"/>
      <c r="D125" s="13">
        <f>E86-F123</f>
        <v>59783.839999999997</v>
      </c>
      <c r="F125" s="2">
        <f t="shared" ref="F125" si="4">F123+D125-E125</f>
        <v>134783.84</v>
      </c>
    </row>
    <row r="126" spans="2:6">
      <c r="E126" s="70" t="s">
        <v>1429</v>
      </c>
      <c r="F126" s="13">
        <f>F125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70" zoomScaleNormal="170" workbookViewId="0">
      <selection activeCell="J22" sqref="J22"/>
    </sheetView>
  </sheetViews>
  <sheetFormatPr defaultColWidth="8.5703125" defaultRowHeight="12.75"/>
  <cols>
    <col min="1" max="1" width="7.140625" customWidth="1"/>
    <col min="2" max="2" width="14.140625" customWidth="1"/>
    <col min="3" max="3" width="13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38" t="s">
        <v>118</v>
      </c>
      <c r="M1" s="338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 t="e">
        <f>E19/1000</f>
        <v>#REF!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171984.15</v>
      </c>
      <c r="C11" s="34">
        <f>'09_24'!E2</f>
        <v>-81346.3</v>
      </c>
      <c r="D11" s="35">
        <f t="shared" si="0"/>
        <v>208578.56630699994</v>
      </c>
      <c r="E11" s="34">
        <f>'09_24'!F2</f>
        <v>0</v>
      </c>
      <c r="F11" s="34">
        <f>'09_24'!G2</f>
        <v>-48796.14</v>
      </c>
      <c r="G11" s="35">
        <f t="shared" si="1"/>
        <v>-64263.933692999984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'09_24'!E121/1000</f>
        <v>0</v>
      </c>
    </row>
    <row r="12" spans="1:14">
      <c r="A12" t="s">
        <v>143</v>
      </c>
      <c r="B12" s="34">
        <f>'10_24'!D2</f>
        <v>147984.15</v>
      </c>
      <c r="C12" s="34">
        <f>'10_24'!E2</f>
        <v>-303529.26</v>
      </c>
      <c r="D12" s="35">
        <f t="shared" si="0"/>
        <v>53033.456306999928</v>
      </c>
      <c r="E12" s="34">
        <f>'10_24'!F2</f>
        <v>0</v>
      </c>
      <c r="F12" s="34">
        <f>'10_24'!G2</f>
        <v>0</v>
      </c>
      <c r="G12" s="35">
        <f t="shared" si="1"/>
        <v>-64263.933692999984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'10_24'!E129/1000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-55085.760000000002</v>
      </c>
      <c r="D13" s="35">
        <f t="shared" si="0"/>
        <v>275931.84630699991</v>
      </c>
      <c r="E13" s="34">
        <f>'11_24'!F2</f>
        <v>0</v>
      </c>
      <c r="F13" s="34">
        <f>'11_24'!G2</f>
        <v>0</v>
      </c>
      <c r="G13" s="35">
        <f t="shared" si="1"/>
        <v>-64263.933692999984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249355.97630699992</v>
      </c>
      <c r="E14" s="34">
        <f>'12_24'!F2</f>
        <v>0</v>
      </c>
      <c r="F14" s="34">
        <f>'12_24'!G2</f>
        <v>0</v>
      </c>
      <c r="G14" s="35">
        <f t="shared" si="1"/>
        <v>-64263.933692999984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1343485.35</v>
      </c>
      <c r="C15" s="35">
        <f>SUM(C3:C14)</f>
        <v>-1094129.3736930001</v>
      </c>
      <c r="D15" s="35">
        <f>B15+C15</f>
        <v>249355.97630700003</v>
      </c>
      <c r="E15" s="35">
        <f>SUM(E3:E14)</f>
        <v>662396.10000000009</v>
      </c>
      <c r="F15" s="35">
        <f>SUM(F3:F14)</f>
        <v>-726660.03369299998</v>
      </c>
      <c r="G15" s="35">
        <f>E15+F15</f>
        <v>-64263.933692999883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 t="e">
        <f>M10+M8+M6+M5+M3+M7</f>
        <v>#REF!</v>
      </c>
    </row>
    <row r="16" spans="1:14">
      <c r="A16" s="55">
        <v>12</v>
      </c>
      <c r="B16" s="56">
        <f>B15/A16</f>
        <v>111957.1125</v>
      </c>
      <c r="C16" s="57">
        <f>C15/A16</f>
        <v>-91177.44780775001</v>
      </c>
      <c r="D16" s="57"/>
      <c r="E16" s="57">
        <f>E15/A16</f>
        <v>55199.67500000001</v>
      </c>
      <c r="F16" s="57">
        <f>F15/A16</f>
        <v>-60555.002807749996</v>
      </c>
      <c r="G16" s="57">
        <f>G15/A16</f>
        <v>-5355.3278077499899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 t="e">
        <f>M15/12</f>
        <v>#REF!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39" t="e">
        <f>L15+M15</f>
        <v>#REF!</v>
      </c>
      <c r="M17" s="339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 t="e">
        <f>L17/12</f>
        <v>#REF!</v>
      </c>
    </row>
    <row r="19" spans="2:13">
      <c r="C19" s="10"/>
      <c r="D19" s="69" t="s">
        <v>152</v>
      </c>
      <c r="E19" s="9" t="e">
        <f>'07_24'!F29+'08_24'!F19+'09_24'!#REF!+'10_24'!F24+'11_24'!F24+'12_24'!F29</f>
        <v>#REF!</v>
      </c>
    </row>
    <row r="20" spans="2:13">
      <c r="D20" s="70" t="s">
        <v>153</v>
      </c>
      <c r="E20" s="13" t="e">
        <f>SUM(E18:E19)</f>
        <v>#REF!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topLeftCell="A36"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41">
        <v>45655</v>
      </c>
      <c r="B39" t="s">
        <v>1452</v>
      </c>
      <c r="C39" t="s">
        <v>1455</v>
      </c>
      <c r="E39" s="85">
        <v>-1380</v>
      </c>
    </row>
    <row r="40" spans="1:8">
      <c r="A40" s="341">
        <v>45686</v>
      </c>
      <c r="B40" t="s">
        <v>1452</v>
      </c>
      <c r="C40" t="s">
        <v>1454</v>
      </c>
      <c r="E40" s="85">
        <v>-1380</v>
      </c>
    </row>
    <row r="41" spans="1:8">
      <c r="A41" s="341">
        <v>45716</v>
      </c>
      <c r="B41" t="s">
        <v>1452</v>
      </c>
      <c r="C41" t="s">
        <v>1456</v>
      </c>
      <c r="E41" s="85">
        <v>-1380</v>
      </c>
    </row>
    <row r="42" spans="1:8">
      <c r="A42" s="341">
        <v>45745</v>
      </c>
      <c r="B42" t="s">
        <v>1452</v>
      </c>
      <c r="C42" t="s">
        <v>1457</v>
      </c>
      <c r="E42" s="85">
        <v>-1380</v>
      </c>
    </row>
    <row r="43" spans="1:8">
      <c r="A43" s="341">
        <v>45776</v>
      </c>
      <c r="B43" t="s">
        <v>1452</v>
      </c>
      <c r="C43" t="s">
        <v>1458</v>
      </c>
      <c r="E43" s="85">
        <v>-1380</v>
      </c>
    </row>
    <row r="44" spans="1:8">
      <c r="A44" s="341"/>
    </row>
    <row r="45" spans="1:8">
      <c r="A45" s="336"/>
    </row>
    <row r="46" spans="1:8">
      <c r="A46" s="336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abSelected="1" topLeftCell="A29" zoomScale="170" zoomScaleNormal="170" workbookViewId="0">
      <selection activeCell="B35" sqref="B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-55085.760000000002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0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6">
        <v>45625</v>
      </c>
      <c r="B21" t="s">
        <v>1452</v>
      </c>
      <c r="C21" t="s">
        <v>1459</v>
      </c>
      <c r="E21" s="85">
        <v>-1380</v>
      </c>
      <c r="H21" s="85">
        <f t="shared" si="0"/>
        <v>0</v>
      </c>
    </row>
    <row r="22" spans="1:8">
      <c r="A22" s="336">
        <v>45626</v>
      </c>
      <c r="B22" s="88" t="s">
        <v>1461</v>
      </c>
      <c r="E22" s="85">
        <v>-1415</v>
      </c>
    </row>
    <row r="23" spans="1:8">
      <c r="A23" s="336">
        <v>45626</v>
      </c>
      <c r="B23" s="88" t="s">
        <v>1462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0</v>
      </c>
    </row>
    <row r="68" spans="1:5">
      <c r="A68" s="97"/>
      <c r="B68" s="94"/>
      <c r="C68" s="94"/>
    </row>
    <row r="69" spans="1:5">
      <c r="A69" s="97"/>
      <c r="B69" s="94"/>
      <c r="C69" s="94"/>
    </row>
    <row r="70" spans="1:5">
      <c r="A70" s="97"/>
      <c r="B70" s="3"/>
      <c r="C70" s="94"/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9" zoomScale="170" zoomScaleNormal="170" workbookViewId="0">
      <selection activeCell="A22" sqref="A22:XFD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SUM(D4:D34)</f>
        <v>147984.15</v>
      </c>
      <c r="E2" s="85">
        <f>SUM(E4:E34)</f>
        <v>-303529.26</v>
      </c>
      <c r="F2" s="85">
        <f>SUM(F4:F34)</f>
        <v>0</v>
      </c>
      <c r="G2" s="85">
        <f>SUM(G4:G34)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2" si="0">H6+F7+G7</f>
        <v>0</v>
      </c>
    </row>
    <row r="8" spans="1:8">
      <c r="B8" s="88" t="s">
        <v>248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E45*-1</f>
        <v>0</v>
      </c>
      <c r="H14" s="85">
        <f t="shared" si="0"/>
        <v>0</v>
      </c>
    </row>
    <row r="15" spans="1:8">
      <c r="B15" s="95" t="s">
        <v>213</v>
      </c>
      <c r="E15" s="85">
        <f>E50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E65</f>
        <v>0</v>
      </c>
      <c r="H16" s="85">
        <f t="shared" si="0"/>
        <v>0</v>
      </c>
    </row>
    <row r="17" spans="1:8">
      <c r="A17" s="97"/>
      <c r="B17" s="88" t="s">
        <v>249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B21" t="s">
        <v>250</v>
      </c>
      <c r="E21" s="85">
        <v>-250000</v>
      </c>
      <c r="H21" s="85">
        <f t="shared" si="0"/>
        <v>0</v>
      </c>
    </row>
    <row r="22" spans="1:8">
      <c r="A22" s="336">
        <v>45594</v>
      </c>
      <c r="B22" t="s">
        <v>1452</v>
      </c>
      <c r="C22" t="s">
        <v>1460</v>
      </c>
      <c r="E22" s="85">
        <v>-1380</v>
      </c>
      <c r="H22" s="85">
        <f t="shared" si="0"/>
        <v>0</v>
      </c>
    </row>
    <row r="23" spans="1:8">
      <c r="H23" s="85">
        <f t="shared" si="0"/>
        <v>0</v>
      </c>
    </row>
    <row r="24" spans="1:8">
      <c r="B24" t="s">
        <v>84</v>
      </c>
      <c r="E24" s="85">
        <v>-6500</v>
      </c>
      <c r="H24" s="85">
        <f t="shared" si="0"/>
        <v>0</v>
      </c>
    </row>
    <row r="25" spans="1:8">
      <c r="B25" t="s">
        <v>172</v>
      </c>
      <c r="E25" s="85">
        <v>-6500</v>
      </c>
      <c r="H25" s="85">
        <f t="shared" si="0"/>
        <v>0</v>
      </c>
    </row>
    <row r="26" spans="1:8">
      <c r="B26" t="s">
        <v>217</v>
      </c>
      <c r="E26" s="85">
        <v>-6500</v>
      </c>
      <c r="H26" s="85">
        <f t="shared" si="0"/>
        <v>0</v>
      </c>
    </row>
    <row r="27" spans="1:8">
      <c r="H27" s="85">
        <f t="shared" si="0"/>
        <v>0</v>
      </c>
    </row>
    <row r="28" spans="1:8">
      <c r="B28" t="s">
        <v>218</v>
      </c>
      <c r="D28" s="86">
        <v>12984.15</v>
      </c>
      <c r="H28" s="85">
        <f t="shared" si="0"/>
        <v>0</v>
      </c>
    </row>
    <row r="29" spans="1:8">
      <c r="A29" s="97"/>
      <c r="B29" t="s">
        <v>219</v>
      </c>
      <c r="H29" s="85">
        <f t="shared" si="0"/>
        <v>0</v>
      </c>
    </row>
    <row r="30" spans="1:8">
      <c r="A30" s="97"/>
      <c r="B30" t="s">
        <v>251</v>
      </c>
      <c r="D30" s="85">
        <v>15000</v>
      </c>
      <c r="H30" s="85">
        <f t="shared" si="0"/>
        <v>0</v>
      </c>
    </row>
    <row r="31" spans="1:8">
      <c r="A31" s="97"/>
      <c r="H31" s="85">
        <f t="shared" si="0"/>
        <v>0</v>
      </c>
    </row>
    <row r="32" spans="1:8">
      <c r="B32" t="s">
        <v>252</v>
      </c>
      <c r="C32" s="98">
        <v>0.234011</v>
      </c>
      <c r="D32" s="85">
        <v>120000</v>
      </c>
      <c r="H32" s="85">
        <f t="shared" si="0"/>
        <v>0</v>
      </c>
    </row>
    <row r="34" spans="1:5" ht="15.75">
      <c r="B34" s="99"/>
    </row>
    <row r="36" spans="1:5">
      <c r="B36" t="s">
        <v>222</v>
      </c>
    </row>
    <row r="37" spans="1:5">
      <c r="A37" s="78" t="s">
        <v>223</v>
      </c>
      <c r="B37" s="78"/>
      <c r="C37" s="78"/>
    </row>
    <row r="38" spans="1:5">
      <c r="A38" s="97"/>
      <c r="C38" s="98"/>
    </row>
    <row r="39" spans="1:5">
      <c r="A39" s="100">
        <v>44929</v>
      </c>
      <c r="B39" s="101" t="s">
        <v>224</v>
      </c>
      <c r="C39" s="78"/>
      <c r="D39" s="85">
        <f>SUM(D40:D45)</f>
        <v>0</v>
      </c>
      <c r="E39" s="85">
        <f>SUM(E40:E45)</f>
        <v>0</v>
      </c>
    </row>
    <row r="40" spans="1:5">
      <c r="A40" s="97"/>
      <c r="B40" s="94" t="s">
        <v>225</v>
      </c>
    </row>
    <row r="41" spans="1:5">
      <c r="B41" t="s">
        <v>226</v>
      </c>
    </row>
    <row r="42" spans="1:5">
      <c r="B42" t="s">
        <v>227</v>
      </c>
    </row>
    <row r="43" spans="1:5">
      <c r="B43" t="s">
        <v>228</v>
      </c>
    </row>
    <row r="44" spans="1:5">
      <c r="B44" t="s">
        <v>229</v>
      </c>
    </row>
    <row r="45" spans="1:5">
      <c r="B45" t="s">
        <v>230</v>
      </c>
      <c r="C45" s="94"/>
    </row>
    <row r="46" spans="1:5">
      <c r="C46" s="94"/>
    </row>
    <row r="48" spans="1:5">
      <c r="B48" s="13"/>
    </row>
    <row r="49" spans="1:5">
      <c r="B49" s="102"/>
    </row>
    <row r="50" spans="1:5">
      <c r="A50" s="78"/>
      <c r="B50" s="77" t="s">
        <v>231</v>
      </c>
      <c r="C50" s="78"/>
      <c r="E50" s="85">
        <f>SUM(E51:E62)</f>
        <v>-1797.26</v>
      </c>
    </row>
    <row r="52" spans="1:5">
      <c r="A52" s="20">
        <v>45373</v>
      </c>
      <c r="B52" t="s">
        <v>232</v>
      </c>
      <c r="C52">
        <v>10176.39</v>
      </c>
      <c r="D52" s="85" t="s">
        <v>253</v>
      </c>
      <c r="E52" s="85">
        <v>-1130.71</v>
      </c>
    </row>
    <row r="53" spans="1:5">
      <c r="A53" s="20">
        <v>45375</v>
      </c>
      <c r="B53" t="s">
        <v>234</v>
      </c>
      <c r="C53">
        <v>5999</v>
      </c>
      <c r="D53" s="85" t="s">
        <v>253</v>
      </c>
      <c r="E53" s="85">
        <v>-666.55</v>
      </c>
    </row>
    <row r="54" spans="1:5">
      <c r="A54" s="20"/>
    </row>
    <row r="57" spans="1:5">
      <c r="A57" s="97"/>
      <c r="B57" s="94"/>
      <c r="C57" s="94"/>
    </row>
    <row r="58" spans="1:5">
      <c r="A58" s="97"/>
      <c r="B58" s="94"/>
      <c r="C58" s="94"/>
    </row>
    <row r="59" spans="1:5">
      <c r="A59" s="97"/>
      <c r="B59" s="103"/>
      <c r="C59" s="94"/>
    </row>
    <row r="60" spans="1:5">
      <c r="A60" s="97"/>
      <c r="B60" s="103"/>
      <c r="C60" s="94"/>
    </row>
    <row r="61" spans="1:5">
      <c r="A61" s="97"/>
      <c r="B61" s="103"/>
    </row>
    <row r="62" spans="1:5">
      <c r="A62" s="97"/>
      <c r="B62" s="103"/>
      <c r="C62" s="94"/>
    </row>
    <row r="63" spans="1:5">
      <c r="A63" s="97"/>
      <c r="B63" s="3"/>
    </row>
    <row r="64" spans="1:5">
      <c r="A64" s="97"/>
      <c r="B64" s="94"/>
      <c r="C64" s="94"/>
    </row>
    <row r="65" spans="1:5">
      <c r="A65" s="78"/>
      <c r="B65" s="77" t="s">
        <v>235</v>
      </c>
      <c r="C65" s="78"/>
      <c r="E65" s="85">
        <f>SUM(E66:E74)</f>
        <v>0</v>
      </c>
    </row>
    <row r="66" spans="1:5">
      <c r="A66" s="97"/>
      <c r="B66" s="94"/>
      <c r="C66" s="94"/>
    </row>
    <row r="67" spans="1:5">
      <c r="A67" s="97"/>
      <c r="B67" s="94"/>
      <c r="C67" s="94"/>
    </row>
    <row r="68" spans="1:5">
      <c r="A68" s="97"/>
      <c r="B68" s="3"/>
      <c r="C68" s="94"/>
    </row>
    <row r="69" spans="1:5">
      <c r="A69" s="97"/>
      <c r="B69" s="3"/>
      <c r="C69" s="94"/>
    </row>
    <row r="70" spans="1:5">
      <c r="A70" s="97"/>
      <c r="B70" s="3"/>
      <c r="C70" s="94"/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105" spans="1:5">
      <c r="A105" s="78"/>
      <c r="B105" s="77" t="s">
        <v>236</v>
      </c>
      <c r="C105" s="78"/>
      <c r="E105" s="85">
        <f>SUM(E106:E113)</f>
        <v>0</v>
      </c>
    </row>
    <row r="106" spans="1:5">
      <c r="A106" s="97"/>
      <c r="B106" t="s">
        <v>84</v>
      </c>
    </row>
    <row r="107" spans="1:5">
      <c r="A107" s="97"/>
      <c r="B107" t="s">
        <v>172</v>
      </c>
    </row>
    <row r="108" spans="1:5">
      <c r="A108" s="97"/>
      <c r="B108" t="s">
        <v>173</v>
      </c>
    </row>
    <row r="109" spans="1:5">
      <c r="A109" s="97"/>
      <c r="B109" t="s">
        <v>174</v>
      </c>
    </row>
    <row r="110" spans="1:5">
      <c r="A110" s="97"/>
      <c r="B110" t="s">
        <v>237</v>
      </c>
      <c r="D110" s="85">
        <v>111</v>
      </c>
      <c r="E110" s="85">
        <f>D110*C110</f>
        <v>0</v>
      </c>
    </row>
    <row r="111" spans="1:5">
      <c r="A111" s="97"/>
      <c r="B111" t="s">
        <v>238</v>
      </c>
      <c r="D111" s="85">
        <v>850</v>
      </c>
      <c r="E111" s="85">
        <f>D111*C111</f>
        <v>0</v>
      </c>
    </row>
    <row r="112" spans="1:5">
      <c r="A112" s="97"/>
      <c r="B112" t="s">
        <v>239</v>
      </c>
      <c r="D112" s="85">
        <v>100</v>
      </c>
      <c r="E112" s="85">
        <f>D112*C112</f>
        <v>0</v>
      </c>
    </row>
    <row r="113" spans="1:5">
      <c r="A113" s="97"/>
      <c r="B113" t="s">
        <v>240</v>
      </c>
    </row>
    <row r="114" spans="1:5">
      <c r="B114" t="s">
        <v>241</v>
      </c>
      <c r="E114" s="85">
        <f>H2</f>
        <v>0</v>
      </c>
    </row>
    <row r="116" spans="1:5">
      <c r="D116" s="85" t="s">
        <v>189</v>
      </c>
      <c r="E116" s="85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33"/>
  <sheetViews>
    <sheetView topLeftCell="A16" zoomScale="145" zoomScaleNormal="145" workbookViewId="0">
      <selection activeCell="A21" sqref="A21:C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SUM(D4:D38)</f>
        <v>171984.15</v>
      </c>
      <c r="E2" s="85">
        <f>SUM(E4:E38)</f>
        <v>-81346.3</v>
      </c>
      <c r="F2" s="85">
        <f>SUM(F4:F38)</f>
        <v>0</v>
      </c>
      <c r="G2" s="85">
        <f>SUM(G4:G38)</f>
        <v>-48796.14</v>
      </c>
      <c r="H2" s="85">
        <f>F2+G2</f>
        <v>-48796.14</v>
      </c>
    </row>
    <row r="3" spans="1:8">
      <c r="B3" s="70"/>
    </row>
    <row r="4" spans="1:8">
      <c r="A4" s="336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6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336"/>
      <c r="B6" s="43"/>
      <c r="D6" s="86"/>
      <c r="E6" s="86"/>
      <c r="F6" s="86"/>
      <c r="G6" s="86"/>
      <c r="H6" s="85">
        <f t="shared" si="0"/>
        <v>-162.11000000000001</v>
      </c>
    </row>
    <row r="7" spans="1:8">
      <c r="A7" s="96">
        <v>45538</v>
      </c>
      <c r="B7" s="104" t="s">
        <v>214</v>
      </c>
      <c r="D7" s="86"/>
      <c r="E7" s="86">
        <f>E69</f>
        <v>-21576.400000000001</v>
      </c>
      <c r="F7" s="86"/>
      <c r="G7" s="86">
        <f>E7</f>
        <v>-21576.400000000001</v>
      </c>
      <c r="H7" s="85">
        <f t="shared" si="0"/>
        <v>-21738.510000000002</v>
      </c>
    </row>
    <row r="8" spans="1:8">
      <c r="A8" s="336">
        <v>45539</v>
      </c>
      <c r="B8" s="104" t="s">
        <v>213</v>
      </c>
      <c r="D8" s="86"/>
      <c r="E8" s="86">
        <f>E54</f>
        <v>-8037.9</v>
      </c>
      <c r="F8" s="86"/>
      <c r="G8" s="86">
        <f>E8</f>
        <v>-8037.9</v>
      </c>
      <c r="H8" s="85">
        <f t="shared" si="0"/>
        <v>-29776.410000000003</v>
      </c>
    </row>
    <row r="9" spans="1:8">
      <c r="A9" s="336"/>
      <c r="B9" s="88" t="s">
        <v>216</v>
      </c>
      <c r="C9" s="88"/>
      <c r="E9" s="340">
        <v>-1500</v>
      </c>
      <c r="F9" s="340"/>
      <c r="G9" s="340">
        <v>-1514.73</v>
      </c>
      <c r="H9" s="340">
        <f t="shared" si="0"/>
        <v>-31291.140000000003</v>
      </c>
    </row>
    <row r="10" spans="1:8">
      <c r="A10" s="336"/>
      <c r="B10" s="88" t="s">
        <v>255</v>
      </c>
      <c r="C10" s="88"/>
      <c r="E10" s="340">
        <v>-17500</v>
      </c>
      <c r="F10" s="340"/>
      <c r="G10" s="340">
        <v>-17500</v>
      </c>
      <c r="H10" s="340">
        <f t="shared" si="0"/>
        <v>-48791.14</v>
      </c>
    </row>
    <row r="11" spans="1:8">
      <c r="A11" s="336"/>
      <c r="B11" s="94" t="s">
        <v>212</v>
      </c>
      <c r="E11" s="85">
        <f>E49*-1</f>
        <v>0</v>
      </c>
      <c r="F11" s="86"/>
      <c r="G11" s="86">
        <v>-5</v>
      </c>
      <c r="H11" s="340">
        <f t="shared" si="0"/>
        <v>-48796.14</v>
      </c>
    </row>
    <row r="12" spans="1:8">
      <c r="A12" s="336"/>
      <c r="B12" s="43"/>
      <c r="D12" s="86"/>
      <c r="E12" s="86"/>
      <c r="F12" s="86"/>
      <c r="G12" s="86"/>
      <c r="H12" s="340">
        <f t="shared" si="0"/>
        <v>-48796.14</v>
      </c>
    </row>
    <row r="13" spans="1:8">
      <c r="B13" t="s">
        <v>193</v>
      </c>
      <c r="E13" s="85">
        <v>-10000</v>
      </c>
      <c r="H13" s="340">
        <f t="shared" si="0"/>
        <v>-48796.14</v>
      </c>
    </row>
    <row r="14" spans="1:8">
      <c r="B14" s="88" t="s">
        <v>194</v>
      </c>
      <c r="C14" s="88"/>
      <c r="E14" s="85">
        <v>-400</v>
      </c>
      <c r="H14" s="340">
        <f t="shared" si="0"/>
        <v>-48796.14</v>
      </c>
    </row>
    <row r="15" spans="1:8">
      <c r="B15" s="88" t="s">
        <v>195</v>
      </c>
      <c r="C15" s="88"/>
      <c r="E15" s="85">
        <v>-500</v>
      </c>
      <c r="H15" s="85">
        <f t="shared" si="0"/>
        <v>-48796.14</v>
      </c>
    </row>
    <row r="16" spans="1:8">
      <c r="H16" s="85">
        <f t="shared" si="0"/>
        <v>-48796.14</v>
      </c>
    </row>
    <row r="17" spans="1:8">
      <c r="B17" s="88" t="s">
        <v>208</v>
      </c>
      <c r="C17" s="88" t="s">
        <v>209</v>
      </c>
      <c r="E17" s="85">
        <v>-150</v>
      </c>
      <c r="H17" s="85">
        <f t="shared" si="0"/>
        <v>-48796.14</v>
      </c>
    </row>
    <row r="18" spans="1:8">
      <c r="B18" s="94" t="s">
        <v>210</v>
      </c>
      <c r="C18" s="94" t="s">
        <v>209</v>
      </c>
      <c r="E18" s="85">
        <v>-300</v>
      </c>
      <c r="H18" s="85">
        <f t="shared" si="0"/>
        <v>-48796.14</v>
      </c>
    </row>
    <row r="19" spans="1:8">
      <c r="B19" s="94" t="s">
        <v>211</v>
      </c>
      <c r="C19" s="94" t="s">
        <v>209</v>
      </c>
      <c r="E19" s="85">
        <v>-100</v>
      </c>
      <c r="H19" s="85">
        <f t="shared" si="0"/>
        <v>-48796.14</v>
      </c>
    </row>
    <row r="20" spans="1:8">
      <c r="B20" s="88"/>
      <c r="C20" s="88"/>
      <c r="H20" s="85">
        <f t="shared" si="0"/>
        <v>-48796.14</v>
      </c>
    </row>
    <row r="21" spans="1:8">
      <c r="A21" s="336">
        <v>45564</v>
      </c>
      <c r="B21" t="s">
        <v>1452</v>
      </c>
      <c r="C21" t="s">
        <v>1453</v>
      </c>
      <c r="E21" s="85">
        <v>-1380</v>
      </c>
      <c r="H21" s="85">
        <f t="shared" si="0"/>
        <v>-48796.14</v>
      </c>
    </row>
    <row r="22" spans="1:8">
      <c r="B22" t="s">
        <v>84</v>
      </c>
      <c r="H22" s="85">
        <f t="shared" si="0"/>
        <v>-48796.14</v>
      </c>
    </row>
    <row r="23" spans="1:8">
      <c r="B23" t="s">
        <v>84</v>
      </c>
      <c r="E23" s="85">
        <v>-6500</v>
      </c>
      <c r="H23" s="85">
        <f t="shared" si="0"/>
        <v>-48796.14</v>
      </c>
    </row>
    <row r="24" spans="1:8">
      <c r="B24" t="s">
        <v>172</v>
      </c>
      <c r="E24" s="85">
        <v>-6500</v>
      </c>
      <c r="H24" s="85">
        <f t="shared" si="0"/>
        <v>-48796.14</v>
      </c>
    </row>
    <row r="25" spans="1:8">
      <c r="B25" t="s">
        <v>217</v>
      </c>
      <c r="E25" s="85">
        <v>-6500</v>
      </c>
      <c r="H25" s="85">
        <f t="shared" si="0"/>
        <v>-48796.14</v>
      </c>
    </row>
    <row r="26" spans="1:8">
      <c r="H26" s="85">
        <f t="shared" si="0"/>
        <v>-48796.14</v>
      </c>
    </row>
    <row r="27" spans="1:8">
      <c r="B27" t="s">
        <v>218</v>
      </c>
      <c r="D27" s="85">
        <v>12984.15</v>
      </c>
      <c r="H27" s="85">
        <f t="shared" si="0"/>
        <v>-48796.14</v>
      </c>
    </row>
    <row r="28" spans="1:8">
      <c r="A28" s="97"/>
      <c r="B28" t="s">
        <v>219</v>
      </c>
      <c r="H28" s="85">
        <f t="shared" si="0"/>
        <v>-48796.14</v>
      </c>
    </row>
    <row r="29" spans="1:8">
      <c r="A29" s="97"/>
      <c r="B29" t="s">
        <v>256</v>
      </c>
      <c r="D29" s="85">
        <v>15000</v>
      </c>
      <c r="H29" s="85">
        <f t="shared" si="0"/>
        <v>-48796.14</v>
      </c>
    </row>
    <row r="30" spans="1:8">
      <c r="A30" s="97"/>
      <c r="H30" s="85">
        <f t="shared" si="0"/>
        <v>-48796.14</v>
      </c>
    </row>
    <row r="31" spans="1:8">
      <c r="B31" t="s">
        <v>257</v>
      </c>
      <c r="C31" s="98">
        <v>0.234011</v>
      </c>
      <c r="D31" s="85">
        <v>144000</v>
      </c>
      <c r="H31" s="85">
        <f t="shared" ref="H31" si="1">H30+F31+G31</f>
        <v>-48796.14</v>
      </c>
    </row>
    <row r="32" spans="1:8">
      <c r="C32" s="98"/>
    </row>
    <row r="38" spans="1:5" ht="15.75">
      <c r="B38" s="99"/>
    </row>
    <row r="40" spans="1:5">
      <c r="B40" t="s">
        <v>222</v>
      </c>
    </row>
    <row r="41" spans="1:5">
      <c r="A41" s="78" t="s">
        <v>223</v>
      </c>
      <c r="B41" s="78"/>
      <c r="C41" s="78"/>
    </row>
    <row r="42" spans="1:5">
      <c r="A42" s="97"/>
      <c r="C42" s="98"/>
    </row>
    <row r="43" spans="1:5">
      <c r="A43" s="100">
        <v>44929</v>
      </c>
      <c r="B43" s="101" t="s">
        <v>224</v>
      </c>
      <c r="C43" s="78"/>
      <c r="D43" s="85">
        <f>SUM(D44:D49)</f>
        <v>0</v>
      </c>
      <c r="E43" s="85">
        <f>SUM(E44:E49)</f>
        <v>0</v>
      </c>
    </row>
    <row r="44" spans="1:5">
      <c r="A44" s="97"/>
      <c r="B44" s="94" t="s">
        <v>225</v>
      </c>
    </row>
    <row r="45" spans="1:5">
      <c r="B45" t="s">
        <v>226</v>
      </c>
    </row>
    <row r="46" spans="1:5">
      <c r="B46" t="s">
        <v>227</v>
      </c>
    </row>
    <row r="47" spans="1:5">
      <c r="B47" t="s">
        <v>228</v>
      </c>
    </row>
    <row r="48" spans="1:5">
      <c r="B48" t="s">
        <v>229</v>
      </c>
    </row>
    <row r="49" spans="1:5">
      <c r="B49" t="s">
        <v>230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231</v>
      </c>
      <c r="C54" s="78"/>
      <c r="E54" s="85">
        <f>SUM(E55:E66)</f>
        <v>-8037.9</v>
      </c>
    </row>
    <row r="56" spans="1:5">
      <c r="A56" s="20">
        <v>45348</v>
      </c>
      <c r="B56" t="s">
        <v>258</v>
      </c>
      <c r="C56">
        <v>1406</v>
      </c>
      <c r="D56" s="85" t="s">
        <v>259</v>
      </c>
      <c r="E56" s="85">
        <v>-234.35</v>
      </c>
    </row>
    <row r="57" spans="1:5">
      <c r="A57" s="20">
        <v>45373</v>
      </c>
      <c r="B57" t="s">
        <v>232</v>
      </c>
      <c r="C57">
        <v>10176.39</v>
      </c>
      <c r="D57" s="85" t="s">
        <v>260</v>
      </c>
      <c r="E57" s="85">
        <v>-1130.71</v>
      </c>
    </row>
    <row r="58" spans="1:5">
      <c r="A58" s="20">
        <v>45375</v>
      </c>
      <c r="B58" t="s">
        <v>234</v>
      </c>
      <c r="C58">
        <v>5999</v>
      </c>
      <c r="D58" s="85" t="s">
        <v>260</v>
      </c>
      <c r="E58" s="85">
        <v>-666.56</v>
      </c>
    </row>
    <row r="59" spans="1:5">
      <c r="A59" s="20">
        <v>45358</v>
      </c>
      <c r="B59" t="s">
        <v>261</v>
      </c>
      <c r="C59">
        <v>2273</v>
      </c>
      <c r="D59" s="85" t="s">
        <v>259</v>
      </c>
      <c r="E59" s="85">
        <v>-378.87</v>
      </c>
    </row>
    <row r="60" spans="1:5">
      <c r="A60" s="20">
        <v>45371</v>
      </c>
      <c r="B60" t="s">
        <v>262</v>
      </c>
      <c r="D60" s="85" t="s">
        <v>259</v>
      </c>
      <c r="E60" s="85">
        <v>101.79</v>
      </c>
    </row>
    <row r="61" spans="1:5">
      <c r="A61" s="97">
        <v>45456</v>
      </c>
      <c r="B61" s="103" t="s">
        <v>263</v>
      </c>
      <c r="C61" s="94"/>
      <c r="D61" s="85" t="s">
        <v>264</v>
      </c>
      <c r="E61" s="85">
        <v>-3923.34</v>
      </c>
    </row>
    <row r="62" spans="1:5">
      <c r="A62" s="97"/>
      <c r="B62" s="94"/>
      <c r="C62" s="94"/>
    </row>
    <row r="63" spans="1:5">
      <c r="A63" s="97"/>
      <c r="B63" s="103" t="s">
        <v>285</v>
      </c>
      <c r="C63" s="94">
        <v>8154.2</v>
      </c>
    </row>
    <row r="64" spans="1:5">
      <c r="A64" s="97"/>
      <c r="B64" s="103" t="s">
        <v>848</v>
      </c>
      <c r="C64" s="94"/>
      <c r="E64" s="85">
        <v>-1805.86</v>
      </c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235</v>
      </c>
      <c r="C69" s="78"/>
      <c r="E69" s="85">
        <f>SUM(E70:E78)</f>
        <v>-21576.400000000001</v>
      </c>
    </row>
    <row r="70" spans="1:5">
      <c r="A70" s="97"/>
      <c r="B70" s="94"/>
      <c r="C70" s="94"/>
    </row>
    <row r="71" spans="1:5">
      <c r="A71" s="97"/>
      <c r="B71" s="94"/>
      <c r="C71" s="94"/>
      <c r="E71" s="85">
        <v>-21576.400000000001</v>
      </c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>
      <c r="A100" s="97"/>
      <c r="B100" s="3"/>
      <c r="C100" s="94"/>
    </row>
    <row r="109" spans="1:5">
      <c r="A109" s="76" t="s">
        <v>1440</v>
      </c>
      <c r="B109" s="77" t="s">
        <v>171</v>
      </c>
      <c r="C109" s="78">
        <v>2024</v>
      </c>
      <c r="D109" s="79"/>
      <c r="E109" s="80">
        <f>SUM(E110:E129)</f>
        <v>412438.42000000004</v>
      </c>
    </row>
    <row r="110" spans="1:5">
      <c r="A110" s="81">
        <v>45534</v>
      </c>
      <c r="B110" t="s">
        <v>84</v>
      </c>
      <c r="C110" s="2"/>
      <c r="D110" s="2"/>
      <c r="E110" s="2">
        <v>0</v>
      </c>
    </row>
    <row r="111" spans="1:5">
      <c r="A111" s="81">
        <f t="shared" ref="A111:A129" si="2">A110</f>
        <v>45534</v>
      </c>
      <c r="B111" t="s">
        <v>310</v>
      </c>
      <c r="C111" s="2"/>
      <c r="D111" s="2"/>
      <c r="E111" s="2">
        <v>0</v>
      </c>
    </row>
    <row r="112" spans="1:5">
      <c r="A112" s="81">
        <f t="shared" si="2"/>
        <v>45534</v>
      </c>
      <c r="B112" t="s">
        <v>1441</v>
      </c>
      <c r="C112" s="2"/>
      <c r="D112" s="2"/>
      <c r="E112" s="13">
        <v>5105.2299999999996</v>
      </c>
    </row>
    <row r="113" spans="1:5">
      <c r="A113" s="81">
        <f>A111</f>
        <v>45534</v>
      </c>
      <c r="B113" t="s">
        <v>1447</v>
      </c>
      <c r="C113" s="2">
        <v>288</v>
      </c>
      <c r="D113" s="111">
        <v>732.60648300000003</v>
      </c>
      <c r="E113" s="13">
        <v>211121.2</v>
      </c>
    </row>
    <row r="114" spans="1:5">
      <c r="A114" s="81">
        <f>A112</f>
        <v>45534</v>
      </c>
      <c r="B114" t="s">
        <v>1448</v>
      </c>
      <c r="C114" s="112">
        <v>125000</v>
      </c>
      <c r="D114" s="111">
        <v>0.77971599999999996</v>
      </c>
      <c r="E114" s="13">
        <v>99989.38</v>
      </c>
    </row>
    <row r="115" spans="1:5">
      <c r="A115" s="81">
        <f>A113</f>
        <v>45534</v>
      </c>
      <c r="B115" t="s">
        <v>1449</v>
      </c>
      <c r="C115" s="2">
        <v>10</v>
      </c>
      <c r="D115" s="2">
        <v>103.7</v>
      </c>
      <c r="E115" s="13">
        <f t="shared" ref="E115:E127" si="3">D115*C115</f>
        <v>1037</v>
      </c>
    </row>
    <row r="116" spans="1:5">
      <c r="A116" s="81">
        <f t="shared" si="2"/>
        <v>45534</v>
      </c>
      <c r="B116" t="s">
        <v>1450</v>
      </c>
      <c r="C116" s="2">
        <v>38</v>
      </c>
      <c r="D116" s="2">
        <v>21.42</v>
      </c>
      <c r="E116" s="13">
        <f t="shared" si="3"/>
        <v>813.96</v>
      </c>
    </row>
    <row r="117" spans="1:5">
      <c r="A117" s="81">
        <f t="shared" si="2"/>
        <v>45534</v>
      </c>
      <c r="B117" t="s">
        <v>1451</v>
      </c>
      <c r="C117" s="2">
        <v>26</v>
      </c>
      <c r="D117" s="2">
        <v>25.92</v>
      </c>
      <c r="E117" s="13">
        <f t="shared" si="3"/>
        <v>673.92000000000007</v>
      </c>
    </row>
    <row r="118" spans="1:5">
      <c r="A118" s="81">
        <f t="shared" si="2"/>
        <v>45534</v>
      </c>
      <c r="B118" t="s">
        <v>183</v>
      </c>
      <c r="C118" s="2"/>
      <c r="D118" s="2"/>
      <c r="E118" s="13">
        <f t="shared" si="3"/>
        <v>0</v>
      </c>
    </row>
    <row r="119" spans="1:5">
      <c r="A119" s="81">
        <f t="shared" si="2"/>
        <v>45534</v>
      </c>
      <c r="B119" t="s">
        <v>316</v>
      </c>
      <c r="C119" s="2">
        <v>28.5</v>
      </c>
      <c r="D119" s="2">
        <v>0</v>
      </c>
      <c r="E119" s="13">
        <v>0</v>
      </c>
    </row>
    <row r="120" spans="1:5">
      <c r="A120" s="81">
        <f t="shared" si="2"/>
        <v>45534</v>
      </c>
      <c r="C120" s="2"/>
      <c r="D120" s="2"/>
      <c r="E120" s="13">
        <f t="shared" si="3"/>
        <v>0</v>
      </c>
    </row>
    <row r="121" spans="1:5">
      <c r="A121" s="81">
        <f t="shared" si="2"/>
        <v>45534</v>
      </c>
      <c r="C121" s="2"/>
      <c r="D121" s="2"/>
      <c r="E121" s="13">
        <f t="shared" si="3"/>
        <v>0</v>
      </c>
    </row>
    <row r="122" spans="1:5">
      <c r="A122" s="81">
        <f t="shared" si="2"/>
        <v>45534</v>
      </c>
      <c r="B122" t="s">
        <v>1442</v>
      </c>
      <c r="C122" s="2">
        <v>2697.73</v>
      </c>
      <c r="D122" s="2">
        <v>1</v>
      </c>
      <c r="E122" s="13">
        <f>D122*C122</f>
        <v>2697.73</v>
      </c>
    </row>
    <row r="123" spans="1:5">
      <c r="A123" s="81">
        <f t="shared" si="2"/>
        <v>45534</v>
      </c>
      <c r="B123" t="s">
        <v>1445</v>
      </c>
      <c r="C123" s="2">
        <v>4500</v>
      </c>
      <c r="D123" s="2">
        <v>16</v>
      </c>
      <c r="E123" s="13">
        <f>D123*C123</f>
        <v>72000</v>
      </c>
    </row>
    <row r="124" spans="1:5">
      <c r="A124" s="81">
        <f t="shared" si="2"/>
        <v>45534</v>
      </c>
      <c r="B124" t="s">
        <v>1446</v>
      </c>
      <c r="C124" s="2">
        <v>18000</v>
      </c>
      <c r="D124" s="2">
        <v>1</v>
      </c>
      <c r="E124" s="13">
        <f>D124*C124</f>
        <v>18000</v>
      </c>
    </row>
    <row r="125" spans="1:5">
      <c r="A125" s="81">
        <f t="shared" si="2"/>
        <v>45534</v>
      </c>
      <c r="C125" s="2"/>
      <c r="D125" s="2"/>
      <c r="E125" s="13"/>
    </row>
    <row r="126" spans="1:5">
      <c r="A126" s="81">
        <f>A122</f>
        <v>45534</v>
      </c>
      <c r="B126" t="s">
        <v>1444</v>
      </c>
      <c r="C126" s="337">
        <v>33.250599999999999</v>
      </c>
      <c r="D126" s="2">
        <v>0</v>
      </c>
      <c r="E126" s="13"/>
    </row>
    <row r="127" spans="1:5">
      <c r="A127" s="81">
        <f t="shared" si="2"/>
        <v>45534</v>
      </c>
      <c r="B127" t="s">
        <v>1443</v>
      </c>
      <c r="C127" s="337">
        <v>36.854999999999997</v>
      </c>
      <c r="D127" s="2">
        <v>0</v>
      </c>
      <c r="E127" s="13">
        <f t="shared" si="3"/>
        <v>0</v>
      </c>
    </row>
    <row r="128" spans="1:5">
      <c r="A128" s="81">
        <f t="shared" si="2"/>
        <v>45534</v>
      </c>
      <c r="B128" t="s">
        <v>187</v>
      </c>
      <c r="C128" s="2"/>
      <c r="D128" s="2"/>
      <c r="E128" s="13">
        <v>0</v>
      </c>
    </row>
    <row r="129" spans="1:5">
      <c r="A129" s="81">
        <f t="shared" si="2"/>
        <v>45534</v>
      </c>
      <c r="B129" t="s">
        <v>94</v>
      </c>
      <c r="C129" s="2"/>
      <c r="D129" s="2"/>
      <c r="E129" s="13">
        <v>1000</v>
      </c>
    </row>
    <row r="130" spans="1:5">
      <c r="E130" s="113"/>
    </row>
    <row r="131" spans="1:5">
      <c r="C131" s="110"/>
      <c r="D131" s="3"/>
      <c r="E131" s="110"/>
    </row>
    <row r="132" spans="1:5">
      <c r="C132" s="110"/>
      <c r="D132" s="70" t="s">
        <v>189</v>
      </c>
      <c r="E132" s="8">
        <f>SUM(E110:E129)</f>
        <v>412438.42000000004</v>
      </c>
    </row>
    <row r="133" spans="1:5">
      <c r="C133" s="114" t="str">
        <f>A109</f>
        <v>EYLÜLe</v>
      </c>
      <c r="D133" s="115" t="s">
        <v>188</v>
      </c>
      <c r="E133" s="116">
        <f>H2</f>
        <v>-48796.14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49"/>
  <sheetViews>
    <sheetView topLeftCell="A135" zoomScale="145" zoomScaleNormal="145" workbookViewId="0">
      <selection activeCell="E145" sqref="E1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SUM(D4:D46)</f>
        <v>195484.15</v>
      </c>
      <c r="E2" s="85">
        <f>SUM(E4:E46)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6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6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6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6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6">
        <v>45531</v>
      </c>
      <c r="B34" t="s">
        <v>1435</v>
      </c>
      <c r="C34" s="85" t="s">
        <v>1432</v>
      </c>
      <c r="D34" s="86" t="s">
        <v>1439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6">
        <v>45531</v>
      </c>
      <c r="B35" t="s">
        <v>1436</v>
      </c>
      <c r="C35" s="85" t="s">
        <v>1432</v>
      </c>
      <c r="D35" s="86" t="s">
        <v>1439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6">
        <v>45531</v>
      </c>
      <c r="B36" t="s">
        <v>1437</v>
      </c>
      <c r="C36" s="85" t="s">
        <v>1432</v>
      </c>
      <c r="D36" s="86" t="s">
        <v>1439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6">
        <v>45531</v>
      </c>
      <c r="B37" t="s">
        <v>1438</v>
      </c>
      <c r="C37" s="85" t="s">
        <v>1432</v>
      </c>
      <c r="D37" s="86" t="s">
        <v>1439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t="s">
        <v>270</v>
      </c>
      <c r="D41" s="85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C43" s="98"/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B46" t="s">
        <v>193</v>
      </c>
      <c r="E46" s="85">
        <v>-10000</v>
      </c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B33" sqref="B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118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31" zoomScale="170" zoomScaleNormal="170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t="s">
        <v>322</v>
      </c>
      <c r="D32" s="86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9" t="s">
        <v>360</v>
      </c>
      <c r="D114" s="120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1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1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1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1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1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1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1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1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2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2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1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1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3">
        <v>45322</v>
      </c>
      <c r="B45" s="27" t="s">
        <v>458</v>
      </c>
      <c r="C45" s="124"/>
      <c r="D45" s="124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2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2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2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2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2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2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2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2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2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2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2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2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2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2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2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2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2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2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2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6"/>
      <c r="G28" s="86"/>
      <c r="H28" s="86">
        <f t="shared" si="0"/>
        <v>-96476.67</v>
      </c>
    </row>
    <row r="29" spans="1:8">
      <c r="A29" s="19"/>
      <c r="E29" s="127"/>
      <c r="F29" s="65"/>
      <c r="G29" s="86"/>
      <c r="H29" s="86">
        <f t="shared" si="0"/>
        <v>-96476.67</v>
      </c>
    </row>
    <row r="30" spans="1:8">
      <c r="A30" s="128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9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30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1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1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1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1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1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2"/>
      <c r="F1" s="125" t="s">
        <v>120</v>
      </c>
      <c r="G1" s="125" t="s">
        <v>121</v>
      </c>
      <c r="H1" s="125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3">
        <v>45329</v>
      </c>
      <c r="B15" s="134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3">
        <v>45341</v>
      </c>
      <c r="B21" t="s">
        <v>219</v>
      </c>
      <c r="D21" s="122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2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8"/>
      <c r="B30" s="105" t="s">
        <v>538</v>
      </c>
      <c r="C30" s="135">
        <v>7000</v>
      </c>
      <c r="D30" s="135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6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7">
        <f>SUM(D37:D42)</f>
        <v>3749.5300000000007</v>
      </c>
      <c r="E36" s="138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9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8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40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40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1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2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8"/>
      <c r="B32" s="105" t="s">
        <v>538</v>
      </c>
      <c r="C32" s="135"/>
      <c r="D32" s="135">
        <v>7000</v>
      </c>
      <c r="E32" s="135"/>
      <c r="F32" s="143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4">
        <v>0.23538400000000001</v>
      </c>
      <c r="L1" s="145">
        <f>1-K1</f>
        <v>0.76461599999999996</v>
      </c>
      <c r="M1" s="146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7" t="s">
        <v>614</v>
      </c>
      <c r="L2" s="148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9">
        <f>'01_23'!D2</f>
        <v>13261</v>
      </c>
      <c r="C3" s="150">
        <f>'01_23'!E2</f>
        <v>-22808.309999999998</v>
      </c>
      <c r="D3" s="151">
        <f>B3+C3</f>
        <v>-9547.3099999999977</v>
      </c>
      <c r="E3" s="149">
        <f>'01_23'!F2</f>
        <v>8049.2</v>
      </c>
      <c r="F3" s="150">
        <f>'01_23'!G2</f>
        <v>-23047.62</v>
      </c>
      <c r="G3" s="152">
        <f>E3+F3</f>
        <v>-14998.419999999998</v>
      </c>
      <c r="H3" s="36"/>
      <c r="I3" s="37" t="s">
        <v>126</v>
      </c>
      <c r="J3">
        <v>78</v>
      </c>
      <c r="K3" s="153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9">
        <f>'02_23'!D2</f>
        <v>15761</v>
      </c>
      <c r="C4" s="150">
        <f>'02_23'!E2</f>
        <v>-56286.92</v>
      </c>
      <c r="D4" s="151">
        <f t="shared" ref="D4:D14" si="0">B4+C4+D3</f>
        <v>-50073.229999999996</v>
      </c>
      <c r="E4" s="149">
        <f>'02_23'!F2</f>
        <v>26990.010000000002</v>
      </c>
      <c r="F4" s="150">
        <f>'02_23'!G2</f>
        <v>-77441.489999999991</v>
      </c>
      <c r="G4" s="152">
        <f t="shared" ref="G4:G14" si="1">E4+F4+G3</f>
        <v>-65449.899999999987</v>
      </c>
      <c r="H4" s="36"/>
      <c r="I4" s="37" t="s">
        <v>128</v>
      </c>
      <c r="J4">
        <v>83.16</v>
      </c>
      <c r="K4" s="153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9">
        <f>'03_23'!D2</f>
        <v>88189</v>
      </c>
      <c r="C5" s="150">
        <f>'03_23'!E2</f>
        <v>-24634.690000000002</v>
      </c>
      <c r="D5" s="151">
        <f t="shared" si="0"/>
        <v>13481.080000000002</v>
      </c>
      <c r="E5" s="149">
        <f>'03_23'!F2</f>
        <v>23139.34</v>
      </c>
      <c r="F5" s="150">
        <f>'03_23'!G2</f>
        <v>-33283.54</v>
      </c>
      <c r="G5" s="152">
        <f t="shared" si="1"/>
        <v>-75594.099999999991</v>
      </c>
      <c r="H5" s="36"/>
      <c r="I5" s="37" t="s">
        <v>130</v>
      </c>
      <c r="J5">
        <v>33</v>
      </c>
      <c r="K5" s="153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9">
        <f>'04_23'!D2</f>
        <v>20911</v>
      </c>
      <c r="C6" s="150">
        <f>'04_23'!E2</f>
        <v>-54277.093000000001</v>
      </c>
      <c r="D6" s="151">
        <f t="shared" si="0"/>
        <v>-19885.012999999999</v>
      </c>
      <c r="E6" s="149">
        <f>'04_23'!F2</f>
        <v>72630</v>
      </c>
      <c r="F6" s="150">
        <f>'04_23'!G2</f>
        <v>-58332.79</v>
      </c>
      <c r="G6" s="152">
        <f t="shared" si="1"/>
        <v>-61296.889999999992</v>
      </c>
      <c r="H6" s="36"/>
      <c r="I6" s="43" t="s">
        <v>132</v>
      </c>
      <c r="K6" s="154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9">
        <f>'05_23'!D2</f>
        <v>17911</v>
      </c>
      <c r="C7" s="150">
        <f>'05_23'!E2</f>
        <v>-20977.52</v>
      </c>
      <c r="D7" s="151">
        <f t="shared" si="0"/>
        <v>-22951.532999999999</v>
      </c>
      <c r="E7" s="149">
        <f>'05_23'!F2</f>
        <v>19800</v>
      </c>
      <c r="F7" s="150">
        <f>'05_23'!G2</f>
        <v>-25248.52</v>
      </c>
      <c r="G7" s="152">
        <f t="shared" si="1"/>
        <v>-66745.409999999989</v>
      </c>
      <c r="H7" s="36"/>
      <c r="I7" s="43" t="s">
        <v>134</v>
      </c>
      <c r="K7" s="153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9">
        <f>'06_23'!D2</f>
        <v>28744</v>
      </c>
      <c r="C8" s="150">
        <f>'06_23'!E2</f>
        <v>-26572.629999999997</v>
      </c>
      <c r="D8" s="151">
        <f t="shared" si="0"/>
        <v>-20780.162999999997</v>
      </c>
      <c r="E8" s="149">
        <f>'06_23'!F2</f>
        <v>33133</v>
      </c>
      <c r="F8" s="150">
        <f>'06_23'!G2</f>
        <v>-28830.22</v>
      </c>
      <c r="G8" s="152">
        <f t="shared" si="1"/>
        <v>-62442.62999999999</v>
      </c>
      <c r="H8" s="36"/>
      <c r="I8" s="37" t="s">
        <v>136</v>
      </c>
      <c r="J8">
        <v>150</v>
      </c>
      <c r="K8" s="153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9">
        <f>'07_23'!D2</f>
        <v>67911</v>
      </c>
      <c r="C9" s="150">
        <f>'07_23'!E2</f>
        <v>-35277.64</v>
      </c>
      <c r="D9" s="151">
        <f t="shared" si="0"/>
        <v>11853.197000000004</v>
      </c>
      <c r="E9" s="149">
        <f>'07_23'!F2</f>
        <v>70250</v>
      </c>
      <c r="F9" s="150">
        <f>'07_23'!G2</f>
        <v>-42110.31</v>
      </c>
      <c r="G9" s="152">
        <f t="shared" si="1"/>
        <v>-34302.939999999988</v>
      </c>
      <c r="H9" s="36"/>
      <c r="I9" s="37" t="s">
        <v>138</v>
      </c>
      <c r="J9">
        <v>96</v>
      </c>
      <c r="K9" s="153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9">
        <f>'08_23'!D2</f>
        <v>87911</v>
      </c>
      <c r="C10" s="150">
        <f>'08_23'!E2</f>
        <v>-32079.01</v>
      </c>
      <c r="D10" s="151">
        <f t="shared" si="0"/>
        <v>67685.187000000005</v>
      </c>
      <c r="E10" s="149">
        <f>'08_23'!F2</f>
        <v>16800</v>
      </c>
      <c r="F10" s="150">
        <f>'08_23'!G2</f>
        <v>-37135.350000000006</v>
      </c>
      <c r="G10" s="152">
        <f t="shared" si="1"/>
        <v>-54638.289999999994</v>
      </c>
      <c r="H10" s="36"/>
      <c r="I10" s="37" t="s">
        <v>140</v>
      </c>
      <c r="J10">
        <v>100</v>
      </c>
      <c r="K10" s="153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9">
        <f>'09_23'!D2</f>
        <v>133300</v>
      </c>
      <c r="C11" s="150">
        <f>'09_23'!E2</f>
        <v>-31871.02</v>
      </c>
      <c r="D11" s="151">
        <f t="shared" si="0"/>
        <v>169114.16700000002</v>
      </c>
      <c r="E11" s="149">
        <f>'09_23'!F2</f>
        <v>257800</v>
      </c>
      <c r="F11" s="150">
        <f>'09_23'!G2</f>
        <v>-34914.910000000003</v>
      </c>
      <c r="G11" s="152">
        <f t="shared" si="1"/>
        <v>168246.8</v>
      </c>
      <c r="H11" s="36"/>
      <c r="I11" s="37" t="s">
        <v>142</v>
      </c>
      <c r="J11">
        <v>96</v>
      </c>
      <c r="K11" s="153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9">
        <f>'10_23'!D2</f>
        <v>32800</v>
      </c>
      <c r="C12" s="150">
        <f>'10_23'!E2</f>
        <v>-44478.170000000006</v>
      </c>
      <c r="D12" s="151">
        <f t="shared" si="0"/>
        <v>157435.997</v>
      </c>
      <c r="E12" s="149">
        <f>'10_23'!F2</f>
        <v>23200</v>
      </c>
      <c r="F12" s="150">
        <f>'10_23'!G2</f>
        <v>-43968.17</v>
      </c>
      <c r="G12" s="152">
        <f t="shared" si="1"/>
        <v>147478.63</v>
      </c>
      <c r="H12" s="36"/>
      <c r="I12" s="37" t="s">
        <v>144</v>
      </c>
      <c r="J12">
        <v>84</v>
      </c>
      <c r="K12" s="153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9">
        <f>'11_23'!D2</f>
        <v>262800</v>
      </c>
      <c r="C13" s="150">
        <f>'11_23'!E2</f>
        <v>-98843.11</v>
      </c>
      <c r="D13" s="151">
        <f t="shared" si="0"/>
        <v>321392.88699999999</v>
      </c>
      <c r="E13" s="149">
        <f>'11_23'!F2</f>
        <v>177687.06</v>
      </c>
      <c r="F13" s="150">
        <f>'11_23'!G2</f>
        <v>-242504.11</v>
      </c>
      <c r="G13" s="152">
        <f t="shared" si="1"/>
        <v>82661.580000000016</v>
      </c>
      <c r="H13" s="36"/>
      <c r="I13" s="37" t="s">
        <v>146</v>
      </c>
      <c r="J13">
        <v>135</v>
      </c>
      <c r="K13" s="153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9">
        <f>'12_23'!D2</f>
        <v>22800</v>
      </c>
      <c r="C14" s="150">
        <f>'12_23'!E2</f>
        <v>-38101.83</v>
      </c>
      <c r="D14" s="151">
        <f t="shared" si="0"/>
        <v>306091.05699999997</v>
      </c>
      <c r="E14" s="149">
        <f>'12_23'!F2</f>
        <v>16232.529999999999</v>
      </c>
      <c r="F14" s="150">
        <f>'12_23'!G2</f>
        <v>-41854.230000000003</v>
      </c>
      <c r="G14" s="152">
        <f t="shared" si="1"/>
        <v>57039.880000000012</v>
      </c>
      <c r="H14" s="36"/>
      <c r="I14" s="37" t="s">
        <v>148</v>
      </c>
      <c r="K14" s="153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5">
        <f>SUM(B3:B14)</f>
        <v>792299</v>
      </c>
      <c r="C15" s="156">
        <f>SUM(C3:C14)</f>
        <v>-486207.94300000003</v>
      </c>
      <c r="D15" s="157">
        <f>B15+C15</f>
        <v>306091.05699999997</v>
      </c>
      <c r="E15" s="155">
        <f>SUM(E3:E14)</f>
        <v>745711.14000000013</v>
      </c>
      <c r="F15" s="156">
        <f>SUM(F3:F14)</f>
        <v>-688671.26</v>
      </c>
      <c r="G15" s="157">
        <f>E15+F15</f>
        <v>57039.880000000121</v>
      </c>
      <c r="H15" s="36"/>
      <c r="I15" s="158"/>
      <c r="J15" s="158">
        <f>SUM(J3:J14)</f>
        <v>855.16</v>
      </c>
      <c r="K15" s="159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60"/>
      <c r="J16" s="57">
        <f>J15/12</f>
        <v>71.263333333333335</v>
      </c>
      <c r="K16" s="161">
        <f>K15/12</f>
        <v>9.6931131199999996</v>
      </c>
      <c r="L16" s="162">
        <f>L15/12</f>
        <v>31.486886880000004</v>
      </c>
      <c r="M16" s="163">
        <f>M15/12</f>
        <v>20.803423333333331</v>
      </c>
      <c r="N16" s="164">
        <f>AVERAGE(N2:N15)</f>
        <v>418.25000730769227</v>
      </c>
    </row>
    <row r="17" spans="2:13">
      <c r="C17" s="2"/>
      <c r="D17" s="2"/>
      <c r="G17" s="65"/>
      <c r="H17" s="65"/>
      <c r="I17" s="37"/>
      <c r="L17" s="165" t="s">
        <v>616</v>
      </c>
      <c r="M17" s="166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7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8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9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70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1">
        <f t="shared" si="1"/>
        <v>1072</v>
      </c>
    </row>
    <row r="59" spans="2:7">
      <c r="G59" s="172"/>
    </row>
    <row r="60" spans="2:7" ht="15">
      <c r="C60" s="173" t="s">
        <v>666</v>
      </c>
      <c r="D60" s="174">
        <f>SUM(D3:D36)+SUM(D41:D52)</f>
        <v>5271</v>
      </c>
      <c r="E60" s="174">
        <f>SUM(E3:E36)+SUM(E41:E56)</f>
        <v>37708</v>
      </c>
      <c r="F60" s="174">
        <f>SUM(F3:F36)+SUM(F41:F56)</f>
        <v>36636</v>
      </c>
      <c r="G60" s="175">
        <f>E60-F60</f>
        <v>1072</v>
      </c>
    </row>
    <row r="61" spans="2:7">
      <c r="D61" s="176" t="s">
        <v>667</v>
      </c>
      <c r="E61" s="177" t="s">
        <v>668</v>
      </c>
      <c r="F61" s="177" t="s">
        <v>669</v>
      </c>
      <c r="G61" s="178" t="s">
        <v>669</v>
      </c>
    </row>
    <row r="62" spans="2:7">
      <c r="D62" s="176" t="s">
        <v>670</v>
      </c>
      <c r="E62" s="177" t="s">
        <v>671</v>
      </c>
      <c r="F62" s="177" t="s">
        <v>97</v>
      </c>
      <c r="G62" s="179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80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1" t="s">
        <v>673</v>
      </c>
    </row>
    <row r="3" spans="2:9">
      <c r="D3" s="182" t="s">
        <v>674</v>
      </c>
      <c r="E3" s="110" t="s">
        <v>675</v>
      </c>
      <c r="F3" s="182" t="s">
        <v>676</v>
      </c>
      <c r="G3" s="183"/>
      <c r="I3" s="182" t="s">
        <v>677</v>
      </c>
    </row>
    <row r="4" spans="2:9">
      <c r="D4" s="182" t="s">
        <v>678</v>
      </c>
      <c r="E4" s="110" t="s">
        <v>679</v>
      </c>
      <c r="F4" s="182" t="s">
        <v>678</v>
      </c>
      <c r="G4" s="183"/>
      <c r="I4" s="182" t="s">
        <v>679</v>
      </c>
    </row>
    <row r="5" spans="2:9" ht="14.25">
      <c r="E5" s="184">
        <v>119305.95</v>
      </c>
      <c r="F5" s="184"/>
      <c r="G5" s="185"/>
      <c r="H5" s="186" t="s">
        <v>680</v>
      </c>
      <c r="I5" s="187">
        <f>NZN_23!I8*-1</f>
        <v>119305.95484700002</v>
      </c>
    </row>
    <row r="6" spans="2:9" ht="14.25">
      <c r="H6" s="188" t="s">
        <v>681</v>
      </c>
      <c r="I6" s="189">
        <f>I23*-1</f>
        <v>39967</v>
      </c>
    </row>
    <row r="7" spans="2:9" ht="14.25">
      <c r="I7" s="189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90">
        <v>10000</v>
      </c>
      <c r="G8" s="191"/>
      <c r="H8" s="192" t="s">
        <v>683</v>
      </c>
      <c r="I8" s="192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90">
        <v>10000</v>
      </c>
      <c r="H9" s="192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3" t="s">
        <v>684</v>
      </c>
      <c r="E21" s="194">
        <v>0.2351</v>
      </c>
      <c r="F21" s="194">
        <f>1-E21</f>
        <v>0.76490000000000002</v>
      </c>
    </row>
    <row r="22" spans="2:11">
      <c r="B22" s="195" t="s">
        <v>685</v>
      </c>
      <c r="C22" s="195" t="s">
        <v>686</v>
      </c>
      <c r="D22" s="196" t="s">
        <v>687</v>
      </c>
      <c r="E22" s="197" t="s">
        <v>688</v>
      </c>
      <c r="F22" s="196" t="s">
        <v>689</v>
      </c>
      <c r="G22" s="198" t="s">
        <v>690</v>
      </c>
      <c r="H22" s="196" t="s">
        <v>691</v>
      </c>
      <c r="I22" s="196" t="s">
        <v>692</v>
      </c>
    </row>
    <row r="23" spans="2:11">
      <c r="B23" s="195"/>
      <c r="C23" s="199" t="s">
        <v>693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694</v>
      </c>
      <c r="E24" s="110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2"/>
    </row>
    <row r="25" spans="2:11">
      <c r="B25" s="206"/>
      <c r="C25" s="207"/>
      <c r="D25" s="208"/>
      <c r="E25" s="110">
        <f t="shared" si="2"/>
        <v>0</v>
      </c>
      <c r="F25" s="204">
        <f t="shared" si="3"/>
        <v>0</v>
      </c>
      <c r="G25" s="205">
        <v>0</v>
      </c>
      <c r="H25" s="110">
        <f t="shared" si="4"/>
        <v>0</v>
      </c>
      <c r="I25" s="113">
        <f t="shared" si="5"/>
        <v>-39967</v>
      </c>
    </row>
    <row r="26" spans="2:11">
      <c r="B26" s="209"/>
      <c r="C26" s="210"/>
      <c r="D26" s="211"/>
      <c r="E26" s="110">
        <f t="shared" si="2"/>
        <v>0</v>
      </c>
      <c r="F26" s="204">
        <f t="shared" si="3"/>
        <v>0</v>
      </c>
      <c r="G26" s="205">
        <v>0</v>
      </c>
      <c r="H26" s="110">
        <f t="shared" si="4"/>
        <v>0</v>
      </c>
      <c r="I26" s="113">
        <f t="shared" si="5"/>
        <v>-39967</v>
      </c>
    </row>
    <row r="27" spans="2:11">
      <c r="B27" s="209"/>
      <c r="C27" s="210"/>
      <c r="D27" s="211"/>
      <c r="E27" s="110">
        <f t="shared" si="2"/>
        <v>0</v>
      </c>
      <c r="F27" s="204">
        <f t="shared" si="3"/>
        <v>0</v>
      </c>
      <c r="G27" s="205">
        <v>0</v>
      </c>
      <c r="H27" s="110">
        <f t="shared" si="4"/>
        <v>0</v>
      </c>
      <c r="I27" s="113">
        <f t="shared" si="5"/>
        <v>-39967</v>
      </c>
    </row>
    <row r="28" spans="2:11">
      <c r="B28" s="206"/>
      <c r="C28" s="207"/>
      <c r="D28" s="208"/>
      <c r="E28" s="110">
        <f t="shared" si="2"/>
        <v>0</v>
      </c>
      <c r="F28" s="204">
        <f t="shared" si="3"/>
        <v>0</v>
      </c>
      <c r="G28" s="205">
        <v>0</v>
      </c>
      <c r="H28" s="110">
        <f t="shared" si="4"/>
        <v>0</v>
      </c>
      <c r="I28" s="113">
        <f t="shared" si="5"/>
        <v>-39967</v>
      </c>
    </row>
    <row r="29" spans="2:11">
      <c r="B29" s="206"/>
      <c r="C29" s="207" t="s">
        <v>695</v>
      </c>
      <c r="D29" s="208"/>
      <c r="E29" s="110">
        <f t="shared" si="2"/>
        <v>0</v>
      </c>
      <c r="F29" s="204">
        <f t="shared" si="3"/>
        <v>0</v>
      </c>
      <c r="G29" s="205">
        <v>0</v>
      </c>
      <c r="H29" s="110">
        <f t="shared" si="4"/>
        <v>0</v>
      </c>
      <c r="I29" s="113">
        <f t="shared" si="5"/>
        <v>-39967</v>
      </c>
    </row>
    <row r="30" spans="2:11">
      <c r="B30" s="206"/>
      <c r="C30" s="207"/>
      <c r="D30" s="208"/>
      <c r="E30" s="110">
        <f t="shared" si="2"/>
        <v>0</v>
      </c>
      <c r="F30" s="204">
        <f t="shared" si="3"/>
        <v>0</v>
      </c>
      <c r="G30" s="205">
        <v>0</v>
      </c>
      <c r="H30" s="110">
        <f t="shared" si="4"/>
        <v>0</v>
      </c>
      <c r="I30" s="113">
        <f t="shared" si="5"/>
        <v>-39967</v>
      </c>
    </row>
    <row r="31" spans="2:11">
      <c r="B31" s="206"/>
      <c r="C31" s="207"/>
      <c r="D31" s="208"/>
      <c r="E31" s="110">
        <f t="shared" si="2"/>
        <v>0</v>
      </c>
      <c r="F31" s="204">
        <f t="shared" si="3"/>
        <v>0</v>
      </c>
      <c r="G31" s="205">
        <v>0</v>
      </c>
      <c r="H31" s="110">
        <f t="shared" si="4"/>
        <v>0</v>
      </c>
      <c r="I31" s="113">
        <f t="shared" si="5"/>
        <v>-39967</v>
      </c>
    </row>
    <row r="32" spans="2:11">
      <c r="B32" s="209"/>
      <c r="C32" s="210"/>
      <c r="D32" s="211"/>
      <c r="E32" s="110">
        <f t="shared" si="2"/>
        <v>0</v>
      </c>
      <c r="F32" s="204">
        <f t="shared" si="3"/>
        <v>0</v>
      </c>
      <c r="G32" s="205">
        <v>0</v>
      </c>
      <c r="H32" s="110">
        <f t="shared" si="4"/>
        <v>0</v>
      </c>
      <c r="I32" s="113">
        <f t="shared" si="5"/>
        <v>-39967</v>
      </c>
    </row>
    <row r="33" spans="2:11">
      <c r="B33" s="203">
        <v>45321</v>
      </c>
      <c r="C33" s="212" t="s">
        <v>696</v>
      </c>
      <c r="D33" s="213">
        <v>7000</v>
      </c>
      <c r="E33" s="110">
        <f t="shared" si="2"/>
        <v>0</v>
      </c>
      <c r="F33" s="204">
        <f t="shared" si="3"/>
        <v>-1645.7</v>
      </c>
      <c r="G33" s="205">
        <v>0</v>
      </c>
      <c r="H33" s="110">
        <f t="shared" si="4"/>
        <v>0</v>
      </c>
      <c r="I33" s="113">
        <f t="shared" si="5"/>
        <v>-39967</v>
      </c>
    </row>
    <row r="34" spans="2:11">
      <c r="B34" s="209"/>
      <c r="C34" s="210" t="s">
        <v>697</v>
      </c>
      <c r="D34" s="211">
        <v>24000</v>
      </c>
      <c r="E34" s="110">
        <f t="shared" si="2"/>
        <v>24000</v>
      </c>
      <c r="F34" s="204">
        <f t="shared" si="3"/>
        <v>0</v>
      </c>
      <c r="G34" s="205">
        <v>1</v>
      </c>
      <c r="H34" s="110">
        <f t="shared" si="4"/>
        <v>-5642.4</v>
      </c>
      <c r="I34" s="113">
        <f t="shared" si="5"/>
        <v>-39967</v>
      </c>
    </row>
    <row r="35" spans="2:11">
      <c r="B35" s="209">
        <v>45296</v>
      </c>
      <c r="C35" s="210" t="s">
        <v>698</v>
      </c>
      <c r="D35" s="211">
        <v>26000</v>
      </c>
      <c r="E35" s="110">
        <f t="shared" si="2"/>
        <v>26000</v>
      </c>
      <c r="F35" s="204">
        <f t="shared" si="3"/>
        <v>0</v>
      </c>
      <c r="G35" s="205">
        <v>1</v>
      </c>
      <c r="H35" s="110">
        <f t="shared" si="4"/>
        <v>-6112.6</v>
      </c>
      <c r="I35" s="113">
        <f t="shared" si="5"/>
        <v>-34324.6</v>
      </c>
    </row>
    <row r="36" spans="2:11">
      <c r="B36" s="206">
        <v>45295</v>
      </c>
      <c r="C36" s="210" t="s">
        <v>698</v>
      </c>
      <c r="D36" s="208">
        <v>120000</v>
      </c>
      <c r="E36" s="110">
        <f t="shared" si="2"/>
        <v>120000</v>
      </c>
      <c r="F36" s="204">
        <f t="shared" si="3"/>
        <v>0</v>
      </c>
      <c r="G36" s="205">
        <v>1</v>
      </c>
      <c r="H36" s="110">
        <f t="shared" si="4"/>
        <v>-28212</v>
      </c>
      <c r="I36" s="113">
        <f t="shared" si="5"/>
        <v>-28212</v>
      </c>
    </row>
    <row r="37" spans="2:11">
      <c r="B37" s="209">
        <v>45292</v>
      </c>
      <c r="C37" s="210" t="s">
        <v>581</v>
      </c>
      <c r="D37" s="214">
        <v>154000</v>
      </c>
      <c r="E37" s="110">
        <f t="shared" si="2"/>
        <v>0</v>
      </c>
      <c r="F37" s="204">
        <f t="shared" si="3"/>
        <v>-36205.4</v>
      </c>
      <c r="G37" s="215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6"/>
      <c r="I40" s="216"/>
      <c r="J40" s="217"/>
    </row>
    <row r="41" spans="2:11" ht="15.75">
      <c r="C41" t="s">
        <v>702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703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2"/>
      <c r="E45" s="222"/>
      <c r="F45" s="222"/>
      <c r="K45" s="65"/>
    </row>
    <row r="46" spans="2:11">
      <c r="K46" s="65"/>
    </row>
    <row r="47" spans="2:11">
      <c r="D47" s="182" t="s">
        <v>706</v>
      </c>
      <c r="E47" s="182" t="s">
        <v>707</v>
      </c>
      <c r="F47" s="182" t="s">
        <v>708</v>
      </c>
      <c r="K47" s="65"/>
    </row>
    <row r="48" spans="2:11">
      <c r="E48" s="188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1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3" t="s">
        <v>684</v>
      </c>
      <c r="E5" s="223">
        <v>0.2351</v>
      </c>
      <c r="F5" s="223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1" t="s">
        <v>688</v>
      </c>
      <c r="F6" s="37" t="s">
        <v>689</v>
      </c>
      <c r="G6" s="224" t="s">
        <v>690</v>
      </c>
      <c r="H6" s="37" t="s">
        <v>691</v>
      </c>
      <c r="I6" s="225" t="s">
        <v>692</v>
      </c>
    </row>
    <row r="7" spans="2:11">
      <c r="K7" s="202"/>
    </row>
    <row r="8" spans="2:11" ht="15.75">
      <c r="B8" s="203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6">
        <f t="shared" ref="F8:F25" si="1">IF(G8=0,D8*$E$5*-1,0)</f>
        <v>0</v>
      </c>
      <c r="G8" s="224">
        <v>1</v>
      </c>
      <c r="H8" s="84">
        <f t="shared" ref="H8:H25" si="2">IF(G8=1,D8*$E$5*-1,0)</f>
        <v>1373.8186050000002</v>
      </c>
      <c r="I8" s="227">
        <f t="shared" ref="I8:I25" si="3">I9+H8</f>
        <v>-119305.95484700002</v>
      </c>
      <c r="K8" s="202"/>
    </row>
    <row r="9" spans="2:11">
      <c r="B9" s="228">
        <v>45290</v>
      </c>
      <c r="C9" s="229" t="s">
        <v>709</v>
      </c>
      <c r="D9" s="230">
        <v>135000</v>
      </c>
      <c r="E9" s="84">
        <f t="shared" si="0"/>
        <v>135000</v>
      </c>
      <c r="F9" s="226">
        <f t="shared" si="1"/>
        <v>0</v>
      </c>
      <c r="G9" s="224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1">
        <v>45260</v>
      </c>
      <c r="C10" s="232" t="s">
        <v>710</v>
      </c>
      <c r="D10" s="233"/>
      <c r="E10" s="234">
        <f t="shared" si="0"/>
        <v>0</v>
      </c>
      <c r="F10" s="235">
        <f t="shared" si="1"/>
        <v>0</v>
      </c>
      <c r="G10" s="236">
        <v>0</v>
      </c>
      <c r="H10" s="234">
        <f t="shared" si="2"/>
        <v>0</v>
      </c>
      <c r="I10" s="233">
        <f t="shared" si="3"/>
        <v>-88941.273452000009</v>
      </c>
    </row>
    <row r="11" spans="2:11">
      <c r="B11" s="228">
        <v>45236</v>
      </c>
      <c r="C11" s="229" t="s">
        <v>711</v>
      </c>
      <c r="D11" s="230">
        <v>15887.06</v>
      </c>
      <c r="E11" s="84">
        <f t="shared" si="0"/>
        <v>15887.06</v>
      </c>
      <c r="F11" s="226">
        <f t="shared" si="1"/>
        <v>0</v>
      </c>
      <c r="G11" s="224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8">
        <v>45195</v>
      </c>
      <c r="C12" s="229" t="s">
        <v>712</v>
      </c>
      <c r="D12" s="230">
        <v>84000</v>
      </c>
      <c r="E12" s="84">
        <f t="shared" si="0"/>
        <v>84000</v>
      </c>
      <c r="F12" s="226">
        <f t="shared" si="1"/>
        <v>0</v>
      </c>
      <c r="G12" s="224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8">
        <v>45229</v>
      </c>
      <c r="C13" s="229" t="s">
        <v>713</v>
      </c>
      <c r="D13" s="230">
        <v>10000</v>
      </c>
      <c r="E13" s="84">
        <f t="shared" si="0"/>
        <v>10000</v>
      </c>
      <c r="F13" s="226">
        <f t="shared" si="1"/>
        <v>0</v>
      </c>
      <c r="G13" s="224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8">
        <v>45194</v>
      </c>
      <c r="C14" s="229" t="s">
        <v>713</v>
      </c>
      <c r="D14" s="230">
        <v>3000</v>
      </c>
      <c r="E14" s="84">
        <f t="shared" si="0"/>
        <v>3000</v>
      </c>
      <c r="F14" s="226">
        <f t="shared" si="1"/>
        <v>0</v>
      </c>
      <c r="G14" s="224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8">
        <v>45192</v>
      </c>
      <c r="C15" s="229" t="s">
        <v>713</v>
      </c>
      <c r="D15" s="230">
        <v>83000</v>
      </c>
      <c r="E15" s="84">
        <f t="shared" si="0"/>
        <v>83000</v>
      </c>
      <c r="F15" s="226">
        <f t="shared" si="1"/>
        <v>0</v>
      </c>
      <c r="G15" s="224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3">
        <v>45321</v>
      </c>
      <c r="C16" s="212" t="s">
        <v>696</v>
      </c>
      <c r="D16" s="156">
        <v>7000</v>
      </c>
      <c r="E16" s="84">
        <f t="shared" si="0"/>
        <v>0</v>
      </c>
      <c r="F16" s="226">
        <f t="shared" si="1"/>
        <v>-1645.7</v>
      </c>
      <c r="G16" s="224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8">
        <v>45290</v>
      </c>
      <c r="C17" s="229" t="s">
        <v>714</v>
      </c>
      <c r="D17" s="230">
        <v>6000</v>
      </c>
      <c r="E17" s="84">
        <f t="shared" si="0"/>
        <v>6000</v>
      </c>
      <c r="F17" s="226">
        <f t="shared" si="1"/>
        <v>0</v>
      </c>
      <c r="G17" s="224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8">
        <v>45260</v>
      </c>
      <c r="C18" s="229" t="s">
        <v>715</v>
      </c>
      <c r="D18" s="230">
        <v>6000</v>
      </c>
      <c r="E18" s="84">
        <f t="shared" si="0"/>
        <v>6000</v>
      </c>
      <c r="F18" s="226">
        <f t="shared" si="1"/>
        <v>0</v>
      </c>
      <c r="G18" s="224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8">
        <v>45229</v>
      </c>
      <c r="C19" s="229" t="s">
        <v>716</v>
      </c>
      <c r="D19" s="230">
        <v>6000</v>
      </c>
      <c r="E19" s="84">
        <f t="shared" si="0"/>
        <v>6000</v>
      </c>
      <c r="F19" s="226">
        <f t="shared" si="1"/>
        <v>0</v>
      </c>
      <c r="G19" s="224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8">
        <v>45199</v>
      </c>
      <c r="C20" s="229" t="s">
        <v>696</v>
      </c>
      <c r="D20" s="230">
        <v>6000</v>
      </c>
      <c r="E20" s="84">
        <f t="shared" si="0"/>
        <v>6000</v>
      </c>
      <c r="F20" s="226">
        <f t="shared" si="1"/>
        <v>0</v>
      </c>
      <c r="G20" s="224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8">
        <v>45171</v>
      </c>
      <c r="C21" s="229" t="s">
        <v>696</v>
      </c>
      <c r="D21" s="230">
        <v>65000</v>
      </c>
      <c r="E21" s="84">
        <f t="shared" si="0"/>
        <v>65000</v>
      </c>
      <c r="F21" s="226">
        <f t="shared" si="1"/>
        <v>0</v>
      </c>
      <c r="G21" s="224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8">
        <v>45122</v>
      </c>
      <c r="C22" s="229" t="s">
        <v>717</v>
      </c>
      <c r="D22" s="230">
        <v>50000</v>
      </c>
      <c r="E22" s="84">
        <f t="shared" si="0"/>
        <v>50000</v>
      </c>
      <c r="F22" s="226">
        <f t="shared" si="1"/>
        <v>0</v>
      </c>
      <c r="G22" s="224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9"/>
      <c r="C23" s="229" t="s">
        <v>718</v>
      </c>
      <c r="D23" s="230">
        <v>28080</v>
      </c>
      <c r="E23" s="84">
        <f t="shared" si="0"/>
        <v>28080</v>
      </c>
      <c r="F23" s="226">
        <f t="shared" si="1"/>
        <v>0</v>
      </c>
      <c r="G23" s="224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9"/>
      <c r="C24" s="229" t="s">
        <v>719</v>
      </c>
      <c r="D24" s="230">
        <v>8425.4599999999991</v>
      </c>
      <c r="E24" s="84">
        <f t="shared" si="0"/>
        <v>8425.4599999999991</v>
      </c>
      <c r="F24" s="226">
        <f t="shared" si="1"/>
        <v>0</v>
      </c>
      <c r="G24" s="224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8">
        <v>44963</v>
      </c>
      <c r="C25" s="229" t="s">
        <v>720</v>
      </c>
      <c r="D25" s="230">
        <v>6920</v>
      </c>
      <c r="E25" s="84">
        <f t="shared" si="0"/>
        <v>6920</v>
      </c>
      <c r="F25" s="226">
        <f t="shared" si="1"/>
        <v>0</v>
      </c>
      <c r="G25" s="237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8"/>
      <c r="I31" s="238"/>
      <c r="J31" s="217"/>
    </row>
    <row r="32" spans="2:10" ht="15.75">
      <c r="C32" t="s">
        <v>702</v>
      </c>
      <c r="D32" s="239">
        <v>1</v>
      </c>
      <c r="E32" s="240">
        <f>1-F32</f>
        <v>0.76490000000000002</v>
      </c>
      <c r="F32" s="240">
        <v>0.2351</v>
      </c>
      <c r="I32" s="65"/>
    </row>
    <row r="33" spans="3:11">
      <c r="C33" t="s">
        <v>703</v>
      </c>
      <c r="D33" s="241">
        <f>$D$27*D32</f>
        <v>514468.97000000003</v>
      </c>
      <c r="E33" s="242">
        <f>$D$27*E32</f>
        <v>393517.31515300006</v>
      </c>
      <c r="F33" s="242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3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4"/>
      <c r="E36" s="244"/>
      <c r="F36" s="244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5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724</v>
      </c>
      <c r="C2" s="87" t="s">
        <v>191</v>
      </c>
      <c r="D2" s="241">
        <f>SUM(D5:D35)</f>
        <v>22800</v>
      </c>
      <c r="E2" s="241">
        <f>SUM(E5:E35)</f>
        <v>-38101.83</v>
      </c>
      <c r="F2" s="241">
        <f>SUM(F5:F35)</f>
        <v>16232.529999999999</v>
      </c>
      <c r="G2" s="241">
        <f>SUM(G5:G35)</f>
        <v>-41854.230000000003</v>
      </c>
      <c r="H2" s="241">
        <f>F2+G2</f>
        <v>-25621.700000000004</v>
      </c>
    </row>
    <row r="3" spans="1:8">
      <c r="B3" s="70"/>
      <c r="H3" s="65"/>
    </row>
    <row r="4" spans="1:8">
      <c r="A4" s="96">
        <v>45259</v>
      </c>
      <c r="B4" s="246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2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2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2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2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7"/>
      <c r="B42" s="247"/>
      <c r="C42" s="247"/>
      <c r="D42" s="247"/>
      <c r="E42" s="248"/>
      <c r="H42" s="65"/>
    </row>
    <row r="43" spans="1:8">
      <c r="A43" s="247"/>
      <c r="B43" s="247"/>
      <c r="C43" s="249"/>
      <c r="D43" s="247"/>
      <c r="E43" s="247"/>
      <c r="H43" s="65"/>
    </row>
    <row r="44" spans="1:8">
      <c r="A44" s="247"/>
      <c r="B44" s="247"/>
      <c r="C44" s="249"/>
      <c r="D44" s="247"/>
      <c r="E44" s="247"/>
      <c r="H44" s="65"/>
    </row>
    <row r="45" spans="1:8">
      <c r="C45" s="98"/>
      <c r="H45" s="65"/>
    </row>
    <row r="46" spans="1:8">
      <c r="A46" s="250">
        <v>44929</v>
      </c>
      <c r="B46" s="101" t="s">
        <v>224</v>
      </c>
      <c r="C46" s="78"/>
      <c r="D46" s="137">
        <f>SUM(D47:D54)</f>
        <v>5357.51</v>
      </c>
      <c r="E46" s="137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1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40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40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40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40"/>
      <c r="E67" s="84"/>
      <c r="F67" s="65"/>
      <c r="G67" s="65"/>
      <c r="H67" s="65"/>
    </row>
    <row r="68" spans="1:8">
      <c r="A68" s="97"/>
      <c r="B68" s="94"/>
      <c r="C68" s="94"/>
      <c r="D68" s="140"/>
      <c r="E68" s="84"/>
      <c r="F68" s="65"/>
      <c r="G68" s="65"/>
      <c r="H68" s="65"/>
    </row>
    <row r="69" spans="1:8">
      <c r="A69" s="97"/>
      <c r="B69" s="94"/>
      <c r="C69" s="94"/>
      <c r="D69" s="140"/>
      <c r="E69" s="84"/>
      <c r="F69" s="65"/>
      <c r="G69" s="65"/>
      <c r="H69" s="65"/>
    </row>
    <row r="70" spans="1:8">
      <c r="A70" s="97"/>
      <c r="B70" s="94"/>
      <c r="C70" s="94"/>
      <c r="D70" s="140"/>
      <c r="E70" s="84"/>
      <c r="F70" s="65"/>
      <c r="G70" s="65"/>
      <c r="H70" s="65"/>
    </row>
    <row r="71" spans="1:8">
      <c r="A71" s="97"/>
      <c r="B71" s="94"/>
      <c r="C71" s="94"/>
      <c r="D71" s="140"/>
      <c r="E71" s="84"/>
      <c r="F71" s="65"/>
      <c r="G71" s="65"/>
      <c r="H71" s="65"/>
    </row>
    <row r="72" spans="1:8">
      <c r="A72" s="97"/>
      <c r="B72" s="94"/>
      <c r="C72" s="94"/>
      <c r="D72" s="140"/>
      <c r="E72" s="84"/>
      <c r="F72" s="65"/>
      <c r="G72" s="65"/>
      <c r="H72" s="65"/>
    </row>
    <row r="73" spans="1:8">
      <c r="A73" s="97"/>
      <c r="B73" s="94"/>
      <c r="C73" s="94"/>
      <c r="D73" s="140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7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750</v>
      </c>
      <c r="C2" s="87" t="s">
        <v>191</v>
      </c>
      <c r="D2" s="241">
        <f>SUM(D5:D36)</f>
        <v>262800</v>
      </c>
      <c r="E2" s="241">
        <f>SUM(E4:E27)</f>
        <v>-98843.11</v>
      </c>
      <c r="F2" s="241">
        <f>SUM(F5:F37)</f>
        <v>177687.06</v>
      </c>
      <c r="G2" s="241">
        <f>SUM(G4:G37)</f>
        <v>-242504.11</v>
      </c>
      <c r="H2" s="241">
        <f>F2+G2</f>
        <v>-64817.049999999988</v>
      </c>
    </row>
    <row r="3" spans="1:8">
      <c r="B3" s="70"/>
      <c r="H3" s="65"/>
    </row>
    <row r="4" spans="1:8">
      <c r="A4" s="96">
        <v>45231</v>
      </c>
      <c r="B4" s="246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2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2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2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2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2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2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2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2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2"/>
      <c r="B39" s="247"/>
      <c r="C39" s="247"/>
      <c r="D39" s="247"/>
      <c r="E39" s="248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252"/>
      <c r="B41" s="247"/>
      <c r="C41" s="249"/>
      <c r="D41" s="247"/>
      <c r="E41" s="247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7">
        <f>SUM(D44:D51)</f>
        <v>3906.8500000000004</v>
      </c>
      <c r="E43" s="137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40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40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40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784</v>
      </c>
      <c r="C2" s="87" t="s">
        <v>191</v>
      </c>
      <c r="D2" s="241">
        <f>SUM(D4:D32)</f>
        <v>32800</v>
      </c>
      <c r="E2" s="241">
        <f>SUM(E4:E32)</f>
        <v>-44478.170000000006</v>
      </c>
      <c r="F2" s="241">
        <f>SUM(F4:F32)</f>
        <v>23200</v>
      </c>
      <c r="G2" s="241">
        <f>SUM(G4:G32)</f>
        <v>-43968.17</v>
      </c>
      <c r="H2" s="241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2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2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2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2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2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7"/>
      <c r="B35" s="247"/>
      <c r="C35" s="247"/>
      <c r="D35" s="247"/>
      <c r="E35" s="248"/>
      <c r="H35" s="65"/>
    </row>
    <row r="36" spans="1:8">
      <c r="A36" s="247"/>
      <c r="B36" s="247"/>
      <c r="C36" s="249"/>
      <c r="D36" s="247"/>
      <c r="E36" s="247"/>
      <c r="H36" s="65"/>
    </row>
    <row r="37" spans="1:8">
      <c r="A37" s="247"/>
      <c r="B37" s="247"/>
      <c r="C37" s="249"/>
      <c r="D37" s="247"/>
      <c r="E37" s="247"/>
      <c r="H37" s="65"/>
    </row>
    <row r="38" spans="1:8">
      <c r="C38" s="98"/>
      <c r="H38" s="65"/>
    </row>
    <row r="39" spans="1:8">
      <c r="A39" s="250">
        <v>44929</v>
      </c>
      <c r="B39" s="101" t="s">
        <v>224</v>
      </c>
      <c r="C39" s="78"/>
      <c r="D39" s="137">
        <f>SUM(D40:D47)</f>
        <v>3425.3799999999997</v>
      </c>
      <c r="E39" s="137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40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40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40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40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40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40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40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40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40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826</v>
      </c>
      <c r="C2" s="87" t="s">
        <v>191</v>
      </c>
      <c r="D2" s="241">
        <f>SUM(D4:D38)</f>
        <v>133300</v>
      </c>
      <c r="E2" s="241">
        <f>SUM(E4:E37)</f>
        <v>-31871.02</v>
      </c>
      <c r="F2" s="241">
        <f>SUM(F4:F44)</f>
        <v>257800</v>
      </c>
      <c r="G2" s="241">
        <f>SUM(G4:G44)</f>
        <v>-34914.910000000003</v>
      </c>
      <c r="H2" s="241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2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2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2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2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2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2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2"/>
      <c r="B46" s="247"/>
      <c r="C46" s="247"/>
      <c r="D46" s="247"/>
      <c r="E46" s="248"/>
      <c r="H46" s="65"/>
    </row>
    <row r="47" spans="1:8">
      <c r="A47" s="252"/>
      <c r="B47" s="247"/>
      <c r="C47" s="249"/>
      <c r="D47" s="247"/>
      <c r="E47" s="247"/>
      <c r="H47" s="65"/>
    </row>
    <row r="48" spans="1:8">
      <c r="A48" s="252"/>
      <c r="B48" s="247"/>
      <c r="C48" s="249"/>
      <c r="D48" s="247"/>
      <c r="E48" s="247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3502.0099999999998</v>
      </c>
      <c r="E50" s="137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7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40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40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40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40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40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40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863</v>
      </c>
      <c r="C2" s="87" t="s">
        <v>191</v>
      </c>
      <c r="D2" s="241">
        <f>SUM(D4:D30)</f>
        <v>87911</v>
      </c>
      <c r="E2" s="241">
        <f>SUM(E4:E29)</f>
        <v>-32079.01</v>
      </c>
      <c r="F2" s="241">
        <f>SUM(F4:F31)</f>
        <v>16800</v>
      </c>
      <c r="G2" s="241">
        <f>SUM(G4:G31)</f>
        <v>-37135.350000000006</v>
      </c>
      <c r="H2" s="241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2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2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2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2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0</v>
      </c>
      <c r="E37" s="137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40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40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40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40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40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40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3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3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3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889</v>
      </c>
      <c r="C2" s="87" t="s">
        <v>191</v>
      </c>
      <c r="D2" s="241">
        <f>SUM(D4:D34)</f>
        <v>67911</v>
      </c>
      <c r="E2" s="241">
        <f>SUM(E4:E33)</f>
        <v>-35277.64</v>
      </c>
      <c r="F2" s="241">
        <f>SUM(F4:F35)</f>
        <v>70250</v>
      </c>
      <c r="G2" s="241">
        <f>SUM(G4:G35)</f>
        <v>-42110.31</v>
      </c>
      <c r="H2" s="241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4" t="s">
        <v>894</v>
      </c>
      <c r="E13" s="65"/>
      <c r="G13" s="65">
        <v>-5595.88</v>
      </c>
      <c r="H13" s="65">
        <f t="shared" si="0"/>
        <v>-23354.9</v>
      </c>
      <c r="I13" s="217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2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2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2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2"/>
      <c r="B37" s="247"/>
      <c r="C37" s="247"/>
      <c r="D37" s="247"/>
      <c r="E37" s="248"/>
      <c r="H37" s="65"/>
    </row>
    <row r="38" spans="1:8">
      <c r="A38" s="252"/>
      <c r="B38" s="247"/>
      <c r="C38" s="249"/>
      <c r="D38" s="247"/>
      <c r="E38" s="247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7">
        <f>SUM(D42:D49)</f>
        <v>3120.43</v>
      </c>
      <c r="E41" s="137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40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40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40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40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40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40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923</v>
      </c>
      <c r="C2" s="87" t="s">
        <v>191</v>
      </c>
      <c r="D2" s="241">
        <f>SUM(D4:D30)</f>
        <v>28744</v>
      </c>
      <c r="E2" s="241">
        <f>SUM(E4:E29)</f>
        <v>-26572.629999999997</v>
      </c>
      <c r="F2" s="241">
        <f>SUM(F4:F31)</f>
        <v>33133</v>
      </c>
      <c r="G2" s="241">
        <f>SUM(G4:G31)</f>
        <v>-28830.22</v>
      </c>
      <c r="H2" s="241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2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2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2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5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3377.9</v>
      </c>
      <c r="E37" s="137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7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6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40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40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954</v>
      </c>
      <c r="C2" s="87" t="s">
        <v>191</v>
      </c>
      <c r="D2" s="241">
        <f>SUM(D4:D40)</f>
        <v>17911</v>
      </c>
      <c r="E2" s="241">
        <f>SUM(E4:E39)</f>
        <v>-20977.52</v>
      </c>
      <c r="F2" s="241">
        <f>SUM(F4:F41)</f>
        <v>19800</v>
      </c>
      <c r="G2" s="241">
        <f>SUM(G4:G41)</f>
        <v>-25248.52</v>
      </c>
      <c r="H2" s="241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2"/>
      <c r="B43" s="247"/>
      <c r="C43" s="247"/>
      <c r="D43" s="247"/>
      <c r="E43" s="248"/>
      <c r="H43" s="65"/>
    </row>
    <row r="44" spans="1:8">
      <c r="A44" s="252"/>
      <c r="B44" s="247"/>
      <c r="C44" s="249"/>
      <c r="D44" s="247"/>
      <c r="E44" s="247"/>
      <c r="H44" s="65"/>
    </row>
    <row r="45" spans="1:8">
      <c r="A45" s="252"/>
      <c r="B45" s="247"/>
      <c r="C45" s="249"/>
      <c r="D45" s="247"/>
      <c r="E45" s="247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7">
        <f>SUM(D48:D55)</f>
        <v>2838.0099999999998</v>
      </c>
      <c r="E47" s="137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6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7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979</v>
      </c>
      <c r="C2" s="87" t="s">
        <v>191</v>
      </c>
      <c r="D2" s="241">
        <f>SUM(D4:D35)</f>
        <v>20911</v>
      </c>
      <c r="E2" s="241">
        <f>SUM(E4:E26)</f>
        <v>-54277.093000000001</v>
      </c>
      <c r="F2" s="241">
        <f>SUM(F4:F36)</f>
        <v>72630</v>
      </c>
      <c r="G2" s="241">
        <f>SUM(G4:G36)</f>
        <v>-58332.79</v>
      </c>
      <c r="H2" s="241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2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2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2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2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7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2"/>
      <c r="B38" s="247"/>
      <c r="C38" s="247"/>
      <c r="D38" s="247"/>
      <c r="E38" s="248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7">
        <f>SUM(D43:D50)</f>
        <v>4161.9400000000005</v>
      </c>
      <c r="E42" s="137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6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1008</v>
      </c>
      <c r="C2" s="87" t="s">
        <v>191</v>
      </c>
      <c r="D2" s="241">
        <f>SUM(D5:D36)</f>
        <v>88189</v>
      </c>
      <c r="E2" s="241">
        <f>SUM(E5:E35)</f>
        <v>-24634.690000000002</v>
      </c>
      <c r="F2" s="241">
        <f>SUM(F4:F36)</f>
        <v>23139.34</v>
      </c>
      <c r="G2" s="241">
        <f>SUM(G5:G40)</f>
        <v>-33283.54</v>
      </c>
      <c r="H2" s="241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2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2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2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7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2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2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7">
        <f>SUM(D47:D54)</f>
        <v>3899.0699999999997</v>
      </c>
      <c r="E46" s="137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1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8">
        <v>44982</v>
      </c>
      <c r="D93" s="37"/>
      <c r="E93" s="259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8">
        <v>44981</v>
      </c>
      <c r="C101" s="94"/>
      <c r="D101" s="94"/>
      <c r="E101" s="259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A2" s="3" t="s">
        <v>889</v>
      </c>
      <c r="C2" s="87" t="s">
        <v>191</v>
      </c>
      <c r="D2" s="241">
        <f>SUM(D4:D43)</f>
        <v>15761</v>
      </c>
      <c r="E2" s="84">
        <f>SUM(E4:E38)</f>
        <v>-56286.92</v>
      </c>
      <c r="F2" s="241">
        <f>SUM(F4:F43)</f>
        <v>26990.010000000002</v>
      </c>
      <c r="G2" s="241">
        <f>SUM(G4:G43)</f>
        <v>-77441.489999999991</v>
      </c>
      <c r="H2" s="241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60" t="s">
        <v>1051</v>
      </c>
      <c r="C7" s="260"/>
      <c r="D7" s="261"/>
      <c r="E7" s="262"/>
      <c r="F7" s="263">
        <v>6920</v>
      </c>
      <c r="G7" s="65"/>
      <c r="H7" s="65">
        <f t="shared" si="0"/>
        <v>3048.71</v>
      </c>
    </row>
    <row r="8" spans="1:8">
      <c r="A8" s="97">
        <v>44963</v>
      </c>
      <c r="B8" s="260" t="s">
        <v>1052</v>
      </c>
      <c r="C8" s="260" t="s">
        <v>896</v>
      </c>
      <c r="D8" s="261"/>
      <c r="E8" s="262"/>
      <c r="F8" s="263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2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2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2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4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7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2">
        <v>44650</v>
      </c>
      <c r="B46" s="247" t="s">
        <v>1069</v>
      </c>
      <c r="C46" s="247"/>
      <c r="D46" s="247" t="s">
        <v>1070</v>
      </c>
      <c r="H46" s="65"/>
    </row>
    <row r="47" spans="1:8">
      <c r="A47" s="252">
        <v>44844</v>
      </c>
      <c r="B47" s="247" t="s">
        <v>1071</v>
      </c>
      <c r="C47" s="249"/>
      <c r="D47" s="247" t="s">
        <v>1072</v>
      </c>
      <c r="H47" s="65"/>
    </row>
    <row r="48" spans="1:8">
      <c r="A48" s="252"/>
      <c r="B48" s="247" t="s">
        <v>1073</v>
      </c>
      <c r="C48" s="249"/>
      <c r="D48" s="247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5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6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6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1100</v>
      </c>
      <c r="C2" s="87" t="s">
        <v>191</v>
      </c>
      <c r="D2" s="241">
        <f>SUM(D4:D27)</f>
        <v>13261</v>
      </c>
      <c r="E2" s="241">
        <f>SUM(E5:E27)</f>
        <v>-22808.309999999998</v>
      </c>
      <c r="F2" s="241">
        <f>SUM(F4:F28)</f>
        <v>8049.2</v>
      </c>
      <c r="G2" s="241">
        <f>SUM(G4:G28)</f>
        <v>-23047.62</v>
      </c>
      <c r="H2" s="241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2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2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2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4">
        <v>1000</v>
      </c>
      <c r="H23" s="65">
        <f t="shared" si="0"/>
        <v>-15998.419999999998</v>
      </c>
    </row>
    <row r="24" spans="1:8">
      <c r="A24" s="97">
        <v>44928</v>
      </c>
      <c r="B24" s="247" t="s">
        <v>1105</v>
      </c>
      <c r="C24" s="247"/>
      <c r="D24" s="267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2">
        <v>44650</v>
      </c>
      <c r="B31" s="247" t="s">
        <v>1069</v>
      </c>
      <c r="C31" s="247"/>
      <c r="D31" s="247" t="s">
        <v>1106</v>
      </c>
      <c r="E31" s="248"/>
      <c r="H31" s="65"/>
    </row>
    <row r="32" spans="1:8">
      <c r="A32" s="252">
        <v>44844</v>
      </c>
      <c r="B32" s="247" t="s">
        <v>1071</v>
      </c>
      <c r="C32" s="249"/>
      <c r="D32" s="247" t="s">
        <v>1072</v>
      </c>
      <c r="E32" s="247"/>
      <c r="H32" s="65"/>
    </row>
    <row r="33" spans="1:8">
      <c r="A33" s="252"/>
      <c r="B33" s="247" t="s">
        <v>1107</v>
      </c>
      <c r="C33" s="249"/>
      <c r="D33" s="247"/>
      <c r="E33" s="247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7">
        <f>SUM(D36:D43)</f>
        <v>6130.21</v>
      </c>
      <c r="E35" s="137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8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9">
        <v>0.23471</v>
      </c>
      <c r="L1" s="269">
        <f>1-K1</f>
        <v>0.76529000000000003</v>
      </c>
      <c r="M1" s="270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70" t="s">
        <v>614</v>
      </c>
      <c r="L2" s="270" t="s">
        <v>615</v>
      </c>
      <c r="M2" s="270" t="s">
        <v>124</v>
      </c>
      <c r="N2" s="28" t="s">
        <v>1139</v>
      </c>
    </row>
    <row r="3" spans="1:14">
      <c r="A3" t="s">
        <v>125</v>
      </c>
      <c r="B3" s="149">
        <f>'22_1'!D2</f>
        <v>7333.3</v>
      </c>
      <c r="C3" s="150">
        <f>'22_1'!E2</f>
        <v>-6834.05</v>
      </c>
      <c r="D3" s="151">
        <f>B3+C3</f>
        <v>499.25</v>
      </c>
      <c r="E3" s="149">
        <f>'22_1'!F2</f>
        <v>46462.64</v>
      </c>
      <c r="F3" s="150">
        <f>'22_1'!G2</f>
        <v>-6834.05</v>
      </c>
      <c r="G3" s="152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9">
        <f>'22_2'!D2</f>
        <v>10567.09</v>
      </c>
      <c r="C4" s="150">
        <f>'22_2'!E2</f>
        <v>-21938.15</v>
      </c>
      <c r="D4" s="151">
        <f t="shared" ref="D4:D14" si="0">B4+C4+D3</f>
        <v>-10871.810000000001</v>
      </c>
      <c r="E4" s="149">
        <f>'22_2'!F2</f>
        <v>11567.09</v>
      </c>
      <c r="F4" s="150">
        <f>'22_2'!G2</f>
        <v>-21938.15</v>
      </c>
      <c r="G4" s="152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9">
        <f>'03'!D2</f>
        <v>36859.61</v>
      </c>
      <c r="C5" s="150">
        <f>'03'!E2</f>
        <v>-30109.3</v>
      </c>
      <c r="D5" s="151">
        <f t="shared" si="0"/>
        <v>-4121.5</v>
      </c>
      <c r="E5" s="149">
        <f>'03'!F2</f>
        <v>35859.61</v>
      </c>
      <c r="F5" s="150">
        <f>'03'!G2</f>
        <v>-30109.3</v>
      </c>
      <c r="G5" s="152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9">
        <f>'04'!D2</f>
        <v>15937.59</v>
      </c>
      <c r="C6" s="150">
        <f>'04'!E2</f>
        <v>-11790.68</v>
      </c>
      <c r="D6" s="151">
        <f t="shared" si="0"/>
        <v>25.409999999999854</v>
      </c>
      <c r="E6" s="149">
        <f>'04'!F2</f>
        <v>17940.28</v>
      </c>
      <c r="F6" s="150">
        <f>'04'!G2</f>
        <v>-11140.68</v>
      </c>
      <c r="G6" s="152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9">
        <f>'05'!D2</f>
        <v>11328.34</v>
      </c>
      <c r="C7" s="150">
        <f>'05'!E2</f>
        <v>-7712.66</v>
      </c>
      <c r="D7" s="151">
        <f t="shared" si="0"/>
        <v>3641.09</v>
      </c>
      <c r="E7" s="149">
        <f>'05'!F2</f>
        <v>9522.369999999999</v>
      </c>
      <c r="F7" s="150">
        <f>'05'!G2</f>
        <v>-7722.66</v>
      </c>
      <c r="G7" s="152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9">
        <f>'06'!D2</f>
        <v>17837.05</v>
      </c>
      <c r="C8" s="150">
        <f>'06'!E2</f>
        <v>-28058.100000000002</v>
      </c>
      <c r="D8" s="151">
        <f t="shared" si="0"/>
        <v>-6579.9600000000028</v>
      </c>
      <c r="E8" s="149">
        <f>'06'!F2</f>
        <v>16654.189999999999</v>
      </c>
      <c r="F8" s="150">
        <f>'06'!G2</f>
        <v>-28058.1</v>
      </c>
      <c r="G8" s="152">
        <f t="shared" si="1"/>
        <v>32203.239999999994</v>
      </c>
      <c r="H8" s="36"/>
    </row>
    <row r="9" spans="1:14">
      <c r="A9" t="s">
        <v>1142</v>
      </c>
      <c r="B9" s="149">
        <f>'07'!D2</f>
        <v>27131.070000000003</v>
      </c>
      <c r="C9" s="150">
        <f>'07'!E2</f>
        <v>-17400.82</v>
      </c>
      <c r="D9" s="151">
        <f t="shared" si="0"/>
        <v>3150.2900000000009</v>
      </c>
      <c r="E9" s="149">
        <f>'07'!F2</f>
        <v>16133.3</v>
      </c>
      <c r="F9" s="150">
        <f>'07'!G2</f>
        <v>-20600.82</v>
      </c>
      <c r="G9" s="152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9">
        <f>'08'!D2</f>
        <v>34617.910000000003</v>
      </c>
      <c r="C10" s="150">
        <f>'08'!E2</f>
        <v>-11695.349999999999</v>
      </c>
      <c r="D10" s="151">
        <f t="shared" si="0"/>
        <v>26072.850000000006</v>
      </c>
      <c r="E10" s="149">
        <f>'08'!F2</f>
        <v>102061.66</v>
      </c>
      <c r="F10" s="150">
        <f>'08'!G2</f>
        <v>-33894.33</v>
      </c>
      <c r="G10" s="152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9">
        <f>'09'!D2</f>
        <v>66162.31</v>
      </c>
      <c r="C11" s="150">
        <f>'09'!E2</f>
        <v>-61978.720000000001</v>
      </c>
      <c r="D11" s="151">
        <f t="shared" si="0"/>
        <v>30256.440000000002</v>
      </c>
      <c r="E11" s="149">
        <f>'09'!F2</f>
        <v>9260.5</v>
      </c>
      <c r="F11" s="150">
        <f>'09'!G2</f>
        <v>-25729.239999999998</v>
      </c>
      <c r="G11" s="152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9">
        <f>'10'!D2</f>
        <v>23872.199999999997</v>
      </c>
      <c r="C12" s="150">
        <f>'10'!E2</f>
        <v>-33587.82</v>
      </c>
      <c r="D12" s="151">
        <f t="shared" si="0"/>
        <v>20540.82</v>
      </c>
      <c r="E12" s="149">
        <f>'10'!F2</f>
        <v>79418.41</v>
      </c>
      <c r="F12" s="150">
        <f>'10'!G2</f>
        <v>-90424.320000000007</v>
      </c>
      <c r="G12" s="152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1">
        <f>L15+M15+N15</f>
        <v>400.76679000000001</v>
      </c>
    </row>
    <row r="13" spans="1:14">
      <c r="A13" t="s">
        <v>145</v>
      </c>
      <c r="B13" s="149">
        <f>'11'!D2</f>
        <v>179191.62</v>
      </c>
      <c r="C13" s="150">
        <f>'11'!E2</f>
        <v>-14175.82</v>
      </c>
      <c r="D13" s="151">
        <f t="shared" si="0"/>
        <v>185556.62</v>
      </c>
      <c r="E13" s="149">
        <f>'11'!F2</f>
        <v>178439.6</v>
      </c>
      <c r="F13" s="150">
        <f>'11'!G2</f>
        <v>-18452.8</v>
      </c>
      <c r="G13" s="152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2">
        <f>N12/12</f>
        <v>33.397232500000001</v>
      </c>
    </row>
    <row r="14" spans="1:14">
      <c r="A14" t="s">
        <v>147</v>
      </c>
      <c r="B14" s="149">
        <f>'22_12'!D2</f>
        <v>15475.960000000001</v>
      </c>
      <c r="C14" s="150">
        <f>'22_12'!E2</f>
        <v>-16961.339999999997</v>
      </c>
      <c r="D14" s="151">
        <f t="shared" si="0"/>
        <v>184071.24</v>
      </c>
      <c r="E14" s="149">
        <f>'22_12'!F2</f>
        <v>22052.39</v>
      </c>
      <c r="F14" s="150">
        <f>'22_12'!G2</f>
        <v>-21692.25</v>
      </c>
      <c r="G14" s="152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5">
        <f>SUM(B3:B14)</f>
        <v>446314.05000000005</v>
      </c>
      <c r="C15" s="156">
        <f>SUM(C3:C14)</f>
        <v>-262242.81000000006</v>
      </c>
      <c r="D15" s="273">
        <f>B15+C15</f>
        <v>184071.24</v>
      </c>
      <c r="E15" s="155">
        <f>SUM(E3:E14)</f>
        <v>545372.04</v>
      </c>
      <c r="F15" s="156">
        <f>SUM(F3:F14)</f>
        <v>-316596.7</v>
      </c>
      <c r="G15" s="273">
        <f>E15+F15</f>
        <v>228775.34000000003</v>
      </c>
      <c r="H15" s="36"/>
      <c r="I15" s="158"/>
      <c r="J15" s="158">
        <f>SUM(J9:J14)</f>
        <v>351</v>
      </c>
      <c r="K15" s="274">
        <f>SUM(K9:K14)</f>
        <v>82.383210000000005</v>
      </c>
      <c r="L15" s="274">
        <f>SUM(L9:L14)</f>
        <v>268.61678999999998</v>
      </c>
      <c r="M15" s="274">
        <f>SUM(M3:M14)</f>
        <v>86.05</v>
      </c>
      <c r="N15" s="274">
        <f>SUM(N3:N7)</f>
        <v>46.1</v>
      </c>
    </row>
    <row r="16" spans="1:14">
      <c r="A16" s="275">
        <v>12</v>
      </c>
      <c r="B16" s="276">
        <f>B15/A16</f>
        <v>37192.837500000001</v>
      </c>
      <c r="C16" s="277">
        <f>C15/A16</f>
        <v>-21853.567500000005</v>
      </c>
      <c r="D16" s="277"/>
      <c r="E16" s="277">
        <f>E15/A16</f>
        <v>45447.670000000006</v>
      </c>
      <c r="F16" s="277">
        <f>F15/A16</f>
        <v>-26383.058333333334</v>
      </c>
      <c r="G16" s="277">
        <f>G15/A16</f>
        <v>19064.611666666668</v>
      </c>
      <c r="H16" s="58"/>
      <c r="I16" s="160"/>
      <c r="J16" s="277">
        <f>J15/12</f>
        <v>29.25</v>
      </c>
      <c r="K16" s="277">
        <f>K15/12</f>
        <v>6.8652675000000007</v>
      </c>
      <c r="L16" s="277">
        <f>L15/12</f>
        <v>22.384732499999998</v>
      </c>
      <c r="M16" s="277">
        <f>M15/12</f>
        <v>7.1708333333333334</v>
      </c>
      <c r="N16" s="277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5"/>
      <c r="F1" s="125" t="s">
        <v>120</v>
      </c>
      <c r="G1" s="278" t="s">
        <v>121</v>
      </c>
      <c r="H1" s="125" t="s">
        <v>3</v>
      </c>
    </row>
    <row r="2" spans="1:8">
      <c r="A2" s="3" t="s">
        <v>1144</v>
      </c>
      <c r="C2" s="87" t="s">
        <v>191</v>
      </c>
      <c r="D2" s="241">
        <f>SUM(D11:D62)</f>
        <v>15475.960000000001</v>
      </c>
      <c r="E2" s="241">
        <f>SUM(E11:E94)</f>
        <v>-16961.339999999997</v>
      </c>
      <c r="F2" s="241">
        <f>SUM(F11:F92)</f>
        <v>22052.39</v>
      </c>
      <c r="G2" s="279">
        <f>SUM(G11:G92)</f>
        <v>-21692.25</v>
      </c>
      <c r="H2" s="241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2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3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3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2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2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2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2"/>
      <c r="B68" s="212"/>
      <c r="C68" s="212"/>
      <c r="D68" s="212"/>
      <c r="E68" s="65"/>
      <c r="H68" s="65"/>
    </row>
    <row r="69" spans="1:8">
      <c r="A69" s="280">
        <v>44871</v>
      </c>
      <c r="B69" s="212" t="s">
        <v>1187</v>
      </c>
      <c r="C69" s="212"/>
      <c r="D69" s="261">
        <v>200</v>
      </c>
      <c r="E69" s="65" t="s">
        <v>1188</v>
      </c>
      <c r="H69" s="65"/>
    </row>
    <row r="70" spans="1:8">
      <c r="A70" s="280">
        <v>44839</v>
      </c>
      <c r="B70" s="212" t="s">
        <v>1189</v>
      </c>
      <c r="C70" s="212"/>
      <c r="D70" s="261">
        <v>200</v>
      </c>
      <c r="E70" s="65" t="s">
        <v>1188</v>
      </c>
      <c r="H70" s="65"/>
    </row>
    <row r="71" spans="1:8">
      <c r="A71" s="280"/>
      <c r="B71" s="212"/>
      <c r="C71" s="212"/>
      <c r="D71" s="281"/>
      <c r="E71" s="65"/>
      <c r="H71" s="65"/>
    </row>
    <row r="72" spans="1:8">
      <c r="A72" s="280">
        <v>44650</v>
      </c>
      <c r="B72" s="212" t="s">
        <v>1069</v>
      </c>
      <c r="C72" s="212">
        <v>3</v>
      </c>
      <c r="D72" t="s">
        <v>1190</v>
      </c>
      <c r="E72" s="65"/>
    </row>
    <row r="73" spans="1:8">
      <c r="A73" s="280">
        <v>44844</v>
      </c>
      <c r="B73" s="212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1191</v>
      </c>
      <c r="C2" s="87" t="s">
        <v>191</v>
      </c>
      <c r="D2" s="241">
        <f>SUM(D4:D52)</f>
        <v>179191.62</v>
      </c>
      <c r="E2" s="241">
        <f>SUM(E4:E73)</f>
        <v>-14175.82</v>
      </c>
      <c r="F2" s="241">
        <f>SUM(F4:F71)</f>
        <v>178439.6</v>
      </c>
      <c r="G2" s="241">
        <f>SUM(G4:G71)</f>
        <v>-18452.8</v>
      </c>
      <c r="H2" s="241">
        <f>F2+G2</f>
        <v>159986.80000000002</v>
      </c>
    </row>
    <row r="3" spans="1:8">
      <c r="B3" s="70"/>
      <c r="D3" s="122"/>
      <c r="E3" s="122"/>
      <c r="F3" s="122"/>
      <c r="G3" s="122"/>
      <c r="H3" s="65"/>
    </row>
    <row r="4" spans="1:8">
      <c r="D4" s="122"/>
      <c r="E4" s="122"/>
      <c r="F4" s="102"/>
      <c r="G4" s="122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2">
        <v>1221.4100000000001</v>
      </c>
      <c r="E5" s="122"/>
      <c r="F5" s="122">
        <v>1220</v>
      </c>
      <c r="G5" s="122"/>
      <c r="H5" s="65">
        <f t="shared" si="0"/>
        <v>1220</v>
      </c>
    </row>
    <row r="6" spans="1:8">
      <c r="A6" s="97">
        <v>44874</v>
      </c>
      <c r="B6" t="s">
        <v>227</v>
      </c>
      <c r="D6" s="122">
        <v>98.9</v>
      </c>
      <c r="E6" s="122"/>
      <c r="F6" s="122">
        <v>98</v>
      </c>
      <c r="G6" s="122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2"/>
      <c r="F7" s="122"/>
      <c r="G7" s="122"/>
      <c r="H7" s="65">
        <f t="shared" si="0"/>
        <v>1318</v>
      </c>
    </row>
    <row r="8" spans="1:8">
      <c r="A8" s="97">
        <v>44874</v>
      </c>
      <c r="B8" t="s">
        <v>228</v>
      </c>
      <c r="D8" s="122">
        <v>1182.1600000000001</v>
      </c>
      <c r="E8" s="122"/>
      <c r="F8" s="122">
        <v>1182.1500000000001</v>
      </c>
      <c r="G8" s="122"/>
      <c r="H8" s="65">
        <f t="shared" si="0"/>
        <v>2500.15</v>
      </c>
    </row>
    <row r="9" spans="1:8">
      <c r="A9" s="97">
        <v>44874</v>
      </c>
      <c r="B9" t="s">
        <v>229</v>
      </c>
      <c r="D9" s="122">
        <v>289.7</v>
      </c>
      <c r="E9" s="122"/>
      <c r="F9" s="122">
        <v>290</v>
      </c>
      <c r="G9" s="122"/>
      <c r="H9" s="65">
        <f t="shared" si="0"/>
        <v>2790.15</v>
      </c>
    </row>
    <row r="10" spans="1:8">
      <c r="A10" s="97">
        <v>44874</v>
      </c>
      <c r="B10" t="s">
        <v>1192</v>
      </c>
      <c r="D10" s="122">
        <v>200</v>
      </c>
      <c r="E10" s="122"/>
      <c r="F10" s="122">
        <v>200</v>
      </c>
      <c r="G10" s="122"/>
      <c r="H10" s="65">
        <f t="shared" si="0"/>
        <v>2990.15</v>
      </c>
    </row>
    <row r="11" spans="1:8">
      <c r="A11" s="97">
        <v>44874</v>
      </c>
      <c r="B11" t="s">
        <v>230</v>
      </c>
      <c r="D11" s="122">
        <v>49.95</v>
      </c>
      <c r="E11" s="122"/>
      <c r="F11" s="122">
        <v>49.95</v>
      </c>
      <c r="G11" s="122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2"/>
      <c r="E12" s="122">
        <v>-1500</v>
      </c>
      <c r="F12" s="122"/>
      <c r="G12" s="122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2"/>
      <c r="E13" s="122"/>
      <c r="F13" s="122">
        <v>200</v>
      </c>
      <c r="G13" s="122"/>
      <c r="H13" s="65">
        <f t="shared" si="0"/>
        <v>906.09999999999991</v>
      </c>
    </row>
    <row r="14" spans="1:8">
      <c r="D14" s="122"/>
      <c r="E14" s="122"/>
      <c r="F14" s="122"/>
      <c r="G14" s="122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2"/>
      <c r="E15" s="122">
        <v>-200</v>
      </c>
      <c r="F15" s="122"/>
      <c r="G15" s="122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2"/>
      <c r="E16" s="122">
        <v>-400</v>
      </c>
      <c r="F16" s="122"/>
      <c r="G16" s="122">
        <v>-536</v>
      </c>
      <c r="H16" s="65">
        <f t="shared" si="0"/>
        <v>115.09999999999991</v>
      </c>
    </row>
    <row r="17" spans="1:8">
      <c r="B17" s="88"/>
      <c r="C17" s="88"/>
      <c r="D17" s="282"/>
      <c r="E17" s="102"/>
      <c r="F17" s="122"/>
      <c r="G17" s="122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2"/>
      <c r="E18" s="102"/>
      <c r="F18" s="122"/>
      <c r="G18" s="122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2"/>
      <c r="E19" s="102"/>
      <c r="F19" s="283">
        <v>1250</v>
      </c>
      <c r="G19" s="122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2"/>
      <c r="E20" s="122">
        <v>-4300</v>
      </c>
      <c r="F20" s="102"/>
      <c r="G20" s="122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2"/>
      <c r="E21" s="122">
        <v>-496.5</v>
      </c>
      <c r="F21" s="102"/>
      <c r="G21" s="122">
        <v>-496.5</v>
      </c>
      <c r="H21" s="65">
        <f t="shared" si="0"/>
        <v>-4531.3999999999996</v>
      </c>
    </row>
    <row r="22" spans="1:8">
      <c r="B22" s="94"/>
      <c r="C22" s="94"/>
      <c r="D22" s="282"/>
      <c r="E22" s="102"/>
      <c r="F22" s="122"/>
      <c r="G22" s="122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2"/>
      <c r="E23" s="122">
        <v>-112.67</v>
      </c>
      <c r="F23" s="122"/>
      <c r="G23" s="122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2"/>
      <c r="E24" s="122">
        <v>-754.45</v>
      </c>
      <c r="F24" s="122"/>
      <c r="G24" s="122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2"/>
      <c r="E25" s="122">
        <v>-208.17</v>
      </c>
      <c r="F25" s="122"/>
      <c r="G25" s="122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2"/>
      <c r="E26" s="122">
        <v>-151.65</v>
      </c>
      <c r="F26" s="122"/>
      <c r="G26" s="122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2"/>
      <c r="E27" s="122">
        <v>-721.38</v>
      </c>
      <c r="F27" s="122"/>
      <c r="G27" s="122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2"/>
      <c r="E28" s="122">
        <v>-500</v>
      </c>
      <c r="F28" s="122"/>
      <c r="G28" s="122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2"/>
      <c r="E29" s="122">
        <v>-80</v>
      </c>
      <c r="F29" s="122"/>
      <c r="G29" s="122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2"/>
      <c r="E30" s="102"/>
      <c r="F30" s="122"/>
      <c r="G30" s="122">
        <v>-2528.3000000000002</v>
      </c>
      <c r="H30" s="65">
        <f t="shared" si="0"/>
        <v>-7059.7</v>
      </c>
    </row>
    <row r="31" spans="1:8">
      <c r="B31" s="94"/>
      <c r="C31" s="94"/>
      <c r="D31" s="282"/>
      <c r="E31" s="102"/>
      <c r="F31" s="122"/>
      <c r="G31" s="122"/>
      <c r="H31" s="65">
        <f t="shared" si="0"/>
        <v>-7059.7</v>
      </c>
    </row>
    <row r="32" spans="1:8">
      <c r="B32" s="94" t="s">
        <v>1205</v>
      </c>
      <c r="C32" s="94"/>
      <c r="D32" s="282"/>
      <c r="E32" s="122">
        <v>-200</v>
      </c>
      <c r="F32" s="122"/>
      <c r="G32" s="122">
        <v>-569</v>
      </c>
      <c r="H32" s="65">
        <f t="shared" si="0"/>
        <v>-7628.7</v>
      </c>
    </row>
    <row r="33" spans="1:8">
      <c r="B33" s="94" t="s">
        <v>1206</v>
      </c>
      <c r="C33" s="94"/>
      <c r="D33" s="282"/>
      <c r="E33" s="122">
        <v>-51</v>
      </c>
      <c r="F33" s="122"/>
      <c r="G33" s="122">
        <v>-51</v>
      </c>
      <c r="H33" s="65">
        <f t="shared" si="0"/>
        <v>-7679.7</v>
      </c>
    </row>
    <row r="34" spans="1:8">
      <c r="B34" s="94"/>
      <c r="C34" s="94"/>
      <c r="D34" s="282"/>
      <c r="E34" s="122"/>
      <c r="F34" s="122"/>
      <c r="G34" s="122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2"/>
      <c r="E35" s="122"/>
      <c r="F35" s="122"/>
      <c r="G35" s="122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2"/>
      <c r="E36" s="122"/>
      <c r="F36" s="122"/>
      <c r="G36" s="122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2"/>
      <c r="E37" s="122"/>
      <c r="F37" s="122"/>
      <c r="G37" s="122">
        <v>-182</v>
      </c>
      <c r="H37" s="65">
        <f t="shared" si="1"/>
        <v>-8240.7000000000007</v>
      </c>
    </row>
    <row r="38" spans="1:8">
      <c r="B38" s="94"/>
      <c r="C38" s="94"/>
      <c r="D38" s="282"/>
      <c r="E38" s="102"/>
      <c r="F38" s="122"/>
      <c r="G38" s="122"/>
      <c r="H38" s="65">
        <f t="shared" si="1"/>
        <v>-8240.7000000000007</v>
      </c>
    </row>
    <row r="39" spans="1:8">
      <c r="B39" t="s">
        <v>84</v>
      </c>
      <c r="D39" s="122"/>
      <c r="E39" s="102">
        <v>-1500</v>
      </c>
      <c r="F39" s="122"/>
      <c r="G39" s="122">
        <v>-2111</v>
      </c>
      <c r="H39" s="65">
        <f t="shared" si="1"/>
        <v>-10351.700000000001</v>
      </c>
    </row>
    <row r="40" spans="1:8">
      <c r="B40" t="s">
        <v>172</v>
      </c>
      <c r="D40" s="122"/>
      <c r="E40" s="102">
        <v>-1500</v>
      </c>
      <c r="F40" s="122"/>
      <c r="G40" s="122">
        <v>-2111</v>
      </c>
      <c r="H40" s="65">
        <f t="shared" si="1"/>
        <v>-12462.7</v>
      </c>
    </row>
    <row r="41" spans="1:8">
      <c r="B41" t="s">
        <v>217</v>
      </c>
      <c r="D41" s="122"/>
      <c r="E41" s="102">
        <v>-1500</v>
      </c>
      <c r="F41" s="122"/>
      <c r="G41" s="122">
        <v>-1500</v>
      </c>
      <c r="H41" s="65">
        <f t="shared" si="1"/>
        <v>-13962.7</v>
      </c>
    </row>
    <row r="42" spans="1:8">
      <c r="D42" s="122"/>
      <c r="E42" s="122"/>
      <c r="F42" s="122"/>
      <c r="G42" s="122"/>
      <c r="H42" s="65">
        <f t="shared" si="1"/>
        <v>-13962.7</v>
      </c>
    </row>
    <row r="43" spans="1:8">
      <c r="B43" t="s">
        <v>218</v>
      </c>
      <c r="D43" s="122">
        <v>4299.5</v>
      </c>
      <c r="E43" s="122"/>
      <c r="F43" s="122">
        <v>4299.5</v>
      </c>
      <c r="G43" s="122"/>
      <c r="H43" s="65">
        <f t="shared" si="1"/>
        <v>-9663.2000000000007</v>
      </c>
    </row>
    <row r="44" spans="1:8">
      <c r="B44" t="s">
        <v>219</v>
      </c>
      <c r="D44" s="122">
        <v>1650</v>
      </c>
      <c r="E44" s="122"/>
      <c r="F44" s="122">
        <v>1650</v>
      </c>
      <c r="G44" s="122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2">
        <v>3000</v>
      </c>
      <c r="E45" s="122"/>
      <c r="F45" s="122">
        <v>3000</v>
      </c>
      <c r="G45" s="122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2">
        <v>1000</v>
      </c>
      <c r="E46" s="122"/>
      <c r="F46" s="122">
        <v>1000</v>
      </c>
      <c r="G46" s="122"/>
      <c r="H46" s="65">
        <f t="shared" si="1"/>
        <v>-4013.2000000000007</v>
      </c>
    </row>
    <row r="47" spans="1:8">
      <c r="A47" s="97"/>
      <c r="D47" s="102"/>
      <c r="E47" s="122"/>
      <c r="F47" s="122"/>
      <c r="G47" s="122"/>
      <c r="H47" s="65">
        <f t="shared" si="1"/>
        <v>-4013.2000000000007</v>
      </c>
    </row>
    <row r="48" spans="1:8">
      <c r="B48" t="s">
        <v>1212</v>
      </c>
      <c r="D48" s="122">
        <v>82000</v>
      </c>
      <c r="E48" s="122"/>
      <c r="F48" s="122">
        <v>80000</v>
      </c>
      <c r="G48" s="122"/>
      <c r="H48" s="65">
        <f t="shared" si="1"/>
        <v>75986.8</v>
      </c>
    </row>
    <row r="49" spans="1:8">
      <c r="B49" t="s">
        <v>1213</v>
      </c>
      <c r="D49" s="122"/>
      <c r="E49" s="122"/>
      <c r="F49" s="122"/>
      <c r="G49" s="122"/>
      <c r="H49" s="65">
        <f t="shared" si="1"/>
        <v>75986.8</v>
      </c>
    </row>
    <row r="50" spans="1:8">
      <c r="A50" s="97">
        <v>44893</v>
      </c>
      <c r="B50" t="s">
        <v>1214</v>
      </c>
      <c r="D50" s="122">
        <v>84000</v>
      </c>
      <c r="E50" s="122"/>
      <c r="F50" s="122">
        <v>84000</v>
      </c>
      <c r="G50" s="122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4" t="s">
        <v>1071</v>
      </c>
      <c r="C56" s="284"/>
      <c r="D56" s="285">
        <v>2000</v>
      </c>
    </row>
    <row r="57" spans="1:8">
      <c r="A57" s="97">
        <v>44839</v>
      </c>
      <c r="B57" s="284" t="s">
        <v>1189</v>
      </c>
      <c r="C57" s="284"/>
      <c r="D57" s="285">
        <v>200</v>
      </c>
    </row>
    <row r="59" spans="1:8">
      <c r="A59" s="280">
        <v>44803</v>
      </c>
      <c r="B59" s="212" t="s">
        <v>1069</v>
      </c>
      <c r="C59" s="212"/>
      <c r="D59" s="281"/>
    </row>
    <row r="60" spans="1:8">
      <c r="A60" s="280">
        <v>44772</v>
      </c>
      <c r="B60" s="212" t="s">
        <v>1216</v>
      </c>
      <c r="C60" s="212"/>
      <c r="D60" s="281"/>
    </row>
    <row r="61" spans="1:8">
      <c r="A61" s="280">
        <v>44742</v>
      </c>
      <c r="B61" s="212" t="s">
        <v>1217</v>
      </c>
      <c r="C61" s="212"/>
      <c r="D61" s="28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1218</v>
      </c>
      <c r="C2" s="87" t="s">
        <v>191</v>
      </c>
      <c r="D2" s="241">
        <f>SUM(D4:D78)</f>
        <v>23872.199999999997</v>
      </c>
      <c r="E2" s="241">
        <f>SUM(E4:E107)</f>
        <v>-33587.82</v>
      </c>
      <c r="F2" s="241">
        <f>SUM(F4:F104)</f>
        <v>79418.41</v>
      </c>
      <c r="G2" s="241">
        <f>SUM(G4:G104)</f>
        <v>-90424.320000000007</v>
      </c>
      <c r="H2" s="241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3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2">
        <v>4293.6499999999996</v>
      </c>
      <c r="E71" s="3"/>
      <c r="F71" s="122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2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2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2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6" t="s">
        <v>1258</v>
      </c>
      <c r="C83" s="286"/>
      <c r="D83" s="287">
        <v>20000</v>
      </c>
      <c r="F83">
        <v>23750</v>
      </c>
      <c r="H83" s="65">
        <f t="shared" si="2"/>
        <v>12544.089999999997</v>
      </c>
    </row>
    <row r="84" spans="1:8">
      <c r="B84" s="286" t="s">
        <v>1259</v>
      </c>
      <c r="C84" s="286"/>
      <c r="D84" s="287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80"/>
      <c r="B86" s="212"/>
      <c r="C86" s="212"/>
      <c r="D86" s="288"/>
      <c r="G86" s="65"/>
      <c r="H86" s="65"/>
    </row>
    <row r="87" spans="1:8">
      <c r="A87" s="280">
        <v>44803</v>
      </c>
      <c r="B87" s="212" t="s">
        <v>1069</v>
      </c>
      <c r="C87" s="212"/>
      <c r="D87" s="288">
        <v>4000</v>
      </c>
      <c r="H87" s="65"/>
    </row>
    <row r="88" spans="1:8">
      <c r="A88" s="280">
        <v>44772</v>
      </c>
      <c r="B88" s="212" t="s">
        <v>1216</v>
      </c>
      <c r="C88" s="212"/>
      <c r="D88" s="288">
        <v>4000</v>
      </c>
      <c r="H88" s="65"/>
    </row>
    <row r="89" spans="1:8">
      <c r="A89" s="280">
        <v>44742</v>
      </c>
      <c r="B89" s="212" t="s">
        <v>1217</v>
      </c>
      <c r="C89" s="212"/>
      <c r="D89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1260</v>
      </c>
      <c r="C2" s="87" t="s">
        <v>191</v>
      </c>
      <c r="D2" s="241">
        <f>SUM(D5:D42)</f>
        <v>66162.31</v>
      </c>
      <c r="E2" s="241">
        <f>SUM(E5:E69)</f>
        <v>-61978.720000000001</v>
      </c>
      <c r="F2" s="241">
        <f>SUM(F5:F66)</f>
        <v>9260.5</v>
      </c>
      <c r="G2" s="241">
        <f>SUM(G5:G66)</f>
        <v>-25729.239999999998</v>
      </c>
      <c r="H2" s="241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9" t="s">
        <v>1258</v>
      </c>
      <c r="C45" s="289"/>
      <c r="D45" s="290">
        <v>20000</v>
      </c>
      <c r="H45" s="65">
        <f t="shared" si="0"/>
        <v>-16468.739999999998</v>
      </c>
    </row>
    <row r="46" spans="1:8">
      <c r="A46" s="280">
        <v>44803</v>
      </c>
      <c r="B46" s="212" t="s">
        <v>1069</v>
      </c>
      <c r="C46" s="212"/>
      <c r="D46" s="288">
        <v>4000</v>
      </c>
      <c r="H46" s="65">
        <f t="shared" si="0"/>
        <v>-16468.739999999998</v>
      </c>
    </row>
    <row r="47" spans="1:8">
      <c r="A47" s="280">
        <v>44772</v>
      </c>
      <c r="B47" s="212" t="s">
        <v>1216</v>
      </c>
      <c r="C47" s="212"/>
      <c r="D47" s="288">
        <v>4000</v>
      </c>
      <c r="H47" s="65" t="e">
        <f>#REF!+F47+G47</f>
        <v>#REF!</v>
      </c>
    </row>
    <row r="48" spans="1:8">
      <c r="A48" s="280">
        <v>44742</v>
      </c>
      <c r="B48" s="212" t="s">
        <v>1217</v>
      </c>
      <c r="C48" s="212"/>
      <c r="D48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1280</v>
      </c>
      <c r="C2" s="87" t="s">
        <v>191</v>
      </c>
      <c r="D2" s="241">
        <f>SUM(D4:D52)</f>
        <v>34617.910000000003</v>
      </c>
      <c r="E2" s="241">
        <f>SUM(E4:E84)</f>
        <v>-11695.349999999999</v>
      </c>
      <c r="F2" s="241">
        <f>SUM(F4:F81)</f>
        <v>102061.66</v>
      </c>
      <c r="G2" s="241">
        <f>SUM(G4:G81)</f>
        <v>-33894.33</v>
      </c>
      <c r="H2" s="241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1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2" t="s">
        <v>1304</v>
      </c>
      <c r="H54" s="65">
        <f t="shared" si="1"/>
        <v>61721.7</v>
      </c>
    </row>
    <row r="55" spans="1:8">
      <c r="B55" s="260" t="s">
        <v>1305</v>
      </c>
      <c r="C55" s="260"/>
      <c r="D55" s="263">
        <v>1000</v>
      </c>
      <c r="E55" s="260"/>
      <c r="F55" s="293">
        <v>1000</v>
      </c>
      <c r="H55" s="65">
        <f t="shared" si="1"/>
        <v>62721.7</v>
      </c>
    </row>
    <row r="56" spans="1:8">
      <c r="A56" s="97">
        <v>44802</v>
      </c>
      <c r="B56" s="294" t="s">
        <v>1306</v>
      </c>
      <c r="C56" s="294" t="s">
        <v>1307</v>
      </c>
      <c r="D56" s="295">
        <v>5000</v>
      </c>
      <c r="E56" s="294"/>
      <c r="F56" s="296">
        <v>5000</v>
      </c>
      <c r="H56" s="65">
        <f t="shared" si="1"/>
        <v>67721.7</v>
      </c>
    </row>
    <row r="57" spans="1:8">
      <c r="B57" s="260" t="s">
        <v>1308</v>
      </c>
      <c r="C57" s="260"/>
      <c r="D57" s="297"/>
      <c r="E57" s="260"/>
      <c r="F57" s="260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2" t="s">
        <v>1217</v>
      </c>
      <c r="C59" s="212"/>
      <c r="D59" s="288">
        <f>'07'!D55</f>
        <v>4000</v>
      </c>
      <c r="H59" s="65">
        <f t="shared" si="1"/>
        <v>68167.33</v>
      </c>
    </row>
    <row r="60" spans="1:8">
      <c r="B60" s="212" t="s">
        <v>1216</v>
      </c>
      <c r="C60" s="212"/>
      <c r="D60" s="288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1309</v>
      </c>
      <c r="C2" s="87" t="s">
        <v>191</v>
      </c>
      <c r="D2" s="241">
        <f>SUM(D4:D90)</f>
        <v>27131.070000000003</v>
      </c>
      <c r="E2" s="241">
        <f>SUM(E4:E90)</f>
        <v>-17400.82</v>
      </c>
      <c r="F2" s="241">
        <f>SUM(F4:F87)</f>
        <v>16133.3</v>
      </c>
      <c r="G2" s="241">
        <f>SUM(G4:G87)</f>
        <v>-20600.82</v>
      </c>
      <c r="H2" s="241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1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1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8">
        <v>44747</v>
      </c>
      <c r="B47" s="294" t="s">
        <v>1327</v>
      </c>
      <c r="C47" s="294"/>
      <c r="D47" s="295">
        <v>4000</v>
      </c>
      <c r="E47" s="294"/>
      <c r="F47" s="296">
        <v>4000</v>
      </c>
      <c r="G47" s="65"/>
      <c r="H47" s="65">
        <f t="shared" si="1"/>
        <v>-4467.5200000000004</v>
      </c>
    </row>
    <row r="48" spans="1:8">
      <c r="A48" s="97"/>
      <c r="B48" s="289" t="s">
        <v>1305</v>
      </c>
      <c r="C48" s="289"/>
      <c r="D48" s="299">
        <v>1000</v>
      </c>
      <c r="E48" s="289"/>
      <c r="F48" s="300"/>
      <c r="G48" s="301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2"/>
      <c r="B54" s="302" t="s">
        <v>1329</v>
      </c>
      <c r="C54" s="302"/>
      <c r="D54" s="303">
        <v>445.63</v>
      </c>
      <c r="E54" s="304"/>
      <c r="F54" s="302"/>
      <c r="G54" s="304"/>
      <c r="H54" s="65">
        <f t="shared" si="1"/>
        <v>-4467.5200000000004</v>
      </c>
    </row>
    <row r="55" spans="1:8">
      <c r="B55" s="302" t="s">
        <v>1217</v>
      </c>
      <c r="C55" s="302"/>
      <c r="D55" s="290">
        <v>4000</v>
      </c>
      <c r="E55" s="289"/>
      <c r="F55" s="289"/>
      <c r="G55" s="289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1330</v>
      </c>
      <c r="C2" s="87" t="s">
        <v>191</v>
      </c>
      <c r="D2" s="241">
        <f>SUM(D4:D44)</f>
        <v>17837.05</v>
      </c>
      <c r="E2" s="241">
        <f>SUM(E4:E80)</f>
        <v>-28058.100000000002</v>
      </c>
      <c r="F2" s="241">
        <f>SUM(F4:F77)</f>
        <v>16654.189999999999</v>
      </c>
      <c r="G2" s="241">
        <f>SUM(G4:G77)</f>
        <v>-28058.1</v>
      </c>
      <c r="H2" s="241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2"/>
      <c r="B5" s="305" t="s">
        <v>1331</v>
      </c>
      <c r="C5" s="305"/>
      <c r="D5" s="305">
        <v>182.86</v>
      </c>
      <c r="E5" s="306"/>
      <c r="F5" s="306"/>
      <c r="G5" s="306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7" t="s">
        <v>1152</v>
      </c>
      <c r="C9" s="307"/>
      <c r="D9" s="307"/>
      <c r="E9" s="308">
        <v>-1317.2</v>
      </c>
      <c r="F9" s="308"/>
      <c r="G9" s="308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9" t="s">
        <v>1341</v>
      </c>
      <c r="C24" s="309"/>
      <c r="D24" s="309"/>
      <c r="E24" s="310">
        <v>-177.65</v>
      </c>
      <c r="F24" s="310"/>
      <c r="G24" s="310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7" t="s">
        <v>1272</v>
      </c>
      <c r="C31" s="307"/>
      <c r="D31" s="307"/>
      <c r="E31" s="311"/>
      <c r="F31" s="308"/>
      <c r="G31" s="308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2"/>
      <c r="B43" s="302" t="s">
        <v>1349</v>
      </c>
      <c r="C43" s="302"/>
      <c r="D43" s="304">
        <v>5000</v>
      </c>
      <c r="E43" s="304"/>
      <c r="F43" s="304"/>
      <c r="G43" s="304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8">
        <v>44732</v>
      </c>
      <c r="B46" s="294" t="s">
        <v>1351</v>
      </c>
      <c r="C46" s="294"/>
      <c r="D46" s="294"/>
      <c r="E46" s="294"/>
      <c r="F46" s="296">
        <v>4000</v>
      </c>
      <c r="G46" s="294"/>
      <c r="H46" s="65">
        <f t="shared" si="0"/>
        <v>-11403.91</v>
      </c>
    </row>
    <row r="47" spans="1:8">
      <c r="A47" s="302"/>
      <c r="B47" s="302" t="s">
        <v>1217</v>
      </c>
      <c r="C47" s="302"/>
      <c r="D47" s="312">
        <v>4000</v>
      </c>
      <c r="E47" s="302"/>
      <c r="F47" s="302"/>
      <c r="G47" s="302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5" t="s">
        <v>120</v>
      </c>
      <c r="G1" s="125" t="s">
        <v>121</v>
      </c>
      <c r="H1" s="125" t="s">
        <v>3</v>
      </c>
    </row>
    <row r="2" spans="1:8">
      <c r="A2" s="3" t="s">
        <v>1353</v>
      </c>
      <c r="C2" s="87" t="s">
        <v>191</v>
      </c>
      <c r="D2" s="241">
        <f>SUM(D4:D32)</f>
        <v>11328.34</v>
      </c>
      <c r="E2" s="241">
        <f>SUM(E4:E68)</f>
        <v>-7712.66</v>
      </c>
      <c r="F2" s="241">
        <f>SUM(F4:F65)</f>
        <v>9522.369999999999</v>
      </c>
      <c r="G2" s="241">
        <f>SUM(G4:G65)</f>
        <v>-7722.66</v>
      </c>
      <c r="H2" s="241">
        <f>F2+G2</f>
        <v>1799.7099999999991</v>
      </c>
    </row>
    <row r="3" spans="1:8">
      <c r="B3" s="70"/>
      <c r="E3" s="125"/>
      <c r="F3" s="125"/>
      <c r="G3" s="125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9" t="s">
        <v>596</v>
      </c>
      <c r="C17" s="309"/>
      <c r="D17" s="309"/>
      <c r="E17" s="310">
        <v>-100</v>
      </c>
      <c r="F17" s="310"/>
      <c r="G17" s="310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7" t="s">
        <v>1272</v>
      </c>
      <c r="C24" s="307"/>
      <c r="D24" s="307"/>
      <c r="E24" s="311"/>
      <c r="F24" s="308"/>
      <c r="G24" s="308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3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4"/>
      <c r="B34" s="302" t="s">
        <v>1351</v>
      </c>
      <c r="C34" s="302"/>
      <c r="D34" s="315">
        <v>4000</v>
      </c>
      <c r="E34" s="302"/>
      <c r="F34" s="304"/>
      <c r="G34" s="304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1359</v>
      </c>
      <c r="C2" s="87" t="s">
        <v>191</v>
      </c>
      <c r="D2" s="241">
        <f>SUM(D5:D66)</f>
        <v>15937.59</v>
      </c>
      <c r="E2" s="241">
        <f>SUM(E5:E66)</f>
        <v>-11790.68</v>
      </c>
      <c r="F2" s="241">
        <f>SUM(F5:F66)</f>
        <v>17940.28</v>
      </c>
      <c r="G2" s="241">
        <f>SUM(G5:G66)</f>
        <v>-11140.68</v>
      </c>
      <c r="H2" s="241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9" t="s">
        <v>1360</v>
      </c>
      <c r="C16" s="309"/>
      <c r="D16" s="309"/>
      <c r="E16" s="310">
        <v>-169</v>
      </c>
      <c r="F16" s="316"/>
      <c r="G16" s="310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7" t="s">
        <v>1272</v>
      </c>
      <c r="C22" s="307"/>
      <c r="D22" s="307"/>
      <c r="E22" s="311"/>
      <c r="F22" s="311"/>
      <c r="G22" s="308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4" t="s">
        <v>1369</v>
      </c>
      <c r="C32" s="313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1372</v>
      </c>
      <c r="C2" s="87" t="s">
        <v>191</v>
      </c>
      <c r="D2" s="241">
        <f>SUM(D5:D61)</f>
        <v>36859.61</v>
      </c>
      <c r="E2" s="241">
        <f>SUM(E5:E61)</f>
        <v>-30109.3</v>
      </c>
      <c r="F2" s="241">
        <f>SUM(F5:F61)</f>
        <v>35859.61</v>
      </c>
      <c r="G2" s="241">
        <f>SUM(G5:G61)</f>
        <v>-30109.3</v>
      </c>
      <c r="H2" s="241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7" t="s">
        <v>1272</v>
      </c>
      <c r="C19" s="317" t="s">
        <v>1374</v>
      </c>
      <c r="D19" s="317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1383</v>
      </c>
      <c r="C2" s="87" t="s">
        <v>191</v>
      </c>
      <c r="D2" s="241">
        <f>SUM(D5:D63)</f>
        <v>10567.09</v>
      </c>
      <c r="E2" s="241">
        <f>SUM(E5:E63)</f>
        <v>-21938.15</v>
      </c>
      <c r="F2" s="241">
        <f>SUM(F5:F63)</f>
        <v>11567.09</v>
      </c>
      <c r="G2" s="241">
        <f>SUM(G5:G63)</f>
        <v>-21938.15</v>
      </c>
      <c r="H2" s="241">
        <f>F2+G2</f>
        <v>-10371.060000000001</v>
      </c>
    </row>
    <row r="3" spans="1:8">
      <c r="A3" s="97"/>
      <c r="B3" s="70"/>
      <c r="E3" s="65"/>
      <c r="F3" s="84"/>
      <c r="G3" s="84"/>
      <c r="H3" s="125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7" t="s">
        <v>1272</v>
      </c>
      <c r="C16" s="317" t="s">
        <v>1374</v>
      </c>
      <c r="D16" s="317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181" t="s">
        <v>1391</v>
      </c>
      <c r="C2" s="87" t="s">
        <v>191</v>
      </c>
      <c r="D2" s="241">
        <f>SUM(D3:D57)</f>
        <v>7333.3</v>
      </c>
      <c r="E2" s="241">
        <f>SUM(E3:E57)</f>
        <v>-6834.05</v>
      </c>
      <c r="F2" s="241">
        <f>SUM(F3:F57)</f>
        <v>46462.64</v>
      </c>
      <c r="G2" s="241">
        <f>SUM(G3:G57)</f>
        <v>-6834.05</v>
      </c>
      <c r="H2" s="241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5">
        <v>-130.30000000000001</v>
      </c>
      <c r="F10" s="125"/>
      <c r="G10" s="125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5">
        <v>-255.4</v>
      </c>
      <c r="F11" s="125"/>
      <c r="G11" s="125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5">
        <v>-50</v>
      </c>
      <c r="F16" s="125"/>
      <c r="G16" s="125"/>
      <c r="H16" s="65">
        <f t="shared" si="0"/>
        <v>39160.219999999987</v>
      </c>
    </row>
    <row r="17" spans="1:8">
      <c r="A17" s="97">
        <v>44565</v>
      </c>
      <c r="B17" s="317" t="s">
        <v>1272</v>
      </c>
      <c r="C17" s="317" t="s">
        <v>1374</v>
      </c>
      <c r="D17" s="317"/>
      <c r="E17" s="125"/>
      <c r="F17" s="125"/>
      <c r="G17" s="125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5"/>
      <c r="F18" s="125"/>
      <c r="G18" s="125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5"/>
      <c r="F22" s="125"/>
      <c r="G22" s="125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5"/>
      <c r="F32" s="125"/>
      <c r="G32" s="125"/>
      <c r="H32" s="125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9">
        <v>0.23471</v>
      </c>
      <c r="L10" s="269">
        <v>0.76529000000000003</v>
      </c>
      <c r="M10" s="270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70" t="s">
        <v>614</v>
      </c>
      <c r="L11" s="270" t="s">
        <v>615</v>
      </c>
      <c r="M11" s="270" t="s">
        <v>124</v>
      </c>
      <c r="N11" s="28" t="s">
        <v>1139</v>
      </c>
    </row>
    <row r="12" spans="1:14">
      <c r="A12" t="s">
        <v>125</v>
      </c>
      <c r="B12" s="149">
        <v>7333.3</v>
      </c>
      <c r="C12" s="150">
        <v>-6834.05</v>
      </c>
      <c r="D12" s="151">
        <v>499.25</v>
      </c>
      <c r="E12" s="149">
        <v>46462.64</v>
      </c>
      <c r="F12" s="150">
        <v>-6834.05</v>
      </c>
      <c r="G12" s="152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9">
        <v>10567.09</v>
      </c>
      <c r="C13" s="150">
        <v>-21938.15</v>
      </c>
      <c r="D13" s="151">
        <v>-10871.81</v>
      </c>
      <c r="E13" s="149">
        <v>11567.09</v>
      </c>
      <c r="F13" s="150">
        <v>-21938.15</v>
      </c>
      <c r="G13" s="152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9">
        <v>36859.61</v>
      </c>
      <c r="C14" s="150">
        <v>-30109.3</v>
      </c>
      <c r="D14" s="151">
        <v>-4121.5</v>
      </c>
      <c r="E14" s="149">
        <v>35859.61</v>
      </c>
      <c r="F14" s="150">
        <v>-30109.3</v>
      </c>
      <c r="G14" s="152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9">
        <v>15937.59</v>
      </c>
      <c r="C15" s="150">
        <v>-11790.68</v>
      </c>
      <c r="D15" s="151">
        <v>25.4100000000035</v>
      </c>
      <c r="E15" s="149">
        <v>17940.28</v>
      </c>
      <c r="F15" s="150">
        <v>-11140.68</v>
      </c>
      <c r="G15" s="152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9">
        <v>11328.34</v>
      </c>
      <c r="C16" s="150">
        <v>-7712.66</v>
      </c>
      <c r="D16" s="151">
        <v>3641.09</v>
      </c>
      <c r="E16" s="149">
        <v>9522.3700000000008</v>
      </c>
      <c r="F16" s="150">
        <v>-7722.66</v>
      </c>
      <c r="G16" s="152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9">
        <v>17837.05</v>
      </c>
      <c r="C17" s="150">
        <v>-28058.1</v>
      </c>
      <c r="D17" s="151">
        <v>-6579.96</v>
      </c>
      <c r="E17" s="149">
        <v>16654.189999999999</v>
      </c>
      <c r="F17" s="150">
        <v>-28058.1</v>
      </c>
      <c r="G17" s="152">
        <v>32203.24</v>
      </c>
      <c r="H17" s="36"/>
    </row>
    <row r="18" spans="1:14">
      <c r="A18" t="s">
        <v>1142</v>
      </c>
      <c r="B18" s="149">
        <v>27131.07</v>
      </c>
      <c r="C18" s="150">
        <v>-17400.82</v>
      </c>
      <c r="D18" s="151">
        <v>3150.29</v>
      </c>
      <c r="E18" s="149">
        <v>16133.3</v>
      </c>
      <c r="F18" s="150">
        <v>-20600.82</v>
      </c>
      <c r="G18" s="152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9">
        <v>34617.910000000003</v>
      </c>
      <c r="C19" s="150">
        <v>-11695.35</v>
      </c>
      <c r="D19" s="151">
        <v>26072.85</v>
      </c>
      <c r="E19" s="149">
        <v>102061.66</v>
      </c>
      <c r="F19" s="150">
        <v>-33894.33</v>
      </c>
      <c r="G19" s="152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9">
        <v>66162.31</v>
      </c>
      <c r="C20" s="150">
        <v>-61978.720000000001</v>
      </c>
      <c r="D20" s="151">
        <v>30256.44</v>
      </c>
      <c r="E20" s="149">
        <v>9260.5</v>
      </c>
      <c r="F20" s="150">
        <v>-25729.24</v>
      </c>
      <c r="G20" s="152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9">
        <v>23872.2</v>
      </c>
      <c r="C21" s="150">
        <v>-34541.120000000003</v>
      </c>
      <c r="D21" s="151">
        <v>19587.52</v>
      </c>
      <c r="E21" s="149">
        <v>79418.41</v>
      </c>
      <c r="F21" s="150">
        <v>-90424.320000000007</v>
      </c>
      <c r="G21" s="152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1">
        <v>400.76679000000001</v>
      </c>
    </row>
    <row r="22" spans="1:14">
      <c r="A22" t="s">
        <v>145</v>
      </c>
      <c r="B22" s="149">
        <v>179191.62</v>
      </c>
      <c r="C22" s="150">
        <v>-14175.82</v>
      </c>
      <c r="D22" s="151">
        <v>184603.32</v>
      </c>
      <c r="E22" s="149">
        <v>178439.6</v>
      </c>
      <c r="F22" s="150">
        <v>-18452.8</v>
      </c>
      <c r="G22" s="152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2">
        <v>33.397232500000001</v>
      </c>
    </row>
    <row r="23" spans="1:14">
      <c r="A23" t="s">
        <v>147</v>
      </c>
      <c r="B23" s="149">
        <v>15475.96</v>
      </c>
      <c r="C23" s="150">
        <v>-16961.34</v>
      </c>
      <c r="D23" s="151">
        <v>183117.94</v>
      </c>
      <c r="E23" s="149">
        <v>22052.39</v>
      </c>
      <c r="F23" s="150">
        <v>-21692.25</v>
      </c>
      <c r="G23" s="152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5">
        <v>446314.05</v>
      </c>
      <c r="C24" s="156">
        <v>-263196.11</v>
      </c>
      <c r="D24" s="273">
        <v>183117.94</v>
      </c>
      <c r="E24" s="155">
        <v>545372.04</v>
      </c>
      <c r="F24" s="156">
        <v>-316596.7</v>
      </c>
      <c r="G24" s="273">
        <v>228775.34</v>
      </c>
      <c r="H24" s="36"/>
      <c r="I24" s="158"/>
      <c r="J24" s="158">
        <v>351</v>
      </c>
      <c r="K24" s="274">
        <v>82.383210000000005</v>
      </c>
      <c r="L24" s="274">
        <v>268.61678999999998</v>
      </c>
      <c r="M24" s="274">
        <v>86.05</v>
      </c>
      <c r="N24" s="274">
        <v>46.1</v>
      </c>
    </row>
    <row r="25" spans="1:14">
      <c r="A25" s="275">
        <v>12</v>
      </c>
      <c r="B25" s="276">
        <v>37192.837500000001</v>
      </c>
      <c r="C25" s="277">
        <v>-21933.009166666699</v>
      </c>
      <c r="D25" s="277"/>
      <c r="E25" s="277">
        <v>45447.67</v>
      </c>
      <c r="F25" s="277">
        <v>-26383.058333333302</v>
      </c>
      <c r="G25" s="277">
        <v>19064.6116666667</v>
      </c>
      <c r="H25" s="58"/>
      <c r="I25" s="160"/>
      <c r="J25" s="277">
        <v>29.25</v>
      </c>
      <c r="K25" s="277">
        <v>6.8652674999999999</v>
      </c>
      <c r="L25" s="277">
        <v>22.384732499999998</v>
      </c>
      <c r="M25" s="277">
        <v>7.1708333333333298</v>
      </c>
      <c r="N25" s="277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2024-09-06T13:07:32Z</dcterms:modified>
  <dc:language>tr-TR</dc:language>
</cp:coreProperties>
</file>