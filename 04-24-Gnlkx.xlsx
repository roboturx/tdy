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0347E4C-2718-4811-831A-95D07E243CC7}" xr6:coauthVersionLast="47" xr6:coauthVersionMax="47" xr10:uidLastSave="{00000000-0000-0000-0000-000000000000}"/>
  <bookViews>
    <workbookView xWindow="8490" yWindow="690" windowWidth="3855" windowHeight="7935" tabRatio="878" firstSheet="4" activeTab="1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0" i="11" l="1"/>
  <c r="H21" i="11"/>
  <c r="H22" i="11"/>
  <c r="H23" i="11" s="1"/>
  <c r="H24" i="11" s="1"/>
  <c r="H25" i="11" s="1"/>
  <c r="H26" i="11" s="1"/>
  <c r="H27" i="11" s="1"/>
  <c r="H28" i="11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C3" i="31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2" i="42"/>
  <c r="H2" i="42" s="1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G2" i="40"/>
  <c r="F2" i="40"/>
  <c r="H2" i="40" s="1"/>
  <c r="E2" i="40"/>
  <c r="C6" i="31" s="1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2" i="39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H2" i="37" s="1"/>
  <c r="E2" i="37"/>
  <c r="D2" i="37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10" i="31" s="1"/>
  <c r="E2" i="36"/>
  <c r="C10" i="31" s="1"/>
  <c r="D2" i="36"/>
  <c r="H47" i="35"/>
  <c r="H23" i="35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4" i="35"/>
  <c r="G2" i="35"/>
  <c r="F2" i="35"/>
  <c r="H2" i="35" s="1"/>
  <c r="E2" i="35"/>
  <c r="D2" i="35"/>
  <c r="B11" i="31" s="1"/>
  <c r="H13" i="34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5" i="34"/>
  <c r="H6" i="34" s="1"/>
  <c r="H7" i="34" s="1"/>
  <c r="H9" i="34" s="1"/>
  <c r="H10" i="34" s="1"/>
  <c r="H12" i="34" s="1"/>
  <c r="H4" i="34"/>
  <c r="G2" i="34"/>
  <c r="F2" i="34"/>
  <c r="H2" i="34" s="1"/>
  <c r="E2" i="34"/>
  <c r="C12" i="31" s="1"/>
  <c r="D2" i="34"/>
  <c r="B12" i="31" s="1"/>
  <c r="H8" i="33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H6" i="33" s="1"/>
  <c r="H7" i="33" s="1"/>
  <c r="G2" i="33"/>
  <c r="F13" i="31" s="1"/>
  <c r="F2" i="33"/>
  <c r="E13" i="31" s="1"/>
  <c r="E2" i="33"/>
  <c r="C13" i="31" s="1"/>
  <c r="D2" i="33"/>
  <c r="B13" i="31" s="1"/>
  <c r="E35" i="32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H2" i="32" s="1"/>
  <c r="F2" i="32"/>
  <c r="E2" i="32"/>
  <c r="D2" i="32"/>
  <c r="N16" i="31"/>
  <c r="M16" i="31"/>
  <c r="J16" i="31"/>
  <c r="N15" i="31"/>
  <c r="M15" i="31"/>
  <c r="J15" i="31"/>
  <c r="K14" i="31"/>
  <c r="L14" i="31" s="1"/>
  <c r="E14" i="31"/>
  <c r="C14" i="31"/>
  <c r="B14" i="31"/>
  <c r="K13" i="31"/>
  <c r="L13" i="31" s="1"/>
  <c r="K12" i="31"/>
  <c r="L12" i="31" s="1"/>
  <c r="F12" i="31"/>
  <c r="E12" i="31"/>
  <c r="K11" i="31"/>
  <c r="L11" i="31" s="1"/>
  <c r="F11" i="31"/>
  <c r="E11" i="31"/>
  <c r="C11" i="31"/>
  <c r="L10" i="31"/>
  <c r="K10" i="31"/>
  <c r="B10" i="31"/>
  <c r="K9" i="31"/>
  <c r="L9" i="31" s="1"/>
  <c r="F9" i="31"/>
  <c r="E9" i="31"/>
  <c r="C9" i="31"/>
  <c r="B9" i="31"/>
  <c r="E8" i="31"/>
  <c r="C8" i="31"/>
  <c r="B8" i="31"/>
  <c r="E7" i="31"/>
  <c r="F6" i="31"/>
  <c r="E6" i="31"/>
  <c r="F5" i="31"/>
  <c r="E5" i="31"/>
  <c r="C5" i="31"/>
  <c r="B5" i="31"/>
  <c r="F4" i="31"/>
  <c r="E4" i="31"/>
  <c r="C4" i="31"/>
  <c r="B4" i="31"/>
  <c r="F3" i="31"/>
  <c r="E3" i="31"/>
  <c r="B3" i="31"/>
  <c r="D3" i="31" s="1"/>
  <c r="L1" i="31"/>
  <c r="E118" i="30"/>
  <c r="E111" i="30" s="1"/>
  <c r="E117" i="30"/>
  <c r="E116" i="30"/>
  <c r="E48" i="30"/>
  <c r="E13" i="30" s="1"/>
  <c r="E2" i="30" s="1"/>
  <c r="E35" i="30"/>
  <c r="D35" i="30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E120" i="30" s="1"/>
  <c r="E122" i="30" s="1"/>
  <c r="G2" i="30"/>
  <c r="F2" i="30"/>
  <c r="D2" i="30"/>
  <c r="E118" i="29"/>
  <c r="E117" i="29"/>
  <c r="E116" i="29"/>
  <c r="E111" i="29"/>
  <c r="N4" i="15" s="1"/>
  <c r="E87" i="29"/>
  <c r="E62" i="29"/>
  <c r="E9" i="29" s="1"/>
  <c r="E2" i="29" s="1"/>
  <c r="C4" i="15" s="1"/>
  <c r="E50" i="29"/>
  <c r="D50" i="29"/>
  <c r="G15" i="29"/>
  <c r="G2" i="29" s="1"/>
  <c r="E15" i="29"/>
  <c r="H10" i="29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E6" i="29"/>
  <c r="H4" i="29"/>
  <c r="H5" i="29" s="1"/>
  <c r="H6" i="29" s="1"/>
  <c r="H7" i="29" s="1"/>
  <c r="H8" i="29" s="1"/>
  <c r="H9" i="29" s="1"/>
  <c r="F2" i="29"/>
  <c r="E4" i="15" s="1"/>
  <c r="G4" i="15" s="1"/>
  <c r="G5" i="15" s="1"/>
  <c r="D2" i="29"/>
  <c r="E118" i="28"/>
  <c r="E117" i="28"/>
  <c r="E116" i="28"/>
  <c r="E95" i="28"/>
  <c r="E14" i="28" s="1"/>
  <c r="E2" i="28" s="1"/>
  <c r="C5" i="15" s="1"/>
  <c r="E58" i="28"/>
  <c r="E46" i="28"/>
  <c r="D46" i="28"/>
  <c r="H18" i="28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14" i="28"/>
  <c r="H15" i="28" s="1"/>
  <c r="H16" i="28" s="1"/>
  <c r="H17" i="28" s="1"/>
  <c r="E13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3" i="28"/>
  <c r="G2" i="28"/>
  <c r="F2" i="28"/>
  <c r="H2" i="28" s="1"/>
  <c r="E121" i="28" s="1"/>
  <c r="D2" i="28"/>
  <c r="E118" i="27"/>
  <c r="E117" i="27"/>
  <c r="E116" i="27"/>
  <c r="E111" i="27" s="1"/>
  <c r="N6" i="15" s="1"/>
  <c r="E78" i="27"/>
  <c r="E54" i="27"/>
  <c r="E12" i="27" s="1"/>
  <c r="E42" i="27"/>
  <c r="D42" i="27"/>
  <c r="H23" i="27"/>
  <c r="H24" i="27" s="1"/>
  <c r="H25" i="27" s="1"/>
  <c r="H26" i="27" s="1"/>
  <c r="H27" i="27" s="1"/>
  <c r="H28" i="27" s="1"/>
  <c r="H29" i="27" s="1"/>
  <c r="H30" i="27" s="1"/>
  <c r="H18" i="27"/>
  <c r="H19" i="27" s="1"/>
  <c r="H20" i="27" s="1"/>
  <c r="H21" i="27" s="1"/>
  <c r="H22" i="27" s="1"/>
  <c r="H16" i="27"/>
  <c r="H17" i="27" s="1"/>
  <c r="E13" i="27"/>
  <c r="E11" i="27"/>
  <c r="H5" i="27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4" i="27"/>
  <c r="G2" i="27"/>
  <c r="H2" i="27" s="1"/>
  <c r="E121" i="27" s="1"/>
  <c r="F2" i="27"/>
  <c r="D2" i="27"/>
  <c r="E121" i="26"/>
  <c r="E118" i="26"/>
  <c r="E117" i="26"/>
  <c r="E111" i="26" s="1"/>
  <c r="E116" i="26"/>
  <c r="E123" i="26" s="1"/>
  <c r="E80" i="26"/>
  <c r="E59" i="26"/>
  <c r="E7" i="26" s="1"/>
  <c r="E47" i="26"/>
  <c r="D47" i="26"/>
  <c r="E8" i="26"/>
  <c r="H7" i="26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E6" i="26"/>
  <c r="H5" i="26"/>
  <c r="H6" i="26" s="1"/>
  <c r="H4" i="26"/>
  <c r="G2" i="26"/>
  <c r="F2" i="26"/>
  <c r="D2" i="26"/>
  <c r="E118" i="25"/>
  <c r="E117" i="25"/>
  <c r="E116" i="25"/>
  <c r="E111" i="25"/>
  <c r="E84" i="25"/>
  <c r="E9" i="25" s="1"/>
  <c r="E49" i="25"/>
  <c r="E37" i="25"/>
  <c r="D37" i="25"/>
  <c r="E8" i="25"/>
  <c r="H5" i="25"/>
  <c r="H6" i="25" s="1"/>
  <c r="H7" i="25" s="1"/>
  <c r="H8" i="25" s="1"/>
  <c r="H4" i="25"/>
  <c r="G2" i="25"/>
  <c r="F2" i="25"/>
  <c r="H2" i="25" s="1"/>
  <c r="E2" i="25"/>
  <c r="C8" i="15" s="1"/>
  <c r="D2" i="25"/>
  <c r="B8" i="15" s="1"/>
  <c r="C121" i="24"/>
  <c r="E118" i="24"/>
  <c r="E117" i="24"/>
  <c r="E111" i="24" s="1"/>
  <c r="N9" i="15" s="1"/>
  <c r="E116" i="24"/>
  <c r="E69" i="24"/>
  <c r="E53" i="24"/>
  <c r="E10" i="24" s="1"/>
  <c r="E41" i="24"/>
  <c r="D41" i="24"/>
  <c r="E11" i="24"/>
  <c r="G9" i="24"/>
  <c r="G2" i="24" s="1"/>
  <c r="H2" i="24" s="1"/>
  <c r="E9" i="24"/>
  <c r="E2" i="24" s="1"/>
  <c r="H5" i="24"/>
  <c r="H6" i="24" s="1"/>
  <c r="H7" i="24" s="1"/>
  <c r="H8" i="24" s="1"/>
  <c r="H9" i="24" s="1"/>
  <c r="H10" i="24" s="1"/>
  <c r="H11" i="24" s="1"/>
  <c r="H12" i="24" s="1"/>
  <c r="H13" i="24" s="1"/>
  <c r="H4" i="24"/>
  <c r="F2" i="24"/>
  <c r="D2" i="24"/>
  <c r="C121" i="23"/>
  <c r="E118" i="23"/>
  <c r="E117" i="23"/>
  <c r="E116" i="23"/>
  <c r="E111" i="23" s="1"/>
  <c r="N10" i="15" s="1"/>
  <c r="C74" i="23"/>
  <c r="E67" i="23"/>
  <c r="E49" i="23"/>
  <c r="E8" i="23" s="1"/>
  <c r="E2" i="23" s="1"/>
  <c r="E37" i="23"/>
  <c r="D37" i="23"/>
  <c r="D7" i="23" s="1"/>
  <c r="D2" i="23" s="1"/>
  <c r="E9" i="23"/>
  <c r="H7" i="23"/>
  <c r="H8" i="23" s="1"/>
  <c r="H9" i="23" s="1"/>
  <c r="H10" i="23" s="1"/>
  <c r="H11" i="23" s="1"/>
  <c r="H12" i="23" s="1"/>
  <c r="H13" i="23" s="1"/>
  <c r="F7" i="23"/>
  <c r="H5" i="23"/>
  <c r="H6" i="23" s="1"/>
  <c r="H4" i="23"/>
  <c r="G2" i="23"/>
  <c r="F10" i="15" s="1"/>
  <c r="F2" i="23"/>
  <c r="C121" i="22"/>
  <c r="E118" i="22"/>
  <c r="E117" i="22"/>
  <c r="E116" i="22"/>
  <c r="E87" i="22"/>
  <c r="E62" i="22"/>
  <c r="E50" i="22"/>
  <c r="D50" i="22"/>
  <c r="E9" i="22"/>
  <c r="E8" i="22"/>
  <c r="E2" i="22" s="1"/>
  <c r="C11" i="15" s="1"/>
  <c r="G7" i="22"/>
  <c r="E7" i="22"/>
  <c r="H6" i="22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H5" i="22"/>
  <c r="H4" i="22"/>
  <c r="G2" i="22"/>
  <c r="F11" i="15" s="1"/>
  <c r="F2" i="22"/>
  <c r="D2" i="22"/>
  <c r="E122" i="21"/>
  <c r="E119" i="21"/>
  <c r="E118" i="21"/>
  <c r="E117" i="21"/>
  <c r="E116" i="21"/>
  <c r="E68" i="21"/>
  <c r="E51" i="21"/>
  <c r="E39" i="21"/>
  <c r="D39" i="21"/>
  <c r="E11" i="21"/>
  <c r="E10" i="21"/>
  <c r="G9" i="21"/>
  <c r="G2" i="21" s="1"/>
  <c r="F12" i="15" s="1"/>
  <c r="E9" i="2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H2" i="21" s="1"/>
  <c r="E2" i="21"/>
  <c r="D2" i="21"/>
  <c r="C123" i="20"/>
  <c r="E120" i="20"/>
  <c r="E119" i="20"/>
  <c r="E125" i="20" s="1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43" i="20"/>
  <c r="D43" i="20"/>
  <c r="E10" i="20"/>
  <c r="G10" i="20" s="1"/>
  <c r="E9" i="20"/>
  <c r="G9" i="20" s="1"/>
  <c r="G8" i="20"/>
  <c r="E8" i="20"/>
  <c r="E2" i="20" s="1"/>
  <c r="C13" i="15" s="1"/>
  <c r="H5" i="20"/>
  <c r="H6" i="20" s="1"/>
  <c r="H7" i="20" s="1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4" i="20"/>
  <c r="F2" i="20"/>
  <c r="D2" i="20"/>
  <c r="C129" i="19"/>
  <c r="E126" i="19"/>
  <c r="E125" i="19"/>
  <c r="A125" i="19"/>
  <c r="A126" i="19" s="1"/>
  <c r="A127" i="19" s="1"/>
  <c r="A128" i="19" s="1"/>
  <c r="E124" i="19"/>
  <c r="A113" i="19"/>
  <c r="A114" i="19" s="1"/>
  <c r="A115" i="19" s="1"/>
  <c r="A124" i="19" s="1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G12" i="19"/>
  <c r="E12" i="19"/>
  <c r="E11" i="19"/>
  <c r="H8" i="19"/>
  <c r="H9" i="19" s="1"/>
  <c r="H10" i="19" s="1"/>
  <c r="G7" i="19"/>
  <c r="H4" i="19"/>
  <c r="H5" i="19" s="1"/>
  <c r="H6" i="19" s="1"/>
  <c r="H7" i="19" s="1"/>
  <c r="F2" i="19"/>
  <c r="E14" i="15" s="1"/>
  <c r="D2" i="19"/>
  <c r="D39" i="18"/>
  <c r="F39" i="18" s="1"/>
  <c r="E34" i="18"/>
  <c r="D34" i="18" s="1"/>
  <c r="E32" i="18"/>
  <c r="D27" i="18"/>
  <c r="E33" i="18" s="1"/>
  <c r="E35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E27" i="18" s="1"/>
  <c r="H10" i="18"/>
  <c r="F10" i="18"/>
  <c r="E10" i="18"/>
  <c r="H9" i="18"/>
  <c r="H27" i="18" s="1"/>
  <c r="F34" i="18" s="1"/>
  <c r="F9" i="18"/>
  <c r="E9" i="18"/>
  <c r="H8" i="18"/>
  <c r="F8" i="18"/>
  <c r="F27" i="18" s="1"/>
  <c r="E8" i="18"/>
  <c r="E28" i="18" s="1"/>
  <c r="F5" i="18"/>
  <c r="D42" i="17"/>
  <c r="F41" i="17"/>
  <c r="E41" i="17" s="1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H23" i="17" s="1"/>
  <c r="F27" i="17"/>
  <c r="E27" i="17"/>
  <c r="H26" i="17"/>
  <c r="F26" i="17"/>
  <c r="E26" i="17"/>
  <c r="H25" i="17"/>
  <c r="F25" i="17"/>
  <c r="E25" i="17"/>
  <c r="H24" i="17"/>
  <c r="F24" i="17"/>
  <c r="E24" i="17"/>
  <c r="E23" i="17" s="1"/>
  <c r="F23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" i="16"/>
  <c r="F33" i="15"/>
  <c r="F32" i="15"/>
  <c r="F31" i="15"/>
  <c r="F26" i="15" s="1"/>
  <c r="N2" i="15" s="1"/>
  <c r="F21" i="15"/>
  <c r="F19" i="15"/>
  <c r="E19" i="15"/>
  <c r="E18" i="15"/>
  <c r="E21" i="15" s="1"/>
  <c r="J15" i="15"/>
  <c r="J16" i="15" s="1"/>
  <c r="N14" i="15"/>
  <c r="L14" i="15"/>
  <c r="K14" i="15"/>
  <c r="B14" i="15"/>
  <c r="L13" i="15"/>
  <c r="K13" i="15"/>
  <c r="E13" i="15"/>
  <c r="B13" i="15"/>
  <c r="L12" i="15"/>
  <c r="K12" i="15"/>
  <c r="E12" i="15"/>
  <c r="C12" i="15"/>
  <c r="B12" i="15"/>
  <c r="K11" i="15"/>
  <c r="L11" i="15" s="1"/>
  <c r="E11" i="15"/>
  <c r="B11" i="15"/>
  <c r="E10" i="15"/>
  <c r="C10" i="15"/>
  <c r="B10" i="15"/>
  <c r="K9" i="15"/>
  <c r="L9" i="15" s="1"/>
  <c r="E9" i="15"/>
  <c r="C9" i="15"/>
  <c r="B9" i="15"/>
  <c r="N8" i="15"/>
  <c r="M8" i="15"/>
  <c r="M15" i="15" s="1"/>
  <c r="M16" i="15" s="1"/>
  <c r="F8" i="15"/>
  <c r="E8" i="15"/>
  <c r="N7" i="15"/>
  <c r="M7" i="15"/>
  <c r="F7" i="15"/>
  <c r="B7" i="15"/>
  <c r="M6" i="15"/>
  <c r="F6" i="15"/>
  <c r="E6" i="15"/>
  <c r="B6" i="15"/>
  <c r="F5" i="15"/>
  <c r="E5" i="15"/>
  <c r="B5" i="15"/>
  <c r="K4" i="15"/>
  <c r="F4" i="15"/>
  <c r="B4" i="15"/>
  <c r="D4" i="15" s="1"/>
  <c r="N3" i="15"/>
  <c r="M3" i="15"/>
  <c r="F3" i="15"/>
  <c r="E3" i="15"/>
  <c r="G3" i="15" s="1"/>
  <c r="D3" i="15"/>
  <c r="C3" i="15"/>
  <c r="B3" i="15"/>
  <c r="L1" i="15"/>
  <c r="C149" i="14"/>
  <c r="D147" i="14"/>
  <c r="D149" i="14" s="1"/>
  <c r="E144" i="14"/>
  <c r="D144" i="14"/>
  <c r="C136" i="14"/>
  <c r="E133" i="14"/>
  <c r="E132" i="14"/>
  <c r="E131" i="14"/>
  <c r="A131" i="14"/>
  <c r="A133" i="14" s="1"/>
  <c r="A134" i="14" s="1"/>
  <c r="A135" i="14" s="1"/>
  <c r="E130" i="14"/>
  <c r="E138" i="14" s="1"/>
  <c r="A128" i="14"/>
  <c r="A126" i="14"/>
  <c r="A120" i="14"/>
  <c r="A121" i="14" s="1"/>
  <c r="A122" i="14" s="1"/>
  <c r="A123" i="14" s="1"/>
  <c r="A124" i="14" s="1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60" i="14"/>
  <c r="E49" i="14"/>
  <c r="D49" i="14"/>
  <c r="G16" i="14"/>
  <c r="G15" i="14"/>
  <c r="E14" i="14"/>
  <c r="G13" i="14"/>
  <c r="E13" i="14"/>
  <c r="E2" i="14" s="1"/>
  <c r="C3" i="2" s="1"/>
  <c r="G12" i="14"/>
  <c r="G2" i="14" s="1"/>
  <c r="F3" i="2" s="1"/>
  <c r="E12" i="14"/>
  <c r="H4" i="14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F2" i="14"/>
  <c r="H2" i="14" s="1"/>
  <c r="E136" i="14" s="1"/>
  <c r="D2" i="14"/>
  <c r="C134" i="13"/>
  <c r="F130" i="13"/>
  <c r="F129" i="13"/>
  <c r="E128" i="13"/>
  <c r="E127" i="13"/>
  <c r="E133" i="13" s="1"/>
  <c r="E126" i="13"/>
  <c r="E125" i="13"/>
  <c r="F124" i="13"/>
  <c r="F121" i="13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E9" i="13" s="1"/>
  <c r="C40" i="13"/>
  <c r="E36" i="13"/>
  <c r="D36" i="13"/>
  <c r="G19" i="13"/>
  <c r="E19" i="13"/>
  <c r="G15" i="13"/>
  <c r="G13" i="13"/>
  <c r="G12" i="13"/>
  <c r="H5" i="13"/>
  <c r="H6" i="13" s="1"/>
  <c r="H7" i="13" s="1"/>
  <c r="H8" i="13" s="1"/>
  <c r="H4" i="13"/>
  <c r="F2" i="13"/>
  <c r="D2" i="13"/>
  <c r="C131" i="12"/>
  <c r="E125" i="12"/>
  <c r="E124" i="12"/>
  <c r="E130" i="12" s="1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46" i="12"/>
  <c r="E35" i="12"/>
  <c r="D35" i="12"/>
  <c r="G16" i="12"/>
  <c r="E16" i="12"/>
  <c r="G13" i="12"/>
  <c r="G12" i="12"/>
  <c r="E9" i="12"/>
  <c r="G9" i="12" s="1"/>
  <c r="E8" i="12"/>
  <c r="E2" i="12" s="1"/>
  <c r="C5" i="2" s="1"/>
  <c r="G7" i="12"/>
  <c r="H4" i="12"/>
  <c r="H5" i="12" s="1"/>
  <c r="H6" i="12" s="1"/>
  <c r="H7" i="12" s="1"/>
  <c r="F2" i="12"/>
  <c r="D2" i="12"/>
  <c r="C139" i="11"/>
  <c r="E133" i="11"/>
  <c r="C132" i="11"/>
  <c r="E132" i="11" s="1"/>
  <c r="E131" i="11"/>
  <c r="E130" i="11"/>
  <c r="A122" i="1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E90" i="11"/>
  <c r="C79" i="11"/>
  <c r="C75" i="11"/>
  <c r="C73" i="11"/>
  <c r="C69" i="11"/>
  <c r="E58" i="11"/>
  <c r="E53" i="11"/>
  <c r="E19" i="11" s="1"/>
  <c r="G19" i="11" s="1"/>
  <c r="E47" i="11"/>
  <c r="D47" i="11"/>
  <c r="G18" i="11"/>
  <c r="G17" i="11"/>
  <c r="G16" i="11"/>
  <c r="E13" i="11"/>
  <c r="G13" i="11" s="1"/>
  <c r="E12" i="11"/>
  <c r="G12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F2" i="11"/>
  <c r="E6" i="2" s="1"/>
  <c r="D2" i="11"/>
  <c r="B6" i="2" s="1"/>
  <c r="E113" i="10"/>
  <c r="E112" i="10"/>
  <c r="N7" i="2" s="1"/>
  <c r="E111" i="10"/>
  <c r="E106" i="10"/>
  <c r="E66" i="10"/>
  <c r="E17" i="10" s="1"/>
  <c r="E51" i="10"/>
  <c r="E16" i="10" s="1"/>
  <c r="E40" i="10"/>
  <c r="D40" i="10"/>
  <c r="E15" i="10"/>
  <c r="E2" i="10" s="1"/>
  <c r="C7" i="2" s="1"/>
  <c r="H6" i="10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5" i="10"/>
  <c r="H4" i="10"/>
  <c r="G2" i="10"/>
  <c r="F7" i="2" s="1"/>
  <c r="F2" i="10"/>
  <c r="H2" i="10" s="1"/>
  <c r="E115" i="10" s="1"/>
  <c r="D2" i="10"/>
  <c r="E112" i="9"/>
  <c r="E111" i="9"/>
  <c r="N8" i="2" s="1"/>
  <c r="E110" i="9"/>
  <c r="E65" i="9"/>
  <c r="E16" i="9" s="1"/>
  <c r="E50" i="9"/>
  <c r="E15" i="9" s="1"/>
  <c r="E2" i="9" s="1"/>
  <c r="C8" i="2" s="1"/>
  <c r="E39" i="9"/>
  <c r="D39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8" i="2" s="1"/>
  <c r="F2" i="9"/>
  <c r="E8" i="2" s="1"/>
  <c r="D2" i="9"/>
  <c r="B8" i="2" s="1"/>
  <c r="E112" i="8"/>
  <c r="E111" i="8"/>
  <c r="E105" i="8" s="1"/>
  <c r="E110" i="8"/>
  <c r="E65" i="8"/>
  <c r="E50" i="8"/>
  <c r="E39" i="8"/>
  <c r="D39" i="8"/>
  <c r="E16" i="8"/>
  <c r="E15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H2" i="8" s="1"/>
  <c r="E114" i="8" s="1"/>
  <c r="F2" i="8"/>
  <c r="D2" i="8"/>
  <c r="E112" i="7"/>
  <c r="E111" i="7"/>
  <c r="N10" i="2" s="1"/>
  <c r="E110" i="7"/>
  <c r="E105" i="7" s="1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2" i="6"/>
  <c r="E111" i="6"/>
  <c r="E110" i="6"/>
  <c r="E65" i="6"/>
  <c r="E50" i="6"/>
  <c r="E39" i="6"/>
  <c r="D39" i="6"/>
  <c r="E16" i="6"/>
  <c r="E15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2" i="6"/>
  <c r="H2" i="6" s="1"/>
  <c r="E114" i="6" s="1"/>
  <c r="D2" i="6"/>
  <c r="E112" i="5"/>
  <c r="E111" i="5"/>
  <c r="E110" i="5"/>
  <c r="E105" i="5"/>
  <c r="E65" i="5"/>
  <c r="E16" i="5" s="1"/>
  <c r="E50" i="5"/>
  <c r="E15" i="5" s="1"/>
  <c r="E2" i="5" s="1"/>
  <c r="C12" i="2" s="1"/>
  <c r="E39" i="5"/>
  <c r="D39" i="5"/>
  <c r="E14" i="5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4" i="5"/>
  <c r="G2" i="5"/>
  <c r="F2" i="5"/>
  <c r="E12" i="2" s="1"/>
  <c r="D2" i="5"/>
  <c r="E112" i="4"/>
  <c r="E111" i="4"/>
  <c r="E110" i="4"/>
  <c r="E105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G2" i="4"/>
  <c r="F13" i="2" s="1"/>
  <c r="F2" i="4"/>
  <c r="E13" i="2" s="1"/>
  <c r="D2" i="4"/>
  <c r="B13" i="2" s="1"/>
  <c r="E117" i="3"/>
  <c r="E116" i="3"/>
  <c r="E115" i="3"/>
  <c r="E110" i="3" s="1"/>
  <c r="E70" i="3"/>
  <c r="E55" i="3"/>
  <c r="E44" i="3"/>
  <c r="D44" i="3"/>
  <c r="E21" i="3"/>
  <c r="E20" i="3"/>
  <c r="E19" i="3"/>
  <c r="N15" i="3"/>
  <c r="N14" i="3"/>
  <c r="N13" i="3"/>
  <c r="N12" i="3"/>
  <c r="N11" i="3"/>
  <c r="N16" i="3" s="1"/>
  <c r="H7" i="3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6" i="3"/>
  <c r="H4" i="3"/>
  <c r="G2" i="3"/>
  <c r="F14" i="2" s="1"/>
  <c r="F2" i="3"/>
  <c r="E14" i="2" s="1"/>
  <c r="D2" i="3"/>
  <c r="B14" i="2" s="1"/>
  <c r="F135" i="2"/>
  <c r="F133" i="2"/>
  <c r="D133" i="2"/>
  <c r="F130" i="2"/>
  <c r="F129" i="2"/>
  <c r="F128" i="2"/>
  <c r="B118" i="2"/>
  <c r="B119" i="2" s="1"/>
  <c r="B117" i="2"/>
  <c r="D24" i="2"/>
  <c r="B24" i="2"/>
  <c r="D23" i="2"/>
  <c r="B23" i="2"/>
  <c r="E19" i="2"/>
  <c r="M7" i="2" s="1"/>
  <c r="E18" i="2"/>
  <c r="E20" i="2" s="1"/>
  <c r="J15" i="2"/>
  <c r="J16" i="2" s="1"/>
  <c r="N14" i="2"/>
  <c r="K14" i="2"/>
  <c r="K15" i="2" s="1"/>
  <c r="K16" i="2" s="1"/>
  <c r="N13" i="2"/>
  <c r="K13" i="2"/>
  <c r="L13" i="2" s="1"/>
  <c r="N12" i="2"/>
  <c r="L12" i="2"/>
  <c r="K12" i="2"/>
  <c r="F12" i="2"/>
  <c r="B12" i="2"/>
  <c r="N11" i="2"/>
  <c r="K11" i="2"/>
  <c r="L11" i="2" s="1"/>
  <c r="F11" i="2"/>
  <c r="E11" i="2"/>
  <c r="B11" i="2"/>
  <c r="M10" i="2"/>
  <c r="F10" i="2"/>
  <c r="E10" i="2"/>
  <c r="B10" i="2"/>
  <c r="K9" i="2"/>
  <c r="L9" i="2" s="1"/>
  <c r="E9" i="2"/>
  <c r="B9" i="2"/>
  <c r="M8" i="2"/>
  <c r="B7" i="2"/>
  <c r="M5" i="2"/>
  <c r="E5" i="2"/>
  <c r="B5" i="2"/>
  <c r="K4" i="2"/>
  <c r="L4" i="2" s="1"/>
  <c r="B4" i="2"/>
  <c r="M3" i="2"/>
  <c r="B3" i="2"/>
  <c r="D3" i="2" s="1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H29" i="11" l="1"/>
  <c r="H30" i="11" s="1"/>
  <c r="H31" i="11" s="1"/>
  <c r="H32" i="11" s="1"/>
  <c r="H33" i="11" s="1"/>
  <c r="H34" i="11" s="1"/>
  <c r="H35" i="11" s="1"/>
  <c r="H36" i="11" s="1"/>
  <c r="H37" i="11" s="1"/>
  <c r="H38" i="11" s="1"/>
  <c r="M6" i="2"/>
  <c r="G2" i="11"/>
  <c r="F6" i="2" s="1"/>
  <c r="E120" i="11"/>
  <c r="N6" i="2" s="1"/>
  <c r="H2" i="11"/>
  <c r="E139" i="11" s="1"/>
  <c r="F15" i="2"/>
  <c r="F16" i="2" s="1"/>
  <c r="D5" i="15"/>
  <c r="F43" i="17"/>
  <c r="E43" i="17" s="1"/>
  <c r="I6" i="17"/>
  <c r="I7" i="17" s="1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" i="12"/>
  <c r="E131" i="12" s="1"/>
  <c r="D8" i="15"/>
  <c r="D9" i="15" s="1"/>
  <c r="D10" i="15" s="1"/>
  <c r="D11" i="15" s="1"/>
  <c r="D12" i="15" s="1"/>
  <c r="D13" i="15" s="1"/>
  <c r="D7" i="15"/>
  <c r="D5" i="2"/>
  <c r="G6" i="15"/>
  <c r="G9" i="13"/>
  <c r="G2" i="13" s="1"/>
  <c r="F4" i="2" s="1"/>
  <c r="E2" i="13"/>
  <c r="C4" i="2" s="1"/>
  <c r="D4" i="2" s="1"/>
  <c r="E116" i="9"/>
  <c r="E2" i="7"/>
  <c r="C10" i="2" s="1"/>
  <c r="E117" i="10"/>
  <c r="E44" i="17"/>
  <c r="E116" i="6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B120" i="2"/>
  <c r="B128" i="2"/>
  <c r="B129" i="2" s="1"/>
  <c r="B130" i="2" s="1"/>
  <c r="B131" i="2" s="1"/>
  <c r="B132" i="2" s="1"/>
  <c r="E116" i="5"/>
  <c r="H2" i="13"/>
  <c r="E134" i="13" s="1"/>
  <c r="E29" i="18"/>
  <c r="L14" i="2"/>
  <c r="L15" i="2" s="1"/>
  <c r="E111" i="19"/>
  <c r="E123" i="24"/>
  <c r="E123" i="25"/>
  <c r="B15" i="15"/>
  <c r="D5" i="31"/>
  <c r="D6" i="31"/>
  <c r="D7" i="31" s="1"/>
  <c r="D8" i="31" s="1"/>
  <c r="D9" i="31" s="1"/>
  <c r="D10" i="31" s="1"/>
  <c r="D11" i="31" s="1"/>
  <c r="D12" i="31" s="1"/>
  <c r="D13" i="31" s="1"/>
  <c r="D14" i="31" s="1"/>
  <c r="E3" i="2"/>
  <c r="B15" i="2"/>
  <c r="H2" i="5"/>
  <c r="E114" i="5" s="1"/>
  <c r="E116" i="8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111" i="13"/>
  <c r="N4" i="2" s="1"/>
  <c r="D33" i="18"/>
  <c r="D35" i="18" s="1"/>
  <c r="F9" i="2"/>
  <c r="E118" i="14"/>
  <c r="N3" i="2" s="1"/>
  <c r="F33" i="18"/>
  <c r="F35" i="18" s="1"/>
  <c r="E2" i="27"/>
  <c r="C6" i="15" s="1"/>
  <c r="D6" i="15" s="1"/>
  <c r="F131" i="13"/>
  <c r="F9" i="15"/>
  <c r="H2" i="23"/>
  <c r="E7" i="15"/>
  <c r="H2" i="26"/>
  <c r="H2" i="3"/>
  <c r="E119" i="3" s="1"/>
  <c r="E121" i="3" s="1"/>
  <c r="N9" i="2"/>
  <c r="E2" i="6"/>
  <c r="C11" i="2" s="1"/>
  <c r="H2" i="9"/>
  <c r="E114" i="9" s="1"/>
  <c r="E131" i="19"/>
  <c r="H2" i="4"/>
  <c r="E114" i="4" s="1"/>
  <c r="E116" i="4" s="1"/>
  <c r="E105" i="6"/>
  <c r="E116" i="7"/>
  <c r="E108" i="12"/>
  <c r="N5" i="2" s="1"/>
  <c r="D40" i="18"/>
  <c r="F40" i="18" s="1"/>
  <c r="E111" i="20"/>
  <c r="N13" i="15" s="1"/>
  <c r="E2" i="26"/>
  <c r="C7" i="15" s="1"/>
  <c r="E4" i="2"/>
  <c r="E7" i="2"/>
  <c r="C114" i="14"/>
  <c r="H2" i="19"/>
  <c r="G2" i="20"/>
  <c r="F13" i="15" s="1"/>
  <c r="E138" i="11"/>
  <c r="A132" i="14"/>
  <c r="E111" i="21"/>
  <c r="N12" i="15" s="1"/>
  <c r="E124" i="21"/>
  <c r="M15" i="2"/>
  <c r="M16" i="2" s="1"/>
  <c r="E105" i="9"/>
  <c r="E123" i="27"/>
  <c r="L15" i="31"/>
  <c r="G2" i="12"/>
  <c r="F5" i="2" s="1"/>
  <c r="F115" i="2"/>
  <c r="N2" i="2" s="1"/>
  <c r="N16" i="2" s="1"/>
  <c r="E2" i="4"/>
  <c r="C13" i="2" s="1"/>
  <c r="K15" i="31"/>
  <c r="K16" i="31" s="1"/>
  <c r="C15" i="31"/>
  <c r="C16" i="31" s="1"/>
  <c r="E123" i="28"/>
  <c r="E111" i="28"/>
  <c r="N5" i="15" s="1"/>
  <c r="N16" i="15" s="1"/>
  <c r="E2" i="11"/>
  <c r="C6" i="2" s="1"/>
  <c r="D6" i="2" s="1"/>
  <c r="D7" i="2" s="1"/>
  <c r="D8" i="2" s="1"/>
  <c r="D9" i="2" s="1"/>
  <c r="K15" i="15"/>
  <c r="K16" i="15" s="1"/>
  <c r="E2" i="19"/>
  <c r="C14" i="15" s="1"/>
  <c r="L4" i="15"/>
  <c r="L15" i="15" s="1"/>
  <c r="E15" i="3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E121" i="24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A116" i="19"/>
  <c r="D4" i="31"/>
  <c r="E2" i="3"/>
  <c r="C14" i="2" s="1"/>
  <c r="H2" i="22"/>
  <c r="E123" i="22"/>
  <c r="E111" i="22"/>
  <c r="N11" i="15" s="1"/>
  <c r="G11" i="19"/>
  <c r="G2" i="19" s="1"/>
  <c r="F14" i="15" s="1"/>
  <c r="H2" i="29"/>
  <c r="E121" i="29" s="1"/>
  <c r="E123" i="29" s="1"/>
  <c r="H2" i="36"/>
  <c r="H2" i="38"/>
  <c r="F14" i="31"/>
  <c r="F15" i="31" s="1"/>
  <c r="F16" i="31" s="1"/>
  <c r="H2" i="33"/>
  <c r="B15" i="31"/>
  <c r="D10" i="2" l="1"/>
  <c r="D11" i="2" s="1"/>
  <c r="D12" i="2" s="1"/>
  <c r="D13" i="2" s="1"/>
  <c r="D14" i="2"/>
  <c r="L16" i="2"/>
  <c r="L17" i="2"/>
  <c r="M18" i="2" s="1"/>
  <c r="G15" i="31"/>
  <c r="G16" i="31" s="1"/>
  <c r="E16" i="31"/>
  <c r="M17" i="15"/>
  <c r="M18" i="15" s="1"/>
  <c r="L16" i="15"/>
  <c r="G7" i="15"/>
  <c r="G8" i="15" s="1"/>
  <c r="G9" i="15" s="1"/>
  <c r="G10" i="15" s="1"/>
  <c r="G11" i="15" s="1"/>
  <c r="G12" i="15" s="1"/>
  <c r="G13" i="15" s="1"/>
  <c r="G14" i="15" s="1"/>
  <c r="E15" i="15"/>
  <c r="D14" i="15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B16" i="2"/>
  <c r="D15" i="2"/>
  <c r="C15" i="15"/>
  <c r="C16" i="15" s="1"/>
  <c r="G14" i="31"/>
  <c r="D49" i="17"/>
  <c r="F49" i="17" s="1"/>
  <c r="D43" i="17"/>
  <c r="D44" i="17" s="1"/>
  <c r="A123" i="19"/>
  <c r="A117" i="19"/>
  <c r="A118" i="19" s="1"/>
  <c r="A119" i="19" s="1"/>
  <c r="A120" i="19" s="1"/>
  <c r="A121" i="19" s="1"/>
  <c r="A122" i="19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B16" i="31"/>
  <c r="D15" i="31"/>
  <c r="N12" i="31"/>
  <c r="N13" i="31" s="1"/>
  <c r="L16" i="31"/>
  <c r="C15" i="2"/>
  <c r="C16" i="2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15" i="15"/>
  <c r="F16" i="15" s="1"/>
  <c r="F44" i="17"/>
  <c r="G3" i="2"/>
  <c r="E15" i="2"/>
  <c r="B16" i="15"/>
  <c r="H2" i="20"/>
  <c r="B121" i="2"/>
  <c r="B122" i="2" s="1"/>
  <c r="B123" i="2" s="1"/>
  <c r="B124" i="2" s="1"/>
  <c r="B125" i="2" s="1"/>
  <c r="B126" i="2" s="1"/>
  <c r="B127" i="2"/>
  <c r="E16" i="15" l="1"/>
  <c r="G15" i="15"/>
  <c r="G16" i="15" s="1"/>
  <c r="D15" i="15"/>
  <c r="H34" i="19"/>
  <c r="H35" i="19" s="1"/>
  <c r="E129" i="19"/>
  <c r="E16" i="2"/>
  <c r="G15" i="2"/>
  <c r="G16" i="2" s="1"/>
</calcChain>
</file>

<file path=xl/sharedStrings.xml><?xml version="1.0" encoding="utf-8"?>
<sst xmlns="http://schemas.openxmlformats.org/spreadsheetml/2006/main" count="3273" uniqueCount="1191">
  <si>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</si>
  <si>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</si>
  <si>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</si>
  <si>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</si>
  <si>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</si>
  <si>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</si>
  <si>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</si>
  <si>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</si>
  <si>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</si>
  <si>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</si>
  <si>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</si>
  <si>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</si>
  <si>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</si>
  <si>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</si>
  <si>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</si>
  <si>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</si>
  <si>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</si>
  <si>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</si>
  <si>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</si>
  <si>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</si>
  <si>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</si>
  <si>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</si>
  <si>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</si>
  <si>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</si>
  <si>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</si>
  <si>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</si>
  <si>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</si>
  <si>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</si>
  <si>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</si>
  <si>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</si>
  <si>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</si>
  <si>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</si>
  <si>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</si>
  <si>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</si>
  <si>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</si>
  <si>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</si>
  <si>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</si>
  <si>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</si>
  <si>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</si>
  <si>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</si>
  <si>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</si>
  <si>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</si>
  <si>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</si>
  <si>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</si>
  <si>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</si>
  <si>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</si>
  <si>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</si>
  <si>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</si>
  <si>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</si>
  <si>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</si>
  <si>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</si>
  <si>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</si>
  <si>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</si>
  <si>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</si>
  <si>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</si>
  <si>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</si>
  <si>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</si>
  <si>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</si>
  <si>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</si>
  <si>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</si>
  <si>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</si>
  <si>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</si>
  <si>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</si>
  <si>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</si>
  <si>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</si>
  <si>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</si>
  <si>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</si>
  <si>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</si>
  <si>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</si>
  <si>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</si>
  <si>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</si>
  <si>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</si>
  <si>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</si>
  <si>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</si>
  <si>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</si>
  <si>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</si>
  <si>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</si>
  <si>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</si>
  <si>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</si>
  <si>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</si>
  <si>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</si>
  <si>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</si>
  <si>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</si>
  <si>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</si>
  <si>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</si>
  <si>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</si>
  <si>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</si>
  <si>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</si>
  <si>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</si>
  <si>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</si>
  <si>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</si>
  <si>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</si>
  <si>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</si>
  <si>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</si>
  <si>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</si>
  <si>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</si>
  <si>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</si>
  <si>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</si>
  <si>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</si>
  <si>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</si>
  <si>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</si>
  <si>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</si>
  <si>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</si>
  <si>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</si>
  <si>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</si>
  <si>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</si>
  <si>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</si>
  <si>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</si>
  <si>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</si>
  <si>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</si>
  <si>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</si>
  <si>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</si>
  <si>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</si>
  <si>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</si>
  <si>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</si>
  <si>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</si>
  <si>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</si>
  <si>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</si>
  <si>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</si>
  <si>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</si>
  <si>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</si>
  <si>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</si>
  <si>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</si>
  <si>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</si>
  <si>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</si>
  <si>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</si>
  <si>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</si>
  <si>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</si>
  <si>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</si>
  <si>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</si>
  <si>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</si>
  <si>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</si>
  <si>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</si>
  <si>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</si>
  <si>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</si>
  <si>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</si>
  <si>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</si>
  <si>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</si>
  <si>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</si>
  <si>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</si>
  <si>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</si>
  <si>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</si>
  <si>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</si>
  <si>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</si>
  <si>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</si>
  <si>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</si>
  <si>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</si>
  <si>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</si>
  <si>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</si>
  <si>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</si>
  <si>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</si>
  <si>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</si>
  <si>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</si>
  <si>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</si>
  <si>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</si>
  <si>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</si>
  <si>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</si>
  <si>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</si>
  <si>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</si>
  <si>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</si>
  <si>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</si>
  <si>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</si>
  <si>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</si>
  <si>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</si>
  <si>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</si>
  <si>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</si>
  <si>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</si>
  <si>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</si>
  <si>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</si>
  <si>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</si>
  <si>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</si>
  <si>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</si>
  <si>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</si>
  <si>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</si>
  <si>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</si>
  <si>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</si>
  <si>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</si>
  <si>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</si>
  <si>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</si>
  <si>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</si>
  <si>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</si>
  <si>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</si>
  <si>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</si>
  <si>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</si>
  <si>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</si>
  <si>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</si>
  <si>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</si>
  <si>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</si>
  <si>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</si>
  <si>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</si>
  <si>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</si>
  <si>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</si>
  <si>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</si>
  <si>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</si>
  <si>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</si>
  <si>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</si>
  <si>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</si>
  <si>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</si>
  <si>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</si>
  <si>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</si>
  <si>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</si>
  <si>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</si>
  <si>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</si>
  <si>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</si>
  <si>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</si>
  <si>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</si>
  <si>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</si>
  <si>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</si>
  <si>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</si>
  <si>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</si>
  <si>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</si>
  <si>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</si>
  <si>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</si>
  <si>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</si>
  <si>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</si>
  <si>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</si>
  <si>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</si>
  <si>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</si>
  <si>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</si>
  <si>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</si>
  <si>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</si>
  <si>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</si>
  <si>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</si>
  <si>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</si>
  <si>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</si>
  <si>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</si>
  <si>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</si>
  <si>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</si>
  <si>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</si>
  <si>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</si>
  <si>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</si>
  <si>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</si>
  <si>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</si>
  <si>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</si>
  <si>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</si>
  <si>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</si>
  <si>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</si>
  <si>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</si>
  <si>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</si>
  <si>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</si>
  <si>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</si>
  <si>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</si>
  <si>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</si>
  <si>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</si>
  <si>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</si>
  <si>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</si>
  <si>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</si>
  <si>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</si>
  <si>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</si>
  <si>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</si>
  <si>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</si>
  <si>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</si>
  <si>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</si>
  <si>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</si>
  <si>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</si>
  <si>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</si>
  <si>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</si>
  <si>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</si>
  <si>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</si>
  <si>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</si>
  <si>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</si>
  <si>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</si>
  <si>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</si>
  <si>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</si>
  <si>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</si>
  <si>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</si>
  <si>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</si>
  <si>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</si>
  <si>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</si>
  <si>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</si>
  <si>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</si>
  <si>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</si>
  <si>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</si>
  <si>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</si>
  <si>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</si>
  <si>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</si>
  <si>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</si>
  <si>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</si>
  <si>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</si>
  <si>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</si>
  <si>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</si>
  <si>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</si>
  <si>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</si>
  <si>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</si>
  <si>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</si>
  <si>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</si>
  <si>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</si>
  <si>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</si>
  <si>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</si>
  <si>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</si>
  <si>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</si>
  <si>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</si>
  <si>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</si>
  <si>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</si>
  <si>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</si>
  <si>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</si>
  <si>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</si>
  <si>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</si>
  <si>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</si>
  <si>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</si>
  <si>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</si>
  <si>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</si>
  <si>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</si>
  <si>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</si>
  <si>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</si>
  <si>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</si>
  <si>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</si>
  <si>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</si>
  <si>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</si>
  <si>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</si>
  <si>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</si>
  <si>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</si>
  <si>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</si>
  <si>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</si>
  <si>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</si>
  <si>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</si>
  <si>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</si>
  <si>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</si>
  <si>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</si>
  <si>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</si>
  <si>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</si>
  <si>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</si>
  <si>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</si>
  <si>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</si>
  <si>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</si>
  <si>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</si>
  <si>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</si>
  <si>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</si>
  <si>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</si>
  <si>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</si>
  <si>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</si>
  <si>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</si>
  <si>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</si>
  <si>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</si>
  <si>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</si>
  <si>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</si>
  <si>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</si>
  <si>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</si>
  <si>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</si>
  <si>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</si>
  <si>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</si>
  <si>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</si>
  <si>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</si>
  <si>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</si>
  <si>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</si>
  <si>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</si>
  <si>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</si>
  <si>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</si>
  <si>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</si>
  <si>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</si>
  <si>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</si>
  <si>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</si>
  <si>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</si>
  <si>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</si>
  <si>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</si>
  <si>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</si>
  <si>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</si>
  <si>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</si>
  <si>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</si>
  <si>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</si>
  <si>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</si>
  <si>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</si>
  <si>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</si>
  <si>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</si>
  <si>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</si>
  <si>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</si>
  <si>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</si>
  <si>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</si>
  <si>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</si>
  <si>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</si>
  <si>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</si>
  <si>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</si>
  <si>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</si>
  <si>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</si>
  <si>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</si>
  <si>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</si>
  <si>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</si>
  <si>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</si>
  <si>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</si>
  <si>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</si>
  <si>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</si>
  <si>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</si>
  <si>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</si>
  <si>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</si>
  <si>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</si>
  <si>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</si>
  <si>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</si>
  <si>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</si>
  <si>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</si>
  <si>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</si>
  <si>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</si>
  <si>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</si>
  <si>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</si>
  <si>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</si>
  <si>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</si>
  <si>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</si>
  <si>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</si>
  <si>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</si>
  <si>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</si>
  <si>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</si>
  <si>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</si>
  <si>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</si>
  <si>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</si>
  <si>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</si>
  <si>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</si>
  <si>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</si>
  <si>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</si>
  <si>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</si>
  <si>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</si>
  <si>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</si>
  <si>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</si>
  <si>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</si>
  <si>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</si>
  <si>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</si>
  <si>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</si>
  <si>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</si>
  <si>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</si>
  <si>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</si>
  <si>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</si>
  <si>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</si>
  <si>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</si>
  <si>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</si>
  <si>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</si>
  <si>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</si>
  <si>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</si>
  <si>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</si>
  <si>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</si>
  <si>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</si>
  <si>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</si>
  <si>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</si>
  <si>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</si>
  <si>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</si>
  <si>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</si>
  <si>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</si>
  <si>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</si>
  <si>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</si>
  <si>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</si>
  <si>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</si>
  <si>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</si>
  <si>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</si>
  <si>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</si>
  <si>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</si>
  <si>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</si>
  <si>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</si>
  <si>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</si>
  <si>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</si>
  <si>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</si>
  <si>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</si>
  <si>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</si>
  <si>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</si>
  <si>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</si>
  <si>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</si>
  <si>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</si>
  <si>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</si>
  <si>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</si>
  <si>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</si>
  <si>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</si>
  <si>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</si>
  <si>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</si>
  <si>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</si>
  <si>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</si>
  <si>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</si>
  <si>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</si>
  <si>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</si>
  <si>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</si>
  <si>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</si>
  <si>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</si>
  <si>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</si>
  <si>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</si>
  <si>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</si>
  <si>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</si>
  <si>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</si>
  <si>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</si>
  <si>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</si>
  <si>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</si>
  <si>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</si>
  <si>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</si>
  <si>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</si>
  <si>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</si>
  <si>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</si>
  <si>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</si>
  <si>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</si>
  <si>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</si>
  <si>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</si>
  <si>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</si>
  <si>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</si>
  <si>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</si>
  <si>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</si>
  <si>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</si>
  <si>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</si>
  <si>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</si>
  <si>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</si>
  <si>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</si>
  <si>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</si>
  <si>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</si>
  <si>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</si>
  <si>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</si>
  <si>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</si>
  <si>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</si>
  <si>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</si>
  <si>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</si>
  <si>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</si>
  <si>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</si>
  <si>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</si>
  <si>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</si>
  <si>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</si>
  <si>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</si>
  <si>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</si>
  <si>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</si>
  <si>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</si>
  <si>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</si>
  <si>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</si>
  <si>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</si>
  <si>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</si>
  <si>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</si>
  <si>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</si>
  <si>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</si>
  <si>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</si>
  <si>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</si>
  <si>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</si>
  <si>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</si>
  <si>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</si>
  <si>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</si>
  <si>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</si>
  <si>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</si>
  <si>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</si>
  <si>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</si>
  <si>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</si>
  <si>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</si>
  <si>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</si>
  <si>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</si>
  <si>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</si>
  <si>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</si>
  <si>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</si>
  <si>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</si>
  <si>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</si>
  <si>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</si>
  <si>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</si>
  <si>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</si>
  <si>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</si>
  <si>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</si>
  <si>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</si>
  <si>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</si>
  <si>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</si>
  <si>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</si>
  <si>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</si>
  <si>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</si>
  <si>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</si>
  <si>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</si>
  <si>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</si>
  <si>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</si>
  <si>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</si>
  <si>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</si>
  <si>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</si>
  <si>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</si>
  <si>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</si>
  <si>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</si>
  <si>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</si>
  <si>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</si>
  <si>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</si>
  <si>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</si>
  <si>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</si>
  <si>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</si>
  <si>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</si>
  <si>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</si>
  <si>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</si>
  <si>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</si>
  <si>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</si>
  <si>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</si>
  <si>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</si>
  <si>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</si>
  <si>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</si>
  <si>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</si>
  <si>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</si>
  <si>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</si>
  <si>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</si>
  <si>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</si>
  <si>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</si>
  <si>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</si>
  <si>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</si>
  <si>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</si>
  <si>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</si>
  <si>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</si>
  <si>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</si>
  <si>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</si>
  <si>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</si>
  <si>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</si>
  <si>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</si>
  <si>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</si>
  <si>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</si>
  <si>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</si>
  <si>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</si>
  <si>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</si>
  <si>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</si>
  <si>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</si>
  <si>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</si>
  <si>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</si>
  <si>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</si>
  <si>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</si>
  <si>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</si>
  <si>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</si>
  <si>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</si>
  <si>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</si>
  <si>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</si>
  <si>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</si>
  <si>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</si>
  <si>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</si>
  <si>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</si>
  <si>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</si>
  <si>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</si>
  <si>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</si>
  <si>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</si>
  <si>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</si>
  <si>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</si>
  <si>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</si>
  <si>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</si>
  <si>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</si>
  <si>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</si>
  <si>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</si>
  <si>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</si>
  <si>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</si>
  <si>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</si>
  <si>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</si>
  <si>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</si>
  <si>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</si>
  <si>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</si>
  <si>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</si>
  <si>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</si>
  <si>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</si>
  <si>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</si>
  <si>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</si>
  <si>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</si>
  <si>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</si>
  <si>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</si>
  <si>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</si>
  <si>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</si>
  <si>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</si>
  <si>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</si>
  <si>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</si>
  <si>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</si>
  <si>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</si>
  <si>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</si>
  <si>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</si>
  <si>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</si>
  <si>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</si>
  <si>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</si>
  <si>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</si>
  <si>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</si>
  <si>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</si>
  <si>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</si>
  <si>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</si>
  <si>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</si>
  <si>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</si>
  <si>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</si>
  <si>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</si>
  <si>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</si>
  <si>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</si>
  <si>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</si>
  <si>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</si>
  <si>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</si>
  <si>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</si>
  <si>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</si>
  <si>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</si>
  <si>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</si>
  <si>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</si>
  <si>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</si>
  <si>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</si>
  <si>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</si>
  <si>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</si>
  <si>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</si>
  <si>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</si>
  <si>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</si>
  <si>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</si>
  <si>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</si>
  <si>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</si>
  <si>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</si>
  <si>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</si>
  <si>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</si>
  <si>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</si>
  <si>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</si>
  <si>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</si>
  <si>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</si>
  <si>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</si>
  <si>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</si>
  <si>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</si>
  <si>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</si>
  <si>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</si>
  <si>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</si>
  <si>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</si>
  <si>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</si>
  <si>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</si>
  <si>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</si>
  <si>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</si>
  <si>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</si>
  <si>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</si>
  <si>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</si>
  <si>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</si>
  <si>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</si>
  <si>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</si>
  <si>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</si>
  <si>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</si>
  <si>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</si>
  <si>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</si>
  <si>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</si>
  <si>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</si>
  <si>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</si>
  <si>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</si>
  <si>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</si>
  <si>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</si>
  <si>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</si>
  <si>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</si>
  <si>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</si>
  <si>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</si>
  <si>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</si>
  <si>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</si>
  <si>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</si>
  <si>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</si>
  <si>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</si>
  <si>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</si>
  <si>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</si>
  <si>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</si>
  <si>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</si>
  <si>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</si>
  <si>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</si>
  <si>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</si>
  <si>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</si>
  <si>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</si>
  <si>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</si>
  <si>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</si>
  <si>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</si>
  <si>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</si>
  <si>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</si>
  <si>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</si>
  <si>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</si>
  <si>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</si>
  <si>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</si>
  <si>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</si>
  <si>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</si>
  <si>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</si>
  <si>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</si>
  <si>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</si>
  <si>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</si>
  <si>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</si>
  <si>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</si>
  <si>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</si>
  <si>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</si>
  <si>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</si>
  <si>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</si>
  <si>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</si>
  <si>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</si>
  <si>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</si>
  <si>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</si>
  <si>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</si>
  <si>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</si>
  <si>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</si>
  <si>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</si>
  <si>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</si>
  <si>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</si>
  <si>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</si>
  <si>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</si>
  <si>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</si>
  <si>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</si>
  <si>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</si>
  <si>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</si>
  <si>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</si>
  <si>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</si>
  <si>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</si>
  <si>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</si>
  <si>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</si>
  <si>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</si>
  <si>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</si>
  <si>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</si>
  <si>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</si>
  <si>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</si>
  <si>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</si>
  <si>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</si>
  <si>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</si>
  <si>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</si>
  <si>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</si>
  <si>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</si>
  <si>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</si>
  <si>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</si>
  <si>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</si>
  <si>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</si>
  <si>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</si>
  <si>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</si>
  <si>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</si>
  <si>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</si>
  <si>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</si>
  <si>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</si>
  <si>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</si>
  <si>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</si>
  <si>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</si>
  <si>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</si>
  <si>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</si>
  <si>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</si>
  <si>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</si>
  <si>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</si>
  <si>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</si>
  <si>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</si>
  <si>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</si>
  <si>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</si>
  <si>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</si>
  <si>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</si>
  <si>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</si>
  <si>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</si>
  <si>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</si>
  <si>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</si>
  <si>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</si>
  <si>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</si>
  <si>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</si>
  <si>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</si>
  <si>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</si>
  <si>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</si>
  <si>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</si>
  <si>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</si>
  <si>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</si>
  <si>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</si>
  <si>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</si>
  <si>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</si>
  <si>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</si>
  <si>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</si>
  <si>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</si>
  <si>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</si>
  <si>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</si>
  <si>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</si>
  <si>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</si>
  <si>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</si>
  <si>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</si>
  <si>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</si>
  <si>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</si>
  <si>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</si>
  <si>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</si>
  <si>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</si>
  <si>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</si>
  <si>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</si>
  <si>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</si>
  <si>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</si>
  <si>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</si>
  <si>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</si>
  <si>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</si>
  <si>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</si>
  <si>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</si>
  <si>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</si>
  <si>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</si>
  <si>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</si>
  <si>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</si>
  <si>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</si>
  <si>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</si>
  <si>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</si>
  <si>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</si>
  <si>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</si>
  <si>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</si>
  <si>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</si>
  <si>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</si>
  <si>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</si>
  <si>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</si>
  <si>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</si>
  <si>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</si>
  <si>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</si>
  <si>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</si>
  <si>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</si>
  <si>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</si>
  <si>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</si>
  <si>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</si>
  <si>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</si>
  <si>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</si>
  <si>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</si>
  <si>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</si>
  <si>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</si>
  <si>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</si>
  <si>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</si>
  <si>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</si>
  <si>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</si>
  <si>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</si>
  <si>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</si>
  <si>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</si>
  <si>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</si>
  <si>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</si>
  <si>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</si>
  <si>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</si>
  <si>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</si>
  <si>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</si>
  <si>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</si>
  <si>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</si>
  <si>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</si>
  <si>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</si>
  <si>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</si>
  <si>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</si>
  <si>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</si>
  <si>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</si>
  <si>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</si>
  <si>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</si>
  <si>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</si>
  <si>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</si>
  <si>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</si>
  <si>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</si>
  <si>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</si>
  <si>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</si>
  <si>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</si>
  <si>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</si>
  <si>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</si>
  <si>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</si>
  <si>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</si>
  <si>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</si>
  <si>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</si>
  <si>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</si>
  <si>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</si>
  <si>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</si>
  <si>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</si>
  <si>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</si>
  <si>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</si>
  <si>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</si>
  <si>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</si>
  <si>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</si>
  <si>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</si>
  <si>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</si>
  <si>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</si>
  <si>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</si>
  <si>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</si>
  <si>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</si>
  <si>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</si>
  <si>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</si>
  <si>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</si>
  <si>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</si>
  <si>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</si>
  <si>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</si>
  <si>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</si>
  <si>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</si>
  <si>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</si>
  <si>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</si>
  <si>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</si>
  <si>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</si>
  <si>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</si>
  <si>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</si>
  <si>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</si>
  <si>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</si>
  <si>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</si>
  <si>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</si>
  <si>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</si>
  <si>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</si>
  <si>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</si>
  <si>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</si>
  <si>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</si>
  <si>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</si>
  <si>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</si>
  <si>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</si>
  <si>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</si>
  <si>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</si>
  <si>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</si>
  <si>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</si>
  <si>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</si>
  <si>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</si>
  <si>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</si>
  <si>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</si>
  <si>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</si>
  <si>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</si>
  <si>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</si>
  <si>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</si>
  <si>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</si>
  <si>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</si>
  <si>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</si>
  <si>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</si>
  <si>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</si>
  <si>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</si>
  <si>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</si>
  <si>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</si>
  <si>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</si>
  <si>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</si>
  <si>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</si>
  <si>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</si>
  <si>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</si>
  <si>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</si>
  <si>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</si>
  <si>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</si>
  <si>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</si>
  <si>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</si>
  <si>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</si>
  <si>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</si>
  <si>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</si>
  <si>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</si>
  <si>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</si>
  <si>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</si>
  <si>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</si>
  <si>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</si>
  <si>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</si>
  <si>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</si>
  <si>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</si>
  <si>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</si>
  <si>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</si>
  <si>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</si>
  <si>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</si>
  <si>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</si>
  <si>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</si>
  <si>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</si>
  <si>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</si>
  <si>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</si>
  <si>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</si>
  <si>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</si>
  <si>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</si>
  <si>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</si>
  <si>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</si>
  <si>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</si>
  <si>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</si>
  <si>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</si>
  <si>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</si>
  <si>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</si>
  <si>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</si>
  <si>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</si>
  <si>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</si>
  <si>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</si>
  <si>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</si>
  <si>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</si>
  <si>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</si>
  <si>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</si>
  <si>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</si>
  <si>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</si>
  <si>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</si>
  <si>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</si>
  <si>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</si>
  <si>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</si>
  <si>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</si>
  <si>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</si>
  <si>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</si>
  <si>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</si>
  <si>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</si>
  <si>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</si>
  <si>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</si>
  <si>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</si>
  <si>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</si>
  <si>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</si>
  <si>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</si>
  <si>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</si>
  <si>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</si>
  <si>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</si>
  <si>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</si>
  <si>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</si>
  <si>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</si>
  <si>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</si>
  <si>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</si>
  <si>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</si>
  <si>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</si>
  <si>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</si>
  <si>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</si>
  <si>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</si>
  <si>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</si>
  <si>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</si>
  <si>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</si>
  <si>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</si>
  <si>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</si>
  <si>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</si>
  <si>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</si>
  <si>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</si>
  <si>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</si>
  <si>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</si>
  <si>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</si>
  <si>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</si>
  <si>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</si>
  <si>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</si>
  <si>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</si>
  <si>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</si>
  <si>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</si>
  <si>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</si>
  <si>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</si>
  <si>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</si>
  <si>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</si>
  <si>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</si>
  <si>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</si>
  <si>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</si>
  <si>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</si>
  <si>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</si>
  <si>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</si>
  <si>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</si>
  <si>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</si>
  <si>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</si>
  <si>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</si>
  <si>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</si>
  <si>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</si>
  <si>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</si>
  <si>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</si>
  <si>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</si>
  <si>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</si>
  <si>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</si>
  <si>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</si>
  <si>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</si>
  <si>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</si>
  <si>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</si>
  <si>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</si>
  <si>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</si>
  <si>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</si>
  <si>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</si>
  <si>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</si>
  <si>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</si>
  <si>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</si>
  <si>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</si>
  <si>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</si>
  <si>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</si>
  <si>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</si>
  <si>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</si>
  <si>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</si>
  <si>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</si>
  <si>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</si>
  <si>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</si>
  <si>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</si>
  <si>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</si>
  <si>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</si>
  <si>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</si>
  <si>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</si>
  <si>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</si>
  <si>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</si>
  <si>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</si>
  <si>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</si>
  <si>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</si>
  <si>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</si>
  <si>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</si>
  <si>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</si>
  <si>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</si>
  <si>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</si>
  <si>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</si>
  <si>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</si>
  <si>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</si>
  <si>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</si>
  <si>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</si>
  <si>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</si>
  <si>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</si>
  <si>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</si>
  <si>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</si>
  <si>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</si>
  <si>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</si>
  <si>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</si>
  <si>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</si>
  <si>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</si>
  <si>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</si>
  <si>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</si>
  <si>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</si>
  <si>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</si>
  <si>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</si>
  <si>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</si>
  <si>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</si>
  <si>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</si>
  <si>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</si>
  <si>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</si>
  <si>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</si>
  <si>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</si>
  <si>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</si>
  <si>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</si>
  <si>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</si>
  <si>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</si>
  <si>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</si>
  <si>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</si>
  <si>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</si>
  <si>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</si>
  <si>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</si>
  <si>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</si>
  <si>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</si>
  <si>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</si>
  <si>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</si>
  <si>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</si>
  <si>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</si>
  <si>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</si>
  <si>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</si>
  <si>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</si>
  <si>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</si>
  <si>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</si>
  <si>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</si>
  <si>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</si>
  <si>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</si>
  <si>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</si>
  <si>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</si>
  <si>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</si>
  <si>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</si>
  <si>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</si>
  <si>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</si>
  <si>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</si>
  <si>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</si>
  <si>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</si>
  <si>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</si>
  <si>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</si>
  <si>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</si>
  <si>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</si>
  <si>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</si>
  <si>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</si>
  <si>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</si>
  <si>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</si>
  <si>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</si>
  <si>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</si>
  <si>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</si>
  <si>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umuta havale</t>
  </si>
  <si>
    <t>lihkab ücreti - tuzgümrüğü ölçüm</t>
  </si>
  <si>
    <t>audi teker porya-yazlık lastik</t>
  </si>
  <si>
    <t>panter testere 1/9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</si>
</sst>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0" fillId="0" borderId="0" xfId="0" applyFont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16" fontId="0" fillId="0" borderId="0" xfId="0" applyNumberForma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  <xf numFmtId="174" fontId="45" fillId="0" borderId="0" xfId="0" applyNumberFormat="1" applyFo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9"/>
  <sheetViews>
    <sheetView zoomScale="130" zoomScaleNormal="130" workbookViewId="0">
      <selection activeCell="F10" sqref="F1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17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1189</v>
      </c>
      <c r="D18">
        <v>3350</v>
      </c>
    </row>
    <row r="19" spans="2:7">
      <c r="C19" t="s">
        <v>1190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18" zoomScale="130" zoomScaleNormal="130" workbookViewId="0">
      <selection activeCell="C43" sqref="C4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7" t="s">
        <v>18</v>
      </c>
      <c r="L1" s="319" t="s">
        <v>19</v>
      </c>
      <c r="M1" s="319"/>
      <c r="N1" t="s">
        <v>20</v>
      </c>
    </row>
    <row r="2" spans="1:14" ht="15.75">
      <c r="A2" s="9">
        <v>-2024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9">
        <v>0.23538400000000001</v>
      </c>
      <c r="L2" s="20">
        <f>1-K2</f>
        <v>0.76461599999999996</v>
      </c>
      <c r="M2" s="21" t="s">
        <v>25</v>
      </c>
      <c r="N2">
        <f>F115/1000</f>
        <v>698.22030499999994</v>
      </c>
    </row>
    <row r="3" spans="1:14">
      <c r="A3" s="22" t="s">
        <v>26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28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29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32</v>
      </c>
      <c r="B6" s="23">
        <f>'04_24'!D2</f>
        <v>48500</v>
      </c>
      <c r="C6" s="23">
        <f>'04_24'!E2</f>
        <v>-51710.3</v>
      </c>
      <c r="D6" s="24">
        <f t="shared" si="0"/>
        <v>136965.87</v>
      </c>
      <c r="E6" s="23">
        <f>'04_24'!F2</f>
        <v>18000</v>
      </c>
      <c r="F6" s="23">
        <f>'04_24'!G2</f>
        <v>-49484.22</v>
      </c>
      <c r="G6" s="24">
        <f t="shared" si="1"/>
        <v>-48717.619999999981</v>
      </c>
      <c r="H6" s="25"/>
      <c r="I6" s="32" t="s">
        <v>33</v>
      </c>
      <c r="K6" s="30"/>
      <c r="L6" s="28"/>
      <c r="M6" s="33">
        <f>E18/1000</f>
        <v>34.222709999999999</v>
      </c>
      <c r="N6">
        <f>'04_24'!E120/1000</f>
        <v>774.2877365999999</v>
      </c>
    </row>
    <row r="7" spans="1:14">
      <c r="A7" s="22" t="s">
        <v>34</v>
      </c>
      <c r="B7" s="23">
        <f>'05_24'!D2</f>
        <v>25000</v>
      </c>
      <c r="C7" s="23">
        <f>'05_24'!E2</f>
        <v>-43188.36</v>
      </c>
      <c r="D7" s="24">
        <f t="shared" si="0"/>
        <v>118777.51</v>
      </c>
      <c r="E7" s="23">
        <f>'05_24'!F2</f>
        <v>0</v>
      </c>
      <c r="F7" s="23">
        <f>'05_24'!G2</f>
        <v>0</v>
      </c>
      <c r="G7" s="24">
        <f t="shared" si="1"/>
        <v>-48717.619999999981</v>
      </c>
      <c r="H7" s="25"/>
      <c r="I7" s="32" t="s">
        <v>35</v>
      </c>
      <c r="K7" s="30"/>
      <c r="L7" s="31"/>
      <c r="M7" s="33">
        <f>E19/1000</f>
        <v>0</v>
      </c>
      <c r="N7">
        <f>'05_24'!E112/1000</f>
        <v>0</v>
      </c>
    </row>
    <row r="8" spans="1:14">
      <c r="A8" s="22" t="s">
        <v>36</v>
      </c>
      <c r="B8" s="23">
        <f>'06_24'!D2</f>
        <v>25000</v>
      </c>
      <c r="C8" s="23">
        <f>'06_24'!E2</f>
        <v>-48554.86</v>
      </c>
      <c r="D8" s="24">
        <f t="shared" si="0"/>
        <v>95222.65</v>
      </c>
      <c r="E8" s="23">
        <f>'06_24'!F2</f>
        <v>0</v>
      </c>
      <c r="F8" s="23">
        <f>'06_24'!G2</f>
        <v>0</v>
      </c>
      <c r="G8" s="24">
        <f t="shared" si="1"/>
        <v>-48717.619999999981</v>
      </c>
      <c r="H8" s="25"/>
      <c r="I8" s="26" t="s">
        <v>37</v>
      </c>
      <c r="J8" s="22">
        <v>400</v>
      </c>
      <c r="K8" s="30"/>
      <c r="L8" s="31"/>
      <c r="M8" s="29">
        <f>J8/4</f>
        <v>100</v>
      </c>
      <c r="N8">
        <f>'06_24'!E111/1000</f>
        <v>0</v>
      </c>
    </row>
    <row r="9" spans="1:14">
      <c r="A9" s="22" t="s">
        <v>38</v>
      </c>
      <c r="B9" s="23">
        <f>'07_24'!D2</f>
        <v>30000</v>
      </c>
      <c r="C9" s="23">
        <f>'07_24'!E2</f>
        <v>-47705.05</v>
      </c>
      <c r="D9" s="24">
        <f t="shared" si="0"/>
        <v>77517.599999999991</v>
      </c>
      <c r="E9" s="23">
        <f>'07_24'!F2</f>
        <v>0</v>
      </c>
      <c r="F9" s="23">
        <f>'07_24'!G2</f>
        <v>-1805.86</v>
      </c>
      <c r="G9" s="24">
        <f t="shared" si="1"/>
        <v>-50523.479999999981</v>
      </c>
      <c r="H9" s="25"/>
      <c r="I9" s="26" t="s">
        <v>39</v>
      </c>
      <c r="J9" s="22">
        <v>170</v>
      </c>
      <c r="K9" s="30">
        <f>J9*$K$2</f>
        <v>40.015280000000004</v>
      </c>
      <c r="L9" s="31">
        <f>J9-K9</f>
        <v>129.98471999999998</v>
      </c>
      <c r="M9" s="34"/>
      <c r="N9">
        <f>'07_24'!E111/1000</f>
        <v>0</v>
      </c>
    </row>
    <row r="10" spans="1:14">
      <c r="A10" s="22" t="s">
        <v>40</v>
      </c>
      <c r="B10" s="23">
        <f>'08_24'!D2</f>
        <v>174000</v>
      </c>
      <c r="C10" s="23">
        <f>'08_24'!E2</f>
        <v>-44153.39</v>
      </c>
      <c r="D10" s="24">
        <f t="shared" si="0"/>
        <v>207364.21</v>
      </c>
      <c r="E10" s="23">
        <f>'08_24'!F2</f>
        <v>0</v>
      </c>
      <c r="F10" s="23">
        <f>'08_24'!G2</f>
        <v>0</v>
      </c>
      <c r="G10" s="24">
        <f t="shared" si="1"/>
        <v>-50523.479999999981</v>
      </c>
      <c r="H10" s="25"/>
      <c r="I10" s="26" t="s">
        <v>41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42</v>
      </c>
      <c r="B11" s="23">
        <f>'09_24'!D2</f>
        <v>174000</v>
      </c>
      <c r="C11" s="23">
        <f>'09_24'!E2</f>
        <v>-43553.59</v>
      </c>
      <c r="D11" s="24">
        <f t="shared" si="0"/>
        <v>337810.62</v>
      </c>
      <c r="E11" s="23">
        <f>'09_24'!F2</f>
        <v>0</v>
      </c>
      <c r="F11" s="23">
        <f>'09_24'!G2</f>
        <v>0</v>
      </c>
      <c r="G11" s="24">
        <f t="shared" si="1"/>
        <v>-50523.479999999981</v>
      </c>
      <c r="H11" s="25"/>
      <c r="I11" s="26" t="s">
        <v>43</v>
      </c>
      <c r="J11" s="22">
        <v>170</v>
      </c>
      <c r="K11" s="30">
        <f>J11*$K$2</f>
        <v>40.015280000000004</v>
      </c>
      <c r="L11" s="31">
        <f>J11-K11</f>
        <v>129.98471999999998</v>
      </c>
      <c r="M11" s="29"/>
      <c r="N11">
        <f>'09_24'!E120/1000</f>
        <v>0</v>
      </c>
    </row>
    <row r="12" spans="1:14">
      <c r="A12" s="22" t="s">
        <v>44</v>
      </c>
      <c r="B12" s="23">
        <f>'10_24'!D2</f>
        <v>150000</v>
      </c>
      <c r="C12" s="23">
        <f>'10_24'!E2</f>
        <v>-143042.16</v>
      </c>
      <c r="D12" s="24">
        <f t="shared" si="0"/>
        <v>344768.45999999996</v>
      </c>
      <c r="E12" s="23">
        <f>'10_24'!F2</f>
        <v>0</v>
      </c>
      <c r="F12" s="23">
        <f>'10_24'!G2</f>
        <v>0</v>
      </c>
      <c r="G12" s="24">
        <f t="shared" si="1"/>
        <v>-50523.479999999981</v>
      </c>
      <c r="H12" s="25"/>
      <c r="I12" s="26" t="s">
        <v>45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46</v>
      </c>
      <c r="B13" s="23">
        <f>'11_24'!D2</f>
        <v>280000</v>
      </c>
      <c r="C13" s="23">
        <f>'11_24'!E2</f>
        <v>-43042.16</v>
      </c>
      <c r="D13" s="24">
        <f t="shared" si="0"/>
        <v>581726.29999999993</v>
      </c>
      <c r="E13" s="23">
        <f>'11_24'!F2</f>
        <v>0</v>
      </c>
      <c r="F13" s="23">
        <f>'11_24'!G2</f>
        <v>0</v>
      </c>
      <c r="G13" s="24">
        <f t="shared" si="1"/>
        <v>-50523.479999999981</v>
      </c>
      <c r="H13" s="25"/>
      <c r="I13" s="26" t="s">
        <v>47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48</v>
      </c>
      <c r="B14" s="23">
        <f>'12_24'!D2</f>
        <v>30000</v>
      </c>
      <c r="C14" s="23">
        <f>'12_24'!E2</f>
        <v>-44245.82</v>
      </c>
      <c r="D14" s="24">
        <f t="shared" si="0"/>
        <v>567480.48</v>
      </c>
      <c r="E14" s="23">
        <f>'12_24'!F2</f>
        <v>0</v>
      </c>
      <c r="F14" s="23">
        <f>'12_24'!G2</f>
        <v>0</v>
      </c>
      <c r="G14" s="24">
        <f t="shared" si="1"/>
        <v>-50523.479999999981</v>
      </c>
      <c r="H14" s="25"/>
      <c r="I14" s="35" t="s">
        <v>49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50</v>
      </c>
      <c r="B15" s="24">
        <f>SUM(B3:B14)</f>
        <v>1309064.6000000001</v>
      </c>
      <c r="C15" s="24">
        <f>SUM(C3:C14)</f>
        <v>-741584.12</v>
      </c>
      <c r="D15" s="24">
        <f>B15+C15</f>
        <v>567480.4800000001</v>
      </c>
      <c r="E15" s="24">
        <f>SUM(E3:E14)</f>
        <v>253122.71000000002</v>
      </c>
      <c r="F15" s="24">
        <f>SUM(F3:F14)</f>
        <v>-303646.18999999994</v>
      </c>
      <c r="G15" s="24">
        <f>E15+F15</f>
        <v>-50523.479999999923</v>
      </c>
      <c r="H15" s="38"/>
      <c r="I15" s="39"/>
      <c r="J15" s="40">
        <f>SUM(J3:J14)</f>
        <v>2306</v>
      </c>
      <c r="K15" s="41">
        <f>SUM(K4:K14)</f>
        <v>290.93462399999999</v>
      </c>
      <c r="L15" s="42">
        <f>SUM(L4:L14)</f>
        <v>945.0653759999999</v>
      </c>
      <c r="M15" s="43">
        <f>M10+M8+M6+M5+M3+M7</f>
        <v>456.22271000000001</v>
      </c>
    </row>
    <row r="16" spans="1:14">
      <c r="A16" s="44">
        <v>12</v>
      </c>
      <c r="B16" s="45">
        <f>B15/A16</f>
        <v>109088.71666666667</v>
      </c>
      <c r="C16" s="46">
        <f>C15/A16</f>
        <v>-61798.676666666666</v>
      </c>
      <c r="D16" s="46"/>
      <c r="E16" s="46">
        <f>E15/A16</f>
        <v>21093.55916666667</v>
      </c>
      <c r="F16" s="46">
        <f>F15/A16</f>
        <v>-25303.849166666663</v>
      </c>
      <c r="G16" s="46">
        <f>G15/A16</f>
        <v>-4210.2899999999936</v>
      </c>
      <c r="H16" s="47"/>
      <c r="I16" s="48"/>
      <c r="J16" s="49">
        <f>J15/12</f>
        <v>192.16666666666666</v>
      </c>
      <c r="K16" s="50">
        <f>K15/12</f>
        <v>24.244551999999999</v>
      </c>
      <c r="L16" s="51">
        <f>L15/12</f>
        <v>78.755447999999987</v>
      </c>
      <c r="M16" s="52">
        <f>M15/12</f>
        <v>38.01855916666667</v>
      </c>
      <c r="N16" s="53">
        <f>AVERAGE(N2:N15)</f>
        <v>295.44318710107689</v>
      </c>
    </row>
    <row r="17" spans="2:13">
      <c r="C17" s="2"/>
      <c r="D17" s="2"/>
      <c r="G17" s="54"/>
      <c r="H17" s="54"/>
      <c r="I17" s="26"/>
      <c r="K17" s="2" t="s">
        <v>50</v>
      </c>
      <c r="L17" s="320">
        <f>L15+M15</f>
        <v>1401.288086</v>
      </c>
      <c r="M17" s="320"/>
    </row>
    <row r="18" spans="2:13">
      <c r="D18" s="55" t="s">
        <v>51</v>
      </c>
      <c r="E18" s="2">
        <f>'01_24'!F27+'02_24'!F14+'02_24'!F25+'03_24'!F19+'04_24'!F33+'05_24'!F21+'06_24'!F22+'04_24'!F15</f>
        <v>34222.71</v>
      </c>
      <c r="J18" s="26"/>
      <c r="K18" s="2" t="s">
        <v>52</v>
      </c>
      <c r="L18" s="56"/>
      <c r="M18" s="57">
        <f>L17/12</f>
        <v>116.77400716666666</v>
      </c>
    </row>
    <row r="19" spans="2:13">
      <c r="C19" s="58"/>
      <c r="D19" s="59" t="s">
        <v>53</v>
      </c>
      <c r="E19" s="60">
        <f>'07_24'!F27+'08_24'!F23+'09_24'!F22+'10_24'!F24+'11_24'!F22+'12_24'!F29</f>
        <v>0</v>
      </c>
    </row>
    <row r="20" spans="2:13">
      <c r="D20" s="61" t="s">
        <v>54</v>
      </c>
      <c r="E20" s="62">
        <f>SUM(E18:E19)</f>
        <v>34222.71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56</v>
      </c>
      <c r="D24" s="66">
        <f>D23+B22</f>
        <v>10427.620161375</v>
      </c>
    </row>
    <row r="30" spans="2:13">
      <c r="B30" t="s">
        <v>57</v>
      </c>
    </row>
    <row r="31" spans="2:13">
      <c r="C31" t="s">
        <v>58</v>
      </c>
    </row>
    <row r="32" spans="2:13">
      <c r="C32" t="s">
        <v>59</v>
      </c>
    </row>
    <row r="34" spans="2:3">
      <c r="B34" t="s">
        <v>60</v>
      </c>
    </row>
    <row r="35" spans="2:3">
      <c r="C35" t="s">
        <v>61</v>
      </c>
    </row>
    <row r="36" spans="2:3">
      <c r="C36" t="s">
        <v>62</v>
      </c>
    </row>
    <row r="37" spans="2:3">
      <c r="B37" t="s">
        <v>63</v>
      </c>
    </row>
    <row r="38" spans="2:3">
      <c r="C38" t="s">
        <v>64</v>
      </c>
    </row>
    <row r="39" spans="2:3">
      <c r="C39" t="s">
        <v>65</v>
      </c>
    </row>
    <row r="40" spans="2:3">
      <c r="C40" t="s">
        <v>66</v>
      </c>
    </row>
    <row r="41" spans="2:3">
      <c r="C41" t="s">
        <v>67</v>
      </c>
    </row>
    <row r="42" spans="2:3">
      <c r="C42" t="s">
        <v>68</v>
      </c>
    </row>
    <row r="43" spans="2:3">
      <c r="B43" t="s">
        <v>69</v>
      </c>
    </row>
    <row r="44" spans="2:3">
      <c r="C44" t="s">
        <v>70</v>
      </c>
    </row>
    <row r="115" spans="2:7">
      <c r="B115" s="68" t="s">
        <v>71</v>
      </c>
      <c r="C115" s="69" t="s">
        <v>72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77</v>
      </c>
      <c r="E120" s="2"/>
      <c r="F120" s="62">
        <v>6267.13</v>
      </c>
    </row>
    <row r="121" spans="2:7">
      <c r="B121" s="73">
        <f t="shared" si="2"/>
        <v>45290</v>
      </c>
      <c r="C121" t="s">
        <v>78</v>
      </c>
      <c r="D121" s="2" t="s">
        <v>79</v>
      </c>
      <c r="E121" s="2"/>
      <c r="F121" s="62">
        <v>21088.49</v>
      </c>
    </row>
    <row r="122" spans="2:7">
      <c r="B122" s="73">
        <f t="shared" si="2"/>
        <v>45290</v>
      </c>
      <c r="C122" t="s">
        <v>80</v>
      </c>
      <c r="D122" s="2" t="s">
        <v>81</v>
      </c>
      <c r="E122" s="2"/>
      <c r="F122" s="62">
        <v>5587.73</v>
      </c>
    </row>
    <row r="123" spans="2:7">
      <c r="B123" s="73">
        <f t="shared" si="2"/>
        <v>45290</v>
      </c>
      <c r="C123" t="s">
        <v>82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88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89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92</v>
      </c>
      <c r="F133" s="76">
        <f>H33</f>
        <v>0</v>
      </c>
    </row>
    <row r="134" spans="2:6">
      <c r="E134" s="3"/>
    </row>
    <row r="135" spans="2:6">
      <c r="E135" s="61" t="s">
        <v>93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21</v>
      </c>
      <c r="G1" s="77" t="s">
        <v>22</v>
      </c>
      <c r="H1" s="77" t="s">
        <v>4</v>
      </c>
    </row>
    <row r="2" spans="1:15">
      <c r="A2" s="3" t="s">
        <v>94</v>
      </c>
      <c r="C2" s="79" t="s">
        <v>95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96</v>
      </c>
      <c r="E4" s="77">
        <v>-152</v>
      </c>
      <c r="H4" s="77">
        <f>H3+F4+G4</f>
        <v>0</v>
      </c>
    </row>
    <row r="5" spans="1:15">
      <c r="B5" t="s">
        <v>97</v>
      </c>
      <c r="E5" s="77">
        <v>-11030.76</v>
      </c>
    </row>
    <row r="6" spans="1:15">
      <c r="B6" s="80" t="s">
        <v>98</v>
      </c>
      <c r="C6" s="80"/>
      <c r="E6" s="77">
        <v>-400</v>
      </c>
      <c r="H6" s="77">
        <f>H4+F6+G6</f>
        <v>0</v>
      </c>
    </row>
    <row r="7" spans="1:15">
      <c r="B7" s="80" t="s">
        <v>99</v>
      </c>
      <c r="C7" s="80"/>
      <c r="E7" s="77">
        <v>-500</v>
      </c>
      <c r="H7" s="77">
        <f>H6+F7+G7</f>
        <v>0</v>
      </c>
    </row>
    <row r="8" spans="1:15">
      <c r="B8" s="80" t="s">
        <v>100</v>
      </c>
      <c r="C8" s="80" t="s">
        <v>101</v>
      </c>
      <c r="E8" s="77">
        <v>-250</v>
      </c>
      <c r="H8" s="77">
        <f>H7+F8+G8</f>
        <v>0</v>
      </c>
    </row>
    <row r="9" spans="1:15">
      <c r="B9" s="81" t="s">
        <v>102</v>
      </c>
      <c r="C9" s="80"/>
      <c r="K9" s="82"/>
    </row>
    <row r="10" spans="1:15">
      <c r="B10" s="81" t="s">
        <v>103</v>
      </c>
      <c r="C10" s="80"/>
      <c r="L10" s="82"/>
    </row>
    <row r="11" spans="1:15">
      <c r="B11" s="80" t="s">
        <v>104</v>
      </c>
      <c r="C11" s="80"/>
      <c r="K11" s="82" t="s">
        <v>105</v>
      </c>
      <c r="L11" s="78">
        <v>8</v>
      </c>
      <c r="M11" s="83">
        <v>250</v>
      </c>
      <c r="N11" s="78">
        <f>M11*L11</f>
        <v>2000</v>
      </c>
      <c r="O11" t="s">
        <v>106</v>
      </c>
    </row>
    <row r="12" spans="1:15">
      <c r="B12" s="80" t="s">
        <v>107</v>
      </c>
      <c r="C12" s="80"/>
      <c r="K12" s="82" t="s">
        <v>108</v>
      </c>
      <c r="L12" s="83">
        <v>2</v>
      </c>
      <c r="M12" s="83">
        <v>250</v>
      </c>
      <c r="N12" s="78">
        <f>M12*L12</f>
        <v>500</v>
      </c>
      <c r="O12" t="s">
        <v>106</v>
      </c>
    </row>
    <row r="13" spans="1:15">
      <c r="B13" s="80" t="s">
        <v>109</v>
      </c>
      <c r="C13" s="80"/>
      <c r="K13" s="82" t="s">
        <v>110</v>
      </c>
      <c r="L13" s="78">
        <v>11</v>
      </c>
      <c r="M13" s="78">
        <v>250</v>
      </c>
      <c r="N13" s="78">
        <f>M13*L13</f>
        <v>2750</v>
      </c>
      <c r="O13" t="s">
        <v>106</v>
      </c>
    </row>
    <row r="14" spans="1:15">
      <c r="B14" s="80"/>
      <c r="C14" s="80"/>
      <c r="H14" s="77">
        <f>H8+F14+G14</f>
        <v>0</v>
      </c>
      <c r="K14" s="82" t="s">
        <v>111</v>
      </c>
      <c r="L14" s="77">
        <v>1</v>
      </c>
      <c r="M14" s="77">
        <v>8595</v>
      </c>
      <c r="N14" s="77">
        <f>M14*L14</f>
        <v>8595</v>
      </c>
      <c r="O14" s="3" t="s">
        <v>112</v>
      </c>
    </row>
    <row r="15" spans="1:15">
      <c r="B15" s="80" t="s">
        <v>113</v>
      </c>
      <c r="C15" s="80" t="s">
        <v>114</v>
      </c>
      <c r="E15" s="77">
        <v>-150</v>
      </c>
      <c r="H15" s="77">
        <f t="shared" ref="H15:H37" si="0">H14+F15+G15</f>
        <v>0</v>
      </c>
      <c r="K15" s="82" t="s">
        <v>111</v>
      </c>
      <c r="L15" s="77">
        <v>9</v>
      </c>
      <c r="M15" s="77">
        <v>8845</v>
      </c>
      <c r="N15" s="77">
        <f>M15*L15</f>
        <v>79605</v>
      </c>
      <c r="O15" s="3" t="s">
        <v>112</v>
      </c>
    </row>
    <row r="16" spans="1:15">
      <c r="B16" s="84" t="s">
        <v>115</v>
      </c>
      <c r="C16" s="84" t="s">
        <v>114</v>
      </c>
      <c r="E16" s="77">
        <v>-300</v>
      </c>
      <c r="H16" s="77">
        <f t="shared" si="0"/>
        <v>0</v>
      </c>
      <c r="K16" s="83"/>
      <c r="L16" s="83"/>
      <c r="M16" s="85" t="s">
        <v>95</v>
      </c>
      <c r="N16" s="86">
        <f>SUM(N11:N15)</f>
        <v>93450</v>
      </c>
    </row>
    <row r="17" spans="1:13">
      <c r="B17" s="84" t="s">
        <v>116</v>
      </c>
      <c r="C17" s="84" t="s">
        <v>114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117</v>
      </c>
      <c r="E19" s="77">
        <f>E50*-1</f>
        <v>0</v>
      </c>
      <c r="H19" s="77">
        <f t="shared" si="0"/>
        <v>0</v>
      </c>
    </row>
    <row r="20" spans="1:13">
      <c r="B20" s="87" t="s">
        <v>118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119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121</v>
      </c>
      <c r="C23" s="80"/>
      <c r="E23" s="77">
        <v>-6000</v>
      </c>
      <c r="H23" s="77">
        <f t="shared" si="0"/>
        <v>0</v>
      </c>
    </row>
    <row r="24" spans="1:13">
      <c r="B24" s="80" t="s">
        <v>122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73</v>
      </c>
      <c r="H28" s="77">
        <f t="shared" si="0"/>
        <v>0</v>
      </c>
    </row>
    <row r="29" spans="1:13">
      <c r="B29" t="s">
        <v>73</v>
      </c>
      <c r="E29" s="77">
        <v>-5000</v>
      </c>
      <c r="H29" s="77">
        <f t="shared" si="0"/>
        <v>0</v>
      </c>
    </row>
    <row r="30" spans="1:13">
      <c r="B30" t="s">
        <v>74</v>
      </c>
      <c r="E30" s="77">
        <v>-5000</v>
      </c>
      <c r="H30" s="77">
        <f t="shared" si="0"/>
        <v>0</v>
      </c>
    </row>
    <row r="31" spans="1:13">
      <c r="B31" t="s">
        <v>123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124</v>
      </c>
      <c r="D33" s="77">
        <v>15000</v>
      </c>
      <c r="H33" s="77">
        <f t="shared" si="0"/>
        <v>0</v>
      </c>
    </row>
    <row r="34" spans="1:14">
      <c r="A34" s="89"/>
      <c r="B34" t="s">
        <v>125</v>
      </c>
      <c r="H34" s="77">
        <f t="shared" si="0"/>
        <v>0</v>
      </c>
    </row>
    <row r="35" spans="1:14">
      <c r="A35" s="89"/>
      <c r="B35" t="s">
        <v>126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128</v>
      </c>
    </row>
    <row r="42" spans="1:14">
      <c r="A42" s="70" t="s">
        <v>129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131</v>
      </c>
      <c r="C45" s="22"/>
    </row>
    <row r="46" spans="1:14">
      <c r="B46" t="s">
        <v>132</v>
      </c>
    </row>
    <row r="47" spans="1:14">
      <c r="B47" t="s">
        <v>133</v>
      </c>
    </row>
    <row r="48" spans="1:14">
      <c r="B48" t="s">
        <v>134</v>
      </c>
    </row>
    <row r="49" spans="1:5">
      <c r="B49" t="s">
        <v>135</v>
      </c>
    </row>
    <row r="50" spans="1:5">
      <c r="B50" t="s">
        <v>136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137</v>
      </c>
      <c r="C55" s="70"/>
      <c r="E55" s="77">
        <f>SUM(E56:E67)</f>
        <v>-2143.06</v>
      </c>
    </row>
    <row r="57" spans="1:5">
      <c r="A57" s="96">
        <v>45373</v>
      </c>
      <c r="B57" t="s">
        <v>138</v>
      </c>
      <c r="C57">
        <v>10176.39</v>
      </c>
      <c r="D57" s="77" t="s">
        <v>139</v>
      </c>
      <c r="E57" s="77">
        <v>-1130.71</v>
      </c>
    </row>
    <row r="58" spans="1:5">
      <c r="A58" s="96">
        <v>45375</v>
      </c>
      <c r="B58" t="s">
        <v>140</v>
      </c>
      <c r="C58">
        <v>5999</v>
      </c>
      <c r="D58" s="77" t="s">
        <v>139</v>
      </c>
      <c r="E58" s="77">
        <v>-666.55</v>
      </c>
    </row>
    <row r="59" spans="1:5">
      <c r="A59" s="96">
        <v>45377</v>
      </c>
      <c r="B59" t="s">
        <v>141</v>
      </c>
      <c r="D59" s="77" t="s">
        <v>142</v>
      </c>
      <c r="E59" s="77">
        <v>-172.9</v>
      </c>
    </row>
    <row r="60" spans="1:5">
      <c r="A60" s="96">
        <v>45377</v>
      </c>
      <c r="B60" t="s">
        <v>141</v>
      </c>
      <c r="D60" s="77" t="s">
        <v>143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145</v>
      </c>
      <c r="C110" s="70"/>
      <c r="E110" s="77">
        <f>SUM(E111:E118)</f>
        <v>0</v>
      </c>
    </row>
    <row r="111" spans="1:5">
      <c r="A111" s="89"/>
      <c r="B111" t="s">
        <v>73</v>
      </c>
    </row>
    <row r="112" spans="1:5">
      <c r="A112" s="89"/>
      <c r="B112" t="s">
        <v>74</v>
      </c>
    </row>
    <row r="113" spans="1:5">
      <c r="A113" s="89"/>
      <c r="B113" t="s">
        <v>75</v>
      </c>
    </row>
    <row r="114" spans="1:5">
      <c r="A114" s="89"/>
      <c r="B114" t="s">
        <v>76</v>
      </c>
    </row>
    <row r="115" spans="1:5">
      <c r="A115" s="89"/>
      <c r="B115" t="s">
        <v>146</v>
      </c>
      <c r="D115" s="77">
        <v>111</v>
      </c>
      <c r="E115" s="77">
        <f>D115*C115</f>
        <v>0</v>
      </c>
    </row>
    <row r="116" spans="1:5">
      <c r="A116" s="89"/>
      <c r="B116" t="s">
        <v>147</v>
      </c>
      <c r="D116" s="77">
        <v>850</v>
      </c>
      <c r="E116" s="77">
        <f>D116*C116</f>
        <v>0</v>
      </c>
    </row>
    <row r="117" spans="1:5">
      <c r="A117" s="89"/>
      <c r="B117" t="s">
        <v>148</v>
      </c>
      <c r="D117" s="77">
        <v>100</v>
      </c>
      <c r="E117" s="77">
        <f>D117*C117</f>
        <v>0</v>
      </c>
    </row>
    <row r="118" spans="1:5">
      <c r="A118" s="89"/>
      <c r="B118" t="s">
        <v>149</v>
      </c>
    </row>
    <row r="119" spans="1:5">
      <c r="B119" t="s">
        <v>150</v>
      </c>
      <c r="E119" s="77">
        <f>H2</f>
        <v>0</v>
      </c>
    </row>
    <row r="121" spans="1:5">
      <c r="D121" s="77" t="s">
        <v>93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151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154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142</v>
      </c>
      <c r="E53" s="77">
        <v>-666.55</v>
      </c>
    </row>
    <row r="54" spans="1:5">
      <c r="A54" s="96">
        <v>45377</v>
      </c>
      <c r="B54" t="s">
        <v>141</v>
      </c>
      <c r="D54" s="77" t="s">
        <v>155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156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E23" s="77">
        <v>-5000</v>
      </c>
      <c r="H23" s="77">
        <f t="shared" si="0"/>
        <v>0</v>
      </c>
    </row>
    <row r="24" spans="1:8">
      <c r="B24" t="s">
        <v>157</v>
      </c>
      <c r="E24" s="77">
        <v>-100000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160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160</v>
      </c>
      <c r="E53" s="77">
        <v>-666.55</v>
      </c>
    </row>
    <row r="54" spans="1:5">
      <c r="A54" s="96">
        <v>45377</v>
      </c>
      <c r="B54" t="s">
        <v>141</v>
      </c>
      <c r="D54" s="77" t="s">
        <v>161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166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161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161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166</v>
      </c>
      <c r="E55" s="77">
        <v>-378.87</v>
      </c>
    </row>
    <row r="56" spans="1:5">
      <c r="A56" s="96">
        <v>45371</v>
      </c>
      <c r="B56" t="s">
        <v>168</v>
      </c>
      <c r="D56" s="77" t="s">
        <v>166</v>
      </c>
      <c r="E56" s="77">
        <v>101.77</v>
      </c>
    </row>
    <row r="57" spans="1:5">
      <c r="A57" s="96">
        <v>45377</v>
      </c>
      <c r="B57" t="s">
        <v>141</v>
      </c>
      <c r="D57" s="77" t="s">
        <v>169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171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173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174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174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173</v>
      </c>
      <c r="E55" s="77">
        <v>-378.87</v>
      </c>
    </row>
    <row r="56" spans="1:5">
      <c r="A56" s="96">
        <v>45371</v>
      </c>
      <c r="B56" t="s">
        <v>168</v>
      </c>
      <c r="D56" s="77" t="s">
        <v>173</v>
      </c>
      <c r="E56" s="77">
        <v>101.77</v>
      </c>
    </row>
    <row r="57" spans="1:5">
      <c r="A57" s="96">
        <v>45377</v>
      </c>
      <c r="B57" t="s">
        <v>141</v>
      </c>
      <c r="D57" s="77" t="s">
        <v>175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176</v>
      </c>
      <c r="C67" s="84"/>
      <c r="D67" s="77" t="s">
        <v>177</v>
      </c>
      <c r="E67" s="77">
        <v>-649.78</v>
      </c>
    </row>
    <row r="68" spans="1:5">
      <c r="A68" s="89"/>
      <c r="B68" s="3" t="s">
        <v>178</v>
      </c>
      <c r="C68" s="84"/>
      <c r="D68" s="77" t="s">
        <v>177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168</v>
      </c>
      <c r="D56" s="77" t="s">
        <v>184</v>
      </c>
      <c r="E56" s="77">
        <v>101.77</v>
      </c>
    </row>
    <row r="57" spans="1:5">
      <c r="A57" s="96">
        <v>45377</v>
      </c>
      <c r="B57" t="s">
        <v>141</v>
      </c>
      <c r="D57" s="77" t="s">
        <v>185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187</v>
      </c>
      <c r="E67" s="77">
        <v>-3551.66</v>
      </c>
    </row>
    <row r="68" spans="1:5">
      <c r="A68" s="89"/>
      <c r="B68" s="3" t="s">
        <v>176</v>
      </c>
      <c r="C68" s="84"/>
      <c r="D68" s="77" t="s">
        <v>188</v>
      </c>
      <c r="E68" s="77">
        <v>-649.78</v>
      </c>
    </row>
    <row r="69" spans="1:5">
      <c r="A69" s="89"/>
      <c r="B69" s="3" t="s">
        <v>178</v>
      </c>
      <c r="C69" s="84"/>
      <c r="D69" s="77" t="s">
        <v>188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-1805.86</v>
      </c>
    </row>
    <row r="116" spans="1:5">
      <c r="D116" s="77" t="s">
        <v>93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189</v>
      </c>
      <c r="C2" s="79" t="s">
        <v>95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192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10000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193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194</v>
      </c>
      <c r="C53" s="84">
        <v>7648.33</v>
      </c>
      <c r="D53" s="77" t="s">
        <v>143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195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185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196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195</v>
      </c>
      <c r="E57" s="77">
        <v>-378.87</v>
      </c>
    </row>
    <row r="58" spans="1:5">
      <c r="A58" s="96">
        <v>45371</v>
      </c>
      <c r="B58" t="s">
        <v>168</v>
      </c>
      <c r="D58" s="77" t="s">
        <v>197</v>
      </c>
      <c r="E58" s="77">
        <v>101.77</v>
      </c>
    </row>
    <row r="59" spans="1:5">
      <c r="A59" s="96">
        <v>45377</v>
      </c>
      <c r="B59" t="s">
        <v>141</v>
      </c>
      <c r="D59" s="77" t="s">
        <v>198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199</v>
      </c>
      <c r="E67" s="77">
        <v>-3551.66</v>
      </c>
    </row>
    <row r="68" spans="1:5">
      <c r="A68" s="89"/>
      <c r="B68" s="3" t="s">
        <v>176</v>
      </c>
      <c r="C68" s="84"/>
      <c r="D68" s="77" t="s">
        <v>200</v>
      </c>
      <c r="E68" s="77">
        <v>-649.78</v>
      </c>
    </row>
    <row r="69" spans="1:5">
      <c r="A69" s="89"/>
      <c r="B69" s="3" t="s">
        <v>178</v>
      </c>
      <c r="C69" s="84"/>
      <c r="D69" s="77" t="s">
        <v>200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zoomScale="130" zoomScaleNormal="130" workbookViewId="0">
      <selection activeCell="F12" sqref="F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201</v>
      </c>
      <c r="C2" s="79" t="s">
        <v>95</v>
      </c>
      <c r="D2" s="77">
        <f>SUM(D5:D35)</f>
        <v>25000</v>
      </c>
      <c r="E2" s="77">
        <f>SUM(E5:E35)</f>
        <v>-43188.36</v>
      </c>
      <c r="F2" s="77">
        <f>SUM(F5:F35)</f>
        <v>0</v>
      </c>
      <c r="G2" s="77">
        <f>SUM(G5:G35)</f>
        <v>0</v>
      </c>
      <c r="H2" s="77">
        <f>F2+G2</f>
        <v>0</v>
      </c>
    </row>
    <row r="3" spans="1:8">
      <c r="B3" s="61"/>
    </row>
    <row r="4" spans="1:8">
      <c r="B4" s="80" t="s">
        <v>202</v>
      </c>
      <c r="C4" s="80" t="s">
        <v>101</v>
      </c>
      <c r="E4" s="77">
        <v>-250</v>
      </c>
      <c r="H4" s="77">
        <f t="shared" ref="H4:H33" si="0">H3+F4+G4</f>
        <v>0</v>
      </c>
    </row>
    <row r="5" spans="1:8">
      <c r="B5" s="32" t="s">
        <v>96</v>
      </c>
      <c r="E5" s="77">
        <v>-152</v>
      </c>
      <c r="H5" s="77">
        <f t="shared" si="0"/>
        <v>0</v>
      </c>
    </row>
    <row r="6" spans="1:8">
      <c r="B6" t="s">
        <v>97</v>
      </c>
      <c r="E6" s="77">
        <v>-10000</v>
      </c>
      <c r="H6" s="77">
        <f t="shared" si="0"/>
        <v>0</v>
      </c>
    </row>
    <row r="7" spans="1:8">
      <c r="B7" s="80" t="s">
        <v>98</v>
      </c>
      <c r="C7" s="80"/>
      <c r="E7" s="77">
        <v>-400</v>
      </c>
      <c r="H7" s="77">
        <f t="shared" si="0"/>
        <v>0</v>
      </c>
    </row>
    <row r="8" spans="1:8">
      <c r="B8" s="80" t="s">
        <v>99</v>
      </c>
      <c r="C8" s="80"/>
      <c r="E8" s="77">
        <v>-500</v>
      </c>
      <c r="H8" s="77">
        <f t="shared" si="0"/>
        <v>0</v>
      </c>
    </row>
    <row r="9" spans="1:8">
      <c r="A9" s="96">
        <v>45414</v>
      </c>
      <c r="B9" s="3" t="s">
        <v>203</v>
      </c>
      <c r="D9" s="77" t="s">
        <v>204</v>
      </c>
      <c r="E9" s="77">
        <v>-103.5</v>
      </c>
      <c r="H9" s="77">
        <f t="shared" si="0"/>
        <v>0</v>
      </c>
    </row>
    <row r="10" spans="1:8">
      <c r="B10" s="80"/>
      <c r="C10" s="80"/>
      <c r="H10" s="77">
        <f t="shared" si="0"/>
        <v>0</v>
      </c>
    </row>
    <row r="11" spans="1:8">
      <c r="B11" s="80" t="s">
        <v>113</v>
      </c>
      <c r="C11" s="80" t="s">
        <v>114</v>
      </c>
      <c r="E11" s="77">
        <v>-150</v>
      </c>
      <c r="H11" s="77">
        <f t="shared" si="0"/>
        <v>0</v>
      </c>
    </row>
    <row r="12" spans="1:8">
      <c r="B12" s="84" t="s">
        <v>115</v>
      </c>
      <c r="C12" s="84" t="s">
        <v>114</v>
      </c>
      <c r="E12" s="77">
        <v>-300</v>
      </c>
      <c r="H12" s="77">
        <f t="shared" si="0"/>
        <v>0</v>
      </c>
    </row>
    <row r="13" spans="1:8">
      <c r="B13" s="84" t="s">
        <v>116</v>
      </c>
      <c r="C13" s="84" t="s">
        <v>114</v>
      </c>
      <c r="E13" s="77">
        <v>-100</v>
      </c>
      <c r="H13" s="77">
        <f t="shared" si="0"/>
        <v>0</v>
      </c>
    </row>
    <row r="14" spans="1:8">
      <c r="B14" s="80"/>
      <c r="C14" s="80"/>
      <c r="H14" s="77">
        <f t="shared" si="0"/>
        <v>0</v>
      </c>
    </row>
    <row r="15" spans="1:8">
      <c r="B15" s="87" t="s">
        <v>117</v>
      </c>
      <c r="E15" s="77">
        <f>E46*-1</f>
        <v>0</v>
      </c>
      <c r="H15" s="77">
        <f t="shared" si="0"/>
        <v>0</v>
      </c>
    </row>
    <row r="16" spans="1:8">
      <c r="B16" s="87" t="s">
        <v>118</v>
      </c>
      <c r="E16" s="77">
        <f>E51</f>
        <v>-3331.3999999999996</v>
      </c>
      <c r="H16" s="77">
        <f t="shared" si="0"/>
        <v>0</v>
      </c>
    </row>
    <row r="17" spans="1:8">
      <c r="A17" s="88">
        <v>45173</v>
      </c>
      <c r="B17" s="87" t="s">
        <v>119</v>
      </c>
      <c r="E17" s="77">
        <f>E66</f>
        <v>-4151.46</v>
      </c>
      <c r="H17" s="77">
        <f t="shared" si="0"/>
        <v>0</v>
      </c>
    </row>
    <row r="18" spans="1:8">
      <c r="A18" s="89">
        <v>45173</v>
      </c>
      <c r="B18" s="80" t="s">
        <v>205</v>
      </c>
      <c r="C18" s="80"/>
      <c r="E18" s="77">
        <v>-5375</v>
      </c>
      <c r="H18" s="77">
        <f t="shared" si="0"/>
        <v>0</v>
      </c>
    </row>
    <row r="19" spans="1:8">
      <c r="A19" s="89"/>
      <c r="B19" s="80" t="s">
        <v>205</v>
      </c>
      <c r="C19" s="80"/>
      <c r="E19" s="77">
        <v>-2125</v>
      </c>
      <c r="H19" s="77">
        <f t="shared" si="0"/>
        <v>0</v>
      </c>
    </row>
    <row r="20" spans="1:8">
      <c r="B20" s="80" t="s">
        <v>206</v>
      </c>
      <c r="C20" s="80"/>
      <c r="E20" s="77">
        <v>-1500</v>
      </c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H23" s="77">
        <f t="shared" si="0"/>
        <v>0</v>
      </c>
    </row>
    <row r="24" spans="1:8">
      <c r="B24" t="s">
        <v>73</v>
      </c>
      <c r="H24" s="77">
        <f t="shared" si="0"/>
        <v>0</v>
      </c>
    </row>
    <row r="25" spans="1:8">
      <c r="B25" t="s">
        <v>73</v>
      </c>
      <c r="E25" s="77">
        <v>-5000</v>
      </c>
      <c r="H25" s="77">
        <f t="shared" si="0"/>
        <v>0</v>
      </c>
    </row>
    <row r="26" spans="1:8">
      <c r="B26" t="s">
        <v>74</v>
      </c>
      <c r="E26" s="77">
        <v>-5000</v>
      </c>
      <c r="H26" s="77">
        <f t="shared" si="0"/>
        <v>0</v>
      </c>
    </row>
    <row r="27" spans="1:8">
      <c r="B27" t="s">
        <v>123</v>
      </c>
      <c r="E27" s="77">
        <v>-5000</v>
      </c>
      <c r="H27" s="77">
        <f t="shared" si="0"/>
        <v>0</v>
      </c>
    </row>
    <row r="28" spans="1:8">
      <c r="H28" s="77">
        <f t="shared" si="0"/>
        <v>0</v>
      </c>
    </row>
    <row r="29" spans="1:8">
      <c r="B29" t="s">
        <v>124</v>
      </c>
      <c r="D29" s="77">
        <v>10000</v>
      </c>
      <c r="H29" s="77">
        <f t="shared" si="0"/>
        <v>0</v>
      </c>
    </row>
    <row r="30" spans="1:8">
      <c r="A30" s="89"/>
      <c r="B30" t="s">
        <v>125</v>
      </c>
      <c r="H30" s="77">
        <f t="shared" si="0"/>
        <v>0</v>
      </c>
    </row>
    <row r="31" spans="1:8">
      <c r="A31" s="89"/>
      <c r="B31" t="s">
        <v>207</v>
      </c>
      <c r="D31" s="77">
        <v>15000</v>
      </c>
      <c r="H31" s="77">
        <f t="shared" si="0"/>
        <v>0</v>
      </c>
    </row>
    <row r="32" spans="1:8">
      <c r="A32" s="89"/>
      <c r="H32" s="77">
        <f t="shared" si="0"/>
        <v>0</v>
      </c>
    </row>
    <row r="33" spans="1:8">
      <c r="H33" s="77">
        <f t="shared" si="0"/>
        <v>0</v>
      </c>
    </row>
    <row r="35" spans="1:8" ht="15.75">
      <c r="B35" s="91"/>
    </row>
    <row r="37" spans="1:8">
      <c r="B37" t="s">
        <v>128</v>
      </c>
    </row>
    <row r="38" spans="1:8">
      <c r="A38" s="70" t="s">
        <v>129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130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131</v>
      </c>
      <c r="C41" s="22"/>
    </row>
    <row r="42" spans="1:8">
      <c r="B42" t="s">
        <v>132</v>
      </c>
    </row>
    <row r="43" spans="1:8">
      <c r="B43" t="s">
        <v>133</v>
      </c>
    </row>
    <row r="44" spans="1:8">
      <c r="B44" t="s">
        <v>134</v>
      </c>
    </row>
    <row r="45" spans="1:8">
      <c r="B45" t="s">
        <v>135</v>
      </c>
    </row>
    <row r="46" spans="1:8">
      <c r="B46" t="s">
        <v>136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137</v>
      </c>
      <c r="C51" s="70"/>
      <c r="E51" s="77">
        <f>SUM(E52:E63)</f>
        <v>-3331.3999999999996</v>
      </c>
    </row>
    <row r="53" spans="1:5">
      <c r="A53" s="89">
        <v>45187</v>
      </c>
      <c r="B53" s="84" t="s">
        <v>194</v>
      </c>
      <c r="C53" s="84">
        <v>7648.33</v>
      </c>
      <c r="D53" s="77" t="s">
        <v>142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208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209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198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208</v>
      </c>
      <c r="E57" s="77">
        <v>-378.87</v>
      </c>
    </row>
    <row r="58" spans="1:5">
      <c r="A58" s="96">
        <v>45371</v>
      </c>
      <c r="B58" t="s">
        <v>168</v>
      </c>
      <c r="D58" s="77" t="s">
        <v>210</v>
      </c>
      <c r="E58" s="77">
        <v>101.77</v>
      </c>
    </row>
    <row r="59" spans="1:5">
      <c r="A59" s="96">
        <v>45377</v>
      </c>
      <c r="B59" t="s">
        <v>141</v>
      </c>
      <c r="D59" s="77" t="s">
        <v>211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  <c r="C61" s="84"/>
    </row>
    <row r="62" spans="1:5">
      <c r="A62" s="89"/>
      <c r="B62" s="97"/>
    </row>
    <row r="63" spans="1:5">
      <c r="A63" s="89"/>
      <c r="B63" s="97"/>
      <c r="C63" s="84"/>
    </row>
    <row r="64" spans="1:5">
      <c r="A64" s="89"/>
      <c r="B64" s="3"/>
    </row>
    <row r="65" spans="1:5">
      <c r="A65" s="89"/>
      <c r="B65" s="84"/>
      <c r="C65" s="84"/>
    </row>
    <row r="66" spans="1:5">
      <c r="A66" s="70"/>
      <c r="B66" s="69" t="s">
        <v>144</v>
      </c>
      <c r="C66" s="70"/>
      <c r="E66" s="77">
        <f>SUM(E67:E75)</f>
        <v>-4151.46</v>
      </c>
    </row>
    <row r="67" spans="1:5">
      <c r="A67" s="89"/>
      <c r="B67" s="84"/>
      <c r="C67" s="84"/>
    </row>
    <row r="68" spans="1:5">
      <c r="A68" s="88">
        <v>45285</v>
      </c>
      <c r="B68" s="84" t="s">
        <v>186</v>
      </c>
      <c r="C68" s="84"/>
      <c r="D68" s="77" t="s">
        <v>212</v>
      </c>
      <c r="E68" s="77">
        <v>-3551.66</v>
      </c>
    </row>
    <row r="69" spans="1:5">
      <c r="A69" s="89"/>
      <c r="B69" s="3" t="s">
        <v>176</v>
      </c>
      <c r="C69" s="84"/>
      <c r="D69" s="77" t="s">
        <v>213</v>
      </c>
      <c r="E69" s="77">
        <v>-649.78</v>
      </c>
    </row>
    <row r="70" spans="1:5">
      <c r="A70" s="89"/>
      <c r="B70" s="3" t="s">
        <v>178</v>
      </c>
      <c r="C70" s="84"/>
      <c r="D70" s="77" t="s">
        <v>213</v>
      </c>
      <c r="E70" s="77">
        <v>49.98</v>
      </c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106" spans="1:5">
      <c r="A106" s="70"/>
      <c r="B106" s="69" t="s">
        <v>145</v>
      </c>
      <c r="C106" s="70"/>
      <c r="E106" s="77">
        <f>SUM(E107:E114)</f>
        <v>0</v>
      </c>
    </row>
    <row r="107" spans="1:5">
      <c r="A107" s="89"/>
      <c r="B107" t="s">
        <v>73</v>
      </c>
    </row>
    <row r="108" spans="1:5">
      <c r="A108" s="89"/>
      <c r="B108" t="s">
        <v>74</v>
      </c>
    </row>
    <row r="109" spans="1:5">
      <c r="A109" s="89"/>
      <c r="B109" t="s">
        <v>75</v>
      </c>
    </row>
    <row r="110" spans="1:5">
      <c r="A110" s="89"/>
      <c r="B110" t="s">
        <v>76</v>
      </c>
    </row>
    <row r="111" spans="1:5">
      <c r="A111" s="89"/>
      <c r="B111" t="s">
        <v>146</v>
      </c>
      <c r="D111" s="77">
        <v>111</v>
      </c>
      <c r="E111" s="77">
        <f>D111*C111</f>
        <v>0</v>
      </c>
    </row>
    <row r="112" spans="1:5">
      <c r="A112" s="89"/>
      <c r="B112" t="s">
        <v>147</v>
      </c>
      <c r="D112" s="77">
        <v>850</v>
      </c>
      <c r="E112" s="77">
        <f>D112*C112</f>
        <v>0</v>
      </c>
    </row>
    <row r="113" spans="1:5">
      <c r="A113" s="89"/>
      <c r="B113" t="s">
        <v>148</v>
      </c>
      <c r="D113" s="77">
        <v>100</v>
      </c>
      <c r="E113" s="77">
        <f>D113*C113</f>
        <v>0</v>
      </c>
    </row>
    <row r="114" spans="1:5">
      <c r="A114" s="89"/>
      <c r="B114" t="s">
        <v>149</v>
      </c>
    </row>
    <row r="115" spans="1:5">
      <c r="B115" t="s">
        <v>150</v>
      </c>
      <c r="E115" s="77">
        <f>H2</f>
        <v>0</v>
      </c>
    </row>
    <row r="117" spans="1:5">
      <c r="D117" s="77" t="s">
        <v>93</v>
      </c>
      <c r="E117" s="77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39"/>
  <sheetViews>
    <sheetView tabSelected="1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214</v>
      </c>
      <c r="C2" s="79" t="s">
        <v>95</v>
      </c>
      <c r="D2" s="77">
        <f>SUM(D5:D38)</f>
        <v>48500</v>
      </c>
      <c r="E2" s="77">
        <f>SUM(E5:E38)</f>
        <v>-51710.3</v>
      </c>
      <c r="F2" s="77">
        <f>SUM(F5:F38)</f>
        <v>18000</v>
      </c>
      <c r="G2" s="77">
        <f>SUM(G5:G38)</f>
        <v>-49484.22</v>
      </c>
      <c r="H2" s="77">
        <f>F2+G2</f>
        <v>-31484.22</v>
      </c>
    </row>
    <row r="3" spans="1:8">
      <c r="B3" s="61"/>
    </row>
    <row r="5" spans="1:8">
      <c r="A5" s="96">
        <v>45339</v>
      </c>
      <c r="B5" s="80" t="s">
        <v>215</v>
      </c>
      <c r="C5" s="80" t="s">
        <v>101</v>
      </c>
      <c r="E5" s="92">
        <v>-250</v>
      </c>
      <c r="F5" s="92"/>
      <c r="G5" s="92"/>
      <c r="H5" s="92">
        <f t="shared" ref="H5:H38" si="0">H4+F5+G5</f>
        <v>0</v>
      </c>
    </row>
    <row r="6" spans="1:8">
      <c r="A6" s="96">
        <v>45377</v>
      </c>
      <c r="B6" s="32" t="s">
        <v>96</v>
      </c>
      <c r="C6" t="s">
        <v>216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217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218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181</v>
      </c>
      <c r="C9" s="22"/>
      <c r="D9" s="98"/>
      <c r="E9" s="92">
        <v>-2273.0700000000002</v>
      </c>
      <c r="F9" s="99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203</v>
      </c>
      <c r="C10" s="22"/>
      <c r="D10" s="22" t="s">
        <v>219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0">
        <v>45385</v>
      </c>
      <c r="B11" s="80" t="s">
        <v>113</v>
      </c>
      <c r="C11" s="80" t="s">
        <v>114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1" t="s">
        <v>119</v>
      </c>
      <c r="C12" s="22"/>
      <c r="D12" s="92"/>
      <c r="E12" s="92">
        <f>E90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1" t="s">
        <v>118</v>
      </c>
      <c r="C13" s="22"/>
      <c r="D13" s="92"/>
      <c r="E13" s="92">
        <f>E58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220</v>
      </c>
      <c r="C14" s="22"/>
      <c r="D14" s="98">
        <v>15000</v>
      </c>
      <c r="F14" s="92">
        <v>15000</v>
      </c>
      <c r="H14" s="92">
        <f t="shared" si="0"/>
        <v>-12414.329999999998</v>
      </c>
    </row>
    <row r="15" spans="1:8">
      <c r="A15" s="102">
        <v>45387</v>
      </c>
      <c r="B15" s="101" t="s">
        <v>221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97</v>
      </c>
      <c r="C18" s="108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0">
        <v>45397</v>
      </c>
      <c r="B19" s="101" t="s">
        <v>117</v>
      </c>
      <c r="C19" s="108"/>
      <c r="D19" s="92"/>
      <c r="E19" s="92">
        <f>E53*-1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318">
        <v>45397</v>
      </c>
      <c r="B20" s="80" t="s">
        <v>646</v>
      </c>
      <c r="C20" s="108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103">
        <v>45398</v>
      </c>
      <c r="B21" s="84" t="s">
        <v>115</v>
      </c>
      <c r="C21" s="84" t="s">
        <v>223</v>
      </c>
      <c r="D21" s="92"/>
      <c r="E21" s="92">
        <v>-300</v>
      </c>
      <c r="F21" s="92"/>
      <c r="G21" s="92">
        <v>-636</v>
      </c>
      <c r="H21" s="92">
        <f t="shared" si="0"/>
        <v>-27892.05</v>
      </c>
    </row>
    <row r="22" spans="1:8">
      <c r="A22" s="103">
        <v>45398</v>
      </c>
      <c r="B22" s="84" t="s">
        <v>116</v>
      </c>
      <c r="C22" s="84" t="s">
        <v>114</v>
      </c>
      <c r="D22" s="92"/>
      <c r="E22" s="92">
        <v>-100</v>
      </c>
      <c r="F22" s="92"/>
      <c r="G22" s="92">
        <v>0</v>
      </c>
      <c r="H22" s="92">
        <f t="shared" si="0"/>
        <v>-27892.05</v>
      </c>
    </row>
    <row r="23" spans="1:8">
      <c r="A23" s="318">
        <v>45401</v>
      </c>
      <c r="B23" t="s">
        <v>1188</v>
      </c>
      <c r="C23" s="108"/>
      <c r="D23" s="92"/>
      <c r="E23" s="92"/>
      <c r="F23" s="92"/>
      <c r="G23" s="92">
        <v>-3592.17</v>
      </c>
      <c r="H23" s="92">
        <f t="shared" si="0"/>
        <v>-31484.22</v>
      </c>
    </row>
    <row r="24" spans="1:8">
      <c r="A24" s="318"/>
      <c r="C24" s="108"/>
      <c r="D24" s="92"/>
      <c r="E24" s="92"/>
      <c r="F24" s="92"/>
      <c r="G24" s="92"/>
      <c r="H24" s="92">
        <f t="shared" si="0"/>
        <v>-31484.22</v>
      </c>
    </row>
    <row r="25" spans="1:8">
      <c r="A25" s="318"/>
      <c r="H25" s="92">
        <f t="shared" si="0"/>
        <v>-31484.22</v>
      </c>
    </row>
    <row r="26" spans="1:8">
      <c r="B26" s="80" t="s">
        <v>98</v>
      </c>
      <c r="C26" s="80"/>
      <c r="E26" s="77">
        <v>-400</v>
      </c>
      <c r="F26" s="54"/>
      <c r="H26" s="92">
        <f t="shared" si="0"/>
        <v>-31484.22</v>
      </c>
    </row>
    <row r="27" spans="1:8">
      <c r="B27" s="80" t="s">
        <v>99</v>
      </c>
      <c r="C27" s="80"/>
      <c r="E27" s="77">
        <v>-500</v>
      </c>
      <c r="H27" s="92">
        <f t="shared" si="0"/>
        <v>-31484.22</v>
      </c>
    </row>
    <row r="28" spans="1:8">
      <c r="H28" s="92">
        <f t="shared" si="0"/>
        <v>-31484.22</v>
      </c>
    </row>
    <row r="29" spans="1:8">
      <c r="B29" t="s">
        <v>73</v>
      </c>
      <c r="H29" s="92">
        <f t="shared" si="0"/>
        <v>-31484.22</v>
      </c>
    </row>
    <row r="30" spans="1:8">
      <c r="B30" t="s">
        <v>73</v>
      </c>
      <c r="E30" s="77">
        <v>-5000</v>
      </c>
      <c r="H30" s="92">
        <f t="shared" si="0"/>
        <v>-31484.22</v>
      </c>
    </row>
    <row r="31" spans="1:8">
      <c r="B31" t="s">
        <v>74</v>
      </c>
      <c r="E31" s="77">
        <v>-5000</v>
      </c>
      <c r="H31" s="92">
        <f t="shared" si="0"/>
        <v>-31484.22</v>
      </c>
    </row>
    <row r="32" spans="1:8">
      <c r="B32" t="s">
        <v>123</v>
      </c>
      <c r="E32" s="77">
        <v>-5000</v>
      </c>
      <c r="H32" s="92">
        <f t="shared" si="0"/>
        <v>-31484.22</v>
      </c>
    </row>
    <row r="33" spans="1:8">
      <c r="B33" t="s">
        <v>124</v>
      </c>
      <c r="D33" s="77">
        <v>10000</v>
      </c>
      <c r="H33" s="92">
        <f t="shared" si="0"/>
        <v>-31484.22</v>
      </c>
    </row>
    <row r="34" spans="1:8">
      <c r="A34" s="89"/>
      <c r="B34" t="s">
        <v>224</v>
      </c>
      <c r="D34" s="77">
        <v>15000</v>
      </c>
      <c r="H34" s="92">
        <f t="shared" si="0"/>
        <v>-31484.22</v>
      </c>
    </row>
    <row r="35" spans="1:8">
      <c r="A35" s="89"/>
      <c r="H35" s="92">
        <f t="shared" si="0"/>
        <v>-31484.22</v>
      </c>
    </row>
    <row r="36" spans="1:8">
      <c r="H36" s="92">
        <f t="shared" si="0"/>
        <v>-31484.22</v>
      </c>
    </row>
    <row r="37" spans="1:8">
      <c r="A37" s="96">
        <v>45351</v>
      </c>
      <c r="B37" s="104" t="s">
        <v>225</v>
      </c>
      <c r="C37" s="104"/>
      <c r="D37" s="105">
        <v>8500</v>
      </c>
      <c r="H37" s="77">
        <f t="shared" si="0"/>
        <v>-31484.22</v>
      </c>
    </row>
    <row r="38" spans="1:8">
      <c r="A38" s="96">
        <v>45322</v>
      </c>
      <c r="B38" s="106" t="s">
        <v>226</v>
      </c>
      <c r="C38" s="107">
        <v>7000</v>
      </c>
      <c r="D38" s="107"/>
      <c r="H38" s="77">
        <f t="shared" si="0"/>
        <v>-31484.22</v>
      </c>
    </row>
    <row r="39" spans="1:8">
      <c r="A39" s="96"/>
      <c r="B39" s="108"/>
      <c r="C39" s="109"/>
      <c r="D39" s="109"/>
    </row>
    <row r="40" spans="1:8">
      <c r="A40" s="96"/>
      <c r="B40" s="108"/>
      <c r="C40" s="109"/>
      <c r="D40" s="109"/>
    </row>
    <row r="41" spans="1:8">
      <c r="A41" s="96"/>
      <c r="B41" s="108"/>
      <c r="C41" s="109"/>
      <c r="D41" s="109"/>
    </row>
    <row r="42" spans="1:8">
      <c r="A42" s="96"/>
      <c r="B42" s="108"/>
      <c r="C42" s="109"/>
      <c r="D42" s="109"/>
    </row>
    <row r="44" spans="1:8">
      <c r="B44" t="s">
        <v>128</v>
      </c>
    </row>
    <row r="45" spans="1:8">
      <c r="A45" s="70" t="s">
        <v>129</v>
      </c>
      <c r="B45" s="70"/>
      <c r="C45" s="70"/>
    </row>
    <row r="46" spans="1:8" s="22" customFormat="1">
      <c r="A46" s="89"/>
      <c r="C46" s="90"/>
      <c r="D46" s="77"/>
      <c r="E46" s="77"/>
      <c r="F46" s="77"/>
      <c r="G46" s="77"/>
      <c r="H46" s="77"/>
    </row>
    <row r="47" spans="1:8">
      <c r="A47" s="93">
        <v>44929</v>
      </c>
      <c r="B47" s="94" t="s">
        <v>130</v>
      </c>
      <c r="C47" s="70"/>
      <c r="D47" s="77">
        <f>SUM(D48:D53)</f>
        <v>4514.12</v>
      </c>
      <c r="E47" s="77">
        <f>SUM(E48:E53)</f>
        <v>4437.22</v>
      </c>
    </row>
    <row r="48" spans="1:8">
      <c r="A48" s="89"/>
      <c r="B48" s="84" t="s">
        <v>131</v>
      </c>
      <c r="C48" s="22"/>
      <c r="D48" s="77">
        <v>874.44</v>
      </c>
      <c r="E48" s="77">
        <v>800</v>
      </c>
    </row>
    <row r="49" spans="1:5">
      <c r="B49" t="s">
        <v>132</v>
      </c>
      <c r="D49" s="77">
        <v>1078.92</v>
      </c>
      <c r="E49" s="77">
        <v>1079</v>
      </c>
    </row>
    <row r="50" spans="1:5">
      <c r="B50" t="s">
        <v>133</v>
      </c>
      <c r="D50" s="77">
        <v>173.45</v>
      </c>
      <c r="E50" s="77">
        <v>172.5</v>
      </c>
    </row>
    <row r="51" spans="1:5">
      <c r="B51" t="s">
        <v>134</v>
      </c>
      <c r="C51" t="s">
        <v>1187</v>
      </c>
      <c r="D51" s="77">
        <v>1774</v>
      </c>
      <c r="E51" s="77">
        <v>1774</v>
      </c>
    </row>
    <row r="52" spans="1:5">
      <c r="B52" t="s">
        <v>135</v>
      </c>
      <c r="D52" s="77">
        <v>326.58999999999997</v>
      </c>
      <c r="E52" s="77">
        <v>325</v>
      </c>
    </row>
    <row r="53" spans="1:5">
      <c r="B53" t="s">
        <v>136</v>
      </c>
      <c r="C53" s="84"/>
      <c r="D53" s="77">
        <v>286.72000000000003</v>
      </c>
      <c r="E53" s="77">
        <f>D53</f>
        <v>286.72000000000003</v>
      </c>
    </row>
    <row r="54" spans="1:5">
      <c r="C54" s="84"/>
    </row>
    <row r="56" spans="1:5">
      <c r="B56" s="62"/>
    </row>
    <row r="57" spans="1:5">
      <c r="B57" s="95"/>
    </row>
    <row r="58" spans="1:5">
      <c r="A58" s="70"/>
      <c r="B58" s="69" t="s">
        <v>137</v>
      </c>
      <c r="C58" s="70"/>
      <c r="E58" s="77">
        <f>SUM(E59:E84)</f>
        <v>-6693.55</v>
      </c>
    </row>
    <row r="60" spans="1:5">
      <c r="A60" s="89">
        <v>45187</v>
      </c>
      <c r="B60" s="84" t="s">
        <v>194</v>
      </c>
      <c r="C60" s="84">
        <v>7648.33</v>
      </c>
      <c r="D60" s="77" t="s">
        <v>160</v>
      </c>
      <c r="E60" s="77">
        <v>-849.81</v>
      </c>
    </row>
    <row r="61" spans="1:5">
      <c r="A61" s="96">
        <v>45348</v>
      </c>
      <c r="B61" t="s">
        <v>165</v>
      </c>
      <c r="C61">
        <v>1406</v>
      </c>
      <c r="D61" s="77" t="s">
        <v>227</v>
      </c>
      <c r="E61" s="77">
        <v>-234.33</v>
      </c>
    </row>
    <row r="62" spans="1:5">
      <c r="A62" s="96">
        <v>45358</v>
      </c>
      <c r="B62" t="s">
        <v>167</v>
      </c>
      <c r="C62">
        <v>2273</v>
      </c>
      <c r="D62" s="77" t="s">
        <v>227</v>
      </c>
      <c r="E62" s="77">
        <v>-378.87</v>
      </c>
    </row>
    <row r="63" spans="1:5">
      <c r="A63" s="96">
        <v>45371</v>
      </c>
      <c r="B63" t="s">
        <v>168</v>
      </c>
      <c r="D63" s="77" t="s">
        <v>228</v>
      </c>
      <c r="E63" s="77">
        <v>101.77</v>
      </c>
    </row>
    <row r="64" spans="1:5">
      <c r="A64" s="96">
        <v>45373</v>
      </c>
      <c r="B64" t="s">
        <v>138</v>
      </c>
      <c r="C64">
        <v>10176.39</v>
      </c>
      <c r="D64" s="77" t="s">
        <v>229</v>
      </c>
      <c r="E64" s="77">
        <v>-1130.71</v>
      </c>
    </row>
    <row r="65" spans="1:5">
      <c r="A65" s="96">
        <v>45375</v>
      </c>
      <c r="B65" t="s">
        <v>140</v>
      </c>
      <c r="C65">
        <v>5999</v>
      </c>
      <c r="D65" s="77" t="s">
        <v>229</v>
      </c>
      <c r="E65" s="77">
        <v>-666.56</v>
      </c>
    </row>
    <row r="66" spans="1:5">
      <c r="A66" s="96"/>
    </row>
    <row r="67" spans="1:5">
      <c r="A67" s="96">
        <v>45347</v>
      </c>
      <c r="B67" t="s">
        <v>230</v>
      </c>
      <c r="E67" s="77">
        <v>-343</v>
      </c>
    </row>
    <row r="68" spans="1:5">
      <c r="A68" s="89">
        <v>45348</v>
      </c>
      <c r="B68" s="84" t="s">
        <v>231</v>
      </c>
      <c r="C68" s="84"/>
      <c r="E68" s="77">
        <v>-150</v>
      </c>
    </row>
    <row r="69" spans="1:5">
      <c r="A69" s="89">
        <v>45351</v>
      </c>
      <c r="B69" s="84" t="s">
        <v>232</v>
      </c>
      <c r="C69" s="83">
        <f>E69</f>
        <v>-86.95</v>
      </c>
      <c r="E69" s="77">
        <v>-86.95</v>
      </c>
    </row>
    <row r="70" spans="1:5">
      <c r="A70" s="89">
        <v>45353</v>
      </c>
      <c r="B70" s="97" t="s">
        <v>233</v>
      </c>
      <c r="C70" s="84"/>
      <c r="E70" s="77">
        <v>-500</v>
      </c>
    </row>
    <row r="71" spans="1:5">
      <c r="A71" s="89">
        <v>45353</v>
      </c>
      <c r="B71" s="97" t="s">
        <v>234</v>
      </c>
      <c r="C71" s="84"/>
      <c r="E71" s="77">
        <v>-600</v>
      </c>
    </row>
    <row r="72" spans="1:5">
      <c r="A72" s="89">
        <v>45354</v>
      </c>
      <c r="B72" s="97" t="s">
        <v>235</v>
      </c>
      <c r="C72" s="84"/>
      <c r="E72" s="77">
        <v>-330</v>
      </c>
    </row>
    <row r="73" spans="1:5">
      <c r="A73" s="89">
        <v>45355</v>
      </c>
      <c r="B73" s="97" t="s">
        <v>236</v>
      </c>
      <c r="C73" s="83">
        <f>E73</f>
        <v>-200</v>
      </c>
      <c r="E73" s="77">
        <v>-200</v>
      </c>
    </row>
    <row r="74" spans="1:5">
      <c r="A74" s="89">
        <v>45355</v>
      </c>
      <c r="B74" s="97" t="s">
        <v>237</v>
      </c>
      <c r="C74" s="84"/>
      <c r="E74" s="77">
        <v>-50</v>
      </c>
    </row>
    <row r="75" spans="1:5">
      <c r="A75" s="89">
        <v>45356</v>
      </c>
      <c r="B75" s="97" t="s">
        <v>236</v>
      </c>
      <c r="C75" s="83">
        <f>E75</f>
        <v>-200</v>
      </c>
      <c r="E75" s="77">
        <v>-200</v>
      </c>
    </row>
    <row r="76" spans="1:5">
      <c r="A76" s="89">
        <v>45357</v>
      </c>
      <c r="B76" s="97" t="s">
        <v>238</v>
      </c>
      <c r="C76" s="84"/>
      <c r="E76" s="77">
        <v>-160</v>
      </c>
    </row>
    <row r="77" spans="1:5">
      <c r="A77" s="89">
        <v>45357</v>
      </c>
      <c r="B77" s="97" t="s">
        <v>3</v>
      </c>
      <c r="C77" s="84">
        <v>6341.66</v>
      </c>
    </row>
    <row r="78" spans="1:5">
      <c r="A78" s="89">
        <v>45361</v>
      </c>
      <c r="B78" s="97" t="s">
        <v>239</v>
      </c>
      <c r="E78" s="77">
        <v>-294.14</v>
      </c>
    </row>
    <row r="79" spans="1:5">
      <c r="A79" s="89">
        <v>45358</v>
      </c>
      <c r="B79" s="97" t="s">
        <v>236</v>
      </c>
      <c r="C79" s="83">
        <f>E79</f>
        <v>-200</v>
      </c>
      <c r="E79" s="77">
        <v>-200</v>
      </c>
    </row>
    <row r="80" spans="1:5">
      <c r="A80" s="89"/>
      <c r="B80" s="97"/>
      <c r="C80" s="84"/>
      <c r="E80" s="77">
        <v>-3.05</v>
      </c>
    </row>
    <row r="81" spans="1:5">
      <c r="A81" s="89">
        <v>45376</v>
      </c>
      <c r="B81" s="97" t="s">
        <v>240</v>
      </c>
      <c r="C81" s="84"/>
      <c r="E81" s="77">
        <v>-874.19</v>
      </c>
    </row>
    <row r="82" spans="1:5">
      <c r="A82" s="89"/>
      <c r="B82" s="97"/>
      <c r="C82" s="84"/>
      <c r="E82" s="77">
        <v>-43.71</v>
      </c>
    </row>
    <row r="83" spans="1:5">
      <c r="A83" s="89">
        <v>45374</v>
      </c>
      <c r="B83" s="97" t="s">
        <v>241</v>
      </c>
      <c r="C83" s="84"/>
      <c r="E83" s="77">
        <v>500</v>
      </c>
    </row>
    <row r="84" spans="1:5" ht="15">
      <c r="A84" s="89">
        <v>45374</v>
      </c>
      <c r="B84" s="97" t="s">
        <v>241</v>
      </c>
      <c r="D84" s="110" t="s">
        <v>242</v>
      </c>
    </row>
    <row r="85" spans="1:5" ht="15">
      <c r="A85" s="89"/>
      <c r="B85" s="26" t="s">
        <v>243</v>
      </c>
      <c r="C85">
        <v>686.95</v>
      </c>
      <c r="D85" s="111"/>
    </row>
    <row r="86" spans="1:5" ht="15">
      <c r="A86" s="89"/>
      <c r="B86" s="97"/>
      <c r="D86" s="111"/>
    </row>
    <row r="87" spans="1:5" ht="15">
      <c r="A87" s="89"/>
      <c r="B87" s="97"/>
      <c r="D87" s="111"/>
    </row>
    <row r="88" spans="1:5" ht="15">
      <c r="A88" s="89"/>
      <c r="B88" s="97"/>
      <c r="D88" s="111"/>
    </row>
    <row r="89" spans="1:5">
      <c r="A89" s="89"/>
      <c r="B89" s="84"/>
      <c r="C89" s="84"/>
    </row>
    <row r="90" spans="1:5">
      <c r="A90" s="70"/>
      <c r="B90" s="69" t="s">
        <v>144</v>
      </c>
      <c r="C90" s="70"/>
      <c r="E90" s="77">
        <f>SUM(E91:E98)</f>
        <v>-6501.46</v>
      </c>
    </row>
    <row r="91" spans="1:5">
      <c r="A91" s="89"/>
      <c r="B91" s="84"/>
      <c r="C91" s="84"/>
    </row>
    <row r="92" spans="1:5">
      <c r="A92" s="88">
        <v>45214</v>
      </c>
      <c r="B92" t="s">
        <v>244</v>
      </c>
      <c r="D92" s="77" t="s">
        <v>245</v>
      </c>
      <c r="E92" s="77">
        <v>-600</v>
      </c>
    </row>
    <row r="93" spans="1:5">
      <c r="A93" s="88">
        <v>45285</v>
      </c>
      <c r="B93" s="84" t="s">
        <v>186</v>
      </c>
      <c r="C93" s="84"/>
      <c r="D93" s="77" t="s">
        <v>246</v>
      </c>
      <c r="E93" s="77">
        <v>-3551.66</v>
      </c>
    </row>
    <row r="94" spans="1:5">
      <c r="A94" s="89"/>
      <c r="B94" s="3" t="s">
        <v>247</v>
      </c>
      <c r="C94" s="84"/>
      <c r="D94" s="77" t="s">
        <v>248</v>
      </c>
      <c r="E94" s="77">
        <v>-649.78</v>
      </c>
    </row>
    <row r="95" spans="1:5">
      <c r="A95" s="89"/>
      <c r="B95" s="3" t="s">
        <v>178</v>
      </c>
      <c r="C95" s="84">
        <v>49.98</v>
      </c>
      <c r="D95" s="77" t="s">
        <v>248</v>
      </c>
      <c r="E95" s="77">
        <v>49.98</v>
      </c>
    </row>
    <row r="96" spans="1:5">
      <c r="A96" s="89"/>
      <c r="B96" s="3"/>
      <c r="C96" s="84"/>
    </row>
    <row r="97" spans="1:5">
      <c r="A97" s="89">
        <v>45374</v>
      </c>
      <c r="B97" s="3" t="s">
        <v>249</v>
      </c>
      <c r="C97" s="84"/>
      <c r="E97" s="77">
        <v>-1750</v>
      </c>
    </row>
    <row r="98" spans="1:5" ht="15">
      <c r="A98" s="89"/>
      <c r="B98" s="3"/>
      <c r="C98" s="84"/>
      <c r="D98" s="110" t="s">
        <v>242</v>
      </c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02" spans="1:5">
      <c r="A102" s="89"/>
      <c r="B102" s="3"/>
      <c r="C102" s="84"/>
    </row>
    <row r="103" spans="1:5">
      <c r="A103" s="89"/>
      <c r="B103" s="3"/>
      <c r="C103" s="84"/>
    </row>
    <row r="104" spans="1:5">
      <c r="A104" s="89"/>
      <c r="B104" s="3"/>
      <c r="C104" s="84"/>
    </row>
    <row r="105" spans="1:5">
      <c r="A105" s="89"/>
      <c r="B105" s="3"/>
      <c r="C105" s="84"/>
    </row>
    <row r="106" spans="1:5">
      <c r="A106" s="89"/>
      <c r="B106" s="3"/>
      <c r="C106" s="84"/>
    </row>
    <row r="107" spans="1:5">
      <c r="A107" s="89"/>
      <c r="B107" s="3"/>
      <c r="C107" s="84"/>
    </row>
    <row r="108" spans="1:5">
      <c r="A108" s="89"/>
      <c r="B108" s="3"/>
      <c r="C108" s="84"/>
    </row>
    <row r="109" spans="1:5">
      <c r="A109" s="89"/>
      <c r="B109" s="3"/>
      <c r="C109" s="84"/>
    </row>
    <row r="110" spans="1:5">
      <c r="A110" s="89"/>
      <c r="B110" s="3"/>
      <c r="C110" s="84"/>
    </row>
    <row r="111" spans="1:5">
      <c r="A111" s="89"/>
      <c r="B111" s="3"/>
      <c r="C111" s="84"/>
    </row>
    <row r="112" spans="1:5">
      <c r="A112" s="89"/>
      <c r="B112" s="3"/>
      <c r="C112" s="84"/>
    </row>
    <row r="113" spans="1:5">
      <c r="A113" s="89"/>
      <c r="B113" s="3"/>
      <c r="C113" s="84"/>
    </row>
    <row r="114" spans="1:5">
      <c r="A114" s="89"/>
      <c r="B114" s="3"/>
      <c r="C114" s="84"/>
    </row>
    <row r="115" spans="1:5">
      <c r="A115" s="89"/>
      <c r="B115" s="3"/>
      <c r="C115" s="84"/>
    </row>
    <row r="116" spans="1:5">
      <c r="A116" s="89"/>
      <c r="B116" s="3"/>
      <c r="C116" s="84"/>
    </row>
    <row r="117" spans="1:5">
      <c r="A117" s="89"/>
      <c r="B117" s="3"/>
      <c r="C117" s="84"/>
    </row>
    <row r="118" spans="1:5">
      <c r="A118" s="89"/>
      <c r="B118" s="3"/>
      <c r="C118" s="84"/>
    </row>
    <row r="119" spans="1:5">
      <c r="A119" s="89"/>
      <c r="B119" s="3"/>
      <c r="C119" s="84"/>
    </row>
    <row r="120" spans="1:5">
      <c r="A120" s="68" t="s">
        <v>250</v>
      </c>
      <c r="B120" s="69" t="s">
        <v>72</v>
      </c>
      <c r="C120" s="70">
        <v>2024</v>
      </c>
      <c r="D120" s="71"/>
      <c r="E120" s="72">
        <f>SUM(E121:E135)</f>
        <v>774287.73659999995</v>
      </c>
    </row>
    <row r="121" spans="1:5">
      <c r="A121" s="112">
        <v>45383</v>
      </c>
      <c r="B121" s="22" t="s">
        <v>73</v>
      </c>
      <c r="C121" s="113"/>
      <c r="D121" s="113"/>
      <c r="E121" s="113">
        <v>64000</v>
      </c>
    </row>
    <row r="122" spans="1:5">
      <c r="A122" s="112">
        <f t="shared" ref="A122:A135" si="1">A121</f>
        <v>45383</v>
      </c>
      <c r="B122" s="22" t="s">
        <v>251</v>
      </c>
      <c r="C122" s="113"/>
      <c r="D122" s="113"/>
      <c r="E122" s="113">
        <v>150845</v>
      </c>
    </row>
    <row r="123" spans="1:5">
      <c r="A123" s="73">
        <f t="shared" si="1"/>
        <v>45383</v>
      </c>
      <c r="B123" t="s">
        <v>75</v>
      </c>
      <c r="C123" s="2"/>
      <c r="D123" s="2"/>
      <c r="E123" s="62">
        <v>6036.94</v>
      </c>
    </row>
    <row r="124" spans="1:5">
      <c r="A124" s="73">
        <f t="shared" si="1"/>
        <v>45383</v>
      </c>
      <c r="B124" t="s">
        <v>76</v>
      </c>
      <c r="C124" s="2"/>
      <c r="D124" s="2"/>
      <c r="E124" s="62">
        <v>0</v>
      </c>
    </row>
    <row r="125" spans="1:5">
      <c r="A125" s="73">
        <f t="shared" si="1"/>
        <v>45383</v>
      </c>
      <c r="B125" t="s">
        <v>252</v>
      </c>
      <c r="C125" s="2"/>
      <c r="D125" s="2"/>
      <c r="E125" s="62">
        <v>0</v>
      </c>
    </row>
    <row r="126" spans="1:5">
      <c r="A126" s="73">
        <f t="shared" si="1"/>
        <v>45383</v>
      </c>
      <c r="B126" t="s">
        <v>77</v>
      </c>
      <c r="C126" s="114"/>
      <c r="D126" s="2"/>
      <c r="E126" s="62">
        <v>0</v>
      </c>
    </row>
    <row r="127" spans="1:5">
      <c r="A127" s="73">
        <f t="shared" si="1"/>
        <v>45383</v>
      </c>
      <c r="B127" t="s">
        <v>78</v>
      </c>
      <c r="C127" s="2"/>
      <c r="D127" s="2"/>
      <c r="E127" s="62">
        <v>0</v>
      </c>
    </row>
    <row r="128" spans="1:5">
      <c r="A128" s="73">
        <f t="shared" si="1"/>
        <v>45383</v>
      </c>
      <c r="B128" t="s">
        <v>253</v>
      </c>
      <c r="C128" s="2" t="s">
        <v>254</v>
      </c>
      <c r="D128" s="2"/>
      <c r="E128" s="62">
        <v>110122</v>
      </c>
    </row>
    <row r="129" spans="1:5">
      <c r="A129" s="73">
        <f t="shared" si="1"/>
        <v>45383</v>
      </c>
      <c r="B129" t="s">
        <v>86</v>
      </c>
      <c r="C129" s="2"/>
      <c r="D129" s="2"/>
      <c r="E129" s="62">
        <v>450</v>
      </c>
    </row>
    <row r="130" spans="1:5">
      <c r="A130" s="73">
        <f t="shared" si="1"/>
        <v>45383</v>
      </c>
      <c r="B130" t="s">
        <v>255</v>
      </c>
      <c r="C130" s="2">
        <v>2308.9699999999998</v>
      </c>
      <c r="D130" s="2">
        <v>161</v>
      </c>
      <c r="E130" s="62">
        <f>D130*C130</f>
        <v>371744.17</v>
      </c>
    </row>
    <row r="131" spans="1:5">
      <c r="A131" s="73">
        <f t="shared" si="1"/>
        <v>45383</v>
      </c>
      <c r="B131" t="s">
        <v>256</v>
      </c>
      <c r="C131" s="75">
        <v>31.879300000000001</v>
      </c>
      <c r="D131" s="2">
        <v>850</v>
      </c>
      <c r="E131" s="62">
        <f>D131*C131</f>
        <v>27097.404999999999</v>
      </c>
    </row>
    <row r="132" spans="1:5">
      <c r="A132" s="73">
        <f t="shared" si="1"/>
        <v>45383</v>
      </c>
      <c r="B132" t="s">
        <v>257</v>
      </c>
      <c r="C132" s="75">
        <f>C131</f>
        <v>31.879300000000001</v>
      </c>
      <c r="D132" s="2">
        <v>250</v>
      </c>
      <c r="E132" s="62">
        <f>D132*C132</f>
        <v>7969.8249999999998</v>
      </c>
    </row>
    <row r="133" spans="1:5">
      <c r="A133" s="73">
        <f t="shared" si="1"/>
        <v>45383</v>
      </c>
      <c r="B133" t="s">
        <v>258</v>
      </c>
      <c r="C133" s="75">
        <v>34.394500000000001</v>
      </c>
      <c r="D133" s="2">
        <v>58.8</v>
      </c>
      <c r="E133" s="62">
        <f>D133*C133</f>
        <v>2022.3966</v>
      </c>
    </row>
    <row r="134" spans="1:5">
      <c r="A134" s="73">
        <f t="shared" si="1"/>
        <v>45383</v>
      </c>
      <c r="B134" t="s">
        <v>90</v>
      </c>
      <c r="C134" s="2"/>
      <c r="D134" s="2"/>
      <c r="E134" s="62">
        <v>30000</v>
      </c>
    </row>
    <row r="135" spans="1:5">
      <c r="A135" s="73">
        <f t="shared" si="1"/>
        <v>45383</v>
      </c>
      <c r="B135" t="s">
        <v>91</v>
      </c>
      <c r="C135" s="2"/>
      <c r="D135" s="2"/>
      <c r="E135" s="62">
        <v>4000</v>
      </c>
    </row>
    <row r="136" spans="1:5">
      <c r="E136" s="115"/>
    </row>
    <row r="137" spans="1:5">
      <c r="C137" s="114"/>
      <c r="D137" s="3"/>
      <c r="E137" s="114"/>
    </row>
    <row r="138" spans="1:5">
      <c r="C138" s="114"/>
      <c r="D138" s="61" t="s">
        <v>93</v>
      </c>
      <c r="E138" s="8">
        <f>SUM(E121:E135)</f>
        <v>774287.73659999995</v>
      </c>
    </row>
    <row r="139" spans="1:5">
      <c r="C139" s="116" t="str">
        <f>A120</f>
        <v>NİSANa</v>
      </c>
      <c r="D139" s="117" t="s">
        <v>92</v>
      </c>
      <c r="E139" s="118">
        <f>H2</f>
        <v>-31484.22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8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B2" s="3" t="s">
        <v>259</v>
      </c>
      <c r="C2" s="79" t="s">
        <v>95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260</v>
      </c>
      <c r="C4" s="80" t="s">
        <v>101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261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2">
        <v>45356</v>
      </c>
      <c r="B8" s="101" t="s">
        <v>119</v>
      </c>
      <c r="C8" s="22">
        <v>72000</v>
      </c>
      <c r="D8" s="98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0">
        <v>45357</v>
      </c>
      <c r="B9" s="101" t="s">
        <v>118</v>
      </c>
      <c r="C9" s="22"/>
      <c r="D9" s="98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0">
        <v>45357</v>
      </c>
      <c r="B10" s="101" t="s">
        <v>262</v>
      </c>
      <c r="C10" s="22" t="s">
        <v>263</v>
      </c>
      <c r="D10" s="98"/>
      <c r="E10" s="92"/>
      <c r="F10" s="22"/>
      <c r="G10" s="92">
        <v>-220.03</v>
      </c>
      <c r="H10" s="92">
        <f t="shared" si="0"/>
        <v>-90414.22</v>
      </c>
    </row>
    <row r="11" spans="1:8">
      <c r="A11" s="100">
        <v>45357</v>
      </c>
      <c r="B11" s="101" t="s">
        <v>262</v>
      </c>
      <c r="C11" s="22" t="s">
        <v>263</v>
      </c>
      <c r="D11" s="98"/>
      <c r="E11" s="92"/>
      <c r="F11" s="22"/>
      <c r="G11" s="92">
        <v>-631.37</v>
      </c>
      <c r="H11" s="92">
        <f t="shared" si="0"/>
        <v>-91045.59</v>
      </c>
    </row>
    <row r="12" spans="1:8">
      <c r="A12" s="120">
        <v>45358</v>
      </c>
      <c r="B12" s="80" t="s">
        <v>264</v>
      </c>
      <c r="C12" s="80"/>
      <c r="D12" s="98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20">
        <v>45358</v>
      </c>
      <c r="B13" s="80" t="s">
        <v>264</v>
      </c>
      <c r="C13" s="80"/>
      <c r="D13" s="98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20">
        <v>45358</v>
      </c>
      <c r="B14" s="22" t="s">
        <v>265</v>
      </c>
      <c r="C14" s="80"/>
      <c r="D14" s="98"/>
      <c r="E14" s="92"/>
      <c r="F14" s="22">
        <v>6500</v>
      </c>
      <c r="G14" s="92"/>
      <c r="H14" s="92">
        <f t="shared" si="0"/>
        <v>-92045.59</v>
      </c>
    </row>
    <row r="15" spans="1:8">
      <c r="A15" s="100">
        <v>45359</v>
      </c>
      <c r="B15" s="80" t="s">
        <v>113</v>
      </c>
      <c r="C15" s="80"/>
      <c r="D15" s="98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20">
        <v>45362</v>
      </c>
      <c r="B16" s="84" t="s">
        <v>117</v>
      </c>
      <c r="C16" s="22"/>
      <c r="D16" s="98"/>
      <c r="E16" s="92">
        <f>E41*-1</f>
        <v>-225.66</v>
      </c>
      <c r="F16" s="99"/>
      <c r="G16" s="92">
        <f>-225.66</f>
        <v>-225.66</v>
      </c>
      <c r="H16" s="92">
        <f t="shared" si="0"/>
        <v>-92440.16</v>
      </c>
    </row>
    <row r="17" spans="1:9">
      <c r="A17" s="100">
        <v>45372</v>
      </c>
      <c r="B17" s="84" t="s">
        <v>115</v>
      </c>
      <c r="C17" s="84" t="s">
        <v>114</v>
      </c>
      <c r="D17" s="98"/>
      <c r="E17" s="92">
        <v>-300</v>
      </c>
      <c r="F17" s="99"/>
      <c r="G17" s="92">
        <v>-1083</v>
      </c>
      <c r="H17" s="92">
        <f t="shared" si="0"/>
        <v>-93523.16</v>
      </c>
    </row>
    <row r="18" spans="1:9">
      <c r="A18" s="100">
        <v>45372</v>
      </c>
      <c r="B18" s="84" t="s">
        <v>116</v>
      </c>
      <c r="C18" s="84" t="s">
        <v>114</v>
      </c>
      <c r="D18" s="98"/>
      <c r="E18" s="92">
        <v>-100</v>
      </c>
      <c r="F18" s="99"/>
      <c r="G18" s="92">
        <v>0</v>
      </c>
      <c r="H18" s="92">
        <f t="shared" si="0"/>
        <v>-93523.16</v>
      </c>
    </row>
    <row r="19" spans="1:9">
      <c r="A19" s="100">
        <v>45378</v>
      </c>
      <c r="B19" s="22" t="s">
        <v>124</v>
      </c>
      <c r="C19" s="22"/>
      <c r="D19" s="98">
        <v>10000</v>
      </c>
      <c r="E19" s="92"/>
      <c r="F19" s="99">
        <v>10367.49</v>
      </c>
      <c r="G19" s="92"/>
      <c r="H19" s="92">
        <f t="shared" si="0"/>
        <v>-83155.67</v>
      </c>
      <c r="I19" s="22"/>
    </row>
    <row r="20" spans="1:9">
      <c r="A20" s="100">
        <v>45378</v>
      </c>
      <c r="B20" s="22" t="s">
        <v>73</v>
      </c>
      <c r="C20" s="22"/>
      <c r="D20" s="98"/>
      <c r="E20" s="92">
        <v>-5000</v>
      </c>
      <c r="F20" s="99"/>
      <c r="G20" s="92">
        <v>-5203</v>
      </c>
      <c r="H20" s="92">
        <f t="shared" si="0"/>
        <v>-88358.67</v>
      </c>
      <c r="I20" s="22"/>
    </row>
    <row r="21" spans="1:9">
      <c r="A21" s="100"/>
      <c r="B21" s="22" t="s">
        <v>266</v>
      </c>
      <c r="C21" s="22"/>
      <c r="D21" s="98"/>
      <c r="E21" s="92"/>
      <c r="F21" s="99"/>
      <c r="G21" s="92"/>
      <c r="H21" s="92">
        <f t="shared" si="0"/>
        <v>-88358.67</v>
      </c>
      <c r="I21" s="22"/>
    </row>
    <row r="22" spans="1:9">
      <c r="A22" s="100">
        <v>45378</v>
      </c>
      <c r="B22" s="22" t="s">
        <v>74</v>
      </c>
      <c r="C22" s="22"/>
      <c r="D22" s="98"/>
      <c r="E22" s="92">
        <v>-5000</v>
      </c>
      <c r="F22" s="99"/>
      <c r="G22" s="92">
        <v>-5203</v>
      </c>
      <c r="H22" s="92">
        <f t="shared" si="0"/>
        <v>-93561.67</v>
      </c>
      <c r="I22" s="22"/>
    </row>
    <row r="23" spans="1:9">
      <c r="A23" s="100">
        <v>45378</v>
      </c>
      <c r="B23" s="22" t="s">
        <v>123</v>
      </c>
      <c r="C23" s="22"/>
      <c r="D23" s="98"/>
      <c r="E23" s="92">
        <v>-5000</v>
      </c>
      <c r="F23" s="99"/>
      <c r="G23" s="92">
        <v>-5000</v>
      </c>
      <c r="H23" s="92">
        <f t="shared" si="0"/>
        <v>-98561.67</v>
      </c>
      <c r="I23" s="22"/>
    </row>
    <row r="24" spans="1:9">
      <c r="A24" s="120">
        <v>45380</v>
      </c>
      <c r="B24" s="22" t="s">
        <v>125</v>
      </c>
      <c r="C24" s="22"/>
      <c r="D24" s="98">
        <v>2800</v>
      </c>
      <c r="E24" s="92"/>
      <c r="F24" s="99">
        <v>2800</v>
      </c>
      <c r="G24" s="92"/>
      <c r="H24" s="92">
        <f t="shared" si="0"/>
        <v>-95761.67</v>
      </c>
      <c r="I24" s="22"/>
    </row>
    <row r="25" spans="1:9">
      <c r="A25" s="100">
        <v>45380</v>
      </c>
      <c r="B25" s="80" t="s">
        <v>98</v>
      </c>
      <c r="C25" s="80"/>
      <c r="D25" s="98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0">
        <v>45380</v>
      </c>
      <c r="B26" s="80" t="s">
        <v>99</v>
      </c>
      <c r="C26" s="80"/>
      <c r="D26" s="98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1"/>
      <c r="G28" s="92"/>
      <c r="H28" s="92">
        <f t="shared" si="0"/>
        <v>-96476.67</v>
      </c>
    </row>
    <row r="29" spans="1:9">
      <c r="A29" s="122"/>
      <c r="E29" s="321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128</v>
      </c>
      <c r="G32" s="54"/>
      <c r="H32" s="54"/>
    </row>
    <row r="33" spans="1:8">
      <c r="A33" s="70"/>
      <c r="B33" s="70" t="s">
        <v>129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131</v>
      </c>
      <c r="C36" s="22"/>
      <c r="D36" s="22">
        <v>967.68</v>
      </c>
      <c r="E36" s="92">
        <v>970</v>
      </c>
      <c r="H36" s="54"/>
    </row>
    <row r="37" spans="1:8">
      <c r="B37" s="22" t="s">
        <v>267</v>
      </c>
      <c r="C37" s="22" t="s">
        <v>268</v>
      </c>
      <c r="D37" s="22">
        <v>1224.42</v>
      </c>
      <c r="E37" s="92">
        <v>1225</v>
      </c>
      <c r="F37" s="54"/>
      <c r="G37" s="54"/>
    </row>
    <row r="38" spans="1:8">
      <c r="B38" s="22" t="s">
        <v>133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269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137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194</v>
      </c>
      <c r="C47" s="84">
        <v>7648.33</v>
      </c>
      <c r="D47" s="95" t="s">
        <v>270</v>
      </c>
      <c r="E47" s="77">
        <v>-849.81</v>
      </c>
      <c r="G47" s="54"/>
      <c r="H47" s="54"/>
    </row>
    <row r="48" spans="1:8">
      <c r="A48" s="89">
        <v>45187</v>
      </c>
      <c r="B48" s="84" t="s">
        <v>271</v>
      </c>
      <c r="C48" s="84">
        <v>11128</v>
      </c>
      <c r="D48" s="95" t="s">
        <v>166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239</v>
      </c>
      <c r="E49" s="77">
        <v>-453.4</v>
      </c>
      <c r="G49" s="54"/>
      <c r="H49" s="54"/>
    </row>
    <row r="50" spans="1:8">
      <c r="A50" s="96">
        <v>45326</v>
      </c>
      <c r="B50" t="s">
        <v>272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273</v>
      </c>
      <c r="E52" s="77">
        <v>-900</v>
      </c>
      <c r="G52" s="54"/>
      <c r="H52" s="54"/>
    </row>
    <row r="53" spans="1:8">
      <c r="A53" s="96">
        <v>45330</v>
      </c>
      <c r="B53" t="s">
        <v>274</v>
      </c>
      <c r="E53" s="77">
        <v>-116.38</v>
      </c>
      <c r="G53" s="54"/>
      <c r="H53" s="54"/>
    </row>
    <row r="54" spans="1:8">
      <c r="A54" s="89">
        <v>45331</v>
      </c>
      <c r="B54" s="84" t="s">
        <v>236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275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236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276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277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236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236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242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144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278</v>
      </c>
      <c r="C67" s="84"/>
      <c r="D67" s="95" t="s">
        <v>279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244</v>
      </c>
      <c r="D68" s="95" t="s">
        <v>280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186</v>
      </c>
      <c r="C69" s="84"/>
      <c r="D69" s="95" t="s">
        <v>281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282</v>
      </c>
      <c r="C70" s="115">
        <v>-1204.5</v>
      </c>
      <c r="D70" s="95" t="s">
        <v>283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284</v>
      </c>
      <c r="C71" s="115">
        <v>-148.6</v>
      </c>
      <c r="D71" s="95" t="s">
        <v>283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285</v>
      </c>
      <c r="C72" s="115">
        <v>-244.8</v>
      </c>
      <c r="D72" s="95" t="s">
        <v>283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286</v>
      </c>
      <c r="C73" s="115">
        <v>-532.6</v>
      </c>
      <c r="D73" s="95" t="s">
        <v>283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287</v>
      </c>
      <c r="E74" s="77">
        <v>-449.5</v>
      </c>
      <c r="F74" s="54"/>
      <c r="G74" s="54"/>
      <c r="H74" s="54"/>
    </row>
    <row r="75" spans="1:8">
      <c r="A75" s="88"/>
      <c r="B75" s="84" t="s">
        <v>288</v>
      </c>
      <c r="C75" s="84"/>
      <c r="D75" s="126" t="s">
        <v>287</v>
      </c>
      <c r="E75" s="77">
        <v>-299.64</v>
      </c>
      <c r="F75" s="54"/>
      <c r="G75" s="54"/>
      <c r="H75" s="54"/>
    </row>
    <row r="76" spans="1:8">
      <c r="A76" s="88"/>
      <c r="B76" s="84" t="s">
        <v>289</v>
      </c>
      <c r="C76" s="84"/>
      <c r="D76" s="126" t="s">
        <v>287</v>
      </c>
      <c r="E76" s="77">
        <v>-546.82000000000005</v>
      </c>
      <c r="F76" s="54"/>
      <c r="G76" s="54"/>
      <c r="H76" s="54"/>
    </row>
    <row r="77" spans="1:8">
      <c r="A77" s="89"/>
      <c r="B77" s="3" t="s">
        <v>176</v>
      </c>
      <c r="C77" s="84"/>
      <c r="D77" s="126" t="s">
        <v>290</v>
      </c>
      <c r="E77" s="77">
        <v>-649.78</v>
      </c>
      <c r="F77" s="54"/>
      <c r="G77" s="54"/>
      <c r="H77" s="54"/>
    </row>
    <row r="78" spans="1:8">
      <c r="A78" s="89"/>
      <c r="B78" s="3" t="s">
        <v>178</v>
      </c>
      <c r="C78" s="84">
        <v>49.98</v>
      </c>
      <c r="D78" s="126" t="s">
        <v>290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291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292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293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242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294</v>
      </c>
      <c r="B108" s="69" t="s">
        <v>72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73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295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252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77</v>
      </c>
      <c r="C114" s="114"/>
      <c r="D114" s="2"/>
      <c r="E114" s="62">
        <v>0</v>
      </c>
    </row>
    <row r="115" spans="1:5">
      <c r="A115" s="73">
        <f t="shared" si="1"/>
        <v>45352</v>
      </c>
      <c r="B115" t="s">
        <v>78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253</v>
      </c>
      <c r="C116" s="2" t="s">
        <v>296</v>
      </c>
      <c r="D116" s="2"/>
      <c r="E116" s="62">
        <v>129254.5</v>
      </c>
    </row>
    <row r="117" spans="1:5">
      <c r="A117" s="73">
        <f t="shared" si="1"/>
        <v>45352</v>
      </c>
      <c r="B117" t="s">
        <v>297</v>
      </c>
      <c r="C117" s="2" t="s">
        <v>298</v>
      </c>
      <c r="D117" s="2"/>
      <c r="E117" s="62">
        <v>256.56</v>
      </c>
    </row>
    <row r="118" spans="1:5">
      <c r="A118" s="73">
        <f t="shared" si="1"/>
        <v>45352</v>
      </c>
      <c r="B118" t="s">
        <v>299</v>
      </c>
      <c r="C118" s="73" t="s">
        <v>300</v>
      </c>
      <c r="D118" s="74"/>
      <c r="E118" s="62">
        <v>0</v>
      </c>
    </row>
    <row r="119" spans="1:5">
      <c r="A119" s="73">
        <f t="shared" si="1"/>
        <v>45352</v>
      </c>
      <c r="B119" t="s">
        <v>301</v>
      </c>
      <c r="C119" s="73" t="s">
        <v>302</v>
      </c>
      <c r="D119" s="74"/>
      <c r="E119" s="62">
        <v>588.6</v>
      </c>
    </row>
    <row r="120" spans="1:5">
      <c r="A120" s="73">
        <f t="shared" si="1"/>
        <v>45352</v>
      </c>
      <c r="B120" t="s">
        <v>303</v>
      </c>
      <c r="C120" s="73"/>
      <c r="D120" s="74"/>
      <c r="E120" s="62"/>
    </row>
    <row r="121" spans="1:5">
      <c r="A121" s="73">
        <f t="shared" si="1"/>
        <v>45352</v>
      </c>
      <c r="B121" t="s">
        <v>86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304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305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257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306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91</v>
      </c>
      <c r="C127" s="2"/>
      <c r="D127" s="2"/>
      <c r="E127" s="62">
        <v>4000</v>
      </c>
    </row>
    <row r="128" spans="1:5">
      <c r="E128" s="115"/>
    </row>
    <row r="129" spans="3:5">
      <c r="C129" s="114"/>
      <c r="D129" s="3"/>
      <c r="E129" s="114"/>
    </row>
    <row r="130" spans="3:5">
      <c r="C130" s="114"/>
      <c r="D130" s="61" t="s">
        <v>93</v>
      </c>
      <c r="E130" s="8">
        <f>SUM(E109:E127)</f>
        <v>745852.05035699997</v>
      </c>
    </row>
    <row r="131" spans="3:5">
      <c r="C131" s="116" t="str">
        <f>A108</f>
        <v>MART</v>
      </c>
      <c r="D131" s="117" t="s">
        <v>92</v>
      </c>
      <c r="E131" s="11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5" customWidth="1"/>
    <col min="1024" max="1024" width="9.140625" customWidth="1"/>
  </cols>
  <sheetData>
    <row r="1" spans="1:8">
      <c r="E1" s="127"/>
      <c r="F1" s="119" t="s">
        <v>21</v>
      </c>
      <c r="G1" s="119" t="s">
        <v>22</v>
      </c>
      <c r="H1" s="119" t="s">
        <v>4</v>
      </c>
    </row>
    <row r="2" spans="1:8">
      <c r="A2" s="3" t="s">
        <v>307</v>
      </c>
      <c r="C2" s="79" t="s">
        <v>95</v>
      </c>
      <c r="D2" s="114">
        <f>SUM(D4:D31)</f>
        <v>19300</v>
      </c>
      <c r="E2" s="114">
        <f>SUM(E4:E31)</f>
        <v>-65325.849999999991</v>
      </c>
      <c r="F2" s="114">
        <f>SUM(F4:F31)</f>
        <v>20543.64</v>
      </c>
      <c r="G2" s="114">
        <f>SUM(G4:G31)</f>
        <v>-69834.739999999991</v>
      </c>
      <c r="H2" s="114">
        <f>F2+G2</f>
        <v>-49291.099999999991</v>
      </c>
    </row>
    <row r="3" spans="1:8">
      <c r="B3" s="61"/>
      <c r="E3" s="114"/>
      <c r="F3" s="114"/>
      <c r="G3" s="114"/>
      <c r="H3" s="114"/>
    </row>
    <row r="4" spans="1:8">
      <c r="A4" s="96">
        <v>45323</v>
      </c>
      <c r="B4" s="32" t="s">
        <v>96</v>
      </c>
      <c r="E4" s="128">
        <v>-152</v>
      </c>
      <c r="F4" s="128"/>
      <c r="G4" s="128">
        <v>-167</v>
      </c>
      <c r="H4" s="114">
        <f t="shared" ref="H4:H30" si="0">H3+F4+G4</f>
        <v>-167</v>
      </c>
    </row>
    <row r="5" spans="1:8">
      <c r="A5" s="96">
        <v>45323</v>
      </c>
      <c r="B5" s="80" t="s">
        <v>122</v>
      </c>
      <c r="C5" s="80"/>
      <c r="D5" s="80"/>
      <c r="E5" s="128">
        <v>-1500</v>
      </c>
      <c r="F5" s="128"/>
      <c r="G5" s="128">
        <v>-1512.13</v>
      </c>
      <c r="H5" s="114">
        <f t="shared" si="0"/>
        <v>-1679.13</v>
      </c>
    </row>
    <row r="6" spans="1:8">
      <c r="A6" s="96">
        <v>45323</v>
      </c>
      <c r="B6" t="s">
        <v>97</v>
      </c>
      <c r="D6" s="95"/>
      <c r="E6" s="128">
        <v>-10000</v>
      </c>
      <c r="F6" s="128"/>
      <c r="G6" s="128">
        <v>-10000</v>
      </c>
      <c r="H6" s="114">
        <f t="shared" si="0"/>
        <v>-11679.130000000001</v>
      </c>
    </row>
    <row r="7" spans="1:8">
      <c r="A7" s="96">
        <v>45323</v>
      </c>
      <c r="B7" s="80" t="s">
        <v>308</v>
      </c>
      <c r="C7" s="80"/>
      <c r="D7" s="80"/>
      <c r="E7" s="128">
        <v>-250</v>
      </c>
      <c r="F7" s="128"/>
      <c r="G7" s="128">
        <v>-250</v>
      </c>
      <c r="H7" s="114">
        <f t="shared" si="0"/>
        <v>-11929.130000000001</v>
      </c>
    </row>
    <row r="8" spans="1:8">
      <c r="A8" s="96">
        <v>45339</v>
      </c>
      <c r="B8" s="80" t="s">
        <v>309</v>
      </c>
      <c r="C8" s="80"/>
      <c r="D8" s="80"/>
      <c r="E8" s="128"/>
      <c r="F8" s="128"/>
      <c r="G8" s="128">
        <v>-2750</v>
      </c>
      <c r="H8" s="114">
        <f t="shared" si="0"/>
        <v>-14679.130000000001</v>
      </c>
    </row>
    <row r="9" spans="1:8">
      <c r="A9" s="96">
        <v>45327</v>
      </c>
      <c r="B9" s="87" t="s">
        <v>118</v>
      </c>
      <c r="E9" s="128">
        <f>E47</f>
        <v>-3900.5699999999997</v>
      </c>
      <c r="F9" s="128"/>
      <c r="G9" s="128">
        <f>E9</f>
        <v>-3900.5699999999997</v>
      </c>
      <c r="H9" s="114">
        <f t="shared" si="0"/>
        <v>-18579.7</v>
      </c>
    </row>
    <row r="10" spans="1:8">
      <c r="A10" s="88">
        <v>45327</v>
      </c>
      <c r="B10" s="87" t="s">
        <v>119</v>
      </c>
      <c r="E10" s="128">
        <f>E64</f>
        <v>-24792.94</v>
      </c>
      <c r="F10" s="128"/>
      <c r="G10" s="128">
        <f>E10</f>
        <v>-24792.94</v>
      </c>
      <c r="H10" s="114">
        <f t="shared" si="0"/>
        <v>-43372.639999999999</v>
      </c>
    </row>
    <row r="11" spans="1:8">
      <c r="A11" s="89">
        <v>45328</v>
      </c>
      <c r="B11" t="s">
        <v>310</v>
      </c>
      <c r="C11" s="114"/>
      <c r="D11" s="114"/>
      <c r="F11" s="128">
        <v>6500</v>
      </c>
      <c r="G11" s="128"/>
      <c r="H11" s="114">
        <f t="shared" si="0"/>
        <v>-36872.639999999999</v>
      </c>
    </row>
    <row r="12" spans="1:8">
      <c r="A12" s="89">
        <v>45329</v>
      </c>
      <c r="B12" s="80" t="s">
        <v>311</v>
      </c>
      <c r="C12" s="80"/>
      <c r="D12" s="80"/>
      <c r="E12" s="128">
        <v>-5375</v>
      </c>
      <c r="F12" s="128"/>
      <c r="G12" s="128">
        <f>E12</f>
        <v>-5375</v>
      </c>
      <c r="H12" s="114">
        <f t="shared" si="0"/>
        <v>-42247.64</v>
      </c>
    </row>
    <row r="13" spans="1:8">
      <c r="A13" s="89">
        <v>45329</v>
      </c>
      <c r="B13" s="80" t="s">
        <v>311</v>
      </c>
      <c r="C13" s="80"/>
      <c r="D13" s="80"/>
      <c r="E13" s="128">
        <v>-2125</v>
      </c>
      <c r="F13" s="128"/>
      <c r="G13" s="128">
        <f>E13</f>
        <v>-2125</v>
      </c>
      <c r="H13" s="114">
        <f t="shared" si="0"/>
        <v>-44372.639999999999</v>
      </c>
    </row>
    <row r="14" spans="1:8">
      <c r="A14" s="96">
        <v>45329</v>
      </c>
      <c r="B14" t="s">
        <v>312</v>
      </c>
      <c r="E14" s="114"/>
      <c r="F14" s="128">
        <v>816.04</v>
      </c>
      <c r="G14" s="128"/>
      <c r="H14" s="114">
        <f t="shared" si="0"/>
        <v>-43556.6</v>
      </c>
    </row>
    <row r="15" spans="1:8">
      <c r="A15" s="129">
        <v>45329</v>
      </c>
      <c r="B15" s="130" t="s">
        <v>313</v>
      </c>
      <c r="C15" s="80"/>
      <c r="E15" s="128">
        <v>-713.25</v>
      </c>
      <c r="F15" s="128"/>
      <c r="G15" s="128">
        <f>E15</f>
        <v>-713.25</v>
      </c>
      <c r="H15" s="114">
        <f t="shared" si="0"/>
        <v>-44269.85</v>
      </c>
    </row>
    <row r="16" spans="1:8">
      <c r="A16" s="88"/>
      <c r="B16" t="s">
        <v>314</v>
      </c>
      <c r="E16" s="114"/>
      <c r="F16" s="114"/>
      <c r="G16" s="114"/>
      <c r="H16" s="114">
        <f t="shared" si="0"/>
        <v>-44269.85</v>
      </c>
    </row>
    <row r="17" spans="1:8">
      <c r="A17" s="96">
        <v>45329</v>
      </c>
      <c r="B17" s="84" t="s">
        <v>116</v>
      </c>
      <c r="C17" s="84" t="s">
        <v>315</v>
      </c>
      <c r="D17" s="84"/>
      <c r="E17" s="128">
        <v>-100</v>
      </c>
      <c r="F17" s="114"/>
      <c r="G17" s="128">
        <v>0</v>
      </c>
      <c r="H17" s="114">
        <f t="shared" si="0"/>
        <v>-44269.85</v>
      </c>
    </row>
    <row r="18" spans="1:8">
      <c r="A18" s="96">
        <v>45334</v>
      </c>
      <c r="B18" s="80" t="s">
        <v>113</v>
      </c>
      <c r="C18" s="80" t="s">
        <v>114</v>
      </c>
      <c r="D18" s="80"/>
      <c r="E18" s="128">
        <v>-150</v>
      </c>
      <c r="F18" s="128"/>
      <c r="G18" s="128">
        <v>-242.76</v>
      </c>
      <c r="H18" s="114">
        <f t="shared" si="0"/>
        <v>-44512.61</v>
      </c>
    </row>
    <row r="19" spans="1:8">
      <c r="A19" s="96">
        <v>45334</v>
      </c>
      <c r="B19" s="87" t="s">
        <v>117</v>
      </c>
      <c r="D19" s="54"/>
      <c r="E19" s="128">
        <f>E42*-1</f>
        <v>-67.09</v>
      </c>
      <c r="G19" s="115">
        <f>E19</f>
        <v>-67.09</v>
      </c>
      <c r="H19" s="114">
        <f t="shared" si="0"/>
        <v>-44579.7</v>
      </c>
    </row>
    <row r="20" spans="1:8">
      <c r="A20" s="96">
        <v>45341</v>
      </c>
      <c r="B20" s="84" t="s">
        <v>115</v>
      </c>
      <c r="C20" s="84" t="s">
        <v>316</v>
      </c>
      <c r="D20" s="84"/>
      <c r="E20" s="128">
        <v>-300</v>
      </c>
      <c r="F20" s="128"/>
      <c r="G20" s="128">
        <v>-1734</v>
      </c>
      <c r="H20" s="114">
        <f t="shared" si="0"/>
        <v>-46313.7</v>
      </c>
    </row>
    <row r="21" spans="1:8">
      <c r="A21" s="129">
        <v>45341</v>
      </c>
      <c r="B21" t="s">
        <v>125</v>
      </c>
      <c r="D21" s="98">
        <v>2800</v>
      </c>
      <c r="E21" s="128"/>
      <c r="F21" s="128">
        <v>2800</v>
      </c>
      <c r="G21" s="114"/>
      <c r="H21" s="114">
        <f t="shared" si="0"/>
        <v>-43513.7</v>
      </c>
    </row>
    <row r="22" spans="1:8">
      <c r="A22" s="96">
        <v>45349</v>
      </c>
      <c r="B22" t="s">
        <v>73</v>
      </c>
      <c r="E22" s="128">
        <v>-5000</v>
      </c>
      <c r="F22" s="128"/>
      <c r="G22" s="128">
        <v>-5200</v>
      </c>
      <c r="H22" s="114">
        <f t="shared" si="0"/>
        <v>-48713.7</v>
      </c>
    </row>
    <row r="23" spans="1:8">
      <c r="A23" s="96">
        <v>45349</v>
      </c>
      <c r="B23" t="s">
        <v>74</v>
      </c>
      <c r="E23" s="128">
        <v>-5000</v>
      </c>
      <c r="F23" s="128"/>
      <c r="G23" s="128">
        <v>-5200</v>
      </c>
      <c r="H23" s="114">
        <f t="shared" si="0"/>
        <v>-53913.7</v>
      </c>
    </row>
    <row r="24" spans="1:8">
      <c r="A24" s="96">
        <v>45349</v>
      </c>
      <c r="B24" t="s">
        <v>123</v>
      </c>
      <c r="E24" s="128">
        <v>-5000</v>
      </c>
      <c r="F24" s="128"/>
      <c r="G24" s="128">
        <v>-5000</v>
      </c>
      <c r="H24" s="114">
        <f t="shared" si="0"/>
        <v>-58913.7</v>
      </c>
    </row>
    <row r="25" spans="1:8">
      <c r="A25" s="96">
        <v>45349</v>
      </c>
      <c r="B25" t="s">
        <v>124</v>
      </c>
      <c r="D25" s="98">
        <v>10000</v>
      </c>
      <c r="E25" s="128"/>
      <c r="F25" s="128">
        <v>10427.6</v>
      </c>
      <c r="G25" s="114"/>
      <c r="H25" s="114">
        <f t="shared" si="0"/>
        <v>-48486.1</v>
      </c>
    </row>
    <row r="26" spans="1:8">
      <c r="A26" s="96">
        <v>45358</v>
      </c>
      <c r="B26" t="s">
        <v>265</v>
      </c>
      <c r="D26" s="95">
        <v>6500</v>
      </c>
      <c r="F26" s="114"/>
      <c r="G26" s="114"/>
      <c r="H26" s="114">
        <f t="shared" si="0"/>
        <v>-48486.1</v>
      </c>
    </row>
    <row r="27" spans="1:8">
      <c r="A27" s="89"/>
      <c r="H27" s="114">
        <f t="shared" si="0"/>
        <v>-48486.1</v>
      </c>
    </row>
    <row r="28" spans="1:8">
      <c r="A28" s="96">
        <v>45351</v>
      </c>
      <c r="B28" s="80" t="s">
        <v>98</v>
      </c>
      <c r="C28" s="80"/>
      <c r="D28" s="80"/>
      <c r="E28" s="114">
        <v>-400</v>
      </c>
      <c r="F28" s="114"/>
      <c r="G28" s="114">
        <v>-300</v>
      </c>
      <c r="H28" s="114">
        <f t="shared" si="0"/>
        <v>-48786.1</v>
      </c>
    </row>
    <row r="29" spans="1:8">
      <c r="A29" s="96">
        <v>45351</v>
      </c>
      <c r="B29" s="80" t="s">
        <v>99</v>
      </c>
      <c r="C29" s="80"/>
      <c r="D29" s="80"/>
      <c r="E29" s="114">
        <v>-500</v>
      </c>
      <c r="F29" s="114"/>
      <c r="G29" s="114">
        <v>-505</v>
      </c>
      <c r="H29" s="114">
        <f t="shared" si="0"/>
        <v>-49291.1</v>
      </c>
    </row>
    <row r="30" spans="1:8">
      <c r="A30" s="123"/>
      <c r="B30" s="106" t="s">
        <v>226</v>
      </c>
      <c r="C30" s="107">
        <v>7000</v>
      </c>
      <c r="D30" s="107"/>
      <c r="F30" s="114"/>
      <c r="G30" s="114"/>
      <c r="H30" s="114">
        <f t="shared" si="0"/>
        <v>-49291.1</v>
      </c>
    </row>
    <row r="31" spans="1:8" ht="15.75">
      <c r="B31" s="91"/>
      <c r="F31" s="54"/>
      <c r="G31" s="54"/>
      <c r="H31" s="114"/>
    </row>
    <row r="32" spans="1:8">
      <c r="G32" s="54"/>
      <c r="H32" s="114"/>
    </row>
    <row r="33" spans="1:8">
      <c r="B33" t="s">
        <v>128</v>
      </c>
      <c r="G33" s="54"/>
      <c r="H33" s="114"/>
    </row>
    <row r="34" spans="1:8">
      <c r="A34" s="70" t="s">
        <v>129</v>
      </c>
      <c r="B34" s="70"/>
      <c r="C34" s="70"/>
      <c r="D34" s="70"/>
      <c r="E34" s="131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130</v>
      </c>
      <c r="C36" s="70"/>
      <c r="D36" s="132">
        <f>SUM(D37:D42)</f>
        <v>3749.5300000000007</v>
      </c>
      <c r="E36" s="133">
        <f>SUM(E37:E42)</f>
        <v>3837.4900000000002</v>
      </c>
      <c r="H36" s="54"/>
    </row>
    <row r="37" spans="1:8">
      <c r="A37" s="89"/>
      <c r="B37" s="84" t="s">
        <v>131</v>
      </c>
      <c r="C37" s="22"/>
      <c r="D37" s="2">
        <v>999.4</v>
      </c>
      <c r="E37" s="115">
        <v>999.4</v>
      </c>
      <c r="H37" s="54"/>
    </row>
    <row r="38" spans="1:8">
      <c r="B38" t="s">
        <v>132</v>
      </c>
      <c r="D38" s="2">
        <v>876.64</v>
      </c>
      <c r="E38" s="115">
        <v>875</v>
      </c>
      <c r="F38" s="54"/>
      <c r="G38" s="54"/>
    </row>
    <row r="39" spans="1:8">
      <c r="B39" t="s">
        <v>133</v>
      </c>
      <c r="D39" s="2">
        <v>431.36</v>
      </c>
      <c r="E39" s="115">
        <v>431</v>
      </c>
      <c r="F39" s="54"/>
      <c r="G39" s="54"/>
    </row>
    <row r="40" spans="1:8">
      <c r="A40" s="96">
        <v>45334</v>
      </c>
      <c r="B40" t="s">
        <v>317</v>
      </c>
      <c r="C40" s="115">
        <f>E40-D40</f>
        <v>90.67999999999995</v>
      </c>
      <c r="D40" s="2">
        <v>891.32</v>
      </c>
      <c r="E40" s="115">
        <v>982</v>
      </c>
      <c r="F40" s="54"/>
      <c r="G40" s="54"/>
    </row>
    <row r="41" spans="1:8">
      <c r="B41" t="s">
        <v>135</v>
      </c>
      <c r="D41" s="2">
        <v>483.72</v>
      </c>
      <c r="E41" s="115">
        <v>483</v>
      </c>
      <c r="F41" s="54"/>
      <c r="G41" s="54"/>
    </row>
    <row r="42" spans="1:8">
      <c r="B42" t="s">
        <v>136</v>
      </c>
      <c r="C42" s="84"/>
      <c r="D42" s="2">
        <v>67.09</v>
      </c>
      <c r="E42" s="134">
        <v>67.09</v>
      </c>
      <c r="F42" s="54"/>
      <c r="G42" s="54"/>
    </row>
    <row r="43" spans="1:8">
      <c r="C43" s="84"/>
      <c r="D43" s="84"/>
      <c r="E43" s="114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137</v>
      </c>
      <c r="C47" s="70"/>
      <c r="D47" s="71"/>
      <c r="E47" s="133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14"/>
      <c r="F49" s="54"/>
      <c r="G49" s="54"/>
      <c r="H49" s="54"/>
    </row>
    <row r="50" spans="1:8">
      <c r="A50" s="73">
        <v>45043</v>
      </c>
      <c r="B50" s="84" t="s">
        <v>318</v>
      </c>
      <c r="C50" s="84">
        <v>10764.57</v>
      </c>
      <c r="D50" s="26" t="s">
        <v>143</v>
      </c>
      <c r="E50" s="114">
        <v>-1196.0899999999999</v>
      </c>
      <c r="G50" s="54"/>
      <c r="H50" s="54"/>
    </row>
    <row r="51" spans="1:8">
      <c r="A51" s="89">
        <v>45187</v>
      </c>
      <c r="B51" s="84" t="s">
        <v>194</v>
      </c>
      <c r="C51" s="84">
        <v>7648.33</v>
      </c>
      <c r="D51" s="135" t="s">
        <v>169</v>
      </c>
      <c r="E51" s="114">
        <v>-849.81</v>
      </c>
      <c r="G51" s="54"/>
      <c r="H51" s="54"/>
    </row>
    <row r="52" spans="1:8">
      <c r="A52" s="89">
        <v>45187</v>
      </c>
      <c r="B52" s="84" t="s">
        <v>271</v>
      </c>
      <c r="C52" s="84">
        <v>11128</v>
      </c>
      <c r="D52" s="135" t="s">
        <v>173</v>
      </c>
      <c r="E52" s="114">
        <v>-1854.67</v>
      </c>
      <c r="G52" s="54"/>
      <c r="H52" s="54"/>
    </row>
    <row r="53" spans="1:8" ht="15">
      <c r="D53" s="110" t="s">
        <v>242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144</v>
      </c>
      <c r="C64" s="70"/>
      <c r="D64" s="70"/>
      <c r="E64" s="136">
        <f>SUM(E65:E102)</f>
        <v>-24792.94</v>
      </c>
      <c r="F64" s="54"/>
      <c r="G64" s="54"/>
    </row>
    <row r="65" spans="1:8">
      <c r="A65" s="89"/>
      <c r="B65" s="84"/>
      <c r="C65" s="84"/>
      <c r="E65" s="114"/>
      <c r="F65" s="54"/>
      <c r="G65" s="54"/>
      <c r="H65" s="54"/>
    </row>
    <row r="66" spans="1:8">
      <c r="A66" s="89">
        <v>45187</v>
      </c>
      <c r="B66" s="84" t="s">
        <v>278</v>
      </c>
      <c r="C66" s="84"/>
      <c r="D66" t="s">
        <v>319</v>
      </c>
      <c r="E66" s="114">
        <v>-3974.44</v>
      </c>
      <c r="G66" s="54"/>
      <c r="H66" s="54"/>
    </row>
    <row r="67" spans="1:8">
      <c r="A67" s="88">
        <v>45214</v>
      </c>
      <c r="B67" t="s">
        <v>244</v>
      </c>
      <c r="D67" t="s">
        <v>320</v>
      </c>
      <c r="E67" s="114">
        <v>-600</v>
      </c>
      <c r="F67" s="54"/>
      <c r="G67" s="54"/>
      <c r="H67" s="54"/>
    </row>
    <row r="68" spans="1:8">
      <c r="A68" s="88">
        <v>45285</v>
      </c>
      <c r="B68" s="84" t="s">
        <v>186</v>
      </c>
      <c r="C68" s="84"/>
      <c r="D68" t="s">
        <v>321</v>
      </c>
      <c r="E68" s="114">
        <v>-3551.66</v>
      </c>
      <c r="F68" s="54"/>
      <c r="G68" s="54"/>
      <c r="H68" s="54"/>
    </row>
    <row r="69" spans="1:8">
      <c r="A69" s="88">
        <v>45259</v>
      </c>
      <c r="B69" t="s">
        <v>282</v>
      </c>
      <c r="C69" s="115">
        <v>-1204.5</v>
      </c>
      <c r="D69" t="s">
        <v>322</v>
      </c>
      <c r="E69" s="114">
        <v>-401.5</v>
      </c>
      <c r="F69" s="54"/>
      <c r="G69" s="54"/>
      <c r="H69" s="54"/>
    </row>
    <row r="70" spans="1:8">
      <c r="A70" s="88">
        <v>45259</v>
      </c>
      <c r="B70" t="s">
        <v>284</v>
      </c>
      <c r="C70" s="115">
        <v>-148.6</v>
      </c>
      <c r="D70" t="s">
        <v>322</v>
      </c>
      <c r="E70" s="114">
        <v>-49.53</v>
      </c>
      <c r="F70" s="54"/>
      <c r="G70" s="54"/>
      <c r="H70" s="54"/>
    </row>
    <row r="71" spans="1:8">
      <c r="A71" s="88">
        <v>45259</v>
      </c>
      <c r="B71" t="s">
        <v>285</v>
      </c>
      <c r="C71" s="115">
        <v>-244.8</v>
      </c>
      <c r="D71" t="s">
        <v>322</v>
      </c>
      <c r="E71" s="114">
        <v>-81.599999999999994</v>
      </c>
      <c r="F71" s="54"/>
      <c r="G71" s="54"/>
      <c r="H71" s="54"/>
    </row>
    <row r="72" spans="1:8">
      <c r="A72" s="88">
        <v>45259</v>
      </c>
      <c r="B72" t="s">
        <v>286</v>
      </c>
      <c r="C72" s="115">
        <v>-532.6</v>
      </c>
      <c r="D72" t="s">
        <v>322</v>
      </c>
      <c r="E72" s="114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323</v>
      </c>
      <c r="E73" s="114">
        <v>-449.5</v>
      </c>
      <c r="F73" s="54"/>
      <c r="G73" s="54"/>
      <c r="H73" s="54"/>
    </row>
    <row r="74" spans="1:8">
      <c r="A74" s="88"/>
      <c r="B74" s="84" t="s">
        <v>288</v>
      </c>
      <c r="C74" s="84"/>
      <c r="D74" t="s">
        <v>323</v>
      </c>
      <c r="E74" s="114">
        <v>-299.64</v>
      </c>
      <c r="F74" s="54"/>
      <c r="G74" s="54"/>
      <c r="H74" s="54"/>
    </row>
    <row r="75" spans="1:8">
      <c r="A75" s="88"/>
      <c r="B75" s="84" t="s">
        <v>289</v>
      </c>
      <c r="C75" s="84"/>
      <c r="D75" t="s">
        <v>323</v>
      </c>
      <c r="E75" s="114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14"/>
      <c r="F76" s="54"/>
      <c r="G76" s="54"/>
      <c r="H76" s="54"/>
    </row>
    <row r="77" spans="1:8">
      <c r="A77" s="89">
        <v>45312</v>
      </c>
      <c r="B77" s="3" t="s">
        <v>324</v>
      </c>
      <c r="C77" s="84"/>
      <c r="D77" s="84"/>
      <c r="E77" s="114">
        <v>-505</v>
      </c>
      <c r="F77" s="54"/>
      <c r="G77" s="54"/>
      <c r="H77" s="54"/>
    </row>
    <row r="78" spans="1:8">
      <c r="A78" s="89">
        <v>45312</v>
      </c>
      <c r="B78" s="3" t="s">
        <v>325</v>
      </c>
      <c r="C78" s="84"/>
      <c r="D78" s="84"/>
      <c r="E78" s="114">
        <v>-223.2</v>
      </c>
      <c r="F78" s="54"/>
      <c r="G78" s="54"/>
      <c r="H78" s="54"/>
    </row>
    <row r="79" spans="1:8">
      <c r="A79" s="89">
        <v>45310</v>
      </c>
      <c r="B79" s="3" t="s">
        <v>324</v>
      </c>
      <c r="C79" s="84"/>
      <c r="D79" s="84"/>
      <c r="E79" s="114">
        <v>-655</v>
      </c>
      <c r="F79" s="54"/>
      <c r="G79" s="54"/>
      <c r="H79" s="54"/>
    </row>
    <row r="80" spans="1:8">
      <c r="A80" s="89">
        <v>45293</v>
      </c>
      <c r="B80" s="3" t="s">
        <v>326</v>
      </c>
      <c r="C80" s="84"/>
      <c r="D80" s="84"/>
      <c r="E80" s="114">
        <v>-480</v>
      </c>
      <c r="F80" s="54"/>
      <c r="G80" s="54"/>
      <c r="H80" s="54"/>
    </row>
    <row r="81" spans="1:8">
      <c r="A81" s="89">
        <v>45293</v>
      </c>
      <c r="B81" s="3" t="s">
        <v>327</v>
      </c>
      <c r="C81" s="84"/>
      <c r="D81" s="84"/>
      <c r="E81" s="114">
        <v>-1200</v>
      </c>
      <c r="F81" s="54"/>
      <c r="G81" s="54"/>
      <c r="H81" s="54"/>
    </row>
    <row r="82" spans="1:8">
      <c r="A82" s="89">
        <v>45293</v>
      </c>
      <c r="B82" s="3" t="s">
        <v>327</v>
      </c>
      <c r="C82" s="84"/>
      <c r="D82" s="84"/>
      <c r="E82" s="114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14"/>
      <c r="F83" s="54"/>
      <c r="G83" s="54"/>
      <c r="H83" s="54"/>
    </row>
    <row r="84" spans="1:8">
      <c r="A84" s="89">
        <v>45293</v>
      </c>
      <c r="B84" s="3" t="s">
        <v>328</v>
      </c>
      <c r="C84" s="84"/>
      <c r="D84" s="84"/>
      <c r="E84" s="114">
        <v>-150</v>
      </c>
      <c r="F84" s="54"/>
      <c r="G84" s="54"/>
      <c r="H84" s="54"/>
    </row>
    <row r="85" spans="1:8">
      <c r="A85" s="89">
        <v>45291</v>
      </c>
      <c r="B85" s="3" t="s">
        <v>329</v>
      </c>
      <c r="C85" s="84"/>
      <c r="D85" s="84"/>
      <c r="E85" s="114">
        <v>-60</v>
      </c>
      <c r="F85" s="54"/>
      <c r="G85" s="54"/>
      <c r="H85" s="54"/>
    </row>
    <row r="86" spans="1:8">
      <c r="A86" s="89">
        <v>45290</v>
      </c>
      <c r="B86" s="3" t="s">
        <v>330</v>
      </c>
      <c r="C86" s="84"/>
      <c r="D86" s="84"/>
      <c r="E86" s="114">
        <v>-73</v>
      </c>
      <c r="F86" s="54"/>
      <c r="G86" s="54"/>
      <c r="H86" s="54"/>
    </row>
    <row r="87" spans="1:8">
      <c r="A87" s="89">
        <v>45290</v>
      </c>
      <c r="B87" s="3" t="s">
        <v>330</v>
      </c>
      <c r="C87" s="84"/>
      <c r="D87" s="84"/>
      <c r="E87" s="114">
        <v>-100</v>
      </c>
      <c r="F87" s="54"/>
      <c r="G87" s="54"/>
      <c r="H87" s="54"/>
    </row>
    <row r="88" spans="1:8">
      <c r="A88" s="89">
        <v>45289</v>
      </c>
      <c r="B88" s="3" t="s">
        <v>326</v>
      </c>
      <c r="C88" s="84"/>
      <c r="D88" s="84"/>
      <c r="E88" s="114">
        <v>-944</v>
      </c>
      <c r="F88" s="54"/>
      <c r="G88" s="54"/>
      <c r="H88" s="54"/>
    </row>
    <row r="89" spans="1:8">
      <c r="A89" s="89">
        <v>45288</v>
      </c>
      <c r="B89" s="3" t="s">
        <v>331</v>
      </c>
      <c r="C89" s="84"/>
      <c r="D89" s="84"/>
      <c r="E89" s="114">
        <v>-140</v>
      </c>
      <c r="F89" s="54"/>
      <c r="G89" s="54"/>
      <c r="H89" s="54"/>
    </row>
    <row r="90" spans="1:8">
      <c r="A90" s="89">
        <v>45288</v>
      </c>
      <c r="B90" s="3" t="s">
        <v>332</v>
      </c>
      <c r="C90" s="84"/>
      <c r="D90" s="84"/>
      <c r="E90" s="114">
        <v>-1570.18</v>
      </c>
      <c r="F90" s="54"/>
      <c r="G90" s="54"/>
      <c r="H90" s="54"/>
    </row>
    <row r="91" spans="1:8">
      <c r="A91" s="89">
        <v>45288</v>
      </c>
      <c r="B91" s="3" t="s">
        <v>239</v>
      </c>
      <c r="C91" s="84"/>
      <c r="D91" s="84"/>
      <c r="E91" s="114">
        <v>-169.27</v>
      </c>
      <c r="F91" s="54"/>
      <c r="G91" s="54"/>
      <c r="H91" s="54"/>
    </row>
    <row r="92" spans="1:8">
      <c r="A92" s="89">
        <v>45288</v>
      </c>
      <c r="B92" s="3" t="s">
        <v>333</v>
      </c>
      <c r="C92" s="84"/>
      <c r="D92" s="84"/>
      <c r="E92" s="114">
        <v>-800</v>
      </c>
      <c r="F92" s="54"/>
      <c r="G92" s="54"/>
      <c r="H92" s="54"/>
    </row>
    <row r="93" spans="1:8">
      <c r="A93" s="89">
        <v>45287</v>
      </c>
      <c r="B93" s="3" t="s">
        <v>239</v>
      </c>
      <c r="C93" s="84"/>
      <c r="D93" s="84"/>
      <c r="E93" s="114">
        <v>-438.05</v>
      </c>
      <c r="F93" s="54"/>
      <c r="G93" s="54"/>
      <c r="H93" s="54"/>
    </row>
    <row r="94" spans="1:8">
      <c r="A94" s="89">
        <v>45653</v>
      </c>
      <c r="B94" s="3" t="s">
        <v>334</v>
      </c>
      <c r="C94" s="84"/>
      <c r="D94" s="84">
        <v>185</v>
      </c>
      <c r="E94" s="114">
        <v>-185</v>
      </c>
      <c r="F94" s="54"/>
      <c r="G94" s="54"/>
      <c r="H94" s="54"/>
    </row>
    <row r="95" spans="1:8">
      <c r="A95" s="89">
        <v>45653</v>
      </c>
      <c r="B95" s="3" t="s">
        <v>335</v>
      </c>
      <c r="C95" s="84"/>
      <c r="D95" s="84">
        <v>25.85</v>
      </c>
      <c r="E95" s="114">
        <v>-25.85</v>
      </c>
      <c r="F95" s="54"/>
      <c r="G95" s="54"/>
      <c r="H95" s="54"/>
    </row>
    <row r="96" spans="1:8">
      <c r="A96" s="89">
        <v>45286</v>
      </c>
      <c r="B96" s="3" t="s">
        <v>336</v>
      </c>
      <c r="C96" s="84"/>
      <c r="D96" s="84"/>
      <c r="E96" s="114">
        <v>-160</v>
      </c>
      <c r="F96" s="54"/>
      <c r="G96" s="54"/>
      <c r="H96" s="54"/>
    </row>
    <row r="97" spans="1:8">
      <c r="A97" s="89">
        <v>45286</v>
      </c>
      <c r="B97" s="3" t="s">
        <v>337</v>
      </c>
      <c r="C97" s="84"/>
      <c r="D97" s="84"/>
      <c r="E97" s="114">
        <v>-300</v>
      </c>
      <c r="F97" s="54"/>
      <c r="G97" s="54"/>
      <c r="H97" s="54"/>
    </row>
    <row r="98" spans="1:8">
      <c r="A98" s="89">
        <v>45651</v>
      </c>
      <c r="B98" s="3" t="s">
        <v>338</v>
      </c>
      <c r="C98" s="84"/>
      <c r="D98" s="84">
        <v>112.64</v>
      </c>
      <c r="E98" s="114">
        <v>-112.64</v>
      </c>
      <c r="F98" s="54"/>
      <c r="G98" s="54"/>
      <c r="H98" s="54"/>
    </row>
    <row r="99" spans="1:8">
      <c r="A99" s="89"/>
      <c r="B99" s="3" t="s">
        <v>339</v>
      </c>
      <c r="C99" s="84"/>
      <c r="D99" s="84"/>
      <c r="E99" s="114">
        <v>-193</v>
      </c>
      <c r="F99" s="54"/>
      <c r="G99" s="54"/>
      <c r="H99" s="54"/>
    </row>
    <row r="100" spans="1:8">
      <c r="A100" s="89"/>
      <c r="B100" s="3" t="s">
        <v>340</v>
      </c>
      <c r="C100" s="84"/>
      <c r="D100" s="84"/>
      <c r="E100" s="114">
        <v>-5517.52</v>
      </c>
      <c r="F100" s="54"/>
      <c r="G100" s="54"/>
      <c r="H100" s="54"/>
    </row>
    <row r="101" spans="1:8">
      <c r="A101" s="89"/>
      <c r="B101" s="3" t="s">
        <v>341</v>
      </c>
      <c r="C101" s="84"/>
      <c r="D101" s="84"/>
      <c r="E101" s="114">
        <v>-105</v>
      </c>
      <c r="F101" s="54"/>
      <c r="G101" s="54"/>
      <c r="H101" s="54"/>
    </row>
    <row r="102" spans="1:8">
      <c r="A102" s="89"/>
      <c r="B102" s="3" t="s">
        <v>341</v>
      </c>
      <c r="C102" s="84"/>
      <c r="D102" s="84"/>
      <c r="E102" s="114">
        <v>-54</v>
      </c>
      <c r="F102" s="54"/>
      <c r="G102" s="54"/>
      <c r="H102" s="54"/>
    </row>
    <row r="103" spans="1:8">
      <c r="A103" s="89"/>
      <c r="B103" s="3"/>
      <c r="C103" s="137" t="s">
        <v>342</v>
      </c>
      <c r="D103" s="97">
        <f>SUM(D94:D102)</f>
        <v>323.49</v>
      </c>
      <c r="E103" s="114"/>
      <c r="F103" s="54"/>
      <c r="G103" s="54"/>
      <c r="H103" s="54"/>
    </row>
    <row r="104" spans="1:8" ht="15">
      <c r="A104" s="89"/>
      <c r="B104" s="3"/>
      <c r="C104" s="84"/>
      <c r="D104" s="110" t="s">
        <v>242</v>
      </c>
      <c r="E104" s="114"/>
      <c r="F104" s="54"/>
      <c r="G104" s="54"/>
      <c r="H104" s="54"/>
    </row>
    <row r="105" spans="1:8" ht="15">
      <c r="A105" s="89"/>
      <c r="B105" s="3"/>
      <c r="C105" s="84"/>
      <c r="D105" s="111"/>
      <c r="E105" s="114"/>
      <c r="F105" s="54"/>
      <c r="G105" s="54"/>
      <c r="H105" s="54"/>
    </row>
    <row r="106" spans="1:8" ht="15">
      <c r="A106" s="89"/>
      <c r="B106" s="3"/>
      <c r="C106" s="84"/>
      <c r="D106" s="111"/>
      <c r="E106" s="114"/>
      <c r="F106" s="54"/>
      <c r="G106" s="54"/>
      <c r="H106" s="54"/>
    </row>
    <row r="107" spans="1:8" ht="15">
      <c r="A107" s="89"/>
      <c r="B107" s="3"/>
      <c r="C107" s="84"/>
      <c r="D107" s="111"/>
      <c r="E107" s="114"/>
      <c r="F107" s="54"/>
      <c r="G107" s="54"/>
      <c r="H107" s="54"/>
    </row>
    <row r="108" spans="1:8" ht="15">
      <c r="A108" s="89"/>
      <c r="B108" s="3"/>
      <c r="C108" s="84"/>
      <c r="D108" s="111"/>
      <c r="E108" s="114"/>
      <c r="F108" s="54"/>
      <c r="G108" s="54"/>
      <c r="H108" s="54"/>
    </row>
    <row r="109" spans="1:8">
      <c r="D109" s="61"/>
    </row>
    <row r="111" spans="1:8">
      <c r="A111" s="68" t="s">
        <v>343</v>
      </c>
      <c r="B111" s="69" t="s">
        <v>72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344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252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77</v>
      </c>
      <c r="C117" s="114"/>
      <c r="D117" s="2"/>
      <c r="E117" s="62">
        <v>0</v>
      </c>
    </row>
    <row r="118" spans="1:6">
      <c r="A118" s="73">
        <f t="shared" si="1"/>
        <v>45352</v>
      </c>
      <c r="B118" t="s">
        <v>78</v>
      </c>
      <c r="C118" s="2" t="s">
        <v>345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253</v>
      </c>
      <c r="C119" s="2" t="s">
        <v>296</v>
      </c>
      <c r="D119" s="2"/>
      <c r="E119" s="62">
        <v>129254.5</v>
      </c>
    </row>
    <row r="120" spans="1:6">
      <c r="A120" s="73">
        <f t="shared" si="1"/>
        <v>45352</v>
      </c>
      <c r="B120" t="s">
        <v>297</v>
      </c>
      <c r="C120" s="2" t="s">
        <v>298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299</v>
      </c>
      <c r="C121" s="73" t="s">
        <v>346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301</v>
      </c>
      <c r="C122" s="73" t="s">
        <v>302</v>
      </c>
      <c r="D122" s="74"/>
      <c r="E122" s="62">
        <v>588.6</v>
      </c>
    </row>
    <row r="123" spans="1:6">
      <c r="A123" s="73">
        <f t="shared" si="1"/>
        <v>45352</v>
      </c>
      <c r="B123" t="s">
        <v>303</v>
      </c>
      <c r="C123" s="73"/>
      <c r="D123" s="74"/>
      <c r="E123" s="62"/>
    </row>
    <row r="124" spans="1:6">
      <c r="A124" s="73">
        <f t="shared" si="1"/>
        <v>45352</v>
      </c>
      <c r="B124" t="s">
        <v>86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304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305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257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306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4"/>
      <c r="D132" s="3"/>
      <c r="E132" s="114"/>
    </row>
    <row r="133" spans="1:6">
      <c r="C133" s="114"/>
      <c r="D133" s="61" t="s">
        <v>93</v>
      </c>
      <c r="E133" s="8">
        <f>SUM(E112:E130)</f>
        <v>809249.830357</v>
      </c>
    </row>
    <row r="134" spans="1:6">
      <c r="C134" s="116" t="str">
        <f>A111</f>
        <v>ŞUBAT</v>
      </c>
      <c r="D134" s="117" t="s">
        <v>92</v>
      </c>
      <c r="E134" s="11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4" customWidth="1"/>
    <col min="4" max="4" width="15.5703125" style="114" customWidth="1"/>
    <col min="5" max="5" width="13.140625" style="114" customWidth="1"/>
    <col min="6" max="8" width="12.28515625" style="114"/>
    <col min="1024" max="1024" width="9.140625" customWidth="1"/>
  </cols>
  <sheetData>
    <row r="1" spans="1:8">
      <c r="F1" s="114" t="s">
        <v>21</v>
      </c>
      <c r="G1" s="114" t="s">
        <v>22</v>
      </c>
      <c r="H1" s="114" t="s">
        <v>4</v>
      </c>
    </row>
    <row r="2" spans="1:8">
      <c r="A2" s="3" t="s">
        <v>94</v>
      </c>
      <c r="C2" s="114" t="s">
        <v>95</v>
      </c>
      <c r="D2" s="114">
        <f>SUM(D4:D42)</f>
        <v>340464.6</v>
      </c>
      <c r="E2" s="114">
        <f>SUM(E4:E42)</f>
        <v>-52469.760000000002</v>
      </c>
      <c r="F2" s="114">
        <f>SUM(F4:F42)</f>
        <v>194911.58000000002</v>
      </c>
      <c r="G2" s="114">
        <f>SUM(G4:G42)</f>
        <v>-66377.209999999992</v>
      </c>
      <c r="H2" s="114">
        <f>F2+G2</f>
        <v>128534.37000000002</v>
      </c>
    </row>
    <row r="3" spans="1:8">
      <c r="B3" s="61"/>
    </row>
    <row r="4" spans="1:8">
      <c r="A4" s="88">
        <v>45231</v>
      </c>
      <c r="B4" s="32" t="s">
        <v>96</v>
      </c>
      <c r="E4" s="114">
        <v>-152</v>
      </c>
      <c r="G4" s="114">
        <v>-152</v>
      </c>
      <c r="H4" s="114">
        <f t="shared" ref="H4:H45" si="0">H3+F4+G4</f>
        <v>-152</v>
      </c>
    </row>
    <row r="5" spans="1:8">
      <c r="A5" s="88"/>
      <c r="B5" t="s">
        <v>97</v>
      </c>
      <c r="E5" s="114">
        <v>-10000</v>
      </c>
      <c r="G5" s="114">
        <v>-10000</v>
      </c>
      <c r="H5" s="114">
        <f t="shared" si="0"/>
        <v>-10152</v>
      </c>
    </row>
    <row r="6" spans="1:8">
      <c r="B6" s="80" t="s">
        <v>347</v>
      </c>
      <c r="E6" s="114">
        <v>-250</v>
      </c>
      <c r="G6" s="114">
        <v>-250</v>
      </c>
      <c r="H6" s="114">
        <f t="shared" si="0"/>
        <v>-10402</v>
      </c>
    </row>
    <row r="7" spans="1:8">
      <c r="B7" s="80"/>
      <c r="H7" s="114">
        <f t="shared" si="0"/>
        <v>-10402</v>
      </c>
    </row>
    <row r="8" spans="1:8">
      <c r="B8" s="80" t="s">
        <v>113</v>
      </c>
      <c r="C8" s="114" t="s">
        <v>114</v>
      </c>
      <c r="E8" s="114">
        <v>-150</v>
      </c>
      <c r="G8" s="114">
        <v>0</v>
      </c>
      <c r="H8" s="114">
        <f t="shared" si="0"/>
        <v>-10402</v>
      </c>
    </row>
    <row r="9" spans="1:8">
      <c r="A9" s="88">
        <v>45309</v>
      </c>
      <c r="B9" s="84" t="s">
        <v>115</v>
      </c>
      <c r="C9" s="114" t="s">
        <v>114</v>
      </c>
      <c r="D9" s="114">
        <v>137.30000000000001</v>
      </c>
      <c r="E9" s="114">
        <v>-300</v>
      </c>
      <c r="G9" s="114">
        <v>-1408</v>
      </c>
      <c r="H9" s="114">
        <f t="shared" si="0"/>
        <v>-11810</v>
      </c>
    </row>
    <row r="10" spans="1:8">
      <c r="A10" s="88">
        <v>45299</v>
      </c>
      <c r="B10" s="84" t="s">
        <v>116</v>
      </c>
      <c r="C10" s="114" t="s">
        <v>114</v>
      </c>
      <c r="D10" s="114">
        <v>27.3</v>
      </c>
      <c r="E10" s="114">
        <v>-100</v>
      </c>
      <c r="G10" s="114">
        <v>0</v>
      </c>
      <c r="H10" s="114">
        <f t="shared" si="0"/>
        <v>-11810</v>
      </c>
    </row>
    <row r="11" spans="1:8">
      <c r="B11" s="80"/>
      <c r="H11" s="114">
        <f t="shared" si="0"/>
        <v>-11810</v>
      </c>
    </row>
    <row r="12" spans="1:8">
      <c r="B12" s="87" t="s">
        <v>117</v>
      </c>
      <c r="E12" s="114">
        <f>E55*-1</f>
        <v>-169.14</v>
      </c>
      <c r="G12" s="114">
        <f>E12</f>
        <v>-169.14</v>
      </c>
      <c r="H12" s="114">
        <f t="shared" si="0"/>
        <v>-11979.14</v>
      </c>
    </row>
    <row r="13" spans="1:8">
      <c r="A13" s="88"/>
      <c r="B13" s="87" t="s">
        <v>118</v>
      </c>
      <c r="E13" s="114">
        <f>E60</f>
        <v>-3961.94</v>
      </c>
      <c r="G13" s="114">
        <f>E13</f>
        <v>-3961.94</v>
      </c>
      <c r="H13" s="114">
        <f t="shared" si="0"/>
        <v>-15941.08</v>
      </c>
    </row>
    <row r="14" spans="1:8">
      <c r="A14" s="88">
        <v>45294</v>
      </c>
      <c r="B14" s="87" t="s">
        <v>119</v>
      </c>
      <c r="E14" s="114">
        <f>E77</f>
        <v>-12474.550000000001</v>
      </c>
      <c r="G14" s="114">
        <v>-12474</v>
      </c>
      <c r="H14" s="114">
        <f t="shared" si="0"/>
        <v>-28415.08</v>
      </c>
    </row>
    <row r="15" spans="1:8">
      <c r="A15" s="89">
        <v>45295</v>
      </c>
      <c r="B15" s="80" t="s">
        <v>348</v>
      </c>
      <c r="E15" s="114">
        <v>-5375</v>
      </c>
      <c r="G15" s="114">
        <f>E15</f>
        <v>-5375</v>
      </c>
      <c r="H15" s="114">
        <f t="shared" si="0"/>
        <v>-33790.080000000002</v>
      </c>
    </row>
    <row r="16" spans="1:8">
      <c r="A16" s="89"/>
      <c r="B16" s="80" t="s">
        <v>348</v>
      </c>
      <c r="E16" s="114">
        <v>-2125</v>
      </c>
      <c r="G16" s="114">
        <f>E16</f>
        <v>-2125</v>
      </c>
      <c r="H16" s="114">
        <f t="shared" si="0"/>
        <v>-35915.08</v>
      </c>
    </row>
    <row r="17" spans="1:8">
      <c r="B17" s="80" t="s">
        <v>349</v>
      </c>
      <c r="E17" s="114">
        <v>-1512.13</v>
      </c>
      <c r="G17" s="114">
        <v>-1512.13</v>
      </c>
      <c r="H17" s="114">
        <f t="shared" si="0"/>
        <v>-37427.21</v>
      </c>
    </row>
    <row r="18" spans="1:8">
      <c r="H18" s="114">
        <f t="shared" si="0"/>
        <v>-37427.21</v>
      </c>
    </row>
    <row r="19" spans="1:8">
      <c r="B19" t="s">
        <v>73</v>
      </c>
      <c r="E19" s="114">
        <v>-5000</v>
      </c>
      <c r="G19" s="114">
        <v>-4800</v>
      </c>
      <c r="H19" s="114">
        <f t="shared" si="0"/>
        <v>-42227.21</v>
      </c>
    </row>
    <row r="20" spans="1:8">
      <c r="B20" t="s">
        <v>74</v>
      </c>
      <c r="E20" s="114">
        <v>-5000</v>
      </c>
      <c r="G20" s="114">
        <v>-4800</v>
      </c>
      <c r="H20" s="114">
        <f t="shared" si="0"/>
        <v>-47027.21</v>
      </c>
    </row>
    <row r="21" spans="1:8">
      <c r="B21" t="s">
        <v>123</v>
      </c>
      <c r="E21" s="114">
        <v>-5000</v>
      </c>
      <c r="G21" s="114">
        <v>-5000</v>
      </c>
      <c r="H21" s="114">
        <f t="shared" si="0"/>
        <v>-52027.21</v>
      </c>
    </row>
    <row r="22" spans="1:8">
      <c r="B22" s="80" t="s">
        <v>98</v>
      </c>
      <c r="E22" s="114">
        <v>-400</v>
      </c>
      <c r="G22" s="114">
        <v>-230</v>
      </c>
      <c r="H22" s="114">
        <f t="shared" si="0"/>
        <v>-52257.21</v>
      </c>
    </row>
    <row r="23" spans="1:8">
      <c r="B23" s="80" t="s">
        <v>99</v>
      </c>
      <c r="E23" s="114">
        <v>-500</v>
      </c>
      <c r="G23" s="114">
        <v>-420</v>
      </c>
      <c r="H23" s="114">
        <f t="shared" si="0"/>
        <v>-52677.21</v>
      </c>
    </row>
    <row r="24" spans="1:8">
      <c r="H24" s="114">
        <f t="shared" si="0"/>
        <v>-52677.21</v>
      </c>
    </row>
    <row r="25" spans="1:8">
      <c r="A25" s="88">
        <v>45300</v>
      </c>
      <c r="B25" t="s">
        <v>350</v>
      </c>
      <c r="G25" s="114">
        <v>-5000</v>
      </c>
      <c r="H25" s="114">
        <f t="shared" si="0"/>
        <v>-57677.21</v>
      </c>
    </row>
    <row r="26" spans="1:8">
      <c r="H26" s="114">
        <f t="shared" si="0"/>
        <v>-57677.21</v>
      </c>
    </row>
    <row r="27" spans="1:8">
      <c r="B27" t="s">
        <v>124</v>
      </c>
      <c r="D27" s="128">
        <v>10000</v>
      </c>
      <c r="F27" s="128">
        <v>9611.58</v>
      </c>
      <c r="H27" s="114">
        <f t="shared" si="0"/>
        <v>-48065.63</v>
      </c>
    </row>
    <row r="28" spans="1:8">
      <c r="A28" s="89"/>
      <c r="B28" t="s">
        <v>125</v>
      </c>
      <c r="D28" s="128">
        <v>2800</v>
      </c>
      <c r="F28" s="128">
        <v>2800</v>
      </c>
      <c r="H28" s="114">
        <f t="shared" si="0"/>
        <v>-45265.63</v>
      </c>
    </row>
    <row r="29" spans="1:8">
      <c r="A29" s="73">
        <v>45293</v>
      </c>
      <c r="B29" t="s">
        <v>351</v>
      </c>
      <c r="F29" s="128">
        <v>6500</v>
      </c>
      <c r="H29" s="114">
        <f t="shared" si="0"/>
        <v>-38765.629999999997</v>
      </c>
    </row>
    <row r="30" spans="1:8">
      <c r="A30" s="89">
        <v>45328</v>
      </c>
      <c r="B30" t="s">
        <v>352</v>
      </c>
      <c r="D30" s="128">
        <v>6500</v>
      </c>
      <c r="F30" s="128"/>
      <c r="H30" s="114">
        <f t="shared" si="0"/>
        <v>-38765.629999999997</v>
      </c>
    </row>
    <row r="31" spans="1:8">
      <c r="A31" s="73">
        <v>45294</v>
      </c>
      <c r="B31" t="s">
        <v>353</v>
      </c>
      <c r="F31" s="128">
        <v>6000</v>
      </c>
      <c r="H31" s="114">
        <f t="shared" si="0"/>
        <v>-32765.629999999997</v>
      </c>
    </row>
    <row r="32" spans="1:8">
      <c r="A32" s="123"/>
      <c r="B32" s="106" t="s">
        <v>226</v>
      </c>
      <c r="C32" s="107"/>
      <c r="D32" s="107">
        <v>7000</v>
      </c>
      <c r="E32" s="107"/>
      <c r="F32" s="138"/>
      <c r="H32" s="114">
        <f t="shared" si="0"/>
        <v>-32765.629999999997</v>
      </c>
    </row>
    <row r="33" spans="1:8">
      <c r="B33" t="s">
        <v>354</v>
      </c>
      <c r="D33" s="128">
        <v>170000</v>
      </c>
      <c r="F33" s="128"/>
      <c r="H33" s="114">
        <f t="shared" si="0"/>
        <v>-32765.629999999997</v>
      </c>
    </row>
    <row r="34" spans="1:8">
      <c r="A34" s="88">
        <v>45295</v>
      </c>
      <c r="B34" t="s">
        <v>355</v>
      </c>
      <c r="F34" s="128">
        <v>120000</v>
      </c>
      <c r="H34" s="114">
        <f t="shared" si="0"/>
        <v>87234.37</v>
      </c>
    </row>
    <row r="35" spans="1:8">
      <c r="A35" s="88">
        <v>45296</v>
      </c>
      <c r="B35" t="s">
        <v>355</v>
      </c>
      <c r="F35" s="128">
        <v>26000</v>
      </c>
      <c r="H35" s="114">
        <f t="shared" si="0"/>
        <v>113234.37</v>
      </c>
    </row>
    <row r="36" spans="1:8">
      <c r="A36" s="88">
        <v>45299</v>
      </c>
      <c r="B36" t="s">
        <v>356</v>
      </c>
      <c r="F36" s="128">
        <v>24000</v>
      </c>
      <c r="H36" s="114">
        <f t="shared" si="0"/>
        <v>137234.37</v>
      </c>
    </row>
    <row r="37" spans="1:8">
      <c r="A37" s="88"/>
      <c r="B37" t="s">
        <v>357</v>
      </c>
      <c r="G37" s="114">
        <v>-4000</v>
      </c>
      <c r="H37" s="114">
        <f t="shared" si="0"/>
        <v>133234.37</v>
      </c>
    </row>
    <row r="38" spans="1:8">
      <c r="A38" s="88">
        <v>45321</v>
      </c>
      <c r="B38" t="s">
        <v>357</v>
      </c>
      <c r="G38" s="114">
        <v>-1000</v>
      </c>
      <c r="H38" s="114">
        <f t="shared" si="0"/>
        <v>132234.37</v>
      </c>
    </row>
    <row r="39" spans="1:8">
      <c r="A39" s="88"/>
      <c r="B39" t="s">
        <v>358</v>
      </c>
      <c r="G39" s="114">
        <v>-3700</v>
      </c>
      <c r="H39" s="114">
        <f t="shared" si="0"/>
        <v>128534.37</v>
      </c>
    </row>
    <row r="40" spans="1:8">
      <c r="A40" s="88"/>
      <c r="H40" s="114">
        <f t="shared" si="0"/>
        <v>128534.37</v>
      </c>
    </row>
    <row r="41" spans="1:8">
      <c r="A41" s="96">
        <v>45315</v>
      </c>
      <c r="B41" t="s">
        <v>359</v>
      </c>
      <c r="H41" s="114">
        <f t="shared" si="0"/>
        <v>128534.37</v>
      </c>
    </row>
    <row r="42" spans="1:8">
      <c r="B42" t="s">
        <v>360</v>
      </c>
      <c r="C42" s="114">
        <v>0.234011</v>
      </c>
      <c r="D42" s="114">
        <v>144000</v>
      </c>
      <c r="H42" s="114">
        <f t="shared" si="0"/>
        <v>128534.37</v>
      </c>
    </row>
    <row r="43" spans="1:8">
      <c r="A43" s="73"/>
      <c r="H43" s="114">
        <f t="shared" si="0"/>
        <v>128534.37</v>
      </c>
    </row>
    <row r="44" spans="1:8">
      <c r="A44" s="73"/>
      <c r="H44" s="114">
        <f t="shared" si="0"/>
        <v>128534.37</v>
      </c>
    </row>
    <row r="45" spans="1:8">
      <c r="H45" s="114">
        <f t="shared" si="0"/>
        <v>128534.37</v>
      </c>
    </row>
    <row r="46" spans="1:8">
      <c r="B46" t="s">
        <v>128</v>
      </c>
    </row>
    <row r="47" spans="1:8">
      <c r="A47" s="70" t="s">
        <v>129</v>
      </c>
      <c r="B47" s="70"/>
    </row>
    <row r="48" spans="1:8" s="22" customFormat="1">
      <c r="A48" s="89"/>
      <c r="C48" s="114"/>
      <c r="D48" s="114"/>
      <c r="E48" s="114"/>
      <c r="F48" s="114"/>
      <c r="G48" s="114"/>
      <c r="H48" s="114"/>
    </row>
    <row r="49" spans="1:5">
      <c r="A49" s="93">
        <v>44929</v>
      </c>
      <c r="B49" s="94" t="s">
        <v>130</v>
      </c>
      <c r="D49" s="114">
        <f>SUM(D50:D55)</f>
        <v>4772.1500000000005</v>
      </c>
      <c r="E49" s="114">
        <f>SUM(E50:E55)</f>
        <v>4742.6400000000003</v>
      </c>
    </row>
    <row r="50" spans="1:5">
      <c r="A50" s="89"/>
      <c r="B50" s="84" t="s">
        <v>131</v>
      </c>
      <c r="C50" s="114" t="s">
        <v>361</v>
      </c>
      <c r="D50" s="114">
        <v>1329.72</v>
      </c>
      <c r="E50" s="114">
        <v>1330</v>
      </c>
    </row>
    <row r="51" spans="1:5">
      <c r="B51" t="s">
        <v>362</v>
      </c>
      <c r="D51" s="114">
        <v>1282.42</v>
      </c>
      <c r="E51" s="114">
        <v>1250</v>
      </c>
    </row>
    <row r="52" spans="1:5">
      <c r="B52" t="s">
        <v>133</v>
      </c>
      <c r="D52" s="114">
        <v>298.67</v>
      </c>
      <c r="E52" s="114">
        <v>298.5</v>
      </c>
    </row>
    <row r="53" spans="1:5">
      <c r="B53" t="s">
        <v>363</v>
      </c>
      <c r="D53" s="114">
        <v>1204.3800000000001</v>
      </c>
      <c r="E53" s="114">
        <v>1205</v>
      </c>
    </row>
    <row r="54" spans="1:5">
      <c r="B54" t="s">
        <v>135</v>
      </c>
      <c r="D54" s="114">
        <v>487.82</v>
      </c>
      <c r="E54" s="114">
        <v>490</v>
      </c>
    </row>
    <row r="55" spans="1:5">
      <c r="B55" t="s">
        <v>136</v>
      </c>
      <c r="D55" s="114">
        <v>169.14</v>
      </c>
      <c r="E55" s="114">
        <v>169.14</v>
      </c>
    </row>
    <row r="58" spans="1:5">
      <c r="B58" s="62"/>
    </row>
    <row r="59" spans="1:5">
      <c r="B59" s="95"/>
    </row>
    <row r="60" spans="1:5">
      <c r="A60" s="70"/>
      <c r="B60" s="69" t="s">
        <v>137</v>
      </c>
      <c r="E60" s="114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318</v>
      </c>
      <c r="C63" s="114">
        <v>10764.57</v>
      </c>
      <c r="D63" s="114" t="s">
        <v>364</v>
      </c>
      <c r="E63" s="114">
        <v>-1196.06</v>
      </c>
    </row>
    <row r="64" spans="1:5">
      <c r="A64" s="89">
        <v>45187</v>
      </c>
      <c r="B64" s="84" t="s">
        <v>194</v>
      </c>
      <c r="C64" s="114">
        <v>7648.33</v>
      </c>
      <c r="D64" s="114" t="s">
        <v>175</v>
      </c>
      <c r="E64" s="114">
        <v>-849.81</v>
      </c>
    </row>
    <row r="65" spans="1:5">
      <c r="A65" s="89">
        <v>45187</v>
      </c>
      <c r="B65" s="84" t="s">
        <v>271</v>
      </c>
      <c r="C65" s="114">
        <v>11128</v>
      </c>
      <c r="D65" s="114" t="s">
        <v>182</v>
      </c>
      <c r="E65" s="114">
        <v>-1854.67</v>
      </c>
    </row>
    <row r="66" spans="1:5">
      <c r="A66" s="73">
        <v>44995</v>
      </c>
      <c r="B66" t="s">
        <v>365</v>
      </c>
      <c r="C66" s="114">
        <v>613.91</v>
      </c>
      <c r="D66" s="114" t="s">
        <v>366</v>
      </c>
      <c r="E66" s="114">
        <v>-61.4</v>
      </c>
    </row>
    <row r="67" spans="1:5">
      <c r="D67" s="114" t="s">
        <v>242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144</v>
      </c>
      <c r="E77" s="114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278</v>
      </c>
      <c r="D79" s="114" t="s">
        <v>367</v>
      </c>
      <c r="E79" s="114">
        <v>-3974.44</v>
      </c>
    </row>
    <row r="80" spans="1:5">
      <c r="A80" s="88">
        <v>45214</v>
      </c>
      <c r="B80" t="s">
        <v>244</v>
      </c>
      <c r="D80" s="114" t="s">
        <v>246</v>
      </c>
      <c r="E80" s="114">
        <v>-600</v>
      </c>
    </row>
    <row r="81" spans="1:5">
      <c r="A81" s="89"/>
      <c r="B81" s="3"/>
    </row>
    <row r="82" spans="1:5">
      <c r="A82" s="88">
        <v>45259</v>
      </c>
      <c r="B82" t="s">
        <v>282</v>
      </c>
      <c r="C82" s="114">
        <v>-1204.5</v>
      </c>
      <c r="D82" s="114" t="s">
        <v>368</v>
      </c>
      <c r="E82" s="114">
        <v>-401.5</v>
      </c>
    </row>
    <row r="83" spans="1:5">
      <c r="A83" s="88">
        <v>45259</v>
      </c>
      <c r="B83" t="s">
        <v>284</v>
      </c>
      <c r="C83" s="114">
        <v>-148.6</v>
      </c>
      <c r="D83" s="114" t="s">
        <v>368</v>
      </c>
      <c r="E83" s="114">
        <v>-49.53</v>
      </c>
    </row>
    <row r="84" spans="1:5">
      <c r="A84" s="88">
        <v>45259</v>
      </c>
      <c r="B84" t="s">
        <v>285</v>
      </c>
      <c r="C84" s="114">
        <v>-244.8</v>
      </c>
      <c r="D84" s="114" t="s">
        <v>368</v>
      </c>
      <c r="E84" s="114">
        <v>-81.599999999999994</v>
      </c>
    </row>
    <row r="85" spans="1:5">
      <c r="A85" s="88">
        <v>45259</v>
      </c>
      <c r="B85" t="s">
        <v>286</v>
      </c>
      <c r="C85" s="114">
        <v>-532.6</v>
      </c>
      <c r="D85" s="114" t="s">
        <v>368</v>
      </c>
      <c r="E85" s="114">
        <v>-177.53</v>
      </c>
    </row>
    <row r="86" spans="1:5">
      <c r="A86" s="88">
        <v>45285</v>
      </c>
      <c r="B86" s="84" t="s">
        <v>186</v>
      </c>
    </row>
    <row r="87" spans="1:5">
      <c r="A87" s="89"/>
      <c r="B87" s="3" t="s">
        <v>369</v>
      </c>
      <c r="C87" s="114">
        <v>109.92</v>
      </c>
    </row>
    <row r="88" spans="1:5">
      <c r="A88" s="89">
        <v>45283</v>
      </c>
      <c r="B88" s="3" t="s">
        <v>324</v>
      </c>
      <c r="E88" s="114">
        <v>-90</v>
      </c>
    </row>
    <row r="89" spans="1:5">
      <c r="A89" s="89">
        <v>45283</v>
      </c>
      <c r="B89" s="3" t="s">
        <v>232</v>
      </c>
      <c r="C89" s="114">
        <f>E89</f>
        <v>-105.12</v>
      </c>
      <c r="E89" s="114">
        <v>-105.12</v>
      </c>
    </row>
    <row r="90" spans="1:5">
      <c r="A90" s="89">
        <v>45282</v>
      </c>
      <c r="B90" s="3" t="s">
        <v>232</v>
      </c>
      <c r="C90" s="114">
        <f>E90</f>
        <v>-58.63</v>
      </c>
      <c r="E90" s="114">
        <v>-58.63</v>
      </c>
    </row>
    <row r="91" spans="1:5">
      <c r="A91" s="89">
        <v>45281</v>
      </c>
      <c r="B91" s="3" t="s">
        <v>324</v>
      </c>
      <c r="E91" s="114">
        <v>-110</v>
      </c>
    </row>
    <row r="92" spans="1:5">
      <c r="A92" s="89">
        <v>45281</v>
      </c>
      <c r="B92" s="3" t="s">
        <v>232</v>
      </c>
      <c r="C92" s="114">
        <f>E92</f>
        <v>-70</v>
      </c>
      <c r="E92" s="114">
        <v>-70</v>
      </c>
    </row>
    <row r="93" spans="1:5">
      <c r="A93" s="89">
        <v>45281</v>
      </c>
      <c r="B93" s="3" t="s">
        <v>232</v>
      </c>
      <c r="C93" s="114">
        <f>E93</f>
        <v>-76.66</v>
      </c>
      <c r="E93" s="114">
        <v>-76.66</v>
      </c>
    </row>
    <row r="94" spans="1:5">
      <c r="A94" s="89">
        <v>45279</v>
      </c>
      <c r="B94" s="3" t="s">
        <v>370</v>
      </c>
      <c r="E94" s="114">
        <v>-260</v>
      </c>
    </row>
    <row r="95" spans="1:5">
      <c r="A95" s="89">
        <v>45278</v>
      </c>
      <c r="B95" s="3" t="s">
        <v>232</v>
      </c>
      <c r="C95" s="114">
        <f>E95</f>
        <v>-370</v>
      </c>
      <c r="E95" s="114">
        <v>-370</v>
      </c>
    </row>
    <row r="96" spans="1:5">
      <c r="A96" s="89">
        <v>45276</v>
      </c>
      <c r="B96" s="3" t="s">
        <v>371</v>
      </c>
      <c r="E96" s="114">
        <v>-300</v>
      </c>
    </row>
    <row r="97" spans="1:5">
      <c r="A97" s="89">
        <v>45276</v>
      </c>
      <c r="B97" s="3" t="s">
        <v>232</v>
      </c>
      <c r="C97" s="114">
        <f>E97</f>
        <v>-250</v>
      </c>
      <c r="E97" s="114">
        <v>-250</v>
      </c>
    </row>
    <row r="98" spans="1:5">
      <c r="A98" s="89">
        <v>45275</v>
      </c>
      <c r="B98" s="3" t="s">
        <v>372</v>
      </c>
      <c r="E98" s="114">
        <v>-470</v>
      </c>
    </row>
    <row r="99" spans="1:5">
      <c r="A99" s="89">
        <v>45275</v>
      </c>
      <c r="B99" s="3" t="s">
        <v>373</v>
      </c>
      <c r="E99" s="114">
        <v>-285</v>
      </c>
    </row>
    <row r="100" spans="1:5">
      <c r="A100" s="89">
        <v>45274</v>
      </c>
      <c r="B100" s="3" t="s">
        <v>232</v>
      </c>
      <c r="C100" s="114">
        <f>E100</f>
        <v>-150</v>
      </c>
      <c r="E100" s="114">
        <v>-150</v>
      </c>
    </row>
    <row r="101" spans="1:5">
      <c r="A101" s="89">
        <v>45272</v>
      </c>
      <c r="B101" s="3" t="s">
        <v>374</v>
      </c>
      <c r="E101" s="114">
        <v>-1108.1500000000001</v>
      </c>
    </row>
    <row r="102" spans="1:5">
      <c r="A102" s="89">
        <v>45271</v>
      </c>
      <c r="B102" s="3" t="s">
        <v>232</v>
      </c>
      <c r="C102" s="114">
        <f>E102</f>
        <v>-150</v>
      </c>
      <c r="E102" s="114">
        <v>-150</v>
      </c>
    </row>
    <row r="103" spans="1:5">
      <c r="A103" s="89">
        <v>45270</v>
      </c>
      <c r="B103" s="3" t="s">
        <v>375</v>
      </c>
      <c r="E103" s="114">
        <v>-1551.29</v>
      </c>
    </row>
    <row r="104" spans="1:5">
      <c r="A104" s="89">
        <v>45270</v>
      </c>
      <c r="B104" s="3" t="s">
        <v>376</v>
      </c>
      <c r="E104" s="114">
        <v>-315.10000000000002</v>
      </c>
    </row>
    <row r="105" spans="1:5">
      <c r="A105" s="89">
        <v>45267</v>
      </c>
      <c r="B105" s="3" t="s">
        <v>324</v>
      </c>
      <c r="E105" s="114">
        <v>-300</v>
      </c>
    </row>
    <row r="106" spans="1:5">
      <c r="A106" s="89">
        <v>45266</v>
      </c>
      <c r="B106" s="3" t="s">
        <v>232</v>
      </c>
      <c r="C106" s="114">
        <f>E106</f>
        <v>-200</v>
      </c>
      <c r="E106" s="114">
        <v>-200</v>
      </c>
    </row>
    <row r="107" spans="1:5">
      <c r="A107" s="89">
        <v>45265</v>
      </c>
      <c r="B107" s="3" t="s">
        <v>232</v>
      </c>
      <c r="C107" s="114">
        <f>E107</f>
        <v>-200</v>
      </c>
      <c r="E107" s="114">
        <v>-200</v>
      </c>
    </row>
    <row r="108" spans="1:5">
      <c r="A108" s="89">
        <v>45264</v>
      </c>
      <c r="B108" s="3" t="s">
        <v>3</v>
      </c>
      <c r="D108" s="114">
        <v>11990.16</v>
      </c>
    </row>
    <row r="109" spans="1:5">
      <c r="A109" s="89">
        <v>45260</v>
      </c>
      <c r="B109" s="3" t="s">
        <v>232</v>
      </c>
      <c r="C109" s="114">
        <f>E109</f>
        <v>-200</v>
      </c>
      <c r="E109" s="114">
        <v>-200</v>
      </c>
    </row>
    <row r="110" spans="1:5">
      <c r="A110" s="88">
        <v>45257</v>
      </c>
      <c r="B110" s="3" t="s">
        <v>232</v>
      </c>
      <c r="C110" s="114">
        <f>E110</f>
        <v>-250</v>
      </c>
      <c r="E110" s="114">
        <v>-250</v>
      </c>
    </row>
    <row r="111" spans="1:5">
      <c r="A111" s="88">
        <v>45255</v>
      </c>
      <c r="B111" s="3" t="s">
        <v>232</v>
      </c>
      <c r="C111" s="114">
        <f>E111</f>
        <v>-160</v>
      </c>
      <c r="E111" s="114">
        <v>-160</v>
      </c>
    </row>
    <row r="112" spans="1:5">
      <c r="A112" s="88">
        <v>45254</v>
      </c>
      <c r="B112" s="3" t="s">
        <v>232</v>
      </c>
      <c r="C112" s="114">
        <f>E112</f>
        <v>-160</v>
      </c>
      <c r="E112" s="114">
        <v>-160</v>
      </c>
    </row>
    <row r="113" spans="1:5">
      <c r="D113" s="114" t="s">
        <v>242</v>
      </c>
    </row>
    <row r="114" spans="1:5">
      <c r="B114" s="61" t="s">
        <v>243</v>
      </c>
      <c r="C114" s="114">
        <f>SUM(C89:C113)</f>
        <v>-2400.41</v>
      </c>
    </row>
    <row r="118" spans="1:5">
      <c r="A118" s="68" t="s">
        <v>377</v>
      </c>
      <c r="B118" s="69" t="s">
        <v>72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378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252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77</v>
      </c>
      <c r="D124" s="2"/>
      <c r="E124" s="62">
        <v>0</v>
      </c>
    </row>
    <row r="125" spans="1:5">
      <c r="A125" s="73">
        <v>45327</v>
      </c>
      <c r="B125" t="s">
        <v>78</v>
      </c>
      <c r="C125" s="2" t="s">
        <v>379</v>
      </c>
      <c r="D125" s="2"/>
      <c r="E125" s="62">
        <v>132120.79</v>
      </c>
    </row>
    <row r="126" spans="1:5">
      <c r="A126" s="73">
        <f>A125</f>
        <v>45327</v>
      </c>
      <c r="B126" t="s">
        <v>380</v>
      </c>
      <c r="C126" s="2"/>
      <c r="D126" s="2"/>
      <c r="E126" s="62">
        <v>0</v>
      </c>
    </row>
    <row r="127" spans="1:5">
      <c r="A127" s="73">
        <v>45327</v>
      </c>
      <c r="B127" t="s">
        <v>381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382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86</v>
      </c>
      <c r="C129" s="2"/>
      <c r="D129" s="2"/>
      <c r="E129" s="62">
        <v>500</v>
      </c>
    </row>
    <row r="130" spans="1:5">
      <c r="A130" s="73">
        <v>45327</v>
      </c>
      <c r="B130" t="s">
        <v>383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384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257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385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91</v>
      </c>
      <c r="C135" s="2"/>
      <c r="D135" s="2"/>
      <c r="E135" s="62">
        <v>250</v>
      </c>
    </row>
    <row r="136" spans="1:5">
      <c r="C136" s="116" t="str">
        <f>A118</f>
        <v>OCAK</v>
      </c>
      <c r="D136" s="117" t="s">
        <v>92</v>
      </c>
      <c r="E136" s="118">
        <f>H2</f>
        <v>128534.37000000002</v>
      </c>
    </row>
    <row r="137" spans="1:5">
      <c r="D137" s="3"/>
    </row>
    <row r="138" spans="1:5">
      <c r="D138" s="61" t="s">
        <v>93</v>
      </c>
      <c r="E138" s="8">
        <f>SUM(E119:E135)</f>
        <v>813151.51</v>
      </c>
    </row>
    <row r="140" spans="1:5">
      <c r="B140" t="s">
        <v>386</v>
      </c>
    </row>
    <row r="141" spans="1:5">
      <c r="A141" s="96">
        <v>45317</v>
      </c>
      <c r="B141" t="s">
        <v>387</v>
      </c>
      <c r="C141" s="114">
        <v>12500</v>
      </c>
      <c r="D141" s="114" t="s">
        <v>388</v>
      </c>
      <c r="E141" s="114">
        <v>10000</v>
      </c>
    </row>
    <row r="142" spans="1:5">
      <c r="B142" t="s">
        <v>387</v>
      </c>
      <c r="C142" s="114">
        <v>13400</v>
      </c>
      <c r="D142" s="114" t="s">
        <v>86</v>
      </c>
      <c r="E142" s="114">
        <v>25000</v>
      </c>
    </row>
    <row r="143" spans="1:5">
      <c r="B143" t="s">
        <v>387</v>
      </c>
      <c r="C143" s="114">
        <v>13700</v>
      </c>
      <c r="D143" s="114" t="s">
        <v>389</v>
      </c>
      <c r="E143" s="114">
        <v>10400</v>
      </c>
    </row>
    <row r="144" spans="1:5">
      <c r="B144" t="s">
        <v>387</v>
      </c>
      <c r="C144" s="114">
        <v>5800</v>
      </c>
      <c r="D144" s="114">
        <f>SUM(C141:C144)</f>
        <v>45400</v>
      </c>
      <c r="E144" s="114">
        <f>SUM(E141:E143)</f>
        <v>45400</v>
      </c>
    </row>
    <row r="146" spans="2:4">
      <c r="B146" t="s">
        <v>390</v>
      </c>
      <c r="C146" s="114">
        <v>14400</v>
      </c>
    </row>
    <row r="147" spans="2:4">
      <c r="B147" t="s">
        <v>391</v>
      </c>
      <c r="C147" s="114">
        <v>2800</v>
      </c>
      <c r="D147" s="114">
        <f>SUM(C146:C147)</f>
        <v>17200</v>
      </c>
    </row>
    <row r="148" spans="2:4">
      <c r="B148" t="s">
        <v>392</v>
      </c>
      <c r="C148" s="114">
        <v>200</v>
      </c>
    </row>
    <row r="149" spans="2:4">
      <c r="C149" s="114">
        <f>SUM(C141:C148)</f>
        <v>62800</v>
      </c>
      <c r="D149" s="11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39">
        <v>0.23538400000000001</v>
      </c>
      <c r="L1" s="140">
        <f>1-K1</f>
        <v>0.76461599999999996</v>
      </c>
      <c r="M1" s="141"/>
      <c r="N1" s="78" t="s">
        <v>20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42" t="s">
        <v>393</v>
      </c>
      <c r="L2" s="143" t="s">
        <v>394</v>
      </c>
      <c r="M2" s="21" t="s">
        <v>25</v>
      </c>
      <c r="N2" s="78">
        <f>F26/1000</f>
        <v>356.02226999999999</v>
      </c>
    </row>
    <row r="3" spans="1:14">
      <c r="A3" s="22" t="s">
        <v>26</v>
      </c>
      <c r="B3" s="144">
        <f>'01_23'!D2</f>
        <v>13261</v>
      </c>
      <c r="C3" s="145">
        <f>'01_23'!E2</f>
        <v>-22808.309999999998</v>
      </c>
      <c r="D3" s="146">
        <f>B3+C3</f>
        <v>-9547.3099999999977</v>
      </c>
      <c r="E3" s="144">
        <f>'01_23'!F2</f>
        <v>8049.2</v>
      </c>
      <c r="F3" s="145">
        <f>'01_23'!G2</f>
        <v>-23047.62</v>
      </c>
      <c r="G3" s="147">
        <f>E3+F3</f>
        <v>-14998.419999999998</v>
      </c>
      <c r="H3" s="25"/>
      <c r="I3" s="26" t="s">
        <v>27</v>
      </c>
      <c r="J3" s="22">
        <v>78</v>
      </c>
      <c r="K3" s="148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28</v>
      </c>
      <c r="B4" s="144">
        <f>'02_23'!D2</f>
        <v>15761</v>
      </c>
      <c r="C4" s="145">
        <f>'02_23'!E2</f>
        <v>-56286.92</v>
      </c>
      <c r="D4" s="146">
        <f t="shared" ref="D4:D14" si="0">B4+C4+D3</f>
        <v>-50073.229999999996</v>
      </c>
      <c r="E4" s="144">
        <f>'02_23'!F2</f>
        <v>26990.010000000002</v>
      </c>
      <c r="F4" s="145">
        <f>'02_23'!G2</f>
        <v>-77441.489999999991</v>
      </c>
      <c r="G4" s="147">
        <f t="shared" ref="G4:G14" si="1">E4+F4+G3</f>
        <v>-65449.899999999987</v>
      </c>
      <c r="H4" s="25"/>
      <c r="I4" s="26" t="s">
        <v>29</v>
      </c>
      <c r="J4" s="22">
        <v>83.16</v>
      </c>
      <c r="K4" s="148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30</v>
      </c>
      <c r="B5" s="144">
        <f>'03_23'!D2</f>
        <v>88189</v>
      </c>
      <c r="C5" s="145">
        <f>'03_23'!E2</f>
        <v>-24634.690000000002</v>
      </c>
      <c r="D5" s="146">
        <f t="shared" si="0"/>
        <v>13481.080000000002</v>
      </c>
      <c r="E5" s="144">
        <f>'03_23'!F2</f>
        <v>23139.34</v>
      </c>
      <c r="F5" s="145">
        <f>'03_23'!G2</f>
        <v>-33283.54</v>
      </c>
      <c r="G5" s="147">
        <f t="shared" si="1"/>
        <v>-75594.099999999991</v>
      </c>
      <c r="H5" s="25"/>
      <c r="I5" s="26" t="s">
        <v>31</v>
      </c>
      <c r="J5" s="22">
        <v>33</v>
      </c>
      <c r="K5" s="148"/>
      <c r="L5" s="28"/>
      <c r="M5" s="29">
        <v>33</v>
      </c>
      <c r="N5" s="78">
        <f>'03_23'!E111/1000</f>
        <v>310.9323</v>
      </c>
    </row>
    <row r="6" spans="1:14">
      <c r="A6" s="22" t="s">
        <v>32</v>
      </c>
      <c r="B6" s="144">
        <f>'04_23'!D2</f>
        <v>20911</v>
      </c>
      <c r="C6" s="145">
        <f>'04_23'!E2</f>
        <v>-54277.093000000001</v>
      </c>
      <c r="D6" s="146">
        <f t="shared" si="0"/>
        <v>-19885.012999999999</v>
      </c>
      <c r="E6" s="144">
        <f>'04_23'!F2</f>
        <v>72630</v>
      </c>
      <c r="F6" s="145">
        <f>'04_23'!G2</f>
        <v>-58332.79</v>
      </c>
      <c r="G6" s="147">
        <f t="shared" si="1"/>
        <v>-61296.889999999992</v>
      </c>
      <c r="H6" s="25"/>
      <c r="I6" s="32" t="s">
        <v>33</v>
      </c>
      <c r="K6" s="149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34</v>
      </c>
      <c r="B7" s="144">
        <f>'05_23'!D2</f>
        <v>17911</v>
      </c>
      <c r="C7" s="145">
        <f>'05_23'!E2</f>
        <v>-20977.52</v>
      </c>
      <c r="D7" s="146">
        <f t="shared" si="0"/>
        <v>-22951.532999999999</v>
      </c>
      <c r="E7" s="144">
        <f>'05_23'!F2</f>
        <v>19800</v>
      </c>
      <c r="F7" s="145">
        <f>'05_23'!G2</f>
        <v>-25248.52</v>
      </c>
      <c r="G7" s="147">
        <f t="shared" si="1"/>
        <v>-66745.409999999989</v>
      </c>
      <c r="H7" s="25"/>
      <c r="I7" s="32" t="s">
        <v>35</v>
      </c>
      <c r="K7" s="148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36</v>
      </c>
      <c r="B8" s="144">
        <f>'06_23'!D2</f>
        <v>28744</v>
      </c>
      <c r="C8" s="145">
        <f>'06_23'!E2</f>
        <v>-26572.629999999997</v>
      </c>
      <c r="D8" s="146">
        <f t="shared" si="0"/>
        <v>-20780.162999999997</v>
      </c>
      <c r="E8" s="144">
        <f>'06_23'!F2</f>
        <v>33133</v>
      </c>
      <c r="F8" s="145">
        <f>'06_23'!G2</f>
        <v>-28830.22</v>
      </c>
      <c r="G8" s="147">
        <f t="shared" si="1"/>
        <v>-62442.62999999999</v>
      </c>
      <c r="H8" s="25"/>
      <c r="I8" s="26" t="s">
        <v>37</v>
      </c>
      <c r="J8" s="22">
        <v>150</v>
      </c>
      <c r="K8" s="148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38</v>
      </c>
      <c r="B9" s="144">
        <f>'07_23'!D2</f>
        <v>67911</v>
      </c>
      <c r="C9" s="145">
        <f>'07_23'!E2</f>
        <v>-35277.64</v>
      </c>
      <c r="D9" s="146">
        <f t="shared" si="0"/>
        <v>11853.197000000004</v>
      </c>
      <c r="E9" s="144">
        <f>'07_23'!F2</f>
        <v>70250</v>
      </c>
      <c r="F9" s="145">
        <f>'07_23'!G2</f>
        <v>-42110.31</v>
      </c>
      <c r="G9" s="147">
        <f t="shared" si="1"/>
        <v>-34302.939999999988</v>
      </c>
      <c r="H9" s="25"/>
      <c r="I9" s="26" t="s">
        <v>39</v>
      </c>
      <c r="J9" s="22">
        <v>96</v>
      </c>
      <c r="K9" s="148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40</v>
      </c>
      <c r="B10" s="144">
        <f>'08_23'!D2</f>
        <v>87911</v>
      </c>
      <c r="C10" s="145">
        <f>'08_23'!E2</f>
        <v>-32079.01</v>
      </c>
      <c r="D10" s="146">
        <f t="shared" si="0"/>
        <v>67685.187000000005</v>
      </c>
      <c r="E10" s="144">
        <f>'08_23'!F2</f>
        <v>16800</v>
      </c>
      <c r="F10" s="145">
        <f>'08_23'!G2</f>
        <v>-37135.350000000006</v>
      </c>
      <c r="G10" s="147">
        <f t="shared" si="1"/>
        <v>-54638.289999999994</v>
      </c>
      <c r="H10" s="25"/>
      <c r="I10" s="26" t="s">
        <v>41</v>
      </c>
      <c r="J10" s="22">
        <v>100</v>
      </c>
      <c r="K10" s="148"/>
      <c r="L10" s="31"/>
      <c r="M10" s="29">
        <v>10</v>
      </c>
      <c r="N10" s="78">
        <f>'08_23'!E111/1000</f>
        <v>399.80056999999999</v>
      </c>
    </row>
    <row r="11" spans="1:14">
      <c r="A11" s="22" t="s">
        <v>42</v>
      </c>
      <c r="B11" s="144">
        <f>'09_23'!D2</f>
        <v>133300</v>
      </c>
      <c r="C11" s="145">
        <f>'09_23'!E2</f>
        <v>-31871.02</v>
      </c>
      <c r="D11" s="146">
        <f t="shared" si="0"/>
        <v>169114.16700000002</v>
      </c>
      <c r="E11" s="144">
        <f>'09_23'!F2</f>
        <v>257800</v>
      </c>
      <c r="F11" s="145">
        <f>'09_23'!G2</f>
        <v>-34914.910000000003</v>
      </c>
      <c r="G11" s="147">
        <f t="shared" si="1"/>
        <v>168246.8</v>
      </c>
      <c r="H11" s="25"/>
      <c r="I11" s="26" t="s">
        <v>43</v>
      </c>
      <c r="J11" s="22">
        <v>96</v>
      </c>
      <c r="K11" s="148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44</v>
      </c>
      <c r="B12" s="144">
        <f>'10_23'!D2</f>
        <v>32800</v>
      </c>
      <c r="C12" s="145">
        <f>'10_23'!E2</f>
        <v>-44478.170000000006</v>
      </c>
      <c r="D12" s="146">
        <f t="shared" si="0"/>
        <v>157435.997</v>
      </c>
      <c r="E12" s="144">
        <f>'10_23'!F2</f>
        <v>23200</v>
      </c>
      <c r="F12" s="145">
        <f>'10_23'!G2</f>
        <v>-43968.17</v>
      </c>
      <c r="G12" s="147">
        <f t="shared" si="1"/>
        <v>147478.63</v>
      </c>
      <c r="H12" s="25"/>
      <c r="I12" s="26" t="s">
        <v>45</v>
      </c>
      <c r="J12" s="22">
        <v>84</v>
      </c>
      <c r="K12" s="148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46</v>
      </c>
      <c r="B13" s="144">
        <f>'11_23'!D2</f>
        <v>262800</v>
      </c>
      <c r="C13" s="145">
        <f>'11_23'!E2</f>
        <v>-98843.11</v>
      </c>
      <c r="D13" s="146">
        <f t="shared" si="0"/>
        <v>321392.88699999999</v>
      </c>
      <c r="E13" s="144">
        <f>'11_23'!F2</f>
        <v>177687.06</v>
      </c>
      <c r="F13" s="145">
        <f>'11_23'!G2</f>
        <v>-242504.11</v>
      </c>
      <c r="G13" s="147">
        <f t="shared" si="1"/>
        <v>82661.580000000016</v>
      </c>
      <c r="H13" s="25"/>
      <c r="I13" s="26" t="s">
        <v>47</v>
      </c>
      <c r="J13" s="22">
        <v>135</v>
      </c>
      <c r="K13" s="148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48</v>
      </c>
      <c r="B14" s="144">
        <f>'12_23'!D2</f>
        <v>22800</v>
      </c>
      <c r="C14" s="145">
        <f>'12_23'!E2</f>
        <v>-38101.83</v>
      </c>
      <c r="D14" s="146">
        <f t="shared" si="0"/>
        <v>306091.05699999997</v>
      </c>
      <c r="E14" s="144">
        <f>'12_23'!F2</f>
        <v>16232.529999999999</v>
      </c>
      <c r="F14" s="145">
        <f>'12_23'!G2</f>
        <v>-41854.230000000003</v>
      </c>
      <c r="G14" s="147">
        <f t="shared" si="1"/>
        <v>57039.880000000012</v>
      </c>
      <c r="H14" s="25"/>
      <c r="I14" s="26" t="s">
        <v>49</v>
      </c>
      <c r="J14" s="22"/>
      <c r="K14" s="148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50</v>
      </c>
      <c r="B15" s="150">
        <f>SUM(B3:B14)</f>
        <v>792299</v>
      </c>
      <c r="C15" s="151">
        <f>SUM(C3:C14)</f>
        <v>-486207.94300000003</v>
      </c>
      <c r="D15" s="152">
        <f>B15+C15</f>
        <v>306091.05699999997</v>
      </c>
      <c r="E15" s="150">
        <f>SUM(E3:E14)</f>
        <v>745711.14000000013</v>
      </c>
      <c r="F15" s="151">
        <f>SUM(F3:F14)</f>
        <v>-688671.26</v>
      </c>
      <c r="G15" s="152">
        <f>E15+F15</f>
        <v>57039.880000000121</v>
      </c>
      <c r="H15" s="25"/>
      <c r="I15" s="153"/>
      <c r="J15" s="153">
        <f>SUM(J3:J14)</f>
        <v>855.16</v>
      </c>
      <c r="K15" s="154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5"/>
      <c r="J16" s="46">
        <f>J15/12</f>
        <v>71.263333333333335</v>
      </c>
      <c r="K16" s="156">
        <f>K15/12</f>
        <v>9.6931131199999996</v>
      </c>
      <c r="L16" s="157">
        <f>L15/12</f>
        <v>31.486886880000004</v>
      </c>
      <c r="M16" s="158">
        <f>M15/12</f>
        <v>20.803423333333331</v>
      </c>
      <c r="N16" s="159">
        <f>AVERAGE(N2:N15)</f>
        <v>418.25000730769227</v>
      </c>
    </row>
    <row r="17" spans="2:13">
      <c r="C17" s="2"/>
      <c r="D17" s="2"/>
      <c r="G17" s="54"/>
      <c r="H17" s="54"/>
      <c r="I17" s="26"/>
      <c r="L17" s="160" t="s">
        <v>395</v>
      </c>
      <c r="M17" s="161">
        <f>L15+M15</f>
        <v>627.48372256000005</v>
      </c>
    </row>
    <row r="18" spans="2:13" ht="15">
      <c r="D18" s="55" t="s">
        <v>51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2" t="s">
        <v>396</v>
      </c>
      <c r="M18" s="57">
        <f>M17/12</f>
        <v>52.290310213333335</v>
      </c>
    </row>
    <row r="19" spans="2:13" ht="15">
      <c r="C19" s="58"/>
      <c r="D19" s="59" t="s">
        <v>53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397</v>
      </c>
    </row>
    <row r="20" spans="2:13" ht="15">
      <c r="C20" s="58"/>
      <c r="D20" s="59" t="s">
        <v>398</v>
      </c>
      <c r="E20" s="60">
        <v>7000</v>
      </c>
      <c r="G20" s="65"/>
    </row>
    <row r="21" spans="2:13" ht="14.25">
      <c r="D21" s="61" t="s">
        <v>54</v>
      </c>
      <c r="E21" s="62">
        <f>SUM(E18:E20)</f>
        <v>91141.08</v>
      </c>
      <c r="F21" s="67">
        <f>SUM(F18:F19)</f>
        <v>6986.25</v>
      </c>
      <c r="G21" s="67" t="s">
        <v>399</v>
      </c>
    </row>
    <row r="26" spans="2:13">
      <c r="B26" s="70"/>
      <c r="C26" s="69" t="s">
        <v>400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73</v>
      </c>
      <c r="F27">
        <v>32000</v>
      </c>
    </row>
    <row r="28" spans="2:13">
      <c r="B28" s="89">
        <v>45291</v>
      </c>
      <c r="C28" t="s">
        <v>74</v>
      </c>
      <c r="F28">
        <v>40000</v>
      </c>
    </row>
    <row r="29" spans="2:13">
      <c r="B29" s="89">
        <v>45291</v>
      </c>
      <c r="C29" t="s">
        <v>75</v>
      </c>
      <c r="F29">
        <v>40162.18</v>
      </c>
    </row>
    <row r="30" spans="2:13">
      <c r="B30" s="89">
        <v>45291</v>
      </c>
      <c r="C30" t="s">
        <v>76</v>
      </c>
      <c r="F30">
        <v>44912.09</v>
      </c>
    </row>
    <row r="31" spans="2:13">
      <c r="B31" s="89">
        <v>45291</v>
      </c>
      <c r="C31" t="s">
        <v>146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148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149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3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401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402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403</v>
      </c>
      <c r="F5" s="62"/>
      <c r="G5" s="2">
        <f t="shared" si="0"/>
        <v>-1000</v>
      </c>
    </row>
    <row r="6" spans="2:7">
      <c r="B6" s="1">
        <v>44873</v>
      </c>
      <c r="C6" t="s">
        <v>404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402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405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402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406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407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408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408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409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410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411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412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263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413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414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263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415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416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417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418</v>
      </c>
      <c r="E25" s="2">
        <v>2258</v>
      </c>
      <c r="F25" s="62"/>
      <c r="G25" s="2">
        <f t="shared" si="0"/>
        <v>1535.9999999999993</v>
      </c>
    </row>
    <row r="26" spans="2:7">
      <c r="C26" t="s">
        <v>419</v>
      </c>
      <c r="E26" s="2">
        <v>613</v>
      </c>
      <c r="F26" s="4"/>
      <c r="G26" s="2">
        <f t="shared" si="0"/>
        <v>2148.9999999999991</v>
      </c>
    </row>
    <row r="27" spans="2:7">
      <c r="C27" t="s">
        <v>420</v>
      </c>
      <c r="E27" s="2">
        <v>720</v>
      </c>
      <c r="F27" s="4"/>
      <c r="G27" s="2">
        <f t="shared" si="0"/>
        <v>2868.9999999999991</v>
      </c>
    </row>
    <row r="28" spans="2:7">
      <c r="C28" t="s">
        <v>421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423</v>
      </c>
      <c r="E30" s="2">
        <v>2650</v>
      </c>
      <c r="F30" s="4"/>
      <c r="G30" s="2">
        <f t="shared" si="0"/>
        <v>3982.9999999999991</v>
      </c>
    </row>
    <row r="31" spans="2:7">
      <c r="C31" t="s">
        <v>424</v>
      </c>
      <c r="E31" s="2">
        <v>1356</v>
      </c>
      <c r="F31" s="4"/>
      <c r="G31" s="2">
        <f t="shared" si="0"/>
        <v>5338.9999999999991</v>
      </c>
    </row>
    <row r="32" spans="2:7">
      <c r="C32" t="s">
        <v>424</v>
      </c>
      <c r="E32" s="2">
        <v>869</v>
      </c>
      <c r="F32" s="4"/>
      <c r="G32" s="2">
        <f t="shared" si="0"/>
        <v>6207.9999999999991</v>
      </c>
    </row>
    <row r="33" spans="2:7">
      <c r="C33" t="s">
        <v>425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426</v>
      </c>
      <c r="F34" s="4">
        <v>3450</v>
      </c>
      <c r="G34" s="2">
        <f t="shared" si="0"/>
        <v>2757.9999999999991</v>
      </c>
    </row>
    <row r="35" spans="2:7">
      <c r="C35" t="s">
        <v>427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428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4">
        <v>45168</v>
      </c>
      <c r="D39" s="61" t="s">
        <v>429</v>
      </c>
      <c r="E39" s="2">
        <f>SUM(E3:E37)</f>
        <v>23894</v>
      </c>
      <c r="F39" s="62">
        <f>SUM(F3:F37)</f>
        <v>22836</v>
      </c>
      <c r="G39" s="165">
        <f>E39-F39</f>
        <v>1058</v>
      </c>
    </row>
    <row r="41" spans="2:7">
      <c r="B41" s="1">
        <v>45179</v>
      </c>
      <c r="C41" t="s">
        <v>430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432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433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434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435</v>
      </c>
      <c r="E46" s="2">
        <v>573</v>
      </c>
      <c r="G46" s="2">
        <f t="shared" si="1"/>
        <v>4931</v>
      </c>
    </row>
    <row r="47" spans="2:7">
      <c r="C47" t="s">
        <v>436</v>
      </c>
      <c r="D47">
        <v>1500</v>
      </c>
      <c r="G47" s="2">
        <f t="shared" si="1"/>
        <v>4931</v>
      </c>
    </row>
    <row r="48" spans="2:7">
      <c r="C48" t="s">
        <v>437</v>
      </c>
      <c r="E48" s="2">
        <v>1207</v>
      </c>
      <c r="G48" s="2">
        <f t="shared" si="1"/>
        <v>6138</v>
      </c>
    </row>
    <row r="49" spans="2:7">
      <c r="C49" t="s">
        <v>438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439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440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441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442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443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444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375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6">
        <f t="shared" si="1"/>
        <v>1072</v>
      </c>
    </row>
    <row r="59" spans="2:7">
      <c r="G59" s="167"/>
    </row>
    <row r="60" spans="2:7" ht="15">
      <c r="C60" s="168" t="s">
        <v>445</v>
      </c>
      <c r="D60" s="169">
        <f>SUM(D3:D36)+SUM(D41:D52)</f>
        <v>5271</v>
      </c>
      <c r="E60" s="169">
        <f>SUM(E3:E36)+SUM(E41:E56)</f>
        <v>37708</v>
      </c>
      <c r="F60" s="169">
        <f>SUM(F3:F36)+SUM(F41:F56)</f>
        <v>36636</v>
      </c>
      <c r="G60" s="170">
        <f>E60-F60</f>
        <v>1072</v>
      </c>
    </row>
    <row r="61" spans="2:7">
      <c r="D61" s="171" t="s">
        <v>446</v>
      </c>
      <c r="E61" s="172" t="s">
        <v>447</v>
      </c>
      <c r="F61" s="172" t="s">
        <v>448</v>
      </c>
      <c r="G61" s="173" t="s">
        <v>448</v>
      </c>
    </row>
    <row r="62" spans="2:7">
      <c r="D62" s="171" t="s">
        <v>449</v>
      </c>
      <c r="E62" s="172" t="s">
        <v>450</v>
      </c>
      <c r="F62" s="172" t="s">
        <v>451</v>
      </c>
      <c r="G62" s="174" t="s">
        <v>452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5" customWidth="1"/>
    <col min="5" max="5" width="12" style="115" customWidth="1"/>
    <col min="6" max="6" width="12.5703125" style="115" customWidth="1"/>
    <col min="7" max="7" width="4.140625" style="175" customWidth="1"/>
    <col min="8" max="8" width="11.85546875" style="115" customWidth="1"/>
    <col min="9" max="9" width="15.5703125" style="115" customWidth="1"/>
    <col min="10" max="10" width="9.140625" customWidth="1"/>
  </cols>
  <sheetData>
    <row r="2" spans="2:9">
      <c r="C2" s="176" t="s">
        <v>453</v>
      </c>
    </row>
    <row r="3" spans="2:9">
      <c r="D3" s="177" t="s">
        <v>454</v>
      </c>
      <c r="E3" s="114" t="s">
        <v>455</v>
      </c>
      <c r="F3" s="177" t="s">
        <v>456</v>
      </c>
      <c r="G3" s="178"/>
      <c r="I3" s="177" t="s">
        <v>457</v>
      </c>
    </row>
    <row r="4" spans="2:9">
      <c r="D4" s="177" t="s">
        <v>458</v>
      </c>
      <c r="E4" s="114" t="s">
        <v>459</v>
      </c>
      <c r="F4" s="177" t="s">
        <v>458</v>
      </c>
      <c r="G4" s="178"/>
      <c r="I4" s="177" t="s">
        <v>459</v>
      </c>
    </row>
    <row r="5" spans="2:9" ht="14.25">
      <c r="E5" s="179">
        <v>119305.95</v>
      </c>
      <c r="F5" s="179"/>
      <c r="G5" s="180"/>
      <c r="H5" s="181" t="s">
        <v>460</v>
      </c>
      <c r="I5" s="182">
        <f>NZN_23!I8*-1</f>
        <v>119305.95484700002</v>
      </c>
    </row>
    <row r="6" spans="2:9" ht="14.25">
      <c r="H6" s="183" t="s">
        <v>461</v>
      </c>
      <c r="I6" s="184">
        <f>I23*-1</f>
        <v>39967</v>
      </c>
    </row>
    <row r="7" spans="2:9" ht="14.25">
      <c r="I7" s="184">
        <f>I6+I5</f>
        <v>159272.95484700002</v>
      </c>
    </row>
    <row r="8" spans="2:9">
      <c r="B8" s="73">
        <v>45295</v>
      </c>
      <c r="C8" t="s">
        <v>462</v>
      </c>
      <c r="D8" s="114">
        <v>10000</v>
      </c>
      <c r="E8" s="115">
        <f>I7-D8</f>
        <v>149272.95484700002</v>
      </c>
      <c r="F8" s="185">
        <v>10000</v>
      </c>
      <c r="G8" s="186"/>
      <c r="H8" s="187" t="s">
        <v>463</v>
      </c>
      <c r="I8" s="187">
        <f t="shared" ref="I8:I19" si="0">I7-F8</f>
        <v>149272.95484700002</v>
      </c>
    </row>
    <row r="9" spans="2:9">
      <c r="B9" s="73">
        <v>45324</v>
      </c>
      <c r="C9" t="s">
        <v>462</v>
      </c>
      <c r="D9" s="114">
        <v>10000</v>
      </c>
      <c r="E9" s="115">
        <f t="shared" ref="E9:E19" si="1">E8-D9</f>
        <v>139272.95484700002</v>
      </c>
      <c r="F9" s="185">
        <v>10000</v>
      </c>
      <c r="H9" s="187" t="s">
        <v>463</v>
      </c>
      <c r="I9" s="115">
        <f t="shared" si="0"/>
        <v>139272.95484700002</v>
      </c>
    </row>
    <row r="10" spans="2:9">
      <c r="B10" s="73">
        <v>45352</v>
      </c>
      <c r="D10" s="114">
        <v>10000</v>
      </c>
      <c r="E10" s="115">
        <f t="shared" si="1"/>
        <v>129272.95484700002</v>
      </c>
      <c r="I10" s="115">
        <f t="shared" si="0"/>
        <v>139272.95484700002</v>
      </c>
    </row>
    <row r="11" spans="2:9">
      <c r="B11" s="73">
        <v>45383</v>
      </c>
      <c r="D11" s="114">
        <v>10000</v>
      </c>
      <c r="E11" s="115">
        <f t="shared" si="1"/>
        <v>119272.95484700002</v>
      </c>
      <c r="I11" s="115">
        <f t="shared" si="0"/>
        <v>139272.95484700002</v>
      </c>
    </row>
    <row r="12" spans="2:9">
      <c r="B12" s="73">
        <v>45413</v>
      </c>
      <c r="D12" s="114">
        <v>10000</v>
      </c>
      <c r="E12" s="115">
        <f t="shared" si="1"/>
        <v>109272.95484700002</v>
      </c>
      <c r="I12" s="115">
        <f t="shared" si="0"/>
        <v>139272.95484700002</v>
      </c>
    </row>
    <row r="13" spans="2:9">
      <c r="B13" s="73">
        <v>45444</v>
      </c>
      <c r="D13" s="114">
        <v>10000</v>
      </c>
      <c r="E13" s="115">
        <f t="shared" si="1"/>
        <v>99272.954847000015</v>
      </c>
      <c r="I13" s="115">
        <f t="shared" si="0"/>
        <v>139272.95484700002</v>
      </c>
    </row>
    <row r="14" spans="2:9">
      <c r="B14" s="73">
        <v>45474</v>
      </c>
      <c r="D14" s="114">
        <v>10000</v>
      </c>
      <c r="E14" s="115">
        <f t="shared" si="1"/>
        <v>89272.954847000015</v>
      </c>
      <c r="I14" s="115">
        <f t="shared" si="0"/>
        <v>139272.95484700002</v>
      </c>
    </row>
    <row r="15" spans="2:9">
      <c r="B15" s="73">
        <v>45505</v>
      </c>
      <c r="D15" s="114">
        <v>10000</v>
      </c>
      <c r="E15" s="115">
        <f t="shared" si="1"/>
        <v>79272.954847000015</v>
      </c>
      <c r="I15" s="115">
        <f t="shared" si="0"/>
        <v>139272.95484700002</v>
      </c>
    </row>
    <row r="16" spans="2:9">
      <c r="B16" s="73">
        <v>45536</v>
      </c>
      <c r="D16" s="114">
        <v>10000</v>
      </c>
      <c r="E16" s="115">
        <f t="shared" si="1"/>
        <v>69272.954847000015</v>
      </c>
      <c r="I16" s="115">
        <f t="shared" si="0"/>
        <v>139272.95484700002</v>
      </c>
    </row>
    <row r="17" spans="2:11">
      <c r="B17" s="73">
        <v>45566</v>
      </c>
      <c r="D17" s="114">
        <v>10000</v>
      </c>
      <c r="E17" s="115">
        <f t="shared" si="1"/>
        <v>59272.954847000015</v>
      </c>
      <c r="I17" s="115">
        <f t="shared" si="0"/>
        <v>139272.95484700002</v>
      </c>
    </row>
    <row r="18" spans="2:11">
      <c r="B18" s="73">
        <v>45597</v>
      </c>
      <c r="D18" s="114">
        <v>10000</v>
      </c>
      <c r="E18" s="115">
        <f t="shared" si="1"/>
        <v>49272.954847000015</v>
      </c>
      <c r="I18" s="115">
        <f t="shared" si="0"/>
        <v>139272.95484700002</v>
      </c>
    </row>
    <row r="19" spans="2:11">
      <c r="B19" s="73">
        <v>45627</v>
      </c>
      <c r="D19" s="114">
        <v>10000</v>
      </c>
      <c r="E19" s="115">
        <f t="shared" si="1"/>
        <v>39272.954847000015</v>
      </c>
      <c r="I19" s="115">
        <f t="shared" si="0"/>
        <v>139272.95484700002</v>
      </c>
    </row>
    <row r="20" spans="2:11">
      <c r="D20" s="114"/>
    </row>
    <row r="21" spans="2:11" ht="15.75">
      <c r="C21" s="188" t="s">
        <v>464</v>
      </c>
      <c r="E21" s="189">
        <v>0.2351</v>
      </c>
      <c r="F21" s="189">
        <f>1-E21</f>
        <v>0.76490000000000002</v>
      </c>
    </row>
    <row r="22" spans="2:11">
      <c r="B22" s="190" t="s">
        <v>465</v>
      </c>
      <c r="C22" s="190" t="s">
        <v>466</v>
      </c>
      <c r="D22" s="191" t="s">
        <v>467</v>
      </c>
      <c r="E22" s="192" t="s">
        <v>468</v>
      </c>
      <c r="F22" s="191" t="s">
        <v>469</v>
      </c>
      <c r="G22" s="193" t="s">
        <v>470</v>
      </c>
      <c r="H22" s="191" t="s">
        <v>471</v>
      </c>
      <c r="I22" s="191" t="s">
        <v>472</v>
      </c>
    </row>
    <row r="23" spans="2:11">
      <c r="B23" s="194"/>
      <c r="C23" s="195" t="s">
        <v>473</v>
      </c>
      <c r="D23" s="196">
        <f>SUBTOTAL(109,D24:D37)</f>
        <v>331000</v>
      </c>
      <c r="E23" s="196">
        <f>SUBTOTAL(109,$E$24:$E$37)</f>
        <v>170000</v>
      </c>
      <c r="F23" s="196">
        <f>SUM(F24:F37)</f>
        <v>-37851.1</v>
      </c>
      <c r="G23" s="197"/>
      <c r="H23" s="196">
        <f>SUBTOTAL(109,$H$24:$H$37)</f>
        <v>-39967</v>
      </c>
      <c r="I23" s="196">
        <f>I24</f>
        <v>-39967</v>
      </c>
      <c r="K23" s="198"/>
    </row>
    <row r="24" spans="2:11">
      <c r="B24" s="199">
        <v>45656</v>
      </c>
      <c r="C24" t="s">
        <v>474</v>
      </c>
      <c r="E24" s="114">
        <f t="shared" ref="E24:E37" si="2">IF(G24=1,$D24,0)</f>
        <v>0</v>
      </c>
      <c r="F24" s="200">
        <f t="shared" ref="F24:F37" si="3">IF(G24=0,D24*$E$21*-1,0)</f>
        <v>0</v>
      </c>
      <c r="G24" s="201">
        <v>0</v>
      </c>
      <c r="H24" s="114">
        <f t="shared" ref="H24:H37" si="4">IF(G24=1,D24*$E$21*-1,0)</f>
        <v>0</v>
      </c>
      <c r="I24" s="115">
        <f t="shared" ref="I24:I36" si="5">I25+H24</f>
        <v>-39967</v>
      </c>
      <c r="K24" s="198"/>
    </row>
    <row r="25" spans="2:11">
      <c r="B25" s="202"/>
      <c r="C25" s="203"/>
      <c r="D25" s="204"/>
      <c r="E25" s="114">
        <f t="shared" si="2"/>
        <v>0</v>
      </c>
      <c r="F25" s="200">
        <f t="shared" si="3"/>
        <v>0</v>
      </c>
      <c r="G25" s="201">
        <v>0</v>
      </c>
      <c r="H25" s="114">
        <f t="shared" si="4"/>
        <v>0</v>
      </c>
      <c r="I25" s="115">
        <f t="shared" si="5"/>
        <v>-39967</v>
      </c>
    </row>
    <row r="26" spans="2:11">
      <c r="B26" s="205"/>
      <c r="C26" s="206"/>
      <c r="D26" s="207"/>
      <c r="E26" s="114">
        <f t="shared" si="2"/>
        <v>0</v>
      </c>
      <c r="F26" s="200">
        <f t="shared" si="3"/>
        <v>0</v>
      </c>
      <c r="G26" s="201">
        <v>0</v>
      </c>
      <c r="H26" s="114">
        <f t="shared" si="4"/>
        <v>0</v>
      </c>
      <c r="I26" s="115">
        <f t="shared" si="5"/>
        <v>-39967</v>
      </c>
    </row>
    <row r="27" spans="2:11">
      <c r="B27" s="205"/>
      <c r="C27" s="206"/>
      <c r="D27" s="207"/>
      <c r="E27" s="114">
        <f t="shared" si="2"/>
        <v>0</v>
      </c>
      <c r="F27" s="200">
        <f t="shared" si="3"/>
        <v>0</v>
      </c>
      <c r="G27" s="201">
        <v>0</v>
      </c>
      <c r="H27" s="114">
        <f t="shared" si="4"/>
        <v>0</v>
      </c>
      <c r="I27" s="115">
        <f t="shared" si="5"/>
        <v>-39967</v>
      </c>
    </row>
    <row r="28" spans="2:11">
      <c r="B28" s="202"/>
      <c r="C28" s="203"/>
      <c r="D28" s="204"/>
      <c r="E28" s="114">
        <f t="shared" si="2"/>
        <v>0</v>
      </c>
      <c r="F28" s="200">
        <f t="shared" si="3"/>
        <v>0</v>
      </c>
      <c r="G28" s="201">
        <v>0</v>
      </c>
      <c r="H28" s="114">
        <f t="shared" si="4"/>
        <v>0</v>
      </c>
      <c r="I28" s="115">
        <f t="shared" si="5"/>
        <v>-39967</v>
      </c>
    </row>
    <row r="29" spans="2:11">
      <c r="B29" s="202"/>
      <c r="C29" s="203" t="s">
        <v>475</v>
      </c>
      <c r="D29" s="204"/>
      <c r="E29" s="114">
        <f t="shared" si="2"/>
        <v>0</v>
      </c>
      <c r="F29" s="200">
        <f t="shared" si="3"/>
        <v>0</v>
      </c>
      <c r="G29" s="201">
        <v>0</v>
      </c>
      <c r="H29" s="114">
        <f t="shared" si="4"/>
        <v>0</v>
      </c>
      <c r="I29" s="115">
        <f t="shared" si="5"/>
        <v>-39967</v>
      </c>
    </row>
    <row r="30" spans="2:11">
      <c r="B30" s="202"/>
      <c r="C30" s="203"/>
      <c r="D30" s="204"/>
      <c r="E30" s="114">
        <f t="shared" si="2"/>
        <v>0</v>
      </c>
      <c r="F30" s="200">
        <f t="shared" si="3"/>
        <v>0</v>
      </c>
      <c r="G30" s="201">
        <v>0</v>
      </c>
      <c r="H30" s="114">
        <f t="shared" si="4"/>
        <v>0</v>
      </c>
      <c r="I30" s="115">
        <f t="shared" si="5"/>
        <v>-39967</v>
      </c>
    </row>
    <row r="31" spans="2:11">
      <c r="B31" s="202"/>
      <c r="C31" s="203"/>
      <c r="D31" s="204"/>
      <c r="E31" s="114">
        <f t="shared" si="2"/>
        <v>0</v>
      </c>
      <c r="F31" s="200">
        <f t="shared" si="3"/>
        <v>0</v>
      </c>
      <c r="G31" s="201">
        <v>0</v>
      </c>
      <c r="H31" s="114">
        <f t="shared" si="4"/>
        <v>0</v>
      </c>
      <c r="I31" s="115">
        <f t="shared" si="5"/>
        <v>-39967</v>
      </c>
    </row>
    <row r="32" spans="2:11">
      <c r="B32" s="205"/>
      <c r="C32" s="206"/>
      <c r="D32" s="207"/>
      <c r="E32" s="114">
        <f t="shared" si="2"/>
        <v>0</v>
      </c>
      <c r="F32" s="200">
        <f t="shared" si="3"/>
        <v>0</v>
      </c>
      <c r="G32" s="201">
        <v>0</v>
      </c>
      <c r="H32" s="114">
        <f t="shared" si="4"/>
        <v>0</v>
      </c>
      <c r="I32" s="115">
        <f t="shared" si="5"/>
        <v>-39967</v>
      </c>
    </row>
    <row r="33" spans="2:11">
      <c r="B33" s="199">
        <v>45321</v>
      </c>
      <c r="C33" s="208" t="s">
        <v>476</v>
      </c>
      <c r="D33" s="209">
        <v>7000</v>
      </c>
      <c r="E33" s="114">
        <f t="shared" si="2"/>
        <v>0</v>
      </c>
      <c r="F33" s="200">
        <f t="shared" si="3"/>
        <v>-1645.7</v>
      </c>
      <c r="G33" s="201">
        <v>0</v>
      </c>
      <c r="H33" s="114">
        <f t="shared" si="4"/>
        <v>0</v>
      </c>
      <c r="I33" s="115">
        <f t="shared" si="5"/>
        <v>-39967</v>
      </c>
    </row>
    <row r="34" spans="2:11">
      <c r="B34" s="205"/>
      <c r="C34" s="206" t="s">
        <v>477</v>
      </c>
      <c r="D34" s="207">
        <v>24000</v>
      </c>
      <c r="E34" s="114">
        <f t="shared" si="2"/>
        <v>24000</v>
      </c>
      <c r="F34" s="200">
        <f t="shared" si="3"/>
        <v>0</v>
      </c>
      <c r="G34" s="201">
        <v>1</v>
      </c>
      <c r="H34" s="114">
        <f t="shared" si="4"/>
        <v>-5642.4</v>
      </c>
      <c r="I34" s="115">
        <f t="shared" si="5"/>
        <v>-39967</v>
      </c>
    </row>
    <row r="35" spans="2:11">
      <c r="B35" s="205">
        <v>45296</v>
      </c>
      <c r="C35" s="206" t="s">
        <v>478</v>
      </c>
      <c r="D35" s="207">
        <v>26000</v>
      </c>
      <c r="E35" s="114">
        <f t="shared" si="2"/>
        <v>26000</v>
      </c>
      <c r="F35" s="200">
        <f t="shared" si="3"/>
        <v>0</v>
      </c>
      <c r="G35" s="201">
        <v>1</v>
      </c>
      <c r="H35" s="114">
        <f t="shared" si="4"/>
        <v>-6112.6</v>
      </c>
      <c r="I35" s="115">
        <f t="shared" si="5"/>
        <v>-34324.6</v>
      </c>
    </row>
    <row r="36" spans="2:11">
      <c r="B36" s="202">
        <v>45295</v>
      </c>
      <c r="C36" s="206" t="s">
        <v>478</v>
      </c>
      <c r="D36" s="204">
        <v>120000</v>
      </c>
      <c r="E36" s="114">
        <f t="shared" si="2"/>
        <v>120000</v>
      </c>
      <c r="F36" s="200">
        <f t="shared" si="3"/>
        <v>0</v>
      </c>
      <c r="G36" s="201">
        <v>1</v>
      </c>
      <c r="H36" s="114">
        <f t="shared" si="4"/>
        <v>-28212</v>
      </c>
      <c r="I36" s="115">
        <f t="shared" si="5"/>
        <v>-28212</v>
      </c>
    </row>
    <row r="37" spans="2:11">
      <c r="B37" s="205">
        <v>45292</v>
      </c>
      <c r="C37" s="206" t="s">
        <v>360</v>
      </c>
      <c r="D37" s="210">
        <v>154000</v>
      </c>
      <c r="E37" s="114">
        <f t="shared" si="2"/>
        <v>0</v>
      </c>
      <c r="F37" s="200">
        <f t="shared" si="3"/>
        <v>-36205.4</v>
      </c>
      <c r="G37" s="211">
        <v>0</v>
      </c>
      <c r="H37" s="114">
        <f t="shared" si="4"/>
        <v>0</v>
      </c>
      <c r="I37" s="115">
        <f>H37</f>
        <v>0</v>
      </c>
    </row>
    <row r="40" spans="2:11">
      <c r="D40" s="114" t="s">
        <v>479</v>
      </c>
      <c r="E40" s="115" t="s">
        <v>480</v>
      </c>
      <c r="F40" s="115" t="s">
        <v>481</v>
      </c>
      <c r="H40" s="212"/>
      <c r="I40" s="212"/>
      <c r="J40" s="213"/>
    </row>
    <row r="41" spans="2:11" ht="15.75">
      <c r="C41" t="s">
        <v>482</v>
      </c>
      <c r="D41" s="214">
        <v>1</v>
      </c>
      <c r="E41" s="215">
        <f>1-F41</f>
        <v>0.76490000000000002</v>
      </c>
      <c r="F41" s="215">
        <f>E21</f>
        <v>0.2351</v>
      </c>
    </row>
    <row r="42" spans="2:11">
      <c r="C42" t="s">
        <v>483</v>
      </c>
      <c r="D42" s="216">
        <f>$D$23*D41</f>
        <v>331000</v>
      </c>
      <c r="E42" s="217">
        <f>$D$23*E41</f>
        <v>253181.9</v>
      </c>
      <c r="F42" s="217">
        <f>$D$23*F41</f>
        <v>77818.100000000006</v>
      </c>
    </row>
    <row r="43" spans="2:11">
      <c r="C43" t="s">
        <v>484</v>
      </c>
      <c r="D43" s="114">
        <f>E43+F43</f>
        <v>170000</v>
      </c>
      <c r="E43" s="115">
        <f>F43/F41*E41</f>
        <v>130033</v>
      </c>
      <c r="F43" s="115">
        <f>$I$23*-1</f>
        <v>39967</v>
      </c>
      <c r="K43" s="54"/>
    </row>
    <row r="44" spans="2:11">
      <c r="C44" t="s">
        <v>485</v>
      </c>
      <c r="D44" s="114">
        <f>D42-D43</f>
        <v>161000</v>
      </c>
      <c r="E44" s="115">
        <f>E42-E43</f>
        <v>123148.9</v>
      </c>
      <c r="F44" s="115">
        <f>F42-F43</f>
        <v>37851.100000000006</v>
      </c>
      <c r="K44" s="54"/>
    </row>
    <row r="45" spans="2:11">
      <c r="D45" s="218"/>
      <c r="E45" s="218"/>
      <c r="F45" s="218"/>
      <c r="K45" s="54"/>
    </row>
    <row r="46" spans="2:11">
      <c r="K46" s="54"/>
    </row>
    <row r="47" spans="2:11">
      <c r="D47" s="177" t="s">
        <v>486</v>
      </c>
      <c r="E47" s="177" t="s">
        <v>487</v>
      </c>
      <c r="F47" s="177" t="s">
        <v>488</v>
      </c>
      <c r="K47" s="54"/>
    </row>
    <row r="48" spans="2:11">
      <c r="E48" s="219"/>
      <c r="K48" s="54"/>
    </row>
    <row r="49" spans="3:6">
      <c r="C49" s="54" t="s">
        <v>395</v>
      </c>
      <c r="D49" s="115">
        <f>E43</f>
        <v>130033</v>
      </c>
      <c r="E49" s="115">
        <v>2.5000000000000001E-2</v>
      </c>
      <c r="F49" s="11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6" t="s">
        <v>453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88" t="s">
        <v>464</v>
      </c>
      <c r="E5" s="220">
        <v>0.2351</v>
      </c>
      <c r="F5" s="220">
        <f>1-E5</f>
        <v>0.76490000000000002</v>
      </c>
      <c r="I5" s="54"/>
    </row>
    <row r="6" spans="2:11">
      <c r="B6" s="22" t="s">
        <v>465</v>
      </c>
      <c r="C6" s="22" t="s">
        <v>466</v>
      </c>
      <c r="D6" s="26" t="s">
        <v>467</v>
      </c>
      <c r="E6" s="126" t="s">
        <v>468</v>
      </c>
      <c r="F6" s="26" t="s">
        <v>469</v>
      </c>
      <c r="G6" s="221" t="s">
        <v>470</v>
      </c>
      <c r="H6" s="26" t="s">
        <v>471</v>
      </c>
      <c r="I6" s="222" t="s">
        <v>472</v>
      </c>
    </row>
    <row r="7" spans="2:11">
      <c r="K7" s="198"/>
    </row>
    <row r="8" spans="2:11" ht="15.75">
      <c r="B8" s="199">
        <v>45290</v>
      </c>
      <c r="C8" t="s">
        <v>474</v>
      </c>
      <c r="D8">
        <v>-5843.55</v>
      </c>
      <c r="E8" s="76">
        <f t="shared" ref="E8:E25" si="0">IF(G8=1,$D8,0)</f>
        <v>-5843.55</v>
      </c>
      <c r="F8" s="223">
        <f t="shared" ref="F8:F25" si="1">IF(G8=0,D8*$E$5*-1,0)</f>
        <v>0</v>
      </c>
      <c r="G8" s="224">
        <v>1</v>
      </c>
      <c r="H8" s="76">
        <f t="shared" ref="H8:H25" si="2">IF(G8=1,D8*$E$5*-1,0)</f>
        <v>1373.8186050000002</v>
      </c>
      <c r="I8" s="225">
        <f t="shared" ref="I8:I25" si="3">I9+H8</f>
        <v>-119305.95484700002</v>
      </c>
      <c r="K8" s="198"/>
    </row>
    <row r="9" spans="2:11">
      <c r="B9" s="226">
        <v>45290</v>
      </c>
      <c r="C9" s="227" t="s">
        <v>489</v>
      </c>
      <c r="D9" s="228">
        <v>135000</v>
      </c>
      <c r="E9" s="76">
        <f t="shared" si="0"/>
        <v>135000</v>
      </c>
      <c r="F9" s="223">
        <f t="shared" si="1"/>
        <v>0</v>
      </c>
      <c r="G9" s="224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29">
        <v>45260</v>
      </c>
      <c r="C10" s="230" t="s">
        <v>490</v>
      </c>
      <c r="D10" s="231"/>
      <c r="E10" s="232">
        <f t="shared" si="0"/>
        <v>0</v>
      </c>
      <c r="F10" s="233">
        <f t="shared" si="1"/>
        <v>0</v>
      </c>
      <c r="G10" s="234">
        <v>0</v>
      </c>
      <c r="H10" s="232">
        <f t="shared" si="2"/>
        <v>0</v>
      </c>
      <c r="I10" s="231">
        <f t="shared" si="3"/>
        <v>-88941.273452000009</v>
      </c>
    </row>
    <row r="11" spans="2:11">
      <c r="B11" s="226">
        <v>45236</v>
      </c>
      <c r="C11" s="227" t="s">
        <v>491</v>
      </c>
      <c r="D11" s="228">
        <v>15887.06</v>
      </c>
      <c r="E11" s="76">
        <f t="shared" si="0"/>
        <v>15887.06</v>
      </c>
      <c r="F11" s="223">
        <f t="shared" si="1"/>
        <v>0</v>
      </c>
      <c r="G11" s="224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6">
        <v>45195</v>
      </c>
      <c r="C12" s="227" t="s">
        <v>492</v>
      </c>
      <c r="D12" s="228">
        <v>84000</v>
      </c>
      <c r="E12" s="76">
        <f t="shared" si="0"/>
        <v>84000</v>
      </c>
      <c r="F12" s="223">
        <f t="shared" si="1"/>
        <v>0</v>
      </c>
      <c r="G12" s="224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6">
        <v>45229</v>
      </c>
      <c r="C13" s="227" t="s">
        <v>493</v>
      </c>
      <c r="D13" s="228">
        <v>10000</v>
      </c>
      <c r="E13" s="76">
        <f t="shared" si="0"/>
        <v>10000</v>
      </c>
      <c r="F13" s="223">
        <f t="shared" si="1"/>
        <v>0</v>
      </c>
      <c r="G13" s="224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6">
        <v>45194</v>
      </c>
      <c r="C14" s="227" t="s">
        <v>493</v>
      </c>
      <c r="D14" s="228">
        <v>3000</v>
      </c>
      <c r="E14" s="76">
        <f t="shared" si="0"/>
        <v>3000</v>
      </c>
      <c r="F14" s="223">
        <f t="shared" si="1"/>
        <v>0</v>
      </c>
      <c r="G14" s="224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6">
        <v>45192</v>
      </c>
      <c r="C15" s="227" t="s">
        <v>493</v>
      </c>
      <c r="D15" s="228">
        <v>83000</v>
      </c>
      <c r="E15" s="76">
        <f t="shared" si="0"/>
        <v>83000</v>
      </c>
      <c r="F15" s="223">
        <f t="shared" si="1"/>
        <v>0</v>
      </c>
      <c r="G15" s="224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199">
        <v>45321</v>
      </c>
      <c r="C16" s="208" t="s">
        <v>476</v>
      </c>
      <c r="D16" s="151">
        <v>7000</v>
      </c>
      <c r="E16" s="76">
        <f t="shared" si="0"/>
        <v>0</v>
      </c>
      <c r="F16" s="223">
        <f t="shared" si="1"/>
        <v>-1645.7</v>
      </c>
      <c r="G16" s="224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6">
        <v>45290</v>
      </c>
      <c r="C17" s="227" t="s">
        <v>494</v>
      </c>
      <c r="D17" s="228">
        <v>6000</v>
      </c>
      <c r="E17" s="76">
        <f t="shared" si="0"/>
        <v>6000</v>
      </c>
      <c r="F17" s="223">
        <f t="shared" si="1"/>
        <v>0</v>
      </c>
      <c r="G17" s="224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6">
        <v>45260</v>
      </c>
      <c r="C18" s="227" t="s">
        <v>495</v>
      </c>
      <c r="D18" s="228">
        <v>6000</v>
      </c>
      <c r="E18" s="76">
        <f t="shared" si="0"/>
        <v>6000</v>
      </c>
      <c r="F18" s="223">
        <f t="shared" si="1"/>
        <v>0</v>
      </c>
      <c r="G18" s="224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6">
        <v>45229</v>
      </c>
      <c r="C19" s="227" t="s">
        <v>496</v>
      </c>
      <c r="D19" s="228">
        <v>6000</v>
      </c>
      <c r="E19" s="76">
        <f t="shared" si="0"/>
        <v>6000</v>
      </c>
      <c r="F19" s="223">
        <f t="shared" si="1"/>
        <v>0</v>
      </c>
      <c r="G19" s="224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6">
        <v>45199</v>
      </c>
      <c r="C20" s="227" t="s">
        <v>476</v>
      </c>
      <c r="D20" s="228">
        <v>6000</v>
      </c>
      <c r="E20" s="76">
        <f t="shared" si="0"/>
        <v>6000</v>
      </c>
      <c r="F20" s="223">
        <f t="shared" si="1"/>
        <v>0</v>
      </c>
      <c r="G20" s="224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6">
        <v>45171</v>
      </c>
      <c r="C21" s="227" t="s">
        <v>476</v>
      </c>
      <c r="D21" s="228">
        <v>65000</v>
      </c>
      <c r="E21" s="76">
        <f t="shared" si="0"/>
        <v>65000</v>
      </c>
      <c r="F21" s="223">
        <f t="shared" si="1"/>
        <v>0</v>
      </c>
      <c r="G21" s="224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6">
        <v>45122</v>
      </c>
      <c r="C22" s="227" t="s">
        <v>497</v>
      </c>
      <c r="D22" s="228">
        <v>50000</v>
      </c>
      <c r="E22" s="76">
        <f t="shared" si="0"/>
        <v>50000</v>
      </c>
      <c r="F22" s="223">
        <f t="shared" si="1"/>
        <v>0</v>
      </c>
      <c r="G22" s="224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7"/>
      <c r="C23" s="227" t="s">
        <v>498</v>
      </c>
      <c r="D23" s="228">
        <v>28080</v>
      </c>
      <c r="E23" s="76">
        <f t="shared" si="0"/>
        <v>28080</v>
      </c>
      <c r="F23" s="223">
        <f t="shared" si="1"/>
        <v>0</v>
      </c>
      <c r="G23" s="224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7"/>
      <c r="C24" s="227" t="s">
        <v>499</v>
      </c>
      <c r="D24" s="228">
        <v>8425.4599999999991</v>
      </c>
      <c r="E24" s="76">
        <f t="shared" si="0"/>
        <v>8425.4599999999991</v>
      </c>
      <c r="F24" s="223">
        <f t="shared" si="1"/>
        <v>0</v>
      </c>
      <c r="G24" s="224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6">
        <v>44963</v>
      </c>
      <c r="C25" s="227" t="s">
        <v>500</v>
      </c>
      <c r="D25" s="228">
        <v>6920</v>
      </c>
      <c r="E25" s="76">
        <f t="shared" si="0"/>
        <v>6920</v>
      </c>
      <c r="F25" s="223">
        <f t="shared" si="1"/>
        <v>0</v>
      </c>
      <c r="G25" s="235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473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501</v>
      </c>
      <c r="D28" s="54"/>
      <c r="E28" s="54">
        <f>E8</f>
        <v>-5843.55</v>
      </c>
      <c r="F28" s="54"/>
      <c r="H28" s="54"/>
      <c r="I28" s="54"/>
    </row>
    <row r="29" spans="2:10">
      <c r="C29" t="s">
        <v>502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479</v>
      </c>
      <c r="E31" s="54" t="s">
        <v>480</v>
      </c>
      <c r="F31" s="54" t="s">
        <v>481</v>
      </c>
      <c r="H31" s="236"/>
      <c r="I31" s="236"/>
      <c r="J31" s="213"/>
    </row>
    <row r="32" spans="2:10" ht="15.75">
      <c r="C32" t="s">
        <v>482</v>
      </c>
      <c r="D32" s="237">
        <v>1</v>
      </c>
      <c r="E32" s="238">
        <f>1-F32</f>
        <v>0.76490000000000002</v>
      </c>
      <c r="F32" s="238">
        <v>0.2351</v>
      </c>
      <c r="I32" s="54"/>
    </row>
    <row r="33" spans="3:11">
      <c r="C33" t="s">
        <v>483</v>
      </c>
      <c r="D33" s="239">
        <f>$D$27*D32</f>
        <v>514468.97000000003</v>
      </c>
      <c r="E33" s="240">
        <f>$D$27*E32</f>
        <v>393517.31515300006</v>
      </c>
      <c r="F33" s="240">
        <f>$D$27*F32</f>
        <v>120951.65484700001</v>
      </c>
      <c r="I33" s="54"/>
    </row>
    <row r="34" spans="3:11">
      <c r="C34" t="s">
        <v>484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1"/>
      <c r="I34" s="54"/>
      <c r="K34" s="54"/>
    </row>
    <row r="35" spans="3:11">
      <c r="C35" t="s">
        <v>485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2"/>
      <c r="E36" s="242"/>
      <c r="F36" s="242"/>
      <c r="H36" s="54"/>
      <c r="I36" s="54"/>
      <c r="K36" s="54"/>
    </row>
    <row r="37" spans="3:11">
      <c r="I37" s="54"/>
      <c r="K37" s="54"/>
    </row>
    <row r="38" spans="3:11">
      <c r="D38" s="61" t="s">
        <v>486</v>
      </c>
      <c r="E38" s="61" t="s">
        <v>487</v>
      </c>
      <c r="F38" s="61" t="s">
        <v>488</v>
      </c>
      <c r="H38" s="54"/>
      <c r="I38" s="54"/>
      <c r="K38" s="54"/>
    </row>
    <row r="39" spans="3:11">
      <c r="C39" t="s">
        <v>503</v>
      </c>
      <c r="D39" s="54">
        <f>F34</f>
        <v>119305.95484700004</v>
      </c>
      <c r="E39" s="243">
        <v>2.5000000000000001E-2</v>
      </c>
      <c r="F39" s="54">
        <f>D39*E39</f>
        <v>2982.6488711750012</v>
      </c>
      <c r="I39" s="54"/>
      <c r="K39" s="54"/>
    </row>
    <row r="40" spans="3:11">
      <c r="C40" s="54" t="s">
        <v>395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504</v>
      </c>
      <c r="C2" s="79" t="s">
        <v>95</v>
      </c>
      <c r="D2" s="239">
        <f>SUM(D5:D35)</f>
        <v>22800</v>
      </c>
      <c r="E2" s="239">
        <f>SUM(E5:E35)</f>
        <v>-38101.83</v>
      </c>
      <c r="F2" s="239">
        <f>SUM(F5:F35)</f>
        <v>16232.529999999999</v>
      </c>
      <c r="G2" s="239">
        <f>SUM(G5:G35)</f>
        <v>-41854.230000000003</v>
      </c>
      <c r="H2" s="239">
        <f>F2+G2</f>
        <v>-25621.700000000004</v>
      </c>
    </row>
    <row r="3" spans="1:8">
      <c r="B3" s="61"/>
      <c r="H3" s="54"/>
    </row>
    <row r="4" spans="1:8">
      <c r="A4" s="88">
        <v>45259</v>
      </c>
      <c r="B4" s="244" t="s">
        <v>96</v>
      </c>
      <c r="C4" t="s">
        <v>505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98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99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506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507</v>
      </c>
      <c r="C8" s="80"/>
      <c r="D8" s="80"/>
      <c r="E8" s="76"/>
      <c r="H8" s="54">
        <f t="shared" si="0"/>
        <v>-1097</v>
      </c>
    </row>
    <row r="9" spans="1:8">
      <c r="B9" s="80" t="s">
        <v>508</v>
      </c>
      <c r="C9" s="80"/>
      <c r="D9" s="80"/>
      <c r="E9" s="76"/>
      <c r="H9" s="54">
        <f t="shared" si="0"/>
        <v>-1097</v>
      </c>
    </row>
    <row r="10" spans="1:8">
      <c r="B10" s="80" t="s">
        <v>109</v>
      </c>
      <c r="C10" s="80"/>
      <c r="D10" s="80"/>
      <c r="E10" s="76"/>
      <c r="H10" s="54">
        <f t="shared" si="0"/>
        <v>-1097</v>
      </c>
    </row>
    <row r="11" spans="1:8">
      <c r="B11" s="87" t="s">
        <v>117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118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119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509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509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510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511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98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99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124</v>
      </c>
      <c r="D28" s="245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512</v>
      </c>
      <c r="D29" s="245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351</v>
      </c>
      <c r="D30" s="245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353</v>
      </c>
      <c r="D32" s="245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513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246"/>
      <c r="B42" s="246"/>
      <c r="C42" s="246"/>
      <c r="D42" s="246"/>
      <c r="E42" s="247"/>
      <c r="H42" s="54"/>
    </row>
    <row r="43" spans="1:8">
      <c r="A43" s="246"/>
      <c r="B43" s="246"/>
      <c r="C43" s="248"/>
      <c r="D43" s="246"/>
      <c r="E43" s="246"/>
      <c r="H43" s="54"/>
    </row>
    <row r="44" spans="1:8">
      <c r="A44" s="246"/>
      <c r="B44" s="246"/>
      <c r="C44" s="248"/>
      <c r="D44" s="246"/>
      <c r="E44" s="246"/>
      <c r="H44" s="54"/>
    </row>
    <row r="45" spans="1:8" s="22" customFormat="1">
      <c r="C45" s="90"/>
      <c r="H45" s="54"/>
    </row>
    <row r="46" spans="1:8">
      <c r="A46" s="249">
        <v>44929</v>
      </c>
      <c r="B46" s="94" t="s">
        <v>130</v>
      </c>
      <c r="C46" s="70"/>
      <c r="D46" s="132">
        <f>SUM(D47:D54)</f>
        <v>5357.51</v>
      </c>
      <c r="E46" s="132">
        <f>SUM(E47:E53)</f>
        <v>5360.01</v>
      </c>
      <c r="H46" s="54"/>
    </row>
    <row r="47" spans="1:8">
      <c r="B47" t="s">
        <v>514</v>
      </c>
      <c r="C47" t="s">
        <v>91</v>
      </c>
      <c r="D47">
        <v>947.93</v>
      </c>
      <c r="E47" s="54">
        <v>950</v>
      </c>
      <c r="F47" s="54"/>
      <c r="G47" s="54"/>
    </row>
    <row r="48" spans="1:8">
      <c r="B48" t="s">
        <v>132</v>
      </c>
      <c r="C48" t="s">
        <v>515</v>
      </c>
      <c r="D48">
        <v>1830.06</v>
      </c>
      <c r="E48" s="54">
        <v>1830</v>
      </c>
      <c r="F48" s="54"/>
      <c r="G48" s="54"/>
    </row>
    <row r="49" spans="1:8">
      <c r="B49" t="s">
        <v>133</v>
      </c>
      <c r="C49" t="s">
        <v>515</v>
      </c>
      <c r="D49">
        <v>209.55</v>
      </c>
      <c r="E49">
        <v>210</v>
      </c>
      <c r="F49" s="54"/>
      <c r="G49" s="54"/>
    </row>
    <row r="50" spans="1:8">
      <c r="B50" t="s">
        <v>134</v>
      </c>
      <c r="C50" t="s">
        <v>516</v>
      </c>
      <c r="D50">
        <v>1732.62</v>
      </c>
      <c r="E50">
        <v>1732</v>
      </c>
      <c r="F50" s="54"/>
      <c r="G50" s="54"/>
    </row>
    <row r="51" spans="1:8">
      <c r="B51" t="s">
        <v>135</v>
      </c>
      <c r="C51" t="s">
        <v>515</v>
      </c>
      <c r="D51">
        <v>499.34</v>
      </c>
      <c r="E51">
        <v>500</v>
      </c>
      <c r="F51" s="54"/>
      <c r="G51" s="54"/>
    </row>
    <row r="52" spans="1:8">
      <c r="B52" t="s">
        <v>136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137</v>
      </c>
      <c r="C58" s="70"/>
      <c r="D58" s="71"/>
      <c r="E58" s="250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365</v>
      </c>
      <c r="C60">
        <v>613.91</v>
      </c>
      <c r="D60" s="26" t="s">
        <v>517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318</v>
      </c>
      <c r="C62" s="84">
        <v>10764.57</v>
      </c>
      <c r="D62" s="26" t="s">
        <v>160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518</v>
      </c>
      <c r="D63" s="135" t="s">
        <v>166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194</v>
      </c>
      <c r="C64" s="84">
        <v>7648.33</v>
      </c>
      <c r="D64" s="135" t="s">
        <v>185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271</v>
      </c>
      <c r="C65" s="84">
        <v>11128</v>
      </c>
      <c r="D65" s="135" t="s">
        <v>195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242</v>
      </c>
      <c r="E66" s="76"/>
      <c r="F66" s="54"/>
      <c r="G66" s="54"/>
      <c r="H66" s="54"/>
    </row>
    <row r="67" spans="1:8">
      <c r="A67" s="89"/>
      <c r="B67" s="84"/>
      <c r="C67" s="84"/>
      <c r="D67" s="135"/>
      <c r="E67" s="76"/>
      <c r="F67" s="54"/>
      <c r="G67" s="54"/>
      <c r="H67" s="54"/>
    </row>
    <row r="68" spans="1:8">
      <c r="A68" s="89"/>
      <c r="B68" s="84"/>
      <c r="C68" s="84"/>
      <c r="D68" s="135"/>
      <c r="E68" s="76"/>
      <c r="F68" s="54"/>
      <c r="G68" s="54"/>
      <c r="H68" s="54"/>
    </row>
    <row r="69" spans="1:8">
      <c r="A69" s="89"/>
      <c r="B69" s="84"/>
      <c r="C69" s="84"/>
      <c r="D69" s="135"/>
      <c r="E69" s="76"/>
      <c r="F69" s="54"/>
      <c r="G69" s="54"/>
      <c r="H69" s="54"/>
    </row>
    <row r="70" spans="1:8">
      <c r="A70" s="89"/>
      <c r="B70" s="84"/>
      <c r="C70" s="84"/>
      <c r="D70" s="135"/>
      <c r="E70" s="76"/>
      <c r="F70" s="54"/>
      <c r="G70" s="54"/>
      <c r="H70" s="54"/>
    </row>
    <row r="71" spans="1:8">
      <c r="A71" s="89"/>
      <c r="B71" s="84"/>
      <c r="C71" s="84"/>
      <c r="D71" s="135"/>
      <c r="E71" s="76"/>
      <c r="F71" s="54"/>
      <c r="G71" s="54"/>
      <c r="H71" s="54"/>
    </row>
    <row r="72" spans="1:8">
      <c r="A72" s="89"/>
      <c r="B72" s="84"/>
      <c r="C72" s="84"/>
      <c r="D72" s="135"/>
      <c r="E72" s="76"/>
      <c r="F72" s="54"/>
      <c r="G72" s="54"/>
      <c r="H72" s="54"/>
    </row>
    <row r="73" spans="1:8">
      <c r="A73" s="89"/>
      <c r="B73" s="84"/>
      <c r="C73" s="84"/>
      <c r="D73" s="135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144</v>
      </c>
      <c r="C81" s="70"/>
      <c r="D81" s="70"/>
      <c r="E81" s="132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278</v>
      </c>
      <c r="C82" s="84"/>
      <c r="D82" t="s">
        <v>519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244</v>
      </c>
      <c r="D83" t="s">
        <v>520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521</v>
      </c>
      <c r="E85" s="76">
        <v>-1046.0999999999999</v>
      </c>
    </row>
    <row r="86" spans="1:8">
      <c r="A86" s="88">
        <v>45226</v>
      </c>
      <c r="B86" t="s">
        <v>521</v>
      </c>
      <c r="E86" s="76">
        <v>-1046.0999999999999</v>
      </c>
    </row>
    <row r="87" spans="1:8">
      <c r="A87" s="88">
        <v>45224</v>
      </c>
      <c r="B87" t="s">
        <v>236</v>
      </c>
      <c r="D87">
        <v>160</v>
      </c>
      <c r="E87" s="76">
        <v>-160</v>
      </c>
    </row>
    <row r="88" spans="1:8">
      <c r="A88" s="88">
        <v>45225</v>
      </c>
      <c r="B88" t="s">
        <v>236</v>
      </c>
      <c r="D88">
        <v>200</v>
      </c>
      <c r="E88" s="76">
        <v>-200</v>
      </c>
    </row>
    <row r="89" spans="1:8">
      <c r="A89" s="88">
        <v>45225</v>
      </c>
      <c r="B89" t="s">
        <v>522</v>
      </c>
      <c r="E89" s="76">
        <v>-200</v>
      </c>
    </row>
    <row r="90" spans="1:8">
      <c r="A90" s="88">
        <v>45226</v>
      </c>
      <c r="B90" t="s">
        <v>236</v>
      </c>
      <c r="D90" s="26">
        <v>150</v>
      </c>
      <c r="E90" s="76">
        <v>-150</v>
      </c>
    </row>
    <row r="91" spans="1:8">
      <c r="A91" s="88">
        <v>45227</v>
      </c>
      <c r="B91" t="s">
        <v>236</v>
      </c>
      <c r="D91" s="26">
        <v>100</v>
      </c>
      <c r="E91" s="76">
        <v>-100</v>
      </c>
    </row>
    <row r="92" spans="1:8">
      <c r="A92" s="88">
        <v>45227</v>
      </c>
      <c r="B92" t="s">
        <v>232</v>
      </c>
      <c r="D92">
        <v>70</v>
      </c>
      <c r="E92" s="76">
        <v>-70</v>
      </c>
    </row>
    <row r="93" spans="1:8">
      <c r="A93" s="88">
        <v>45229</v>
      </c>
      <c r="B93" t="s">
        <v>236</v>
      </c>
      <c r="D93">
        <v>200</v>
      </c>
      <c r="E93" s="76">
        <v>-200</v>
      </c>
    </row>
    <row r="94" spans="1:8">
      <c r="A94" s="88">
        <v>45229</v>
      </c>
      <c r="B94" t="s">
        <v>523</v>
      </c>
      <c r="D94">
        <v>95.49</v>
      </c>
      <c r="E94" s="76">
        <v>-95.49</v>
      </c>
    </row>
    <row r="95" spans="1:8">
      <c r="A95" s="88">
        <v>45232</v>
      </c>
      <c r="B95" t="s">
        <v>236</v>
      </c>
      <c r="D95">
        <v>250</v>
      </c>
      <c r="E95" s="76">
        <v>-250</v>
      </c>
    </row>
    <row r="96" spans="1:8">
      <c r="A96" s="88">
        <v>45233</v>
      </c>
      <c r="B96" t="s">
        <v>236</v>
      </c>
      <c r="D96">
        <v>180</v>
      </c>
      <c r="E96" s="76">
        <v>-160</v>
      </c>
    </row>
    <row r="97" spans="1:5">
      <c r="A97" s="88">
        <v>45234</v>
      </c>
      <c r="B97" t="s">
        <v>236</v>
      </c>
      <c r="D97">
        <v>320</v>
      </c>
      <c r="E97" s="76">
        <v>-320</v>
      </c>
    </row>
    <row r="98" spans="1:5">
      <c r="A98" s="88">
        <v>45237</v>
      </c>
      <c r="B98" t="s">
        <v>236</v>
      </c>
      <c r="D98">
        <v>200</v>
      </c>
      <c r="E98" s="76">
        <v>-200</v>
      </c>
    </row>
    <row r="99" spans="1:5">
      <c r="A99" s="88">
        <v>45237</v>
      </c>
      <c r="B99" t="s">
        <v>233</v>
      </c>
      <c r="E99" s="76">
        <v>-500</v>
      </c>
    </row>
    <row r="100" spans="1:5">
      <c r="A100" s="88">
        <v>45237</v>
      </c>
      <c r="B100" t="s">
        <v>524</v>
      </c>
      <c r="E100" s="76">
        <v>-180</v>
      </c>
    </row>
    <row r="101" spans="1:5">
      <c r="A101" s="88">
        <v>45238</v>
      </c>
      <c r="B101" t="s">
        <v>236</v>
      </c>
      <c r="D101">
        <v>160</v>
      </c>
      <c r="E101" s="76">
        <v>-160</v>
      </c>
    </row>
    <row r="102" spans="1:5">
      <c r="A102" s="88">
        <v>45239</v>
      </c>
      <c r="B102" t="s">
        <v>236</v>
      </c>
      <c r="D102">
        <v>250</v>
      </c>
      <c r="E102" s="76">
        <v>-250</v>
      </c>
    </row>
    <row r="103" spans="1:5">
      <c r="A103" s="88">
        <v>45240</v>
      </c>
      <c r="B103" t="s">
        <v>236</v>
      </c>
      <c r="D103">
        <v>160</v>
      </c>
      <c r="E103" s="76">
        <v>-160</v>
      </c>
    </row>
    <row r="104" spans="1:5">
      <c r="A104" s="88">
        <v>45241</v>
      </c>
      <c r="B104" t="s">
        <v>236</v>
      </c>
      <c r="D104">
        <v>250</v>
      </c>
      <c r="E104" s="76">
        <v>-250</v>
      </c>
    </row>
    <row r="105" spans="1:5">
      <c r="A105" s="88">
        <v>45244</v>
      </c>
      <c r="B105" t="s">
        <v>525</v>
      </c>
      <c r="E105" s="76">
        <v>-1144.1099999999999</v>
      </c>
    </row>
    <row r="106" spans="1:5">
      <c r="A106" s="88">
        <v>45245</v>
      </c>
      <c r="B106" t="s">
        <v>526</v>
      </c>
      <c r="E106" s="76">
        <v>-373.92</v>
      </c>
    </row>
    <row r="107" spans="1:5">
      <c r="A107" s="88">
        <v>45253</v>
      </c>
      <c r="B107" t="s">
        <v>236</v>
      </c>
      <c r="D107">
        <v>200</v>
      </c>
      <c r="E107" s="76">
        <v>-200</v>
      </c>
    </row>
    <row r="108" spans="1:5">
      <c r="E108" s="76"/>
    </row>
    <row r="109" spans="1:5">
      <c r="B109" t="s">
        <v>527</v>
      </c>
      <c r="D109">
        <f>SUM(D87:D108)</f>
        <v>2945.49</v>
      </c>
      <c r="E109" s="76"/>
    </row>
    <row r="110" spans="1:5" ht="15">
      <c r="D110" s="110" t="s">
        <v>242</v>
      </c>
    </row>
    <row r="111" spans="1:5">
      <c r="A111" s="68" t="s">
        <v>71</v>
      </c>
      <c r="B111" s="69" t="s">
        <v>72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77</v>
      </c>
      <c r="D116" s="2"/>
      <c r="E116" s="62">
        <v>6267.13</v>
      </c>
    </row>
    <row r="117" spans="1:5">
      <c r="A117" s="73">
        <f t="shared" si="2"/>
        <v>45290</v>
      </c>
      <c r="B117" t="s">
        <v>78</v>
      </c>
      <c r="C117" s="2" t="s">
        <v>79</v>
      </c>
      <c r="D117" s="2"/>
      <c r="E117" s="62">
        <v>21088.49</v>
      </c>
    </row>
    <row r="118" spans="1:5">
      <c r="A118" s="73">
        <f t="shared" si="2"/>
        <v>45290</v>
      </c>
      <c r="B118" t="s">
        <v>80</v>
      </c>
      <c r="C118" s="2" t="s">
        <v>81</v>
      </c>
      <c r="D118" s="2"/>
      <c r="E118" s="62">
        <v>5587.73</v>
      </c>
    </row>
    <row r="119" spans="1:5">
      <c r="A119" s="73">
        <f t="shared" si="2"/>
        <v>45290</v>
      </c>
      <c r="B119" t="s">
        <v>82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88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89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92</v>
      </c>
      <c r="E129" s="76">
        <f>H33</f>
        <v>-25773.700000000004</v>
      </c>
    </row>
    <row r="130" spans="3:5">
      <c r="D130" s="3"/>
    </row>
    <row r="131" spans="3:5">
      <c r="D131" s="61" t="s">
        <v>93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528</v>
      </c>
      <c r="C2" s="79" t="s">
        <v>95</v>
      </c>
      <c r="D2" s="239">
        <f>SUM(D5:D36)</f>
        <v>262800</v>
      </c>
      <c r="E2" s="239">
        <f>SUM(E4:E27)</f>
        <v>-98843.11</v>
      </c>
      <c r="F2" s="239">
        <f>SUM(F5:F37)</f>
        <v>177687.06</v>
      </c>
      <c r="G2" s="239">
        <f>SUM(G4:G37)</f>
        <v>-242504.11</v>
      </c>
      <c r="H2" s="239">
        <f>F2+G2</f>
        <v>-64817.049999999988</v>
      </c>
    </row>
    <row r="3" spans="1:8">
      <c r="B3" s="61"/>
      <c r="H3" s="54"/>
    </row>
    <row r="4" spans="1:8">
      <c r="A4" s="88">
        <v>45231</v>
      </c>
      <c r="B4" s="244" t="s">
        <v>96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98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99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529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118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119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530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530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531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532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533</v>
      </c>
      <c r="C22" t="s">
        <v>534</v>
      </c>
      <c r="D22" s="245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535</v>
      </c>
      <c r="D23" s="245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536</v>
      </c>
      <c r="D24" s="245"/>
      <c r="G24" s="54"/>
      <c r="H24" s="54">
        <f t="shared" si="0"/>
        <v>-64817.05</v>
      </c>
    </row>
    <row r="25" spans="1:8">
      <c r="A25" s="89">
        <v>45260</v>
      </c>
      <c r="B25" t="s">
        <v>537</v>
      </c>
      <c r="D25" s="245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5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538</v>
      </c>
      <c r="D27" s="245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539</v>
      </c>
      <c r="D28" s="245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540</v>
      </c>
      <c r="D29" s="245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282</v>
      </c>
      <c r="C30" t="s">
        <v>505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284</v>
      </c>
      <c r="C31" t="s">
        <v>505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285</v>
      </c>
      <c r="C32" t="s">
        <v>505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541</v>
      </c>
      <c r="C33" t="s">
        <v>505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128</v>
      </c>
      <c r="E37" s="54"/>
      <c r="G37" s="54"/>
      <c r="H37" s="54"/>
    </row>
    <row r="38" spans="1:8">
      <c r="A38" s="70" t="s">
        <v>129</v>
      </c>
      <c r="B38" s="70"/>
      <c r="C38" s="70"/>
      <c r="D38" s="70"/>
      <c r="E38" s="71"/>
      <c r="G38" s="54"/>
      <c r="H38" s="54"/>
    </row>
    <row r="39" spans="1:8">
      <c r="A39" s="251"/>
      <c r="B39" s="246"/>
      <c r="C39" s="246"/>
      <c r="D39" s="246"/>
      <c r="E39" s="247"/>
      <c r="H39" s="54"/>
    </row>
    <row r="40" spans="1:8">
      <c r="A40" s="251"/>
      <c r="B40" s="246"/>
      <c r="C40" s="248"/>
      <c r="D40" s="246"/>
      <c r="E40" s="246"/>
      <c r="H40" s="54"/>
    </row>
    <row r="41" spans="1:8">
      <c r="A41" s="251"/>
      <c r="B41" s="246"/>
      <c r="C41" s="248"/>
      <c r="D41" s="246"/>
      <c r="E41" s="246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130</v>
      </c>
      <c r="C43" s="70"/>
      <c r="D43" s="132">
        <f>SUM(D44:D51)</f>
        <v>3906.8500000000004</v>
      </c>
      <c r="E43" s="132">
        <f>SUM(E44:E51)</f>
        <v>3907.8</v>
      </c>
      <c r="H43" s="54"/>
    </row>
    <row r="44" spans="1:8">
      <c r="B44" t="s">
        <v>514</v>
      </c>
      <c r="D44">
        <v>628.12</v>
      </c>
      <c r="E44" s="54">
        <v>630</v>
      </c>
      <c r="F44" s="54"/>
      <c r="G44" s="54"/>
    </row>
    <row r="45" spans="1:8">
      <c r="B45" t="s">
        <v>132</v>
      </c>
      <c r="D45">
        <v>1539.74</v>
      </c>
      <c r="E45" s="54">
        <v>1540</v>
      </c>
      <c r="F45" s="54"/>
      <c r="G45" s="54"/>
    </row>
    <row r="46" spans="1:8">
      <c r="B46" t="s">
        <v>133</v>
      </c>
      <c r="D46">
        <v>165.4</v>
      </c>
      <c r="E46">
        <v>165</v>
      </c>
      <c r="F46" s="54"/>
      <c r="G46" s="54"/>
    </row>
    <row r="47" spans="1:8">
      <c r="B47" t="s">
        <v>134</v>
      </c>
      <c r="D47">
        <v>1142.79</v>
      </c>
      <c r="E47">
        <v>1142</v>
      </c>
      <c r="F47" s="54"/>
      <c r="G47" s="54"/>
    </row>
    <row r="48" spans="1:8">
      <c r="B48" t="s">
        <v>135</v>
      </c>
      <c r="D48" s="3">
        <v>379.26</v>
      </c>
      <c r="E48">
        <v>379.26</v>
      </c>
      <c r="F48" s="54"/>
      <c r="G48" s="54"/>
    </row>
    <row r="49" spans="1:8">
      <c r="B49" t="s">
        <v>136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365</v>
      </c>
      <c r="C57">
        <v>613.91</v>
      </c>
      <c r="D57" s="26" t="s">
        <v>542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544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318</v>
      </c>
      <c r="C59" s="84">
        <v>10764.57</v>
      </c>
      <c r="D59" s="26" t="s">
        <v>270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544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518</v>
      </c>
      <c r="D61" s="135" t="s">
        <v>173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194</v>
      </c>
      <c r="C62" s="84">
        <v>7648.33</v>
      </c>
      <c r="D62" s="135" t="s">
        <v>198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271</v>
      </c>
      <c r="C63" s="84">
        <v>11128</v>
      </c>
      <c r="D63" s="135" t="s">
        <v>208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242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546</v>
      </c>
      <c r="C72">
        <v>1140.99</v>
      </c>
      <c r="D72" t="s">
        <v>245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547</v>
      </c>
      <c r="D73" s="26" t="s">
        <v>548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278</v>
      </c>
      <c r="C74" s="84"/>
      <c r="D74" t="s">
        <v>520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157</v>
      </c>
      <c r="C75" s="84"/>
      <c r="D75" s="84"/>
      <c r="E75" s="76">
        <v>-59483.25</v>
      </c>
    </row>
    <row r="76" spans="1:8">
      <c r="A76" s="88">
        <v>45214</v>
      </c>
      <c r="B76" t="s">
        <v>244</v>
      </c>
      <c r="D76" t="s">
        <v>549</v>
      </c>
      <c r="E76" s="76">
        <v>-600</v>
      </c>
      <c r="F76" s="54"/>
    </row>
    <row r="77" spans="1:8">
      <c r="A77" s="88">
        <v>45198</v>
      </c>
      <c r="B77" t="s">
        <v>236</v>
      </c>
      <c r="E77" s="76">
        <v>-160</v>
      </c>
    </row>
    <row r="78" spans="1:8">
      <c r="A78" s="88">
        <v>45201</v>
      </c>
      <c r="B78" t="s">
        <v>550</v>
      </c>
      <c r="E78" s="76">
        <v>-1180</v>
      </c>
    </row>
    <row r="79" spans="1:8">
      <c r="A79" s="88">
        <v>45204</v>
      </c>
      <c r="B79" t="s">
        <v>551</v>
      </c>
      <c r="E79" s="76">
        <v>-713.25</v>
      </c>
    </row>
    <row r="80" spans="1:8">
      <c r="A80" s="88">
        <v>45204</v>
      </c>
      <c r="B80" t="s">
        <v>551</v>
      </c>
      <c r="E80" s="76">
        <v>-713.25</v>
      </c>
    </row>
    <row r="81" spans="1:5">
      <c r="A81" s="88">
        <v>45194</v>
      </c>
      <c r="B81" t="s">
        <v>236</v>
      </c>
      <c r="D81" s="26"/>
      <c r="E81" s="76">
        <v>-200</v>
      </c>
    </row>
    <row r="82" spans="1:5">
      <c r="A82" s="88">
        <v>45225</v>
      </c>
      <c r="B82" t="s">
        <v>236</v>
      </c>
      <c r="D82" s="26"/>
      <c r="E82" s="76">
        <v>-160</v>
      </c>
    </row>
    <row r="83" spans="1:5">
      <c r="A83" s="88">
        <v>45226</v>
      </c>
      <c r="B83" t="s">
        <v>236</v>
      </c>
      <c r="E83" s="76">
        <v>-200</v>
      </c>
    </row>
    <row r="84" spans="1:5">
      <c r="A84" s="88">
        <v>45227</v>
      </c>
      <c r="B84" t="s">
        <v>236</v>
      </c>
      <c r="E84" s="76">
        <v>-200</v>
      </c>
    </row>
    <row r="85" spans="1:5">
      <c r="A85" s="88">
        <v>45227</v>
      </c>
      <c r="B85" t="s">
        <v>324</v>
      </c>
      <c r="E85" s="76">
        <v>-245</v>
      </c>
    </row>
    <row r="86" spans="1:5">
      <c r="A86" s="88">
        <v>45228</v>
      </c>
      <c r="B86" t="s">
        <v>236</v>
      </c>
      <c r="E86" s="76">
        <v>-160</v>
      </c>
    </row>
    <row r="87" spans="1:5">
      <c r="A87" s="88">
        <v>45228</v>
      </c>
      <c r="B87" t="s">
        <v>552</v>
      </c>
      <c r="E87" s="76">
        <v>-33.65</v>
      </c>
    </row>
    <row r="88" spans="1:5">
      <c r="A88" s="88">
        <v>45201</v>
      </c>
      <c r="B88" t="s">
        <v>236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236</v>
      </c>
      <c r="E90" s="76">
        <v>-250</v>
      </c>
    </row>
    <row r="91" spans="1:5">
      <c r="A91" s="88">
        <v>45204</v>
      </c>
      <c r="B91" t="s">
        <v>236</v>
      </c>
      <c r="E91" s="76">
        <v>-300</v>
      </c>
    </row>
    <row r="92" spans="1:5">
      <c r="A92" s="88">
        <v>45205</v>
      </c>
      <c r="B92" t="s">
        <v>236</v>
      </c>
      <c r="E92" s="76">
        <v>-250</v>
      </c>
    </row>
    <row r="93" spans="1:5">
      <c r="A93" s="88">
        <v>45206</v>
      </c>
      <c r="B93" t="s">
        <v>236</v>
      </c>
      <c r="E93" s="76">
        <v>-250</v>
      </c>
    </row>
    <row r="94" spans="1:5">
      <c r="A94" s="88">
        <v>45206</v>
      </c>
      <c r="B94" t="s">
        <v>553</v>
      </c>
      <c r="E94" s="76">
        <v>-107.32</v>
      </c>
    </row>
    <row r="95" spans="1:5">
      <c r="A95" s="88">
        <v>45210</v>
      </c>
      <c r="B95" t="s">
        <v>236</v>
      </c>
      <c r="E95" s="76">
        <v>-200</v>
      </c>
    </row>
    <row r="96" spans="1:5">
      <c r="A96" s="88">
        <v>45215</v>
      </c>
      <c r="B96" t="s">
        <v>236</v>
      </c>
      <c r="E96" s="76">
        <v>-160</v>
      </c>
    </row>
    <row r="97" spans="1:5">
      <c r="A97" s="88">
        <v>45216</v>
      </c>
      <c r="B97" t="s">
        <v>236</v>
      </c>
      <c r="E97" s="76">
        <v>-160</v>
      </c>
    </row>
    <row r="98" spans="1:5">
      <c r="A98" s="88">
        <v>45217</v>
      </c>
      <c r="B98" t="s">
        <v>236</v>
      </c>
      <c r="E98" s="76">
        <v>-160</v>
      </c>
    </row>
    <row r="99" spans="1:5">
      <c r="A99" s="88">
        <v>45218</v>
      </c>
      <c r="B99" t="s">
        <v>236</v>
      </c>
      <c r="E99" s="76">
        <v>-200</v>
      </c>
    </row>
    <row r="100" spans="1:5">
      <c r="A100" s="88">
        <v>45219</v>
      </c>
      <c r="B100" t="s">
        <v>236</v>
      </c>
      <c r="E100" s="76">
        <v>-165</v>
      </c>
    </row>
    <row r="101" spans="1:5">
      <c r="A101" s="88">
        <v>45219</v>
      </c>
      <c r="B101" t="s">
        <v>552</v>
      </c>
      <c r="E101" s="76">
        <v>-93.36</v>
      </c>
    </row>
    <row r="102" spans="1:5">
      <c r="A102" s="88">
        <v>45220</v>
      </c>
      <c r="B102" t="s">
        <v>236</v>
      </c>
      <c r="E102" s="76">
        <v>-165</v>
      </c>
    </row>
    <row r="103" spans="1:5">
      <c r="A103" s="88">
        <v>45220</v>
      </c>
      <c r="B103" t="s">
        <v>554</v>
      </c>
      <c r="E103" s="76">
        <v>-80</v>
      </c>
    </row>
    <row r="104" spans="1:5">
      <c r="A104" s="88">
        <v>45221</v>
      </c>
      <c r="B104" t="s">
        <v>555</v>
      </c>
      <c r="E104" s="76">
        <v>-500</v>
      </c>
    </row>
    <row r="105" spans="1:5" ht="15">
      <c r="D105" s="110" t="s">
        <v>242</v>
      </c>
    </row>
    <row r="107" spans="1:5">
      <c r="B107" t="s">
        <v>556</v>
      </c>
      <c r="E107" s="76">
        <v>3707.01</v>
      </c>
    </row>
    <row r="108" spans="1:5">
      <c r="B108" t="s">
        <v>557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558</v>
      </c>
      <c r="B111" s="69" t="s">
        <v>72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559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76</v>
      </c>
      <c r="C115" s="2"/>
      <c r="D115" s="2"/>
      <c r="E115" s="62">
        <v>64.31</v>
      </c>
    </row>
    <row r="116" spans="1:5">
      <c r="A116" s="73">
        <v>45260</v>
      </c>
      <c r="B116" t="s">
        <v>77</v>
      </c>
      <c r="C116" s="2"/>
      <c r="D116" s="2"/>
      <c r="E116" s="62">
        <v>3242.78</v>
      </c>
    </row>
    <row r="117" spans="1:5">
      <c r="A117" s="73">
        <v>45260</v>
      </c>
      <c r="B117" t="s">
        <v>86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560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561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92</v>
      </c>
      <c r="E123" s="76">
        <f>H33</f>
        <v>-64817.05</v>
      </c>
    </row>
    <row r="124" spans="1:5">
      <c r="D124" s="3"/>
    </row>
    <row r="125" spans="1:5">
      <c r="D125" s="61" t="s">
        <v>93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562</v>
      </c>
      <c r="C2" s="79" t="s">
        <v>95</v>
      </c>
      <c r="D2" s="239">
        <f>SUM(D4:D32)</f>
        <v>32800</v>
      </c>
      <c r="E2" s="239">
        <f>SUM(E4:E32)</f>
        <v>-44478.170000000006</v>
      </c>
      <c r="F2" s="239">
        <f>SUM(F4:F32)</f>
        <v>23200</v>
      </c>
      <c r="G2" s="239">
        <f>SUM(G4:G32)</f>
        <v>-43968.17</v>
      </c>
      <c r="H2" s="239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98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99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563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564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565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118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119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566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567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568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113</v>
      </c>
      <c r="C15" s="80" t="s">
        <v>114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115</v>
      </c>
      <c r="C16" s="84" t="s">
        <v>114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116</v>
      </c>
      <c r="C17" s="84" t="s">
        <v>114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569</v>
      </c>
      <c r="E19" s="54"/>
      <c r="F19" s="54"/>
      <c r="G19" s="54"/>
      <c r="H19" s="54">
        <f t="shared" si="0"/>
        <v>-36958.17</v>
      </c>
    </row>
    <row r="20" spans="1:8">
      <c r="B20" t="s">
        <v>74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124</v>
      </c>
      <c r="D23" s="245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570</v>
      </c>
      <c r="C24" t="s">
        <v>534</v>
      </c>
      <c r="D24" s="245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571</v>
      </c>
      <c r="D25" s="245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572</v>
      </c>
      <c r="D26" s="245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539</v>
      </c>
      <c r="D27" s="245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573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574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128</v>
      </c>
      <c r="E33" s="54"/>
      <c r="G33" s="54"/>
      <c r="H33" s="54"/>
    </row>
    <row r="34" spans="1:8">
      <c r="A34" s="70" t="s">
        <v>129</v>
      </c>
      <c r="B34" s="70"/>
      <c r="C34" s="70"/>
      <c r="D34" s="70"/>
      <c r="E34" s="71"/>
      <c r="G34" s="54"/>
      <c r="H34" s="54"/>
    </row>
    <row r="35" spans="1:8">
      <c r="A35" s="246"/>
      <c r="B35" s="246"/>
      <c r="C35" s="246"/>
      <c r="D35" s="246"/>
      <c r="E35" s="247"/>
      <c r="H35" s="54"/>
    </row>
    <row r="36" spans="1:8">
      <c r="A36" s="246"/>
      <c r="B36" s="246"/>
      <c r="C36" s="248"/>
      <c r="D36" s="246"/>
      <c r="E36" s="246"/>
      <c r="H36" s="54"/>
    </row>
    <row r="37" spans="1:8">
      <c r="A37" s="246"/>
      <c r="B37" s="246"/>
      <c r="C37" s="248"/>
      <c r="D37" s="246"/>
      <c r="E37" s="246"/>
      <c r="H37" s="54"/>
    </row>
    <row r="38" spans="1:8" s="22" customFormat="1">
      <c r="C38" s="90"/>
      <c r="H38" s="54"/>
    </row>
    <row r="39" spans="1:8">
      <c r="A39" s="249">
        <v>44929</v>
      </c>
      <c r="B39" s="94" t="s">
        <v>130</v>
      </c>
      <c r="C39" s="70"/>
      <c r="D39" s="132">
        <f>SUM(D40:D47)</f>
        <v>3425.3799999999997</v>
      </c>
      <c r="E39" s="132">
        <f>SUM(E40:E47)</f>
        <v>3422.73</v>
      </c>
      <c r="H39" s="54"/>
    </row>
    <row r="40" spans="1:8">
      <c r="B40" t="s">
        <v>514</v>
      </c>
      <c r="D40">
        <v>578.66</v>
      </c>
      <c r="E40" s="54">
        <v>578</v>
      </c>
      <c r="F40" s="54"/>
      <c r="G40" s="54"/>
    </row>
    <row r="41" spans="1:8">
      <c r="B41" t="s">
        <v>132</v>
      </c>
      <c r="D41">
        <v>1237.75</v>
      </c>
      <c r="E41" s="54">
        <v>1237</v>
      </c>
      <c r="F41" s="54"/>
      <c r="G41" s="54"/>
    </row>
    <row r="42" spans="1:8">
      <c r="B42" t="s">
        <v>133</v>
      </c>
      <c r="D42">
        <v>155.32</v>
      </c>
      <c r="E42">
        <v>155</v>
      </c>
      <c r="F42" s="54"/>
      <c r="G42" s="54"/>
    </row>
    <row r="43" spans="1:8">
      <c r="B43" t="s">
        <v>134</v>
      </c>
      <c r="D43">
        <v>1102.24</v>
      </c>
      <c r="E43">
        <v>1102</v>
      </c>
      <c r="F43" s="54"/>
      <c r="G43" s="54"/>
    </row>
    <row r="44" spans="1:8">
      <c r="B44" t="s">
        <v>135</v>
      </c>
      <c r="D44">
        <v>317.68</v>
      </c>
      <c r="E44">
        <v>317</v>
      </c>
      <c r="F44" s="54"/>
      <c r="G44" s="54"/>
    </row>
    <row r="45" spans="1:8">
      <c r="B45" t="s">
        <v>136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365</v>
      </c>
      <c r="C52">
        <v>613.91</v>
      </c>
      <c r="D52" s="26" t="s">
        <v>575</v>
      </c>
      <c r="E52" s="76">
        <v>-61.39</v>
      </c>
      <c r="G52" s="54"/>
      <c r="H52" s="54"/>
    </row>
    <row r="53" spans="1:8">
      <c r="A53" s="73">
        <v>45043</v>
      </c>
      <c r="B53" s="84" t="s">
        <v>543</v>
      </c>
      <c r="C53" s="84">
        <v>3299</v>
      </c>
      <c r="D53" s="26" t="s">
        <v>173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318</v>
      </c>
      <c r="C54" s="84">
        <v>10764.57</v>
      </c>
      <c r="D54" s="26" t="s">
        <v>169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545</v>
      </c>
      <c r="C55" s="84">
        <v>3123.29</v>
      </c>
      <c r="D55" s="135" t="s">
        <v>173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518</v>
      </c>
      <c r="D56" s="135" t="s">
        <v>182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334</v>
      </c>
      <c r="D57" s="135"/>
      <c r="E57" s="76">
        <v>-250</v>
      </c>
      <c r="F57" s="54"/>
      <c r="G57" s="54"/>
      <c r="H57" s="54"/>
    </row>
    <row r="58" spans="1:8">
      <c r="A58" s="73">
        <v>45077</v>
      </c>
      <c r="B58" s="84" t="s">
        <v>576</v>
      </c>
      <c r="C58" s="84">
        <v>148.6</v>
      </c>
      <c r="D58" s="135" t="s">
        <v>577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578</v>
      </c>
      <c r="C59" s="84">
        <v>244.8</v>
      </c>
      <c r="D59" s="135" t="s">
        <v>577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579</v>
      </c>
      <c r="C60" s="84">
        <v>1204.5</v>
      </c>
      <c r="D60" s="135" t="s">
        <v>577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580</v>
      </c>
      <c r="C61" s="84">
        <v>532.6</v>
      </c>
      <c r="D61" s="135" t="s">
        <v>577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581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194</v>
      </c>
      <c r="C63" s="84">
        <v>7648.33</v>
      </c>
      <c r="D63" s="135" t="s">
        <v>582</v>
      </c>
      <c r="E63" s="76">
        <v>-849.81</v>
      </c>
      <c r="F63" s="54"/>
    </row>
    <row r="64" spans="1:8">
      <c r="A64" s="73">
        <v>45187</v>
      </c>
      <c r="B64" s="84" t="s">
        <v>583</v>
      </c>
      <c r="C64" s="84">
        <v>11128</v>
      </c>
      <c r="D64" s="135" t="s">
        <v>227</v>
      </c>
      <c r="E64" s="76">
        <v>-1854.67</v>
      </c>
      <c r="F64" s="54"/>
    </row>
    <row r="66" spans="1:9" ht="15">
      <c r="D66" s="110" t="s">
        <v>242</v>
      </c>
    </row>
    <row r="68" spans="1:9">
      <c r="A68" s="70"/>
      <c r="B68" s="69" t="s">
        <v>144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546</v>
      </c>
      <c r="C69">
        <v>1140.99</v>
      </c>
      <c r="D69" t="s">
        <v>280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547</v>
      </c>
      <c r="D70" s="26" t="s">
        <v>584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585</v>
      </c>
      <c r="C71" s="84"/>
      <c r="D71" t="s">
        <v>549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586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587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588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589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590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239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591</v>
      </c>
      <c r="E88" s="76">
        <v>-529.98</v>
      </c>
    </row>
    <row r="89" spans="1:8">
      <c r="A89" s="73">
        <v>45179</v>
      </c>
      <c r="B89" t="s">
        <v>591</v>
      </c>
      <c r="E89" s="76">
        <v>-2351.9499999999998</v>
      </c>
    </row>
    <row r="90" spans="1:8">
      <c r="A90" s="73">
        <v>45180</v>
      </c>
      <c r="B90" t="s">
        <v>592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592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593</v>
      </c>
      <c r="E94" s="76">
        <v>-578</v>
      </c>
    </row>
    <row r="95" spans="1:8">
      <c r="A95" s="73">
        <v>45184</v>
      </c>
      <c r="B95" t="s">
        <v>594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595</v>
      </c>
      <c r="E101" s="76">
        <v>-230</v>
      </c>
    </row>
    <row r="102" spans="1:5">
      <c r="A102" s="73">
        <v>45191</v>
      </c>
      <c r="B102" t="s">
        <v>596</v>
      </c>
      <c r="E102" s="76">
        <v>-382</v>
      </c>
    </row>
    <row r="103" spans="1:5">
      <c r="A103" s="73">
        <v>45191</v>
      </c>
      <c r="B103" t="s">
        <v>597</v>
      </c>
      <c r="E103" s="76">
        <v>-699.6</v>
      </c>
    </row>
    <row r="104" spans="1:5">
      <c r="A104" s="73">
        <v>45192</v>
      </c>
      <c r="B104" t="s">
        <v>232</v>
      </c>
      <c r="E104" s="76">
        <v>-160</v>
      </c>
    </row>
    <row r="106" spans="1:5" ht="15">
      <c r="D106" s="110" t="s">
        <v>242</v>
      </c>
    </row>
    <row r="111" spans="1:5">
      <c r="A111" s="68" t="s">
        <v>598</v>
      </c>
      <c r="B111" s="69" t="s">
        <v>72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73</v>
      </c>
      <c r="C112" s="2"/>
      <c r="D112" s="2"/>
      <c r="E112" s="62">
        <v>64000</v>
      </c>
    </row>
    <row r="113" spans="1:5">
      <c r="A113" s="73">
        <v>45230</v>
      </c>
      <c r="B113" t="s">
        <v>599</v>
      </c>
      <c r="C113" s="2"/>
      <c r="D113" s="2"/>
      <c r="E113" s="62">
        <v>73088</v>
      </c>
    </row>
    <row r="114" spans="1:5">
      <c r="A114" s="73">
        <v>45230</v>
      </c>
      <c r="B114" t="s">
        <v>75</v>
      </c>
      <c r="C114" s="2"/>
      <c r="D114" s="2"/>
      <c r="E114" s="62">
        <v>20950.34</v>
      </c>
    </row>
    <row r="115" spans="1:5">
      <c r="A115" s="73">
        <v>45230</v>
      </c>
      <c r="B115" t="s">
        <v>76</v>
      </c>
      <c r="C115" s="2"/>
      <c r="D115" s="2"/>
      <c r="E115" s="62">
        <v>73011.39</v>
      </c>
    </row>
    <row r="116" spans="1:5">
      <c r="A116" s="73">
        <v>45230</v>
      </c>
      <c r="B116" t="s">
        <v>600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601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602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603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90</v>
      </c>
      <c r="C120" s="2"/>
      <c r="D120" s="2"/>
      <c r="E120" s="62">
        <v>60000</v>
      </c>
    </row>
    <row r="121" spans="1:5">
      <c r="A121" s="73">
        <v>45230</v>
      </c>
      <c r="B121" t="s">
        <v>91</v>
      </c>
      <c r="C121" s="2"/>
      <c r="D121" s="2"/>
      <c r="E121" s="62">
        <v>3000</v>
      </c>
    </row>
    <row r="122" spans="1:5">
      <c r="C122" s="3" t="s">
        <v>598</v>
      </c>
      <c r="D122" s="61" t="s">
        <v>92</v>
      </c>
      <c r="E122" s="76">
        <f>H41</f>
        <v>0</v>
      </c>
    </row>
    <row r="123" spans="1:5">
      <c r="D123" s="3"/>
    </row>
    <row r="124" spans="1:5">
      <c r="D124" s="61" t="s">
        <v>93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604</v>
      </c>
      <c r="C2" s="79" t="s">
        <v>95</v>
      </c>
      <c r="D2" s="239">
        <f>SUM(D4:D38)</f>
        <v>133300</v>
      </c>
      <c r="E2" s="239">
        <f>SUM(E4:E37)</f>
        <v>-31871.02</v>
      </c>
      <c r="F2" s="239">
        <f>SUM(F4:F44)</f>
        <v>257800</v>
      </c>
      <c r="G2" s="239">
        <f>SUM(G4:G44)</f>
        <v>-34914.910000000003</v>
      </c>
      <c r="H2" s="239">
        <f>F2+G2</f>
        <v>222885.09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99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605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118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119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606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606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607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125</v>
      </c>
      <c r="D22" s="245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608</v>
      </c>
      <c r="D23" s="245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609</v>
      </c>
      <c r="D24" s="245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164</v>
      </c>
      <c r="D25" s="245">
        <v>70000</v>
      </c>
      <c r="G25" s="54"/>
      <c r="H25" s="54">
        <f t="shared" si="0"/>
        <v>-18024.010000000002</v>
      </c>
    </row>
    <row r="26" spans="1:8">
      <c r="A26" s="89"/>
      <c r="B26" t="s">
        <v>610</v>
      </c>
      <c r="D26" s="95"/>
      <c r="G26" s="54"/>
      <c r="H26" s="54">
        <f t="shared" si="0"/>
        <v>-18024.010000000002</v>
      </c>
    </row>
    <row r="27" spans="1:8">
      <c r="A27" s="89"/>
      <c r="B27" t="s">
        <v>611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612</v>
      </c>
      <c r="D28" s="245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613</v>
      </c>
      <c r="G29" s="54"/>
      <c r="H29" s="54">
        <f t="shared" si="0"/>
        <v>67975.989999999991</v>
      </c>
    </row>
    <row r="30" spans="1:8">
      <c r="A30" s="88">
        <v>45171</v>
      </c>
      <c r="B30" t="s">
        <v>614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615</v>
      </c>
      <c r="D31" s="245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616</v>
      </c>
      <c r="D32" s="95"/>
      <c r="G32" s="54"/>
      <c r="H32" s="54">
        <f t="shared" si="0"/>
        <v>138975.99</v>
      </c>
    </row>
    <row r="33" spans="1:8">
      <c r="A33" s="89"/>
      <c r="B33" t="s">
        <v>617</v>
      </c>
      <c r="D33" s="95"/>
      <c r="G33" s="54"/>
      <c r="H33" s="54">
        <f t="shared" si="0"/>
        <v>138975.99</v>
      </c>
    </row>
    <row r="34" spans="1:8">
      <c r="A34" s="89"/>
      <c r="B34" t="s">
        <v>618</v>
      </c>
      <c r="D34" s="95"/>
      <c r="G34" s="54"/>
      <c r="H34" s="54">
        <f t="shared" si="0"/>
        <v>138975.99</v>
      </c>
    </row>
    <row r="35" spans="1:8">
      <c r="A35" s="89"/>
      <c r="B35" t="s">
        <v>226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619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620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621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128</v>
      </c>
      <c r="E44" s="54"/>
      <c r="G44" s="54"/>
      <c r="H44" s="54"/>
    </row>
    <row r="45" spans="1:8">
      <c r="A45" s="70" t="s">
        <v>129</v>
      </c>
      <c r="B45" s="70"/>
      <c r="C45" s="70"/>
      <c r="D45" s="70"/>
      <c r="E45" s="71"/>
      <c r="G45" s="54"/>
      <c r="H45" s="54"/>
    </row>
    <row r="46" spans="1:8">
      <c r="A46" s="251"/>
      <c r="B46" s="246"/>
      <c r="C46" s="246"/>
      <c r="D46" s="246"/>
      <c r="E46" s="247"/>
      <c r="H46" s="54"/>
    </row>
    <row r="47" spans="1:8">
      <c r="A47" s="251"/>
      <c r="B47" s="246"/>
      <c r="C47" s="248"/>
      <c r="D47" s="246"/>
      <c r="E47" s="246"/>
      <c r="H47" s="54"/>
    </row>
    <row r="48" spans="1:8">
      <c r="A48" s="251"/>
      <c r="B48" s="246"/>
      <c r="C48" s="248"/>
      <c r="D48" s="246"/>
      <c r="E48" s="246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130</v>
      </c>
      <c r="C50" s="70"/>
      <c r="D50" s="132">
        <f>SUM(D51:D58)</f>
        <v>3502.0099999999998</v>
      </c>
      <c r="E50" s="132">
        <f>SUM(E51:E58)</f>
        <v>3502.0099999999998</v>
      </c>
      <c r="H50" s="54"/>
    </row>
    <row r="51" spans="1:8">
      <c r="B51" t="s">
        <v>514</v>
      </c>
      <c r="D51">
        <v>673.8</v>
      </c>
      <c r="E51" s="54">
        <v>673.8</v>
      </c>
      <c r="F51" s="54"/>
      <c r="G51" s="54"/>
    </row>
    <row r="52" spans="1:8">
      <c r="B52" t="s">
        <v>132</v>
      </c>
      <c r="D52">
        <v>1165.77</v>
      </c>
      <c r="E52" s="54">
        <v>1165.77</v>
      </c>
      <c r="F52" s="54"/>
      <c r="G52" s="54"/>
    </row>
    <row r="53" spans="1:8">
      <c r="B53" t="s">
        <v>133</v>
      </c>
      <c r="D53">
        <v>106.22</v>
      </c>
      <c r="E53">
        <v>106.22</v>
      </c>
      <c r="F53" s="54"/>
      <c r="G53" s="54"/>
    </row>
    <row r="54" spans="1:8">
      <c r="B54" t="s">
        <v>134</v>
      </c>
      <c r="D54">
        <v>1157.58</v>
      </c>
      <c r="E54">
        <v>1157.58</v>
      </c>
      <c r="F54" s="54"/>
      <c r="G54" s="54"/>
    </row>
    <row r="55" spans="1:8">
      <c r="B55" t="s">
        <v>135</v>
      </c>
      <c r="D55">
        <v>353.65</v>
      </c>
      <c r="E55">
        <v>353.65</v>
      </c>
      <c r="F55" s="54"/>
      <c r="G55" s="54"/>
    </row>
    <row r="56" spans="1:8">
      <c r="B56" t="s">
        <v>136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132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365</v>
      </c>
      <c r="C64">
        <v>613.91</v>
      </c>
      <c r="D64" s="26" t="s">
        <v>622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623</v>
      </c>
      <c r="C65">
        <v>2258.94</v>
      </c>
      <c r="D65" s="26" t="s">
        <v>166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543</v>
      </c>
      <c r="C66" s="84">
        <v>3299</v>
      </c>
      <c r="D66" s="26" t="s">
        <v>182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318</v>
      </c>
      <c r="C67" s="84">
        <v>10764.57</v>
      </c>
      <c r="D67" s="26" t="s">
        <v>175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545</v>
      </c>
      <c r="C68" s="84">
        <v>3123.29</v>
      </c>
      <c r="D68" s="135" t="s">
        <v>182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518</v>
      </c>
      <c r="D69" s="135" t="s">
        <v>195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576</v>
      </c>
      <c r="C70" s="84">
        <v>148.6</v>
      </c>
      <c r="D70" s="135" t="s">
        <v>624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578</v>
      </c>
      <c r="C71" s="84">
        <v>244.8</v>
      </c>
      <c r="D71" s="135" t="s">
        <v>624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579</v>
      </c>
      <c r="C72" s="84">
        <v>1204.5</v>
      </c>
      <c r="D72" s="135" t="s">
        <v>624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580</v>
      </c>
      <c r="C73" s="84">
        <v>532.6</v>
      </c>
      <c r="D73" s="135" t="s">
        <v>624</v>
      </c>
      <c r="E73" s="76">
        <v>-133.15</v>
      </c>
      <c r="F73" s="54"/>
    </row>
    <row r="74" spans="1:8">
      <c r="A74" s="89">
        <v>45139</v>
      </c>
      <c r="B74" s="84" t="s">
        <v>625</v>
      </c>
      <c r="E74" s="76">
        <v>-260.02</v>
      </c>
    </row>
    <row r="75" spans="1:8">
      <c r="A75" s="88">
        <v>45139</v>
      </c>
      <c r="B75" s="84" t="s">
        <v>626</v>
      </c>
      <c r="E75" s="76">
        <v>-116.6</v>
      </c>
    </row>
    <row r="76" spans="1:8">
      <c r="A76" s="88">
        <v>45139</v>
      </c>
      <c r="B76" s="84" t="s">
        <v>626</v>
      </c>
      <c r="E76" s="76">
        <v>-23.75</v>
      </c>
    </row>
    <row r="77" spans="1:8">
      <c r="A77" s="88">
        <v>45140</v>
      </c>
      <c r="B77" s="84" t="s">
        <v>627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628</v>
      </c>
      <c r="E79" s="76">
        <v>-71</v>
      </c>
    </row>
    <row r="80" spans="1:8">
      <c r="A80" s="88">
        <v>45153</v>
      </c>
      <c r="B80" s="84" t="s">
        <v>629</v>
      </c>
      <c r="E80" s="76">
        <v>-1806</v>
      </c>
    </row>
    <row r="81" spans="1:8">
      <c r="A81" s="88">
        <v>45158</v>
      </c>
      <c r="B81" s="84" t="s">
        <v>630</v>
      </c>
      <c r="E81" s="76">
        <v>-160.9</v>
      </c>
    </row>
    <row r="82" spans="1:8">
      <c r="A82" s="88">
        <v>45160</v>
      </c>
      <c r="B82" s="84" t="s">
        <v>631</v>
      </c>
      <c r="D82" s="26"/>
      <c r="E82" s="76">
        <v>-231</v>
      </c>
    </row>
    <row r="83" spans="1:8" ht="15">
      <c r="A83" s="88"/>
      <c r="B83" s="84"/>
      <c r="D83" s="110" t="s">
        <v>242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546</v>
      </c>
      <c r="C88">
        <v>1140.99</v>
      </c>
      <c r="D88" t="s">
        <v>320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632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236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633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634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635</v>
      </c>
      <c r="E93" s="76">
        <v>-42.15</v>
      </c>
      <c r="F93" s="54"/>
    </row>
    <row r="94" spans="1:8">
      <c r="A94" s="89">
        <v>45136</v>
      </c>
      <c r="B94" t="s">
        <v>636</v>
      </c>
      <c r="E94">
        <v>-400</v>
      </c>
      <c r="F94" s="54"/>
    </row>
    <row r="95" spans="1:8">
      <c r="A95" s="89">
        <v>45136</v>
      </c>
      <c r="B95" t="s">
        <v>637</v>
      </c>
      <c r="E95">
        <v>-266</v>
      </c>
      <c r="F95" s="54"/>
    </row>
    <row r="96" spans="1:8">
      <c r="A96" s="89">
        <v>45199</v>
      </c>
      <c r="B96" t="s">
        <v>638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547</v>
      </c>
      <c r="D99" s="26" t="s">
        <v>639</v>
      </c>
      <c r="E99">
        <v>-181.83</v>
      </c>
    </row>
    <row r="100" spans="1:6">
      <c r="A100" s="88">
        <v>45141</v>
      </c>
      <c r="B100" t="s">
        <v>232</v>
      </c>
      <c r="D100" s="26"/>
      <c r="E100">
        <v>-150</v>
      </c>
    </row>
    <row r="101" spans="1:6">
      <c r="A101" s="88">
        <v>45143</v>
      </c>
      <c r="B101" t="s">
        <v>232</v>
      </c>
      <c r="E101">
        <v>-150</v>
      </c>
    </row>
    <row r="102" spans="1:6">
      <c r="A102" s="88">
        <v>45143</v>
      </c>
      <c r="B102" t="s">
        <v>635</v>
      </c>
      <c r="E102">
        <v>-337.19</v>
      </c>
    </row>
    <row r="103" spans="1:6">
      <c r="A103" s="88">
        <v>45161</v>
      </c>
      <c r="B103" t="s">
        <v>232</v>
      </c>
      <c r="E103">
        <v>-200</v>
      </c>
    </row>
    <row r="104" spans="1:6" ht="15">
      <c r="D104" s="110" t="s">
        <v>242</v>
      </c>
    </row>
    <row r="111" spans="1:6">
      <c r="A111" s="68" t="s">
        <v>640</v>
      </c>
      <c r="B111" s="69" t="s">
        <v>72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641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600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602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603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92</v>
      </c>
      <c r="E121" s="76">
        <f>H40</f>
        <v>222885.09</v>
      </c>
    </row>
    <row r="122" spans="1:6">
      <c r="D122" s="3"/>
    </row>
    <row r="123" spans="1:6">
      <c r="D123" s="61" t="s">
        <v>93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642</v>
      </c>
      <c r="C2" s="79" t="s">
        <v>95</v>
      </c>
      <c r="D2" s="239">
        <f>SUM(D4:D30)</f>
        <v>87911</v>
      </c>
      <c r="E2" s="239">
        <f>SUM(E4:E29)</f>
        <v>-32079.01</v>
      </c>
      <c r="F2" s="239">
        <f>SUM(F4:F31)</f>
        <v>16800</v>
      </c>
      <c r="G2" s="239">
        <f>SUM(G4:G31)</f>
        <v>-37135.350000000006</v>
      </c>
      <c r="H2" s="239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98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99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643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118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119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644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644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645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646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402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124</v>
      </c>
      <c r="D22" s="245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125</v>
      </c>
      <c r="D23" s="245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647</v>
      </c>
      <c r="D24" s="245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648</v>
      </c>
      <c r="D25" s="95"/>
      <c r="F25" s="54"/>
      <c r="G25" s="54"/>
      <c r="H25" s="54">
        <f t="shared" si="0"/>
        <v>-15085.350000000002</v>
      </c>
    </row>
    <row r="26" spans="1:8">
      <c r="B26" t="s">
        <v>649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650</v>
      </c>
      <c r="D27" s="245">
        <v>70000</v>
      </c>
      <c r="G27" s="54"/>
      <c r="H27" s="54">
        <f t="shared" si="0"/>
        <v>-15085.350000000002</v>
      </c>
    </row>
    <row r="28" spans="1:8">
      <c r="B28" t="s">
        <v>651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0</v>
      </c>
      <c r="E37" s="132">
        <f>SUM(E38:E45)</f>
        <v>0</v>
      </c>
      <c r="H37" s="54"/>
    </row>
    <row r="38" spans="1:8">
      <c r="B38" t="s">
        <v>514</v>
      </c>
      <c r="E38" s="54"/>
      <c r="F38" s="54"/>
      <c r="G38" s="54"/>
    </row>
    <row r="39" spans="1:8">
      <c r="B39" t="s">
        <v>132</v>
      </c>
      <c r="E39" s="54"/>
      <c r="F39" s="54"/>
      <c r="G39" s="54"/>
    </row>
    <row r="40" spans="1:8">
      <c r="B40" t="s">
        <v>133</v>
      </c>
      <c r="F40" s="54"/>
      <c r="G40" s="54"/>
    </row>
    <row r="41" spans="1:8">
      <c r="B41" t="s">
        <v>134</v>
      </c>
      <c r="F41" s="54"/>
      <c r="G41" s="54"/>
    </row>
    <row r="42" spans="1:8">
      <c r="B42" t="s">
        <v>135</v>
      </c>
      <c r="F42" s="54"/>
      <c r="G42" s="54"/>
    </row>
    <row r="43" spans="1:8">
      <c r="B43" t="s">
        <v>136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652</v>
      </c>
      <c r="C50" s="84"/>
      <c r="D50" s="84" t="s">
        <v>143</v>
      </c>
      <c r="E50" s="76">
        <v>-1111.1199999999999</v>
      </c>
      <c r="G50" s="54"/>
      <c r="H50" s="54"/>
    </row>
    <row r="51" spans="1:8">
      <c r="A51" s="89">
        <v>44995</v>
      </c>
      <c r="B51" t="s">
        <v>365</v>
      </c>
      <c r="C51">
        <v>613.91</v>
      </c>
      <c r="D51" s="26" t="s">
        <v>653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623</v>
      </c>
      <c r="C52">
        <v>2258.94</v>
      </c>
      <c r="D52" s="26" t="s">
        <v>173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543</v>
      </c>
      <c r="C53" s="84">
        <v>3299</v>
      </c>
      <c r="D53" s="26" t="s">
        <v>195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318</v>
      </c>
      <c r="C54" s="84">
        <v>10764.57</v>
      </c>
      <c r="D54" s="26" t="s">
        <v>185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545</v>
      </c>
      <c r="C55" s="84">
        <v>3123.29</v>
      </c>
      <c r="D55" s="135" t="s">
        <v>195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518</v>
      </c>
      <c r="D56" s="135" t="s">
        <v>208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576</v>
      </c>
      <c r="C57" s="84">
        <v>148.6</v>
      </c>
      <c r="D57" s="135" t="s">
        <v>654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578</v>
      </c>
      <c r="C58" s="84">
        <v>244.8</v>
      </c>
      <c r="D58" s="135" t="s">
        <v>654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579</v>
      </c>
      <c r="C59" s="84">
        <v>1204.5</v>
      </c>
      <c r="D59" s="135" t="s">
        <v>654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580</v>
      </c>
      <c r="C60" s="84">
        <v>532.6</v>
      </c>
      <c r="D60" s="135" t="s">
        <v>654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655</v>
      </c>
      <c r="E62" s="76">
        <v>-132.9</v>
      </c>
    </row>
    <row r="63" spans="1:8">
      <c r="A63" s="89"/>
      <c r="D63" s="3" t="s">
        <v>242</v>
      </c>
      <c r="E63" s="76"/>
    </row>
    <row r="65" spans="1:8">
      <c r="D65" s="26"/>
    </row>
    <row r="67" spans="1:8">
      <c r="A67" s="70"/>
      <c r="B67" s="69" t="s">
        <v>144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546</v>
      </c>
      <c r="C68">
        <v>1140.99</v>
      </c>
      <c r="D68" t="s">
        <v>656</v>
      </c>
      <c r="E68">
        <v>-190.17</v>
      </c>
      <c r="F68" s="54"/>
      <c r="G68" s="54"/>
      <c r="H68" s="54"/>
    </row>
    <row r="69" spans="1:8">
      <c r="A69" s="89">
        <v>45105</v>
      </c>
      <c r="B69" s="252" t="s">
        <v>657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2" t="s">
        <v>658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2" t="s">
        <v>659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660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375</v>
      </c>
      <c r="E75">
        <v>-1356.36</v>
      </c>
    </row>
    <row r="76" spans="1:8">
      <c r="A76" s="89">
        <v>45115</v>
      </c>
      <c r="B76" t="s">
        <v>375</v>
      </c>
      <c r="E76">
        <v>-1120</v>
      </c>
    </row>
    <row r="77" spans="1:8">
      <c r="B77" t="s">
        <v>661</v>
      </c>
    </row>
    <row r="78" spans="1:8">
      <c r="A78" s="89">
        <v>45116</v>
      </c>
      <c r="B78" t="s">
        <v>662</v>
      </c>
      <c r="E78">
        <v>-437</v>
      </c>
    </row>
    <row r="79" spans="1:8">
      <c r="A79" s="89">
        <v>45116</v>
      </c>
      <c r="B79" t="s">
        <v>375</v>
      </c>
      <c r="D79" s="26"/>
      <c r="E79">
        <v>-863</v>
      </c>
    </row>
    <row r="80" spans="1:8">
      <c r="A80" s="89">
        <v>45119</v>
      </c>
      <c r="B80" t="s">
        <v>239</v>
      </c>
      <c r="D80" s="26"/>
      <c r="E80">
        <v>-146.88999999999999</v>
      </c>
    </row>
    <row r="81" spans="1:5">
      <c r="A81" s="89">
        <v>45119</v>
      </c>
      <c r="B81" t="s">
        <v>236</v>
      </c>
      <c r="E81">
        <v>-150</v>
      </c>
    </row>
    <row r="82" spans="1:5">
      <c r="A82" s="89">
        <v>45120</v>
      </c>
      <c r="B82" t="s">
        <v>236</v>
      </c>
      <c r="E82">
        <v>-150</v>
      </c>
    </row>
    <row r="83" spans="1:5">
      <c r="A83" s="89">
        <v>45121</v>
      </c>
      <c r="B83" t="s">
        <v>236</v>
      </c>
      <c r="E83">
        <v>-150</v>
      </c>
    </row>
    <row r="84" spans="1:5">
      <c r="A84" s="89">
        <v>45124</v>
      </c>
      <c r="B84" t="s">
        <v>236</v>
      </c>
      <c r="E84">
        <v>-150</v>
      </c>
    </row>
    <row r="85" spans="1:5">
      <c r="A85" s="89">
        <v>45125</v>
      </c>
      <c r="B85" t="s">
        <v>236</v>
      </c>
      <c r="E85">
        <v>-160</v>
      </c>
    </row>
    <row r="86" spans="1:5">
      <c r="A86" s="89">
        <v>45129</v>
      </c>
      <c r="B86" t="s">
        <v>239</v>
      </c>
      <c r="E86">
        <v>-20.059999999999999</v>
      </c>
    </row>
    <row r="87" spans="1:5">
      <c r="A87" s="89">
        <v>45130</v>
      </c>
      <c r="B87" t="s">
        <v>663</v>
      </c>
      <c r="E87">
        <v>-275.54000000000002</v>
      </c>
    </row>
    <row r="88" spans="1:5">
      <c r="A88" s="89">
        <v>45130</v>
      </c>
      <c r="B88" t="s">
        <v>553</v>
      </c>
      <c r="E88">
        <v>-212.45</v>
      </c>
    </row>
    <row r="89" spans="1:5">
      <c r="A89" s="89">
        <v>45131</v>
      </c>
      <c r="B89" t="s">
        <v>664</v>
      </c>
      <c r="E89">
        <v>-4.57</v>
      </c>
    </row>
    <row r="90" spans="1:5">
      <c r="A90" s="89">
        <v>45131</v>
      </c>
      <c r="B90" t="s">
        <v>665</v>
      </c>
      <c r="E90">
        <v>-4.57</v>
      </c>
    </row>
    <row r="91" spans="1:5">
      <c r="A91" s="89">
        <v>45131</v>
      </c>
      <c r="B91" t="s">
        <v>666</v>
      </c>
      <c r="E91">
        <v>-30.44</v>
      </c>
    </row>
    <row r="92" spans="1:5">
      <c r="D92" s="3" t="s">
        <v>242</v>
      </c>
    </row>
    <row r="111" spans="1:5">
      <c r="A111" s="68" t="s">
        <v>667</v>
      </c>
      <c r="B111" s="69" t="s">
        <v>72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73</v>
      </c>
      <c r="C112" s="2"/>
      <c r="D112" s="2"/>
      <c r="E112" s="62">
        <v>64000</v>
      </c>
    </row>
    <row r="113" spans="1:5">
      <c r="A113" s="89">
        <v>45169</v>
      </c>
      <c r="B113" t="s">
        <v>668</v>
      </c>
      <c r="C113" s="2"/>
      <c r="D113" s="2"/>
      <c r="E113" s="62">
        <v>53088</v>
      </c>
    </row>
    <row r="114" spans="1:5">
      <c r="A114" s="89">
        <v>45169</v>
      </c>
      <c r="B114" t="s">
        <v>75</v>
      </c>
      <c r="C114" s="2"/>
      <c r="D114" s="2"/>
      <c r="E114" s="62">
        <v>28245.88</v>
      </c>
    </row>
    <row r="115" spans="1:5">
      <c r="A115" s="89">
        <v>45169</v>
      </c>
      <c r="B115" t="s">
        <v>76</v>
      </c>
      <c r="C115" s="2"/>
      <c r="D115" s="2"/>
      <c r="E115" s="62">
        <v>450.49</v>
      </c>
    </row>
    <row r="116" spans="1:5">
      <c r="A116" s="89">
        <v>45169</v>
      </c>
      <c r="B116" t="s">
        <v>600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669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670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90</v>
      </c>
      <c r="C119" s="2"/>
      <c r="D119" s="2"/>
      <c r="E119" s="62">
        <v>50850</v>
      </c>
    </row>
    <row r="120" spans="1:5">
      <c r="A120" s="89"/>
      <c r="B120" t="s">
        <v>91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92</v>
      </c>
      <c r="E121" s="54">
        <f>H13</f>
        <v>-21230.350000000002</v>
      </c>
    </row>
    <row r="122" spans="1:5">
      <c r="D122" s="3"/>
    </row>
    <row r="123" spans="1:5">
      <c r="D123" s="61" t="s">
        <v>93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671</v>
      </c>
      <c r="C2" s="79" t="s">
        <v>95</v>
      </c>
      <c r="D2" s="239">
        <f>SUM(D4:D34)</f>
        <v>67911</v>
      </c>
      <c r="E2" s="239">
        <f>SUM(E4:E33)</f>
        <v>-35277.64</v>
      </c>
      <c r="F2" s="239">
        <f>SUM(F4:F35)</f>
        <v>70250</v>
      </c>
      <c r="G2" s="239">
        <f>SUM(G4:G35)</f>
        <v>-42110.31</v>
      </c>
      <c r="H2" s="239">
        <f>F2+G2</f>
        <v>28139.690000000002</v>
      </c>
    </row>
    <row r="3" spans="1:9">
      <c r="B3" s="61"/>
      <c r="H3" s="54"/>
    </row>
    <row r="4" spans="1:9">
      <c r="B4" s="80" t="s">
        <v>98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99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672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673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674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118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119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675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3" t="s">
        <v>676</v>
      </c>
      <c r="E13" s="54"/>
      <c r="G13" s="54">
        <v>-5595.88</v>
      </c>
      <c r="H13" s="54">
        <f t="shared" si="0"/>
        <v>-23354.9</v>
      </c>
      <c r="I13" s="213"/>
    </row>
    <row r="14" spans="1:9">
      <c r="A14" s="89">
        <v>45113</v>
      </c>
      <c r="B14" s="80" t="s">
        <v>677</v>
      </c>
      <c r="C14" s="80" t="s">
        <v>678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677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679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113</v>
      </c>
      <c r="C17" s="80" t="s">
        <v>114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680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402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681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124</v>
      </c>
      <c r="D26" s="245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682</v>
      </c>
      <c r="D27" s="245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683</v>
      </c>
      <c r="D28" s="245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128</v>
      </c>
      <c r="E35" s="54"/>
      <c r="G35" s="54"/>
      <c r="H35" s="54"/>
    </row>
    <row r="36" spans="1:8">
      <c r="A36" s="70" t="s">
        <v>129</v>
      </c>
      <c r="B36" s="70"/>
      <c r="C36" s="70"/>
      <c r="D36" s="70"/>
      <c r="E36" s="71"/>
      <c r="G36" s="54"/>
      <c r="H36" s="54"/>
    </row>
    <row r="37" spans="1:8">
      <c r="A37" s="251"/>
      <c r="B37" s="246"/>
      <c r="C37" s="246"/>
      <c r="D37" s="246"/>
      <c r="E37" s="247"/>
      <c r="H37" s="54"/>
    </row>
    <row r="38" spans="1:8">
      <c r="A38" s="251"/>
      <c r="B38" s="246"/>
      <c r="C38" s="248"/>
      <c r="D38" s="246"/>
      <c r="E38" s="246"/>
      <c r="H38" s="54"/>
    </row>
    <row r="39" spans="1:8">
      <c r="A39" s="251"/>
      <c r="B39" s="246"/>
      <c r="C39" s="248"/>
      <c r="D39" s="246"/>
      <c r="E39" s="246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130</v>
      </c>
      <c r="C41" s="70"/>
      <c r="D41" s="132">
        <f>SUM(D42:D49)</f>
        <v>3120.43</v>
      </c>
      <c r="E41" s="132">
        <f>SUM(E42:E49)</f>
        <v>1344.7</v>
      </c>
      <c r="H41" s="54"/>
    </row>
    <row r="42" spans="1:8">
      <c r="B42" t="s">
        <v>514</v>
      </c>
      <c r="D42">
        <v>547.27</v>
      </c>
      <c r="E42" s="54"/>
      <c r="F42" s="54"/>
      <c r="G42" s="54"/>
    </row>
    <row r="43" spans="1:8">
      <c r="B43" t="s">
        <v>132</v>
      </c>
      <c r="D43">
        <v>990.96</v>
      </c>
      <c r="E43" s="54">
        <v>990</v>
      </c>
      <c r="F43" s="54"/>
      <c r="G43" s="54"/>
    </row>
    <row r="44" spans="1:8">
      <c r="B44" t="s">
        <v>133</v>
      </c>
      <c r="D44">
        <v>112.16</v>
      </c>
      <c r="F44" s="54"/>
      <c r="G44" s="54"/>
    </row>
    <row r="45" spans="1:8">
      <c r="B45" t="s">
        <v>134</v>
      </c>
      <c r="D45">
        <v>1115.05</v>
      </c>
      <c r="F45" s="54"/>
      <c r="G45" s="54"/>
    </row>
    <row r="46" spans="1:8">
      <c r="B46" t="s">
        <v>135</v>
      </c>
      <c r="D46">
        <v>322.29000000000002</v>
      </c>
      <c r="E46">
        <v>322</v>
      </c>
      <c r="F46" s="54"/>
      <c r="G46" s="54"/>
    </row>
    <row r="47" spans="1:8">
      <c r="B47" t="s">
        <v>136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652</v>
      </c>
      <c r="C54" s="84"/>
      <c r="D54" s="84" t="s">
        <v>142</v>
      </c>
      <c r="E54" s="76">
        <v>-1111.1099999999999</v>
      </c>
      <c r="G54" s="54"/>
      <c r="H54" s="54"/>
    </row>
    <row r="55" spans="1:8">
      <c r="A55" s="89">
        <v>44995</v>
      </c>
      <c r="B55" t="s">
        <v>365</v>
      </c>
      <c r="C55">
        <v>613.91</v>
      </c>
      <c r="D55" s="26" t="s">
        <v>684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623</v>
      </c>
      <c r="C56">
        <v>2258.94</v>
      </c>
      <c r="D56" s="26" t="s">
        <v>182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543</v>
      </c>
      <c r="C57" s="84">
        <v>3299</v>
      </c>
      <c r="D57" s="26" t="s">
        <v>208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318</v>
      </c>
      <c r="C58" s="84">
        <v>10764.57</v>
      </c>
      <c r="D58" s="26" t="s">
        <v>198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545</v>
      </c>
      <c r="C59" s="84">
        <v>3123.29</v>
      </c>
      <c r="D59" s="135" t="s">
        <v>208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576</v>
      </c>
      <c r="C60" s="84">
        <v>148.6</v>
      </c>
      <c r="D60" s="135" t="s">
        <v>685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578</v>
      </c>
      <c r="C61" s="84">
        <v>244.8</v>
      </c>
      <c r="D61" s="135" t="s">
        <v>685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579</v>
      </c>
      <c r="C62" s="84">
        <v>1204.5</v>
      </c>
      <c r="D62" s="135" t="s">
        <v>685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580</v>
      </c>
      <c r="C63" s="84">
        <v>532.6</v>
      </c>
      <c r="D63" s="135" t="s">
        <v>685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518</v>
      </c>
      <c r="D64" s="135" t="s">
        <v>227</v>
      </c>
      <c r="E64" s="76">
        <v>-666.67</v>
      </c>
      <c r="F64" s="54"/>
    </row>
    <row r="65" spans="1:8">
      <c r="A65" s="89">
        <v>45091</v>
      </c>
      <c r="B65" s="84" t="s">
        <v>686</v>
      </c>
      <c r="E65" s="76">
        <v>-1129</v>
      </c>
      <c r="F65" s="54"/>
    </row>
    <row r="66" spans="1:8">
      <c r="A66" s="89"/>
      <c r="B66" s="84"/>
      <c r="D66" s="3" t="s">
        <v>242</v>
      </c>
      <c r="E66" s="76"/>
      <c r="F66" s="54"/>
    </row>
    <row r="67" spans="1:8">
      <c r="D67" s="26"/>
    </row>
    <row r="69" spans="1:8">
      <c r="A69" s="70"/>
      <c r="B69" s="69" t="s">
        <v>144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546</v>
      </c>
      <c r="C70">
        <v>1140.99</v>
      </c>
      <c r="D70" t="s">
        <v>520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687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688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689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689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689</v>
      </c>
      <c r="E75" s="76">
        <v>-225</v>
      </c>
    </row>
    <row r="76" spans="1:8">
      <c r="B76" s="84" t="s">
        <v>451</v>
      </c>
      <c r="C76">
        <v>-1207</v>
      </c>
    </row>
    <row r="77" spans="1:8">
      <c r="A77" s="88">
        <v>45080</v>
      </c>
      <c r="B77" s="84" t="s">
        <v>689</v>
      </c>
      <c r="E77" s="76">
        <v>-180</v>
      </c>
    </row>
    <row r="78" spans="1:8">
      <c r="A78" s="88">
        <v>45080</v>
      </c>
      <c r="B78" s="84" t="s">
        <v>690</v>
      </c>
      <c r="E78" s="76">
        <v>-850</v>
      </c>
    </row>
    <row r="79" spans="1:8">
      <c r="A79" s="88">
        <v>45082</v>
      </c>
      <c r="B79" s="84" t="s">
        <v>691</v>
      </c>
      <c r="E79" s="76">
        <v>-112.11</v>
      </c>
    </row>
    <row r="80" spans="1:8">
      <c r="A80" s="88">
        <v>45082</v>
      </c>
      <c r="B80" s="84" t="s">
        <v>689</v>
      </c>
      <c r="E80" s="76">
        <v>-150</v>
      </c>
    </row>
    <row r="81" spans="1:5">
      <c r="A81" s="88">
        <v>45084</v>
      </c>
      <c r="B81" s="84" t="s">
        <v>689</v>
      </c>
      <c r="D81" s="26"/>
      <c r="E81" s="76">
        <v>-250</v>
      </c>
    </row>
    <row r="82" spans="1:5">
      <c r="A82" s="88">
        <v>45085</v>
      </c>
      <c r="B82" s="84" t="s">
        <v>689</v>
      </c>
      <c r="D82" s="26"/>
      <c r="E82" s="76">
        <v>-250</v>
      </c>
    </row>
    <row r="83" spans="1:5">
      <c r="A83" s="88">
        <v>45086</v>
      </c>
      <c r="B83" t="s">
        <v>692</v>
      </c>
      <c r="E83" s="76">
        <v>-1420</v>
      </c>
    </row>
    <row r="84" spans="1:5">
      <c r="A84" s="88">
        <v>45087</v>
      </c>
      <c r="B84" t="s">
        <v>693</v>
      </c>
      <c r="E84" s="76">
        <v>-242.56</v>
      </c>
    </row>
    <row r="85" spans="1:5">
      <c r="A85" s="88">
        <v>45089</v>
      </c>
      <c r="B85" t="s">
        <v>694</v>
      </c>
      <c r="E85" s="76">
        <v>-167.19</v>
      </c>
    </row>
    <row r="86" spans="1:5">
      <c r="A86" s="88">
        <v>45091</v>
      </c>
      <c r="B86" t="s">
        <v>689</v>
      </c>
      <c r="E86" s="76">
        <v>-200</v>
      </c>
    </row>
    <row r="87" spans="1:5">
      <c r="A87" s="88">
        <v>45091</v>
      </c>
      <c r="B87" t="s">
        <v>691</v>
      </c>
      <c r="E87" s="76">
        <v>-61.41</v>
      </c>
    </row>
    <row r="88" spans="1:5">
      <c r="A88" s="88">
        <v>45092</v>
      </c>
      <c r="B88" t="s">
        <v>689</v>
      </c>
      <c r="E88" s="76">
        <v>-200</v>
      </c>
    </row>
    <row r="89" spans="1:5">
      <c r="A89" s="89">
        <v>45095</v>
      </c>
      <c r="B89" t="s">
        <v>695</v>
      </c>
      <c r="E89" s="76">
        <v>-257</v>
      </c>
    </row>
    <row r="90" spans="1:5">
      <c r="A90" s="89">
        <v>45096</v>
      </c>
      <c r="B90" t="s">
        <v>236</v>
      </c>
      <c r="E90" s="76">
        <v>-250</v>
      </c>
    </row>
    <row r="91" spans="1:5">
      <c r="A91" s="89">
        <v>45097</v>
      </c>
      <c r="B91" t="s">
        <v>696</v>
      </c>
      <c r="E91" s="76">
        <v>-110</v>
      </c>
    </row>
    <row r="92" spans="1:5">
      <c r="A92" s="89">
        <v>45098</v>
      </c>
      <c r="B92" t="s">
        <v>697</v>
      </c>
      <c r="E92" s="76">
        <v>-405</v>
      </c>
    </row>
    <row r="93" spans="1:5">
      <c r="A93" s="89">
        <v>45099</v>
      </c>
      <c r="B93" t="s">
        <v>698</v>
      </c>
      <c r="E93" s="76">
        <v>-820</v>
      </c>
    </row>
    <row r="94" spans="1:5">
      <c r="A94" s="89">
        <v>45099</v>
      </c>
      <c r="B94" t="s">
        <v>699</v>
      </c>
      <c r="E94" s="76">
        <v>-599</v>
      </c>
    </row>
    <row r="95" spans="1:5">
      <c r="A95" s="89">
        <v>45099</v>
      </c>
      <c r="B95" t="s">
        <v>700</v>
      </c>
      <c r="E95" s="76">
        <v>-8</v>
      </c>
    </row>
    <row r="96" spans="1:5">
      <c r="A96" s="89">
        <v>45099</v>
      </c>
      <c r="B96" t="s">
        <v>700</v>
      </c>
      <c r="E96" s="76">
        <v>-1197.3800000000001</v>
      </c>
    </row>
    <row r="97" spans="1:5">
      <c r="A97" s="89">
        <v>45100</v>
      </c>
      <c r="B97" t="s">
        <v>701</v>
      </c>
      <c r="E97" s="76">
        <v>-418.5</v>
      </c>
    </row>
    <row r="98" spans="1:5">
      <c r="D98" s="3" t="s">
        <v>242</v>
      </c>
    </row>
    <row r="110" spans="1:5">
      <c r="D110" s="26"/>
    </row>
    <row r="111" spans="1:5">
      <c r="A111" s="68" t="s">
        <v>702</v>
      </c>
      <c r="B111" s="69" t="s">
        <v>72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12372.88</v>
      </c>
    </row>
    <row r="115" spans="1:5">
      <c r="A115" s="89">
        <v>45077</v>
      </c>
      <c r="B115" t="s">
        <v>76</v>
      </c>
      <c r="C115" s="2"/>
      <c r="D115" s="2"/>
      <c r="E115" s="62">
        <v>26868.21</v>
      </c>
    </row>
    <row r="116" spans="1:5">
      <c r="A116" s="89">
        <v>45077</v>
      </c>
      <c r="B116" t="s">
        <v>600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703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704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90</v>
      </c>
      <c r="C119" s="2"/>
      <c r="D119" s="2"/>
      <c r="E119" s="62">
        <v>67500</v>
      </c>
    </row>
    <row r="120" spans="1:5">
      <c r="A120" s="89"/>
      <c r="B120" t="s">
        <v>91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92</v>
      </c>
      <c r="E121" s="54">
        <f>H13</f>
        <v>-23354.9</v>
      </c>
    </row>
    <row r="122" spans="1:5">
      <c r="D122" s="3"/>
    </row>
    <row r="123" spans="1:5">
      <c r="D123" s="61" t="s">
        <v>93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705</v>
      </c>
      <c r="C2" s="79" t="s">
        <v>95</v>
      </c>
      <c r="D2" s="239">
        <f>SUM(D4:D30)</f>
        <v>28744</v>
      </c>
      <c r="E2" s="239">
        <f>SUM(E4:E29)</f>
        <v>-26572.629999999997</v>
      </c>
      <c r="F2" s="239">
        <f>SUM(F4:F31)</f>
        <v>33133</v>
      </c>
      <c r="G2" s="239">
        <f>SUM(G4:G31)</f>
        <v>-28830.22</v>
      </c>
      <c r="H2" s="239">
        <f>F2+G2</f>
        <v>4302.7799999999988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99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706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118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119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707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708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192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113</v>
      </c>
      <c r="C14" s="80" t="s">
        <v>114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402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709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125</v>
      </c>
      <c r="D23" s="245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710</v>
      </c>
      <c r="D24" s="245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711</v>
      </c>
      <c r="D25" s="245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712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713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714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4" t="s">
        <v>715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3377.9</v>
      </c>
      <c r="E37" s="132">
        <f>SUM(E38:E45)</f>
        <v>3379.06</v>
      </c>
      <c r="H37" s="54"/>
    </row>
    <row r="38" spans="1:8">
      <c r="A38">
        <v>20</v>
      </c>
      <c r="B38" t="s">
        <v>514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132">
        <f>SUM(E50:E69)</f>
        <v>-4946.47</v>
      </c>
    </row>
    <row r="50" spans="1:8">
      <c r="A50" s="89">
        <v>44873</v>
      </c>
      <c r="B50" t="s">
        <v>652</v>
      </c>
      <c r="C50" s="84"/>
      <c r="D50" s="84" t="s">
        <v>160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716</v>
      </c>
      <c r="C51">
        <v>659.93</v>
      </c>
      <c r="D51" s="26" t="s">
        <v>577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365</v>
      </c>
      <c r="C52">
        <v>613.91</v>
      </c>
      <c r="D52" s="26" t="s">
        <v>717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718</v>
      </c>
      <c r="C53">
        <v>720.19</v>
      </c>
      <c r="D53" s="255" t="s">
        <v>719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623</v>
      </c>
      <c r="C54">
        <v>2258.94</v>
      </c>
      <c r="D54" s="26" t="s">
        <v>720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318</v>
      </c>
      <c r="C57" s="84">
        <v>10764.57</v>
      </c>
      <c r="D57" s="26" t="s">
        <v>582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227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227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5"/>
      <c r="E61" s="76"/>
      <c r="F61" s="54"/>
      <c r="G61" s="54"/>
      <c r="H61" s="54"/>
    </row>
    <row r="62" spans="1:8">
      <c r="A62" s="89">
        <v>45043</v>
      </c>
      <c r="B62" s="84" t="s">
        <v>721</v>
      </c>
      <c r="C62" s="84">
        <v>-476.91</v>
      </c>
      <c r="D62" s="135"/>
      <c r="E62" s="76"/>
      <c r="F62" s="54"/>
      <c r="G62" s="54"/>
      <c r="H62" s="54"/>
    </row>
    <row r="63" spans="1:8">
      <c r="A63" s="89">
        <v>45043</v>
      </c>
      <c r="B63" t="s">
        <v>722</v>
      </c>
      <c r="E63" s="76">
        <v>-496</v>
      </c>
    </row>
    <row r="64" spans="1:8">
      <c r="A64" s="89">
        <v>45043</v>
      </c>
      <c r="B64" s="84" t="s">
        <v>723</v>
      </c>
      <c r="C64" s="84"/>
      <c r="D64" s="84"/>
      <c r="E64" s="76">
        <v>-120</v>
      </c>
    </row>
    <row r="65" spans="1:6">
      <c r="A65" s="89">
        <v>45044</v>
      </c>
      <c r="B65" t="s">
        <v>724</v>
      </c>
      <c r="E65" s="76">
        <v>-321</v>
      </c>
      <c r="F65" s="54"/>
    </row>
    <row r="66" spans="1:6">
      <c r="A66" s="89">
        <v>45044</v>
      </c>
      <c r="B66" t="s">
        <v>725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726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726</v>
      </c>
      <c r="C69">
        <v>225</v>
      </c>
      <c r="E69" s="76"/>
    </row>
    <row r="70" spans="1:6">
      <c r="A70" s="89">
        <v>45062</v>
      </c>
      <c r="B70" t="s">
        <v>726</v>
      </c>
      <c r="C70">
        <v>500</v>
      </c>
      <c r="E70" s="76"/>
    </row>
    <row r="71" spans="1:6">
      <c r="A71" s="89">
        <v>45066</v>
      </c>
      <c r="B71" t="s">
        <v>727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242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728</v>
      </c>
      <c r="C85" s="84"/>
      <c r="D85" s="84"/>
      <c r="E85" s="76">
        <v>-140</v>
      </c>
      <c r="F85" s="54" t="s">
        <v>729</v>
      </c>
      <c r="G85" s="54"/>
      <c r="H85" s="54"/>
    </row>
    <row r="86" spans="1:8">
      <c r="A86" s="89">
        <v>45044</v>
      </c>
      <c r="B86" s="84" t="s">
        <v>730</v>
      </c>
      <c r="C86" s="84"/>
      <c r="D86" s="84"/>
      <c r="E86" s="76">
        <v>-35.78</v>
      </c>
      <c r="F86" s="54" t="s">
        <v>729</v>
      </c>
      <c r="G86" s="54"/>
      <c r="H86" s="54"/>
    </row>
    <row r="87" spans="1:8">
      <c r="A87" s="89">
        <v>45045</v>
      </c>
      <c r="B87" s="84" t="s">
        <v>451</v>
      </c>
      <c r="C87" s="84">
        <v>-221.54</v>
      </c>
      <c r="D87" s="84"/>
      <c r="E87" s="76"/>
      <c r="F87" s="54" t="s">
        <v>729</v>
      </c>
      <c r="G87" s="54"/>
      <c r="H87" s="54"/>
    </row>
    <row r="88" spans="1:8">
      <c r="A88" s="89">
        <v>45023</v>
      </c>
      <c r="B88" s="84" t="s">
        <v>635</v>
      </c>
      <c r="C88" s="84"/>
      <c r="D88" s="84"/>
      <c r="E88" s="76">
        <v>-39.950000000000003</v>
      </c>
      <c r="F88" s="54" t="s">
        <v>729</v>
      </c>
      <c r="G88" s="54"/>
      <c r="H88" s="54"/>
    </row>
    <row r="89" spans="1:8">
      <c r="A89" s="89">
        <v>45023</v>
      </c>
      <c r="B89" s="84" t="s">
        <v>635</v>
      </c>
      <c r="C89" s="84"/>
      <c r="D89" s="84"/>
      <c r="E89" s="76">
        <v>-154.44999999999999</v>
      </c>
      <c r="F89" s="54" t="s">
        <v>729</v>
      </c>
      <c r="G89" s="54"/>
      <c r="H89" s="54"/>
    </row>
    <row r="90" spans="1:8">
      <c r="A90" s="89">
        <v>45023</v>
      </c>
      <c r="B90" s="97" t="s">
        <v>635</v>
      </c>
      <c r="E90" s="76">
        <v>-260</v>
      </c>
      <c r="F90" s="54" t="s">
        <v>729</v>
      </c>
    </row>
    <row r="91" spans="1:8">
      <c r="A91" s="89">
        <v>45026</v>
      </c>
      <c r="B91" t="s">
        <v>731</v>
      </c>
      <c r="E91" s="76">
        <v>-140</v>
      </c>
      <c r="F91" s="54" t="s">
        <v>729</v>
      </c>
    </row>
    <row r="92" spans="1:8">
      <c r="A92" s="89">
        <v>45026</v>
      </c>
      <c r="B92" t="s">
        <v>730</v>
      </c>
      <c r="E92" s="76">
        <v>-57.07</v>
      </c>
      <c r="F92" s="54" t="s">
        <v>729</v>
      </c>
    </row>
    <row r="93" spans="1:8">
      <c r="A93" s="89">
        <v>45026</v>
      </c>
      <c r="B93" t="s">
        <v>546</v>
      </c>
      <c r="C93">
        <v>1140.99</v>
      </c>
      <c r="D93" t="s">
        <v>549</v>
      </c>
      <c r="E93" s="76">
        <v>-190.17</v>
      </c>
      <c r="F93" t="s">
        <v>729</v>
      </c>
    </row>
    <row r="94" spans="1:8">
      <c r="A94" s="89">
        <v>45061</v>
      </c>
      <c r="B94" t="s">
        <v>732</v>
      </c>
      <c r="E94" s="76">
        <v>-190</v>
      </c>
      <c r="F94" s="54" t="s">
        <v>729</v>
      </c>
    </row>
    <row r="95" spans="1:8">
      <c r="E95" t="s">
        <v>242</v>
      </c>
    </row>
    <row r="96" spans="1:8">
      <c r="D96" s="26"/>
    </row>
    <row r="97" spans="1:5">
      <c r="D97" s="26"/>
    </row>
    <row r="111" spans="1:5">
      <c r="A111" s="68" t="s">
        <v>733</v>
      </c>
      <c r="B111" s="69" t="s">
        <v>734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703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704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H8</f>
        <v>-5855.47</v>
      </c>
    </row>
    <row r="122" spans="1:5">
      <c r="D122" s="3"/>
    </row>
    <row r="123" spans="1:5">
      <c r="D123" s="61" t="s">
        <v>93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736</v>
      </c>
      <c r="C2" s="79" t="s">
        <v>95</v>
      </c>
      <c r="D2" s="239">
        <f>SUM(D4:D40)</f>
        <v>17911</v>
      </c>
      <c r="E2" s="239">
        <f>SUM(E4:E39)</f>
        <v>-20977.52</v>
      </c>
      <c r="F2" s="239">
        <f>SUM(F4:F41)</f>
        <v>19800</v>
      </c>
      <c r="G2" s="239">
        <f>SUM(G4:G41)</f>
        <v>-25248.52</v>
      </c>
      <c r="H2" s="239">
        <f>F2+G2</f>
        <v>-5448.52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99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118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119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737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206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738</v>
      </c>
      <c r="C12" s="80" t="s">
        <v>114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115</v>
      </c>
      <c r="C13" s="84" t="s">
        <v>114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116</v>
      </c>
      <c r="C14" s="84" t="s">
        <v>114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402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739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740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715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741</v>
      </c>
      <c r="C28" s="80"/>
      <c r="D28" s="80"/>
      <c r="E28" s="76"/>
      <c r="H28" s="54"/>
    </row>
    <row r="29" spans="1:8">
      <c r="A29" s="89"/>
      <c r="B29" s="80" t="s">
        <v>742</v>
      </c>
      <c r="C29" s="80"/>
      <c r="D29" s="80"/>
      <c r="E29" s="76"/>
      <c r="H29" s="54"/>
    </row>
    <row r="30" spans="1:8">
      <c r="A30" s="89"/>
      <c r="B30" s="80" t="s">
        <v>743</v>
      </c>
      <c r="C30" s="80"/>
      <c r="D30" s="80"/>
      <c r="E30" s="76"/>
      <c r="H30" s="54"/>
    </row>
    <row r="31" spans="1:8">
      <c r="A31" s="89"/>
      <c r="B31" s="80" t="s">
        <v>109</v>
      </c>
      <c r="C31" s="80"/>
      <c r="D31" s="80"/>
      <c r="E31" s="76"/>
      <c r="H31" s="54"/>
    </row>
    <row r="32" spans="1:8">
      <c r="A32" s="89"/>
      <c r="B32" s="80" t="s">
        <v>744</v>
      </c>
      <c r="C32" s="80" t="s">
        <v>745</v>
      </c>
      <c r="D32" s="80"/>
      <c r="E32" s="76"/>
      <c r="H32" s="54"/>
    </row>
    <row r="33" spans="1:8">
      <c r="A33" s="89"/>
      <c r="B33" t="s">
        <v>746</v>
      </c>
      <c r="C33" s="80"/>
      <c r="D33" s="80"/>
      <c r="E33" s="76"/>
      <c r="H33" s="54"/>
    </row>
    <row r="34" spans="1:8">
      <c r="A34" s="89"/>
      <c r="B34" t="s">
        <v>747</v>
      </c>
      <c r="C34" s="80"/>
      <c r="D34" s="80"/>
      <c r="E34" s="76"/>
      <c r="H34" s="54"/>
    </row>
    <row r="35" spans="1:8">
      <c r="A35" s="89"/>
      <c r="B35" s="80" t="s">
        <v>748</v>
      </c>
      <c r="C35" s="80"/>
      <c r="D35" s="80"/>
      <c r="E35" s="76"/>
      <c r="H35" s="54"/>
    </row>
    <row r="36" spans="1:8">
      <c r="A36" s="89"/>
      <c r="B36" s="80" t="s">
        <v>749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128</v>
      </c>
      <c r="E41" s="54"/>
      <c r="G41" s="54"/>
      <c r="H41" s="54"/>
    </row>
    <row r="42" spans="1:8">
      <c r="A42" s="70" t="s">
        <v>129</v>
      </c>
      <c r="B42" s="70"/>
      <c r="C42" s="70"/>
      <c r="D42" s="70"/>
      <c r="E42" s="71"/>
      <c r="G42" s="54"/>
      <c r="H42" s="54"/>
    </row>
    <row r="43" spans="1:8">
      <c r="A43" s="251"/>
      <c r="B43" s="246"/>
      <c r="C43" s="246"/>
      <c r="D43" s="246"/>
      <c r="E43" s="247"/>
      <c r="H43" s="54"/>
    </row>
    <row r="44" spans="1:8">
      <c r="A44" s="251"/>
      <c r="B44" s="246"/>
      <c r="C44" s="248"/>
      <c r="D44" s="246"/>
      <c r="E44" s="246"/>
      <c r="H44" s="54"/>
    </row>
    <row r="45" spans="1:8">
      <c r="A45" s="251"/>
      <c r="B45" s="246"/>
      <c r="C45" s="248"/>
      <c r="D45" s="246"/>
      <c r="E45" s="246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130</v>
      </c>
      <c r="C47" s="70"/>
      <c r="D47" s="132">
        <f>SUM(D48:D55)</f>
        <v>2838.0099999999998</v>
      </c>
      <c r="E47" s="132">
        <f>SUM(E48:E55)</f>
        <v>2839.5</v>
      </c>
      <c r="H47" s="54"/>
    </row>
    <row r="48" spans="1:8">
      <c r="B48" t="s">
        <v>514</v>
      </c>
      <c r="D48">
        <v>509.04</v>
      </c>
      <c r="E48" s="54">
        <v>510</v>
      </c>
      <c r="F48" s="54"/>
      <c r="G48" s="54"/>
    </row>
    <row r="49" spans="1:8">
      <c r="B49" t="s">
        <v>132</v>
      </c>
      <c r="D49">
        <v>938.46</v>
      </c>
      <c r="E49" s="54">
        <v>938.5</v>
      </c>
      <c r="F49" s="54"/>
      <c r="G49" s="54"/>
    </row>
    <row r="50" spans="1:8">
      <c r="B50" t="s">
        <v>133</v>
      </c>
      <c r="D50">
        <v>126.34</v>
      </c>
      <c r="E50">
        <v>126</v>
      </c>
      <c r="F50" s="54"/>
      <c r="G50" s="54"/>
    </row>
    <row r="51" spans="1:8">
      <c r="B51" t="s">
        <v>134</v>
      </c>
      <c r="D51">
        <v>934.05</v>
      </c>
      <c r="E51">
        <v>935</v>
      </c>
      <c r="F51" s="54"/>
      <c r="G51" s="54"/>
    </row>
    <row r="52" spans="1:8">
      <c r="B52" t="s">
        <v>135</v>
      </c>
      <c r="D52">
        <v>220.12</v>
      </c>
      <c r="E52">
        <v>220</v>
      </c>
      <c r="F52" s="54"/>
      <c r="G52" s="54"/>
    </row>
    <row r="53" spans="1:8">
      <c r="B53" t="s">
        <v>136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652</v>
      </c>
      <c r="C60" s="84"/>
      <c r="D60" s="84" t="s">
        <v>270</v>
      </c>
      <c r="E60" s="76">
        <v>-1111.1099999999999</v>
      </c>
      <c r="G60" s="54"/>
      <c r="H60" s="54"/>
    </row>
    <row r="61" spans="1:8">
      <c r="A61" s="89">
        <v>45016</v>
      </c>
      <c r="B61" t="s">
        <v>409</v>
      </c>
      <c r="C61">
        <v>437.97</v>
      </c>
      <c r="D61" s="26" t="s">
        <v>719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410</v>
      </c>
      <c r="C62">
        <v>404.23</v>
      </c>
      <c r="D62" s="26" t="s">
        <v>719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411</v>
      </c>
      <c r="C63">
        <v>1135</v>
      </c>
      <c r="D63" s="26" t="s">
        <v>719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716</v>
      </c>
      <c r="C64">
        <v>659.93</v>
      </c>
      <c r="D64" s="26" t="s">
        <v>624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718</v>
      </c>
      <c r="C65">
        <v>720.19</v>
      </c>
      <c r="D65" s="255" t="s">
        <v>750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365</v>
      </c>
      <c r="C66">
        <v>613.91</v>
      </c>
      <c r="D66" s="26" t="s">
        <v>751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623</v>
      </c>
      <c r="C67">
        <v>2258.94</v>
      </c>
      <c r="D67" s="26" t="s">
        <v>208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752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753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754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755</v>
      </c>
      <c r="E72" s="76">
        <v>-158.63999999999999</v>
      </c>
    </row>
    <row r="73" spans="1:8">
      <c r="A73" s="89">
        <v>45037</v>
      </c>
      <c r="B73" t="s">
        <v>655</v>
      </c>
      <c r="D73" s="26"/>
      <c r="E73" s="76">
        <v>-100</v>
      </c>
    </row>
    <row r="74" spans="1:8">
      <c r="A74" s="89">
        <v>45037</v>
      </c>
      <c r="B74" t="s">
        <v>655</v>
      </c>
      <c r="E74" s="76">
        <v>-15</v>
      </c>
    </row>
    <row r="75" spans="1:8">
      <c r="A75" s="89">
        <v>45039</v>
      </c>
      <c r="B75" t="s">
        <v>756</v>
      </c>
      <c r="E75" s="76">
        <v>-430</v>
      </c>
    </row>
    <row r="76" spans="1:8">
      <c r="A76" s="89">
        <v>45040</v>
      </c>
      <c r="B76" t="s">
        <v>757</v>
      </c>
      <c r="E76" s="76">
        <v>-69.739999999999995</v>
      </c>
    </row>
    <row r="77" spans="1:8">
      <c r="A77" s="89">
        <v>45040</v>
      </c>
      <c r="B77" t="s">
        <v>758</v>
      </c>
      <c r="E77" s="76">
        <v>-125</v>
      </c>
    </row>
    <row r="78" spans="1:8">
      <c r="A78" s="89"/>
      <c r="E78" s="76" t="s">
        <v>759</v>
      </c>
    </row>
    <row r="80" spans="1:8">
      <c r="A80" s="70"/>
      <c r="B80" s="69" t="s">
        <v>144</v>
      </c>
      <c r="C80" s="70"/>
      <c r="D80" s="70"/>
      <c r="E80" s="132">
        <f>SUM(E81:E106)</f>
        <v>-221.54</v>
      </c>
    </row>
    <row r="81" spans="1:8">
      <c r="A81" s="89">
        <v>45013</v>
      </c>
      <c r="B81" s="84" t="s">
        <v>760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759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761</v>
      </c>
      <c r="B111" s="69" t="s">
        <v>734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703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704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H3</f>
        <v>0</v>
      </c>
    </row>
    <row r="122" spans="1:5">
      <c r="D122" s="3"/>
    </row>
    <row r="123" spans="1:5">
      <c r="D123" s="61" t="s">
        <v>93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762</v>
      </c>
      <c r="C2" s="79" t="s">
        <v>95</v>
      </c>
      <c r="D2" s="239">
        <f>SUM(D4:D35)</f>
        <v>20911</v>
      </c>
      <c r="E2" s="239">
        <f>SUM(E4:E26)</f>
        <v>-54277.093000000001</v>
      </c>
      <c r="F2" s="239">
        <f>SUM(F4:F36)</f>
        <v>72630</v>
      </c>
      <c r="G2" s="239">
        <f>SUM(G4:G36)</f>
        <v>-58332.79</v>
      </c>
      <c r="H2" s="239">
        <f>F2+G2</f>
        <v>14297.21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99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217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763</v>
      </c>
      <c r="B8" s="80" t="s">
        <v>113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118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119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674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673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402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124</v>
      </c>
      <c r="D20" s="245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764</v>
      </c>
      <c r="D21" s="245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125</v>
      </c>
      <c r="D22" s="245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765</v>
      </c>
      <c r="D23" s="245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766</v>
      </c>
      <c r="D24" s="256">
        <v>1000</v>
      </c>
      <c r="H24" s="54">
        <f t="shared" si="0"/>
        <v>-31317.020000000004</v>
      </c>
    </row>
    <row r="25" spans="1:8">
      <c r="A25" s="89">
        <v>45028</v>
      </c>
      <c r="B25" t="s">
        <v>767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768</v>
      </c>
      <c r="D26" s="95"/>
      <c r="H26" s="54">
        <f t="shared" si="0"/>
        <v>-18317.020000000004</v>
      </c>
    </row>
    <row r="27" spans="1:8">
      <c r="A27" s="89">
        <v>45042</v>
      </c>
      <c r="B27" t="s">
        <v>769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770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771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772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128</v>
      </c>
      <c r="E36" s="54"/>
      <c r="G36" s="54"/>
      <c r="H36" s="54"/>
    </row>
    <row r="37" spans="1:8">
      <c r="A37" s="70" t="s">
        <v>129</v>
      </c>
      <c r="B37" s="70"/>
      <c r="C37" s="70"/>
      <c r="D37" s="70"/>
      <c r="E37" s="71"/>
      <c r="G37" s="54"/>
      <c r="H37" s="54"/>
    </row>
    <row r="38" spans="1:8">
      <c r="A38" s="251"/>
      <c r="B38" s="246"/>
      <c r="C38" s="246"/>
      <c r="D38" s="246"/>
      <c r="E38" s="247"/>
      <c r="H38" s="54"/>
    </row>
    <row r="39" spans="1:8">
      <c r="A39" s="251"/>
      <c r="B39" s="246"/>
      <c r="C39" s="248"/>
      <c r="D39" s="246"/>
      <c r="E39" s="246"/>
      <c r="H39" s="54"/>
    </row>
    <row r="40" spans="1:8">
      <c r="A40" s="251"/>
      <c r="B40" s="246"/>
      <c r="C40" s="248"/>
      <c r="D40" s="246"/>
      <c r="E40" s="246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130</v>
      </c>
      <c r="C42" s="70"/>
      <c r="D42" s="132">
        <f>SUM(D43:D50)</f>
        <v>4161.9400000000005</v>
      </c>
      <c r="E42" s="132">
        <f>SUM(E43:E50)</f>
        <v>4162</v>
      </c>
      <c r="H42" s="54"/>
    </row>
    <row r="43" spans="1:8">
      <c r="B43" t="s">
        <v>514</v>
      </c>
      <c r="D43">
        <v>835.27</v>
      </c>
      <c r="E43" s="54">
        <v>835</v>
      </c>
      <c r="F43" s="54"/>
      <c r="G43" s="54"/>
    </row>
    <row r="44" spans="1:8">
      <c r="B44" t="s">
        <v>132</v>
      </c>
      <c r="D44">
        <v>1240.45</v>
      </c>
      <c r="E44" s="54">
        <v>1240</v>
      </c>
      <c r="F44" s="54"/>
      <c r="G44" s="54"/>
    </row>
    <row r="45" spans="1:8">
      <c r="B45" t="s">
        <v>133</v>
      </c>
      <c r="D45">
        <v>195.7</v>
      </c>
      <c r="E45">
        <v>195</v>
      </c>
      <c r="F45" s="54"/>
      <c r="G45" s="54"/>
    </row>
    <row r="46" spans="1:8">
      <c r="B46" t="s">
        <v>134</v>
      </c>
      <c r="D46">
        <v>1448.09</v>
      </c>
      <c r="E46">
        <v>1450</v>
      </c>
      <c r="F46" s="54"/>
      <c r="G46" s="54"/>
    </row>
    <row r="47" spans="1:8">
      <c r="B47" t="s">
        <v>135</v>
      </c>
      <c r="D47">
        <v>335.29</v>
      </c>
      <c r="E47">
        <v>335</v>
      </c>
      <c r="F47" s="54"/>
      <c r="G47" s="54"/>
    </row>
    <row r="48" spans="1:8">
      <c r="B48" t="s">
        <v>136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773</v>
      </c>
      <c r="C55" s="84"/>
      <c r="D55" s="84" t="s">
        <v>169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774</v>
      </c>
      <c r="C56" s="84"/>
      <c r="D56" s="84" t="s">
        <v>577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775</v>
      </c>
      <c r="C57" s="84"/>
      <c r="D57" s="84" t="s">
        <v>577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776</v>
      </c>
      <c r="C58" s="84"/>
      <c r="D58" s="84" t="s">
        <v>577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777</v>
      </c>
      <c r="C59" s="84"/>
      <c r="D59" s="84" t="s">
        <v>577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409</v>
      </c>
      <c r="C60">
        <v>437.97</v>
      </c>
      <c r="D60" s="26" t="s">
        <v>750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410</v>
      </c>
      <c r="C61">
        <v>404.23</v>
      </c>
      <c r="D61" s="26" t="s">
        <v>750</v>
      </c>
      <c r="E61" s="76">
        <v>-134.74</v>
      </c>
      <c r="F61" s="54"/>
    </row>
    <row r="62" spans="1:8">
      <c r="A62" s="89">
        <v>44985</v>
      </c>
      <c r="B62" t="s">
        <v>411</v>
      </c>
      <c r="C62">
        <v>1135</v>
      </c>
      <c r="D62" s="26" t="s">
        <v>750</v>
      </c>
      <c r="E62" s="76">
        <v>-378.33</v>
      </c>
      <c r="F62" s="54"/>
    </row>
    <row r="63" spans="1:8">
      <c r="A63" s="89">
        <v>44982</v>
      </c>
      <c r="B63" t="s">
        <v>778</v>
      </c>
      <c r="C63">
        <v>659.93</v>
      </c>
      <c r="D63" s="26" t="s">
        <v>654</v>
      </c>
      <c r="E63" s="76">
        <v>-164.98</v>
      </c>
      <c r="F63" s="54"/>
    </row>
    <row r="64" spans="1:8">
      <c r="A64" s="89">
        <v>44995</v>
      </c>
      <c r="B64" t="s">
        <v>718</v>
      </c>
      <c r="C64">
        <v>720.19</v>
      </c>
      <c r="D64" s="255" t="s">
        <v>779</v>
      </c>
      <c r="E64" s="76">
        <v>-240.06</v>
      </c>
      <c r="F64" s="54"/>
    </row>
    <row r="65" spans="1:8">
      <c r="A65" s="89">
        <v>44995</v>
      </c>
      <c r="B65" t="s">
        <v>365</v>
      </c>
      <c r="C65">
        <v>613.91</v>
      </c>
      <c r="D65" s="26" t="s">
        <v>780</v>
      </c>
      <c r="E65" s="76">
        <v>-61.39</v>
      </c>
      <c r="F65" s="54"/>
    </row>
    <row r="66" spans="1:8">
      <c r="A66" s="89">
        <v>44995</v>
      </c>
      <c r="B66" t="s">
        <v>623</v>
      </c>
      <c r="C66">
        <v>2258.94</v>
      </c>
      <c r="D66" s="26" t="s">
        <v>227</v>
      </c>
      <c r="E66" s="76">
        <v>-376.49</v>
      </c>
      <c r="F66" s="54"/>
    </row>
    <row r="67" spans="1:8">
      <c r="A67" s="89">
        <v>44985</v>
      </c>
      <c r="B67" t="s">
        <v>781</v>
      </c>
      <c r="D67" s="26"/>
      <c r="E67" s="76">
        <v>-161.31</v>
      </c>
      <c r="F67" s="54"/>
    </row>
    <row r="68" spans="1:8">
      <c r="A68" s="89">
        <v>44986</v>
      </c>
      <c r="B68" t="s">
        <v>781</v>
      </c>
      <c r="D68" s="26"/>
      <c r="E68" s="76">
        <v>-137.93</v>
      </c>
      <c r="F68" s="54"/>
    </row>
    <row r="69" spans="1:8">
      <c r="A69" s="89">
        <v>44987</v>
      </c>
      <c r="B69" t="s">
        <v>781</v>
      </c>
      <c r="D69" s="26"/>
      <c r="E69" s="76">
        <v>-121.99</v>
      </c>
      <c r="F69" s="54"/>
    </row>
    <row r="70" spans="1:8">
      <c r="A70" s="89">
        <v>45004</v>
      </c>
      <c r="B70" t="s">
        <v>782</v>
      </c>
      <c r="D70" s="26"/>
      <c r="E70" s="76">
        <v>-94.85</v>
      </c>
      <c r="F70" s="54"/>
    </row>
    <row r="71" spans="1:8">
      <c r="A71" s="89">
        <v>45005</v>
      </c>
      <c r="B71" t="s">
        <v>783</v>
      </c>
      <c r="D71" s="26"/>
      <c r="E71" s="76">
        <v>-456.1</v>
      </c>
      <c r="F71" s="54"/>
    </row>
    <row r="72" spans="1:8">
      <c r="A72" s="89">
        <v>45005</v>
      </c>
      <c r="B72" t="s">
        <v>784</v>
      </c>
      <c r="E72" s="76">
        <v>-110</v>
      </c>
    </row>
    <row r="73" spans="1:8">
      <c r="A73" s="89">
        <v>45007</v>
      </c>
      <c r="B73" t="s">
        <v>785</v>
      </c>
      <c r="D73" s="26"/>
      <c r="E73" s="76">
        <v>-554.11</v>
      </c>
    </row>
    <row r="74" spans="1:8">
      <c r="A74" s="89">
        <v>45010</v>
      </c>
      <c r="B74" t="s">
        <v>786</v>
      </c>
      <c r="D74" s="26"/>
      <c r="E74" s="76">
        <v>-530.54999999999995</v>
      </c>
    </row>
    <row r="75" spans="1:8">
      <c r="A75" s="89">
        <v>45010</v>
      </c>
      <c r="B75" t="s">
        <v>787</v>
      </c>
      <c r="D75" s="26"/>
      <c r="E75" s="76">
        <v>-26.53</v>
      </c>
    </row>
    <row r="76" spans="1:8">
      <c r="A76" s="89"/>
      <c r="D76" s="26"/>
      <c r="E76" s="76" t="s">
        <v>759</v>
      </c>
    </row>
    <row r="78" spans="1:8">
      <c r="A78" s="70"/>
      <c r="B78" s="69" t="s">
        <v>144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236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235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236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788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759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789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668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44063.82</v>
      </c>
    </row>
    <row r="115" spans="1:5">
      <c r="A115" s="89">
        <v>45016</v>
      </c>
      <c r="B115" t="s">
        <v>76</v>
      </c>
      <c r="C115" s="2"/>
      <c r="D115" s="2"/>
      <c r="E115" s="62">
        <v>6000.59</v>
      </c>
    </row>
    <row r="116" spans="1:5">
      <c r="A116" s="89">
        <v>45016</v>
      </c>
      <c r="B116" t="s">
        <v>600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703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704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90</v>
      </c>
      <c r="C119" s="2"/>
      <c r="D119" s="2"/>
      <c r="E119" s="62">
        <v>40000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790</v>
      </c>
      <c r="E121" s="54">
        <f>H2</f>
        <v>14297.21</v>
      </c>
    </row>
    <row r="122" spans="1:5">
      <c r="D122" s="3"/>
    </row>
    <row r="123" spans="1:5">
      <c r="D123" s="61" t="s">
        <v>93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791</v>
      </c>
      <c r="C2" s="79" t="s">
        <v>95</v>
      </c>
      <c r="D2" s="239">
        <f>SUM(D5:D36)</f>
        <v>88189</v>
      </c>
      <c r="E2" s="239">
        <f>SUM(E5:E35)</f>
        <v>-24634.690000000002</v>
      </c>
      <c r="F2" s="239">
        <f>SUM(F4:F36)</f>
        <v>23139.34</v>
      </c>
      <c r="G2" s="239">
        <f>SUM(G5:G40)</f>
        <v>-33283.54</v>
      </c>
      <c r="H2" s="239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792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98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99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264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261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118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119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793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794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795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124</v>
      </c>
      <c r="D20" s="245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125</v>
      </c>
      <c r="D21" s="245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796</v>
      </c>
      <c r="D22" s="245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797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798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799</v>
      </c>
      <c r="D25" s="95"/>
      <c r="F25" s="54"/>
      <c r="G25" s="54"/>
      <c r="H25" s="54">
        <f t="shared" si="0"/>
        <v>-270.29999999999927</v>
      </c>
    </row>
    <row r="26" spans="1:8">
      <c r="B26" t="s">
        <v>800</v>
      </c>
      <c r="D26" s="95"/>
      <c r="F26" s="54"/>
      <c r="G26" s="54"/>
      <c r="H26" s="54">
        <f t="shared" si="0"/>
        <v>-270.29999999999927</v>
      </c>
    </row>
    <row r="27" spans="1:8">
      <c r="B27" t="s">
        <v>801</v>
      </c>
      <c r="D27" s="256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236</v>
      </c>
      <c r="D28" s="245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802</v>
      </c>
      <c r="D29" s="245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803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360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804</v>
      </c>
      <c r="D35" t="s">
        <v>678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805</v>
      </c>
      <c r="D36" t="s">
        <v>678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806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807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808</v>
      </c>
      <c r="G39" s="54"/>
      <c r="H39" s="54"/>
    </row>
    <row r="40" spans="1:8">
      <c r="B40" t="s">
        <v>128</v>
      </c>
      <c r="E40" s="54"/>
      <c r="G40" s="54"/>
      <c r="H40" s="54"/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130</v>
      </c>
      <c r="C46" s="70"/>
      <c r="D46" s="132">
        <f>SUM(D47:D54)</f>
        <v>3899.0699999999997</v>
      </c>
      <c r="E46" s="132">
        <f>SUM(E47:E54)</f>
        <v>3699.0699999999997</v>
      </c>
      <c r="G46" s="54"/>
      <c r="H46" s="54"/>
    </row>
    <row r="47" spans="1:8">
      <c r="B47" t="s">
        <v>809</v>
      </c>
      <c r="D47">
        <v>933.16</v>
      </c>
      <c r="E47" s="54">
        <v>933.16</v>
      </c>
      <c r="F47" s="54"/>
      <c r="G47" s="54"/>
    </row>
    <row r="48" spans="1:8">
      <c r="B48" t="s">
        <v>132</v>
      </c>
      <c r="D48">
        <v>996.81</v>
      </c>
      <c r="E48" s="54">
        <v>996.81</v>
      </c>
      <c r="F48" s="54"/>
      <c r="G48" s="54"/>
    </row>
    <row r="49" spans="1:8">
      <c r="B49" t="s">
        <v>133</v>
      </c>
      <c r="D49">
        <v>233.14</v>
      </c>
      <c r="E49">
        <v>233.14</v>
      </c>
      <c r="F49" s="54"/>
      <c r="G49" s="54"/>
    </row>
    <row r="50" spans="1:8">
      <c r="B50" t="s">
        <v>810</v>
      </c>
      <c r="D50">
        <v>200</v>
      </c>
      <c r="F50" s="54"/>
      <c r="G50" s="54"/>
    </row>
    <row r="51" spans="1:8">
      <c r="B51" t="s">
        <v>811</v>
      </c>
      <c r="D51">
        <v>1128.6300000000001</v>
      </c>
      <c r="E51">
        <v>1128.6300000000001</v>
      </c>
      <c r="F51" s="54"/>
      <c r="G51" s="54"/>
    </row>
    <row r="52" spans="1:8">
      <c r="B52" t="s">
        <v>135</v>
      </c>
      <c r="C52" s="84"/>
      <c r="D52" s="84">
        <v>342.4</v>
      </c>
      <c r="E52">
        <v>342.4</v>
      </c>
      <c r="F52" s="54"/>
      <c r="G52" s="54"/>
    </row>
    <row r="53" spans="1:8">
      <c r="B53" t="s">
        <v>136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137</v>
      </c>
      <c r="C58" s="70"/>
      <c r="D58" s="71"/>
      <c r="E58" s="250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812</v>
      </c>
      <c r="C60" s="84"/>
      <c r="D60" s="84" t="s">
        <v>166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813</v>
      </c>
      <c r="C61" s="84"/>
      <c r="D61" s="84" t="s">
        <v>166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814</v>
      </c>
      <c r="C62" s="84"/>
      <c r="D62" s="84" t="s">
        <v>175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774</v>
      </c>
      <c r="C63" s="84"/>
      <c r="D63" s="84" t="s">
        <v>624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775</v>
      </c>
      <c r="C64" s="84"/>
      <c r="D64" s="84" t="s">
        <v>624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776</v>
      </c>
      <c r="C65" s="84"/>
      <c r="D65" s="84" t="s">
        <v>624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777</v>
      </c>
      <c r="C66" s="84"/>
      <c r="D66" s="84" t="s">
        <v>624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815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816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817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818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819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408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408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409</v>
      </c>
      <c r="C74">
        <v>437.97</v>
      </c>
      <c r="D74" s="26" t="s">
        <v>779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410</v>
      </c>
      <c r="C75">
        <v>404.23</v>
      </c>
      <c r="D75" s="26" t="s">
        <v>779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411</v>
      </c>
      <c r="C76">
        <v>1135</v>
      </c>
      <c r="D76" s="26" t="s">
        <v>779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820</v>
      </c>
      <c r="E77" s="76">
        <v>-880.22</v>
      </c>
      <c r="G77" s="54"/>
    </row>
    <row r="78" spans="1:8">
      <c r="A78" s="89">
        <v>44958</v>
      </c>
      <c r="B78" t="s">
        <v>821</v>
      </c>
      <c r="E78" s="76">
        <v>-218.24</v>
      </c>
      <c r="G78" s="54"/>
    </row>
    <row r="79" spans="1:8">
      <c r="A79" s="89">
        <v>44960</v>
      </c>
      <c r="B79" t="s">
        <v>822</v>
      </c>
      <c r="E79" s="76">
        <v>-120.45</v>
      </c>
      <c r="G79" s="54"/>
    </row>
    <row r="80" spans="1:8">
      <c r="A80" s="89">
        <v>44963</v>
      </c>
      <c r="B80" t="s">
        <v>823</v>
      </c>
      <c r="D80" s="26"/>
      <c r="E80" s="76">
        <v>-130.56</v>
      </c>
      <c r="G80" s="54"/>
    </row>
    <row r="81" spans="1:8">
      <c r="A81" s="89">
        <v>44969</v>
      </c>
      <c r="B81" t="s">
        <v>824</v>
      </c>
      <c r="D81" s="26"/>
      <c r="E81" s="76">
        <v>-51.99</v>
      </c>
      <c r="G81" s="54"/>
    </row>
    <row r="82" spans="1:8">
      <c r="A82" s="89">
        <v>44970</v>
      </c>
      <c r="B82" t="s">
        <v>237</v>
      </c>
      <c r="D82" s="26"/>
      <c r="E82" s="76">
        <v>-379</v>
      </c>
      <c r="G82" s="54"/>
    </row>
    <row r="83" spans="1:8">
      <c r="A83" s="89">
        <v>44970</v>
      </c>
      <c r="B83" t="s">
        <v>237</v>
      </c>
      <c r="D83" s="26"/>
      <c r="E83" s="76">
        <v>-510</v>
      </c>
      <c r="G83" s="54"/>
    </row>
    <row r="84" spans="1:8">
      <c r="A84" s="89">
        <v>44971</v>
      </c>
      <c r="B84" t="s">
        <v>824</v>
      </c>
      <c r="D84" s="26"/>
      <c r="E84" s="76">
        <v>-51.99</v>
      </c>
      <c r="G84" s="54"/>
    </row>
    <row r="85" spans="1:8">
      <c r="A85" s="89">
        <v>44972</v>
      </c>
      <c r="B85" t="s">
        <v>825</v>
      </c>
      <c r="D85" s="26"/>
      <c r="E85" s="76">
        <v>-54.77</v>
      </c>
      <c r="G85" s="54"/>
    </row>
    <row r="86" spans="1:8">
      <c r="A86" s="89">
        <v>44972</v>
      </c>
      <c r="B86" t="s">
        <v>826</v>
      </c>
      <c r="D86" s="26"/>
      <c r="E86" s="76">
        <v>-459</v>
      </c>
      <c r="G86" s="54"/>
    </row>
    <row r="87" spans="1:8">
      <c r="A87" s="89">
        <v>44972</v>
      </c>
      <c r="B87" t="s">
        <v>827</v>
      </c>
      <c r="D87" s="26"/>
      <c r="E87" s="76">
        <v>-211</v>
      </c>
      <c r="G87" s="54"/>
    </row>
    <row r="88" spans="1:8">
      <c r="A88" s="89">
        <v>44977</v>
      </c>
      <c r="B88" t="s">
        <v>828</v>
      </c>
      <c r="D88" s="26"/>
      <c r="E88" s="76">
        <v>-100</v>
      </c>
      <c r="G88" s="54"/>
    </row>
    <row r="89" spans="1:8">
      <c r="A89" s="89">
        <v>44977</v>
      </c>
      <c r="B89" t="s">
        <v>828</v>
      </c>
      <c r="D89" s="26"/>
      <c r="E89" s="76">
        <v>-10</v>
      </c>
      <c r="G89" s="54"/>
    </row>
    <row r="90" spans="1:8">
      <c r="A90" s="89">
        <v>44981</v>
      </c>
      <c r="B90" t="s">
        <v>232</v>
      </c>
      <c r="D90" s="26"/>
      <c r="E90" s="76">
        <v>-132.77000000000001</v>
      </c>
      <c r="G90" s="54"/>
    </row>
    <row r="91" spans="1:8">
      <c r="A91" s="89">
        <v>44982</v>
      </c>
      <c r="B91" t="s">
        <v>232</v>
      </c>
      <c r="D91" s="26"/>
      <c r="E91" s="76">
        <v>-186.34</v>
      </c>
      <c r="G91" s="54"/>
    </row>
    <row r="92" spans="1:8">
      <c r="A92" s="89">
        <v>44982</v>
      </c>
      <c r="B92" t="s">
        <v>716</v>
      </c>
      <c r="C92">
        <v>659.93</v>
      </c>
      <c r="D92" s="26" t="s">
        <v>685</v>
      </c>
      <c r="E92" s="76">
        <v>-164.98</v>
      </c>
      <c r="G92" s="54"/>
    </row>
    <row r="93" spans="1:8">
      <c r="A93" s="257">
        <v>44982</v>
      </c>
      <c r="D93" s="26"/>
      <c r="E93" s="258" t="s">
        <v>759</v>
      </c>
      <c r="G93" s="54"/>
    </row>
    <row r="94" spans="1:8">
      <c r="G94" s="54"/>
    </row>
    <row r="95" spans="1:8">
      <c r="A95" s="70"/>
      <c r="B95" s="69" t="s">
        <v>144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829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830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757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757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757</v>
      </c>
      <c r="C100" s="84"/>
      <c r="D100" s="84"/>
      <c r="E100" s="76">
        <v>-166.23</v>
      </c>
      <c r="F100" s="54"/>
      <c r="G100" s="54"/>
      <c r="H100" s="54"/>
    </row>
    <row r="101" spans="1:8">
      <c r="A101" s="257">
        <v>44981</v>
      </c>
      <c r="C101" s="84"/>
      <c r="D101" s="84"/>
      <c r="E101" s="258" t="s">
        <v>759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831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832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17383.580000000002</v>
      </c>
    </row>
    <row r="115" spans="1:5">
      <c r="A115" s="89">
        <v>45016</v>
      </c>
      <c r="B115" t="s">
        <v>76</v>
      </c>
      <c r="C115" s="2"/>
      <c r="D115" s="2"/>
      <c r="E115" s="62">
        <v>0.59</v>
      </c>
    </row>
    <row r="116" spans="1:5">
      <c r="A116" s="89">
        <v>45016</v>
      </c>
      <c r="B116" t="s">
        <v>600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703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704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90</v>
      </c>
      <c r="C119" s="2"/>
      <c r="D119" s="2"/>
      <c r="E119" s="62">
        <v>26300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833</v>
      </c>
      <c r="E121" s="54">
        <f>H2</f>
        <v>-10144.200000000001</v>
      </c>
    </row>
    <row r="122" spans="1:5">
      <c r="D122" s="3"/>
    </row>
    <row r="123" spans="1:5">
      <c r="D123" s="61" t="s">
        <v>93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A2" s="3" t="s">
        <v>671</v>
      </c>
      <c r="C2" s="79" t="s">
        <v>95</v>
      </c>
      <c r="D2" s="239">
        <f>SUM(D4:D43)</f>
        <v>15761</v>
      </c>
      <c r="E2" s="76">
        <f>SUM(E4:E38)</f>
        <v>-56286.92</v>
      </c>
      <c r="F2" s="239">
        <f>SUM(F4:F43)</f>
        <v>26990.010000000002</v>
      </c>
      <c r="G2" s="239">
        <f>SUM(G4:G43)</f>
        <v>-77441.489999999991</v>
      </c>
      <c r="H2" s="239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98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99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119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59" t="s">
        <v>834</v>
      </c>
      <c r="C7" s="259"/>
      <c r="D7" s="260"/>
      <c r="E7" s="261"/>
      <c r="F7" s="262">
        <v>6920</v>
      </c>
      <c r="G7" s="54"/>
      <c r="H7" s="54">
        <f t="shared" si="0"/>
        <v>3048.71</v>
      </c>
    </row>
    <row r="8" spans="1:8">
      <c r="A8" s="89">
        <v>44963</v>
      </c>
      <c r="B8" s="259" t="s">
        <v>835</v>
      </c>
      <c r="C8" s="259" t="s">
        <v>678</v>
      </c>
      <c r="D8" s="260"/>
      <c r="E8" s="261"/>
      <c r="F8" s="262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118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836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311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837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838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839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840</v>
      </c>
      <c r="D21" s="245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841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842</v>
      </c>
      <c r="F27" s="54"/>
      <c r="G27" s="54">
        <v>-5040</v>
      </c>
      <c r="H27" s="54">
        <f t="shared" si="0"/>
        <v>-18663.48</v>
      </c>
    </row>
    <row r="28" spans="1:8">
      <c r="B28" t="s">
        <v>794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843</v>
      </c>
      <c r="F29" s="54">
        <v>2000</v>
      </c>
      <c r="G29" s="54"/>
      <c r="H29" s="54">
        <f t="shared" si="0"/>
        <v>-16663.48</v>
      </c>
    </row>
    <row r="30" spans="1:8">
      <c r="B30" t="s">
        <v>844</v>
      </c>
      <c r="D30" s="245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845</v>
      </c>
      <c r="D31" s="245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846</v>
      </c>
      <c r="D32" s="263">
        <v>1000</v>
      </c>
      <c r="H32" s="54">
        <f t="shared" si="0"/>
        <v>-10163.48</v>
      </c>
    </row>
    <row r="33" spans="1:8">
      <c r="B33" s="15" t="s">
        <v>847</v>
      </c>
      <c r="D33" s="95"/>
      <c r="G33" s="54"/>
      <c r="H33" s="54">
        <f t="shared" si="0"/>
        <v>-10163.48</v>
      </c>
    </row>
    <row r="34" spans="1:8">
      <c r="A34" s="89"/>
      <c r="B34" s="246" t="s">
        <v>848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849</v>
      </c>
      <c r="C38" t="s">
        <v>678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850</v>
      </c>
      <c r="C39" t="s">
        <v>678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851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128</v>
      </c>
      <c r="G44" s="54"/>
      <c r="H44" s="54"/>
    </row>
    <row r="45" spans="1:8">
      <c r="A45" s="70" t="s">
        <v>129</v>
      </c>
      <c r="B45" s="70"/>
      <c r="C45" s="70"/>
      <c r="D45" s="70"/>
      <c r="G45" s="54"/>
      <c r="H45" s="54"/>
    </row>
    <row r="46" spans="1:8">
      <c r="A46" s="251">
        <v>44650</v>
      </c>
      <c r="B46" s="246" t="s">
        <v>852</v>
      </c>
      <c r="C46" s="246"/>
      <c r="D46" s="246" t="s">
        <v>853</v>
      </c>
      <c r="H46" s="54"/>
    </row>
    <row r="47" spans="1:8">
      <c r="A47" s="251">
        <v>44844</v>
      </c>
      <c r="B47" s="246" t="s">
        <v>854</v>
      </c>
      <c r="C47" s="248"/>
      <c r="D47" s="246" t="s">
        <v>855</v>
      </c>
      <c r="H47" s="54"/>
    </row>
    <row r="48" spans="1:8">
      <c r="A48" s="251"/>
      <c r="B48" s="246" t="s">
        <v>856</v>
      </c>
      <c r="C48" s="248"/>
      <c r="D48" s="246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130</v>
      </c>
      <c r="C50" s="70"/>
      <c r="D50" s="132">
        <f>SUM(D51:D58)</f>
        <v>4615.6899999999996</v>
      </c>
      <c r="E50" s="76">
        <f>SUM(E51:E58)</f>
        <v>4215.6899999999996</v>
      </c>
      <c r="H50" s="54"/>
    </row>
    <row r="51" spans="1:8">
      <c r="B51" t="s">
        <v>809</v>
      </c>
      <c r="D51">
        <v>1245.19</v>
      </c>
      <c r="E51" s="76">
        <v>1245</v>
      </c>
      <c r="F51" s="54"/>
      <c r="G51" s="54"/>
    </row>
    <row r="52" spans="1:8">
      <c r="B52" t="s">
        <v>132</v>
      </c>
      <c r="D52">
        <v>914.78</v>
      </c>
      <c r="E52" s="76">
        <v>915</v>
      </c>
      <c r="F52" s="54"/>
      <c r="G52" s="54"/>
    </row>
    <row r="53" spans="1:8">
      <c r="B53" t="s">
        <v>133</v>
      </c>
      <c r="D53">
        <v>295.54000000000002</v>
      </c>
      <c r="E53" s="76">
        <v>295</v>
      </c>
      <c r="F53" s="54"/>
      <c r="G53" s="54"/>
    </row>
    <row r="54" spans="1:8">
      <c r="B54" t="s">
        <v>857</v>
      </c>
      <c r="D54">
        <v>200</v>
      </c>
      <c r="F54" s="54"/>
      <c r="G54" s="54"/>
    </row>
    <row r="55" spans="1:8">
      <c r="B55" t="s">
        <v>858</v>
      </c>
      <c r="D55">
        <v>1367.33</v>
      </c>
      <c r="E55" s="76">
        <v>1368</v>
      </c>
      <c r="F55" s="54"/>
      <c r="G55" s="54"/>
    </row>
    <row r="56" spans="1:8">
      <c r="B56" t="s">
        <v>135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859</v>
      </c>
      <c r="C57" s="84"/>
      <c r="D57" s="264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265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812</v>
      </c>
      <c r="C64" s="84"/>
      <c r="D64" s="84" t="s">
        <v>173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813</v>
      </c>
      <c r="C65" s="84"/>
      <c r="D65" s="84" t="s">
        <v>173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860</v>
      </c>
      <c r="C66" s="84"/>
      <c r="D66" s="84" t="s">
        <v>185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861</v>
      </c>
      <c r="C67" s="84"/>
      <c r="D67" s="80" t="s">
        <v>719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774</v>
      </c>
      <c r="C68" s="84"/>
      <c r="D68" s="84" t="s">
        <v>654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775</v>
      </c>
      <c r="C69" s="84"/>
      <c r="D69" s="84" t="s">
        <v>654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776</v>
      </c>
      <c r="C70" s="84"/>
      <c r="D70" s="84" t="s">
        <v>654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777</v>
      </c>
      <c r="C71" s="84"/>
      <c r="D71" s="84" t="s">
        <v>654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339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862</v>
      </c>
      <c r="D73" t="s">
        <v>863</v>
      </c>
    </row>
    <row r="74" spans="1:8">
      <c r="A74" s="89">
        <v>44925</v>
      </c>
      <c r="B74" t="s">
        <v>864</v>
      </c>
      <c r="E74" s="76">
        <v>-47.8</v>
      </c>
    </row>
    <row r="75" spans="1:8">
      <c r="A75" s="89">
        <v>44934</v>
      </c>
      <c r="B75" t="s">
        <v>865</v>
      </c>
      <c r="E75" s="76">
        <v>-556.07000000000005</v>
      </c>
    </row>
    <row r="76" spans="1:8">
      <c r="A76" s="89">
        <v>44936</v>
      </c>
      <c r="B76" t="s">
        <v>866</v>
      </c>
      <c r="E76" s="76">
        <v>-79.34</v>
      </c>
    </row>
    <row r="77" spans="1:8">
      <c r="A77" s="89">
        <v>44937</v>
      </c>
      <c r="B77" t="s">
        <v>816</v>
      </c>
      <c r="E77" s="76">
        <v>-123.45</v>
      </c>
    </row>
    <row r="78" spans="1:8">
      <c r="A78" s="89">
        <v>44938</v>
      </c>
      <c r="B78" t="s">
        <v>817</v>
      </c>
      <c r="E78" s="76">
        <v>-113.57</v>
      </c>
    </row>
    <row r="79" spans="1:8">
      <c r="A79" s="89">
        <v>44939</v>
      </c>
      <c r="B79" t="s">
        <v>818</v>
      </c>
      <c r="E79" s="76">
        <v>-118.62</v>
      </c>
    </row>
    <row r="80" spans="1:8">
      <c r="A80" s="89">
        <v>44940</v>
      </c>
      <c r="B80" t="s">
        <v>819</v>
      </c>
      <c r="E80" s="76">
        <v>-123.85</v>
      </c>
    </row>
    <row r="81" spans="1:8">
      <c r="A81" s="89">
        <v>44942</v>
      </c>
      <c r="B81" t="s">
        <v>822</v>
      </c>
      <c r="E81" s="76">
        <v>-177.33</v>
      </c>
    </row>
    <row r="82" spans="1:8">
      <c r="A82" s="89">
        <v>44947</v>
      </c>
      <c r="B82" t="s">
        <v>655</v>
      </c>
      <c r="E82" s="76">
        <v>-100</v>
      </c>
    </row>
    <row r="83" spans="1:8">
      <c r="A83" s="89">
        <v>44949</v>
      </c>
      <c r="B83" t="s">
        <v>823</v>
      </c>
      <c r="E83" s="76">
        <v>-111.1</v>
      </c>
    </row>
    <row r="84" spans="1:8">
      <c r="A84" s="89">
        <v>44950</v>
      </c>
      <c r="B84" t="s">
        <v>867</v>
      </c>
      <c r="E84" s="76">
        <v>-99.87</v>
      </c>
    </row>
    <row r="85" spans="1:8">
      <c r="A85" s="89">
        <v>44951</v>
      </c>
      <c r="B85" t="s">
        <v>868</v>
      </c>
      <c r="E85" s="76">
        <v>-125.66</v>
      </c>
    </row>
    <row r="87" spans="1:8">
      <c r="A87" s="70"/>
      <c r="B87" s="69" t="s">
        <v>144</v>
      </c>
      <c r="C87" s="70"/>
      <c r="D87" s="70"/>
      <c r="E87" s="265">
        <f>SUM(E88:E103)</f>
        <v>-3076.2899999999995</v>
      </c>
    </row>
    <row r="88" spans="1:8">
      <c r="A88" s="89">
        <v>44919</v>
      </c>
      <c r="B88" s="84" t="s">
        <v>869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870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871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872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873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324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874</v>
      </c>
      <c r="E94" s="76">
        <v>-164.8</v>
      </c>
    </row>
    <row r="95" spans="1:8">
      <c r="A95" s="89">
        <v>44930</v>
      </c>
      <c r="B95" s="97" t="s">
        <v>875</v>
      </c>
      <c r="E95" s="76">
        <v>-139.33000000000001</v>
      </c>
    </row>
    <row r="96" spans="1:8">
      <c r="A96" s="89">
        <v>44931</v>
      </c>
      <c r="B96" s="97" t="s">
        <v>876</v>
      </c>
      <c r="E96" s="76">
        <v>-143.19999999999999</v>
      </c>
    </row>
    <row r="97" spans="1:7">
      <c r="A97" s="89">
        <v>44934</v>
      </c>
      <c r="B97" t="s">
        <v>877</v>
      </c>
      <c r="E97" s="76">
        <v>-297.38</v>
      </c>
    </row>
    <row r="98" spans="1:7">
      <c r="A98" s="89">
        <v>44944</v>
      </c>
      <c r="B98" t="s">
        <v>878</v>
      </c>
      <c r="E98" s="76">
        <v>-286.02999999999997</v>
      </c>
    </row>
    <row r="99" spans="1:7">
      <c r="A99" s="89">
        <v>44944</v>
      </c>
      <c r="B99" t="s">
        <v>878</v>
      </c>
      <c r="E99" s="76">
        <v>-423.18</v>
      </c>
    </row>
    <row r="100" spans="1:7">
      <c r="A100" s="89">
        <v>44950</v>
      </c>
      <c r="B100" t="s">
        <v>879</v>
      </c>
      <c r="D100" s="26"/>
      <c r="E100" s="76">
        <v>-31.35</v>
      </c>
    </row>
    <row r="101" spans="1:7">
      <c r="B101" t="s">
        <v>880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881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73</v>
      </c>
      <c r="E112" s="76">
        <v>64000</v>
      </c>
    </row>
    <row r="113" spans="1:5">
      <c r="A113" s="89">
        <v>45291</v>
      </c>
      <c r="B113" t="s">
        <v>74</v>
      </c>
      <c r="E113" s="76">
        <v>48288</v>
      </c>
    </row>
    <row r="114" spans="1:5">
      <c r="A114" s="89">
        <v>45291</v>
      </c>
      <c r="B114" t="s">
        <v>75</v>
      </c>
      <c r="E114" s="76">
        <v>44567</v>
      </c>
    </row>
    <row r="115" spans="1:5">
      <c r="A115" s="89">
        <v>45291</v>
      </c>
      <c r="B115" t="s">
        <v>76</v>
      </c>
      <c r="E115" s="76">
        <v>5590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148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149</v>
      </c>
      <c r="E119" s="76">
        <v>34000</v>
      </c>
    </row>
    <row r="120" spans="1:5">
      <c r="A120" s="89"/>
    </row>
    <row r="121" spans="1:5">
      <c r="D121" t="s">
        <v>882</v>
      </c>
      <c r="E121" s="54">
        <f>H2</f>
        <v>-50451.479999999989</v>
      </c>
    </row>
    <row r="123" spans="1:5">
      <c r="D123" s="61" t="s">
        <v>93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883</v>
      </c>
      <c r="C2" s="79" t="s">
        <v>95</v>
      </c>
      <c r="D2" s="239">
        <f>SUM(D4:D27)</f>
        <v>13261</v>
      </c>
      <c r="E2" s="239">
        <f>SUM(E5:E27)</f>
        <v>-22808.309999999998</v>
      </c>
      <c r="F2" s="239">
        <f>SUM(F4:F28)</f>
        <v>8049.2</v>
      </c>
      <c r="G2" s="239">
        <f>SUM(G4:G28)</f>
        <v>-23047.62</v>
      </c>
      <c r="H2" s="239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98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99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348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349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118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884</v>
      </c>
      <c r="E14" s="2"/>
      <c r="H14" s="54">
        <f t="shared" si="0"/>
        <v>-14944.619999999999</v>
      </c>
    </row>
    <row r="15" spans="1:8">
      <c r="B15" t="s">
        <v>73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885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407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124</v>
      </c>
      <c r="D20" s="245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844</v>
      </c>
      <c r="D21" s="245">
        <v>1650</v>
      </c>
      <c r="F21" s="54"/>
      <c r="G21" s="54"/>
      <c r="H21" s="54">
        <f t="shared" si="0"/>
        <v>-15998.419999999998</v>
      </c>
    </row>
    <row r="22" spans="1:8">
      <c r="A22" t="s">
        <v>886</v>
      </c>
      <c r="B22" t="s">
        <v>835</v>
      </c>
      <c r="D22" s="245">
        <v>3000</v>
      </c>
      <c r="F22" s="54"/>
      <c r="G22" s="54"/>
      <c r="H22" s="54">
        <f t="shared" si="0"/>
        <v>-15998.419999999998</v>
      </c>
    </row>
    <row r="23" spans="1:8">
      <c r="A23" t="s">
        <v>886</v>
      </c>
      <c r="B23" t="s">
        <v>887</v>
      </c>
      <c r="D23" s="263">
        <v>1000</v>
      </c>
      <c r="H23" s="54">
        <f t="shared" si="0"/>
        <v>-15998.419999999998</v>
      </c>
    </row>
    <row r="24" spans="1:8">
      <c r="A24" s="89">
        <v>44928</v>
      </c>
      <c r="B24" s="246" t="s">
        <v>888</v>
      </c>
      <c r="C24" s="246"/>
      <c r="D24" s="266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128</v>
      </c>
      <c r="E29" s="54"/>
      <c r="G29" s="54"/>
      <c r="H29" s="54"/>
    </row>
    <row r="30" spans="1:8">
      <c r="A30" s="70" t="s">
        <v>129</v>
      </c>
      <c r="B30" s="70"/>
      <c r="C30" s="70"/>
      <c r="D30" s="70"/>
      <c r="E30" s="71"/>
      <c r="G30" s="54"/>
      <c r="H30" s="54"/>
    </row>
    <row r="31" spans="1:8">
      <c r="A31" s="251">
        <v>44650</v>
      </c>
      <c r="B31" s="246" t="s">
        <v>852</v>
      </c>
      <c r="C31" s="246"/>
      <c r="D31" s="246" t="s">
        <v>889</v>
      </c>
      <c r="E31" s="247"/>
      <c r="H31" s="54"/>
    </row>
    <row r="32" spans="1:8">
      <c r="A32" s="251">
        <v>44844</v>
      </c>
      <c r="B32" s="246" t="s">
        <v>854</v>
      </c>
      <c r="C32" s="248"/>
      <c r="D32" s="246" t="s">
        <v>855</v>
      </c>
      <c r="E32" s="246"/>
      <c r="H32" s="54"/>
    </row>
    <row r="33" spans="1:8">
      <c r="A33" s="251"/>
      <c r="B33" s="246" t="s">
        <v>890</v>
      </c>
      <c r="C33" s="248"/>
      <c r="D33" s="246"/>
      <c r="E33" s="246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130</v>
      </c>
      <c r="C35" s="70"/>
      <c r="D35" s="132">
        <f>SUM(D36:D43)</f>
        <v>6130.21</v>
      </c>
      <c r="E35" s="132">
        <f>SUM(E36:E43)</f>
        <v>5930.26</v>
      </c>
      <c r="H35" s="54"/>
    </row>
    <row r="36" spans="1:8">
      <c r="A36" s="89"/>
      <c r="B36" s="84" t="s">
        <v>131</v>
      </c>
      <c r="C36" s="22"/>
      <c r="D36" s="2">
        <v>1221.74</v>
      </c>
      <c r="E36" s="54">
        <v>1222</v>
      </c>
      <c r="H36" s="54"/>
    </row>
    <row r="37" spans="1:8">
      <c r="B37" t="s">
        <v>132</v>
      </c>
      <c r="D37" s="2">
        <v>1264.8699999999999</v>
      </c>
      <c r="E37" s="54">
        <v>1265</v>
      </c>
      <c r="F37" s="54"/>
      <c r="G37" s="54"/>
    </row>
    <row r="38" spans="1:8">
      <c r="B38" t="s">
        <v>133</v>
      </c>
      <c r="D38" s="2">
        <v>366.02</v>
      </c>
      <c r="E38" s="54">
        <v>366</v>
      </c>
      <c r="F38" s="54"/>
      <c r="G38" s="54"/>
    </row>
    <row r="39" spans="1:8">
      <c r="B39" t="s">
        <v>891</v>
      </c>
      <c r="D39" s="62">
        <v>200</v>
      </c>
      <c r="F39" s="54"/>
      <c r="G39" s="54"/>
    </row>
    <row r="40" spans="1:8">
      <c r="B40" t="s">
        <v>892</v>
      </c>
      <c r="D40" s="2">
        <v>1479.95</v>
      </c>
      <c r="E40">
        <v>1480</v>
      </c>
      <c r="F40" s="54"/>
      <c r="G40" s="54"/>
    </row>
    <row r="41" spans="1:8">
      <c r="B41" t="s">
        <v>893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894</v>
      </c>
      <c r="C42" s="84"/>
      <c r="D42" s="267">
        <v>200</v>
      </c>
      <c r="E42">
        <v>200</v>
      </c>
      <c r="F42" s="54"/>
      <c r="G42" s="54"/>
    </row>
    <row r="43" spans="1:8">
      <c r="B43" t="s">
        <v>136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895</v>
      </c>
      <c r="C50" s="84"/>
      <c r="D50" s="84" t="s">
        <v>182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896</v>
      </c>
      <c r="C51" s="84"/>
      <c r="D51" s="84" t="s">
        <v>182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897</v>
      </c>
      <c r="C52" s="84"/>
      <c r="D52" s="84" t="s">
        <v>198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898</v>
      </c>
      <c r="C53" s="84"/>
      <c r="D53" s="80" t="s">
        <v>750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774</v>
      </c>
      <c r="C54" s="84"/>
      <c r="D54" s="84" t="s">
        <v>685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775</v>
      </c>
      <c r="C55" s="84"/>
      <c r="D55" s="84" t="s">
        <v>685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776</v>
      </c>
      <c r="C56" s="84"/>
      <c r="D56" s="84" t="s">
        <v>685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777</v>
      </c>
      <c r="C57" s="84"/>
      <c r="D57" s="84" t="s">
        <v>685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899</v>
      </c>
      <c r="E58" s="54">
        <v>-182.4</v>
      </c>
      <c r="F58" s="54"/>
      <c r="G58" s="54"/>
      <c r="H58" s="54"/>
    </row>
    <row r="59" spans="1:8">
      <c r="A59" s="89"/>
      <c r="B59" t="s">
        <v>900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901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902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239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903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904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905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906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907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908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909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910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911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912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913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375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914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915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916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917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918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919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920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921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73</v>
      </c>
      <c r="E112">
        <v>32000</v>
      </c>
    </row>
    <row r="113" spans="1:5">
      <c r="A113" s="89">
        <v>45291</v>
      </c>
      <c r="B113" t="s">
        <v>74</v>
      </c>
      <c r="E113">
        <v>40000</v>
      </c>
    </row>
    <row r="114" spans="1:5">
      <c r="A114" s="89">
        <v>45291</v>
      </c>
      <c r="B114" t="s">
        <v>75</v>
      </c>
      <c r="E114">
        <v>40162.18</v>
      </c>
    </row>
    <row r="115" spans="1:5">
      <c r="A115" s="89">
        <v>45291</v>
      </c>
      <c r="B115" t="s">
        <v>76</v>
      </c>
      <c r="E115">
        <v>44912.09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148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149</v>
      </c>
      <c r="E119">
        <v>60000</v>
      </c>
    </row>
    <row r="120" spans="1:5">
      <c r="B120" t="s">
        <v>150</v>
      </c>
      <c r="E120" s="54">
        <f>H2</f>
        <v>-14998.419999999998</v>
      </c>
    </row>
    <row r="122" spans="1:5">
      <c r="D122" s="61" t="s">
        <v>93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268">
        <v>0.23471</v>
      </c>
      <c r="L1" s="268">
        <f>1-K1</f>
        <v>0.76529000000000003</v>
      </c>
      <c r="M1" s="269"/>
      <c r="N1" s="16" t="s">
        <v>19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269" t="s">
        <v>393</v>
      </c>
      <c r="L2" s="269" t="s">
        <v>394</v>
      </c>
      <c r="M2" s="269" t="s">
        <v>25</v>
      </c>
      <c r="N2" s="16" t="s">
        <v>922</v>
      </c>
    </row>
    <row r="3" spans="1:14">
      <c r="A3" s="22" t="s">
        <v>26</v>
      </c>
      <c r="B3" s="144">
        <f>'22_1'!D2</f>
        <v>7333.3</v>
      </c>
      <c r="C3" s="145">
        <f>'22_1'!E2</f>
        <v>-6834.05</v>
      </c>
      <c r="D3" s="146">
        <f>B3+C3</f>
        <v>499.25</v>
      </c>
      <c r="E3" s="144">
        <f>'22_1'!F2</f>
        <v>46462.64</v>
      </c>
      <c r="F3" s="145">
        <f>'22_1'!G2</f>
        <v>-6834.05</v>
      </c>
      <c r="G3" s="147">
        <f>E3+F3</f>
        <v>39628.589999999997</v>
      </c>
      <c r="H3" s="25"/>
      <c r="I3" s="26" t="s">
        <v>27</v>
      </c>
      <c r="J3" s="22">
        <v>36</v>
      </c>
      <c r="M3" s="2">
        <v>36</v>
      </c>
    </row>
    <row r="4" spans="1:14">
      <c r="A4" s="22" t="s">
        <v>28</v>
      </c>
      <c r="B4" s="144">
        <f>'22_2'!D2</f>
        <v>10567.09</v>
      </c>
      <c r="C4" s="145">
        <f>'22_2'!E2</f>
        <v>-21938.15</v>
      </c>
      <c r="D4" s="146">
        <f t="shared" ref="D4:D14" si="0">B4+C4+D3</f>
        <v>-10871.810000000001</v>
      </c>
      <c r="E4" s="144">
        <f>'22_2'!F2</f>
        <v>11567.09</v>
      </c>
      <c r="F4" s="145">
        <f>'22_2'!G2</f>
        <v>-21938.15</v>
      </c>
      <c r="G4" s="147">
        <f t="shared" ref="G4:G14" si="1">E4+F4+G3</f>
        <v>29257.529999999995</v>
      </c>
      <c r="H4" s="25"/>
      <c r="I4" s="26" t="s">
        <v>31</v>
      </c>
      <c r="J4" s="22">
        <v>19.8</v>
      </c>
      <c r="M4" s="2">
        <v>19.8</v>
      </c>
    </row>
    <row r="5" spans="1:14">
      <c r="A5" s="22" t="s">
        <v>30</v>
      </c>
      <c r="B5" s="144">
        <f>'03'!D2</f>
        <v>36859.61</v>
      </c>
      <c r="C5" s="145">
        <f>'03'!E2</f>
        <v>-30109.3</v>
      </c>
      <c r="D5" s="146">
        <f t="shared" si="0"/>
        <v>-4121.5</v>
      </c>
      <c r="E5" s="144">
        <f>'03'!F2</f>
        <v>35859.61</v>
      </c>
      <c r="F5" s="145">
        <f>'03'!G2</f>
        <v>-30109.3</v>
      </c>
      <c r="G5" s="147">
        <f t="shared" si="1"/>
        <v>35007.839999999997</v>
      </c>
      <c r="H5" s="25"/>
      <c r="I5" s="26" t="s">
        <v>124</v>
      </c>
      <c r="N5" s="2">
        <v>46.1</v>
      </c>
    </row>
    <row r="6" spans="1:14">
      <c r="A6" s="22" t="s">
        <v>32</v>
      </c>
      <c r="B6" s="144">
        <f>'04'!D2</f>
        <v>15937.59</v>
      </c>
      <c r="C6" s="145">
        <f>'04'!E2</f>
        <v>-11790.68</v>
      </c>
      <c r="D6" s="146">
        <f t="shared" si="0"/>
        <v>25.409999999999854</v>
      </c>
      <c r="E6" s="144">
        <f>'04'!F2</f>
        <v>17940.28</v>
      </c>
      <c r="F6" s="145">
        <f>'04'!G2</f>
        <v>-11140.68</v>
      </c>
      <c r="G6" s="147">
        <f t="shared" si="1"/>
        <v>41807.439999999995</v>
      </c>
      <c r="H6" s="25"/>
      <c r="I6" s="26" t="s">
        <v>41</v>
      </c>
      <c r="J6" s="22">
        <v>60</v>
      </c>
      <c r="M6" s="2">
        <v>6.5</v>
      </c>
    </row>
    <row r="7" spans="1:14">
      <c r="A7" s="22" t="s">
        <v>34</v>
      </c>
      <c r="B7" s="144">
        <f>'05'!D2</f>
        <v>11328.34</v>
      </c>
      <c r="C7" s="145">
        <f>'05'!E2</f>
        <v>-7712.66</v>
      </c>
      <c r="D7" s="146">
        <f t="shared" si="0"/>
        <v>3641.09</v>
      </c>
      <c r="E7" s="144">
        <f>'05'!F2</f>
        <v>9522.369999999999</v>
      </c>
      <c r="F7" s="145">
        <f>'05'!G2</f>
        <v>-7722.66</v>
      </c>
      <c r="G7" s="147">
        <f t="shared" si="1"/>
        <v>43607.149999999994</v>
      </c>
      <c r="H7" s="25"/>
      <c r="I7" s="26" t="s">
        <v>923</v>
      </c>
      <c r="J7" s="22">
        <v>95</v>
      </c>
      <c r="M7" s="2">
        <v>23.75</v>
      </c>
    </row>
    <row r="8" spans="1:14">
      <c r="A8" s="22" t="s">
        <v>924</v>
      </c>
      <c r="B8" s="144">
        <f>'06'!D2</f>
        <v>17837.05</v>
      </c>
      <c r="C8" s="145">
        <f>'06'!E2</f>
        <v>-28058.100000000002</v>
      </c>
      <c r="D8" s="146">
        <f t="shared" si="0"/>
        <v>-6579.9600000000028</v>
      </c>
      <c r="E8" s="144">
        <f>'06'!F2</f>
        <v>16654.189999999999</v>
      </c>
      <c r="F8" s="145">
        <f>'06'!G2</f>
        <v>-28058.1</v>
      </c>
      <c r="G8" s="147">
        <f t="shared" si="1"/>
        <v>32203.239999999994</v>
      </c>
      <c r="H8" s="25"/>
    </row>
    <row r="9" spans="1:14">
      <c r="A9" s="22" t="s">
        <v>925</v>
      </c>
      <c r="B9" s="144">
        <f>'07'!D2</f>
        <v>27131.070000000003</v>
      </c>
      <c r="C9" s="145">
        <f>'07'!E2</f>
        <v>-17400.82</v>
      </c>
      <c r="D9" s="146">
        <f t="shared" si="0"/>
        <v>3150.2900000000009</v>
      </c>
      <c r="E9" s="144">
        <f>'07'!F2</f>
        <v>16133.3</v>
      </c>
      <c r="F9" s="145">
        <f>'07'!G2</f>
        <v>-20600.82</v>
      </c>
      <c r="G9" s="147">
        <f t="shared" si="1"/>
        <v>27735.719999999994</v>
      </c>
      <c r="H9" s="25"/>
      <c r="I9" s="26" t="s">
        <v>45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926</v>
      </c>
      <c r="B10" s="144">
        <f>'08'!D2</f>
        <v>34617.910000000003</v>
      </c>
      <c r="C10" s="145">
        <f>'08'!E2</f>
        <v>-11695.349999999999</v>
      </c>
      <c r="D10" s="146">
        <f t="shared" si="0"/>
        <v>26072.850000000006</v>
      </c>
      <c r="E10" s="144">
        <f>'08'!F2</f>
        <v>102061.66</v>
      </c>
      <c r="F10" s="145">
        <f>'08'!G2</f>
        <v>-33894.33</v>
      </c>
      <c r="G10" s="147">
        <f t="shared" si="1"/>
        <v>95903.049999999988</v>
      </c>
      <c r="H10" s="25"/>
      <c r="I10" s="26" t="s">
        <v>49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42</v>
      </c>
      <c r="B11" s="144">
        <f>'09'!D2</f>
        <v>66162.31</v>
      </c>
      <c r="C11" s="145">
        <f>'09'!E2</f>
        <v>-61978.720000000001</v>
      </c>
      <c r="D11" s="146">
        <f t="shared" si="0"/>
        <v>30256.440000000002</v>
      </c>
      <c r="E11" s="144">
        <f>'09'!F2</f>
        <v>9260.5</v>
      </c>
      <c r="F11" s="145">
        <f>'09'!G2</f>
        <v>-25729.239999999998</v>
      </c>
      <c r="G11" s="147">
        <f t="shared" si="1"/>
        <v>79434.31</v>
      </c>
      <c r="H11" s="25"/>
      <c r="I11" s="26" t="s">
        <v>47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44</v>
      </c>
      <c r="B12" s="144">
        <f>'10'!D2</f>
        <v>23872.199999999997</v>
      </c>
      <c r="C12" s="145">
        <f>'10'!E2</f>
        <v>-33587.82</v>
      </c>
      <c r="D12" s="146">
        <f t="shared" si="0"/>
        <v>20540.82</v>
      </c>
      <c r="E12" s="144">
        <f>'10'!F2</f>
        <v>79418.41</v>
      </c>
      <c r="F12" s="145">
        <f>'10'!G2</f>
        <v>-90424.320000000007</v>
      </c>
      <c r="G12" s="147">
        <f t="shared" si="1"/>
        <v>68428.399999999994</v>
      </c>
      <c r="H12" s="25"/>
      <c r="I12" s="26" t="s">
        <v>39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s="22" t="s">
        <v>46</v>
      </c>
      <c r="B13" s="144">
        <f>'11'!D2</f>
        <v>179191.62</v>
      </c>
      <c r="C13" s="145">
        <f>'11'!E2</f>
        <v>-14175.82</v>
      </c>
      <c r="D13" s="146">
        <f t="shared" si="0"/>
        <v>185556.62</v>
      </c>
      <c r="E13" s="144">
        <f>'11'!F2</f>
        <v>178439.6</v>
      </c>
      <c r="F13" s="145">
        <f>'11'!G2</f>
        <v>-18452.8</v>
      </c>
      <c r="G13" s="147">
        <f t="shared" si="1"/>
        <v>228415.2</v>
      </c>
      <c r="H13" s="25"/>
      <c r="I13" s="26" t="s">
        <v>29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s="22" t="s">
        <v>48</v>
      </c>
      <c r="B14" s="144">
        <f>'22_12'!D2</f>
        <v>15475.960000000001</v>
      </c>
      <c r="C14" s="145">
        <f>'22_12'!E2</f>
        <v>-16961.339999999997</v>
      </c>
      <c r="D14" s="146">
        <f t="shared" si="0"/>
        <v>184071.24</v>
      </c>
      <c r="E14" s="144">
        <f>'22_12'!F2</f>
        <v>22052.39</v>
      </c>
      <c r="F14" s="145">
        <f>'22_12'!G2</f>
        <v>-21692.25</v>
      </c>
      <c r="G14" s="147">
        <f t="shared" si="1"/>
        <v>228775.34000000003</v>
      </c>
      <c r="H14" s="25"/>
      <c r="I14" s="26" t="s">
        <v>43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95</v>
      </c>
      <c r="B15" s="150">
        <f>SUM(B3:B14)</f>
        <v>446314.05000000005</v>
      </c>
      <c r="C15" s="151">
        <f>SUM(C3:C14)</f>
        <v>-262242.81000000006</v>
      </c>
      <c r="D15" s="272">
        <f>B15+C15</f>
        <v>184071.24</v>
      </c>
      <c r="E15" s="150">
        <f>SUM(E3:E14)</f>
        <v>545372.04</v>
      </c>
      <c r="F15" s="151">
        <f>SUM(F3:F14)</f>
        <v>-316596.7</v>
      </c>
      <c r="G15" s="272">
        <f>E15+F15</f>
        <v>228775.34000000003</v>
      </c>
      <c r="H15" s="25"/>
      <c r="I15" s="153"/>
      <c r="J15" s="153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47"/>
      <c r="I16" s="155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9"/>
      <c r="F1" s="119" t="s">
        <v>21</v>
      </c>
      <c r="G1" s="277" t="s">
        <v>22</v>
      </c>
      <c r="H1" s="119" t="s">
        <v>4</v>
      </c>
    </row>
    <row r="2" spans="1:8">
      <c r="A2" s="3" t="s">
        <v>927</v>
      </c>
      <c r="C2" s="79" t="s">
        <v>95</v>
      </c>
      <c r="D2" s="239">
        <f>SUM(D11:D62)</f>
        <v>15475.960000000001</v>
      </c>
      <c r="E2" s="239">
        <f>SUM(E11:E94)</f>
        <v>-16961.339999999997</v>
      </c>
      <c r="F2" s="239">
        <f>SUM(F11:F92)</f>
        <v>22052.39</v>
      </c>
      <c r="G2" s="278">
        <f>SUM(G11:G92)</f>
        <v>-21692.25</v>
      </c>
      <c r="H2" s="239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928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929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930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931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932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933</v>
      </c>
      <c r="D14">
        <v>200</v>
      </c>
      <c r="E14" s="54"/>
      <c r="F14" s="261">
        <v>100</v>
      </c>
      <c r="H14" s="54">
        <f t="shared" si="0"/>
        <v>-2346.5</v>
      </c>
    </row>
    <row r="15" spans="1:8">
      <c r="B15" s="26" t="s">
        <v>134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934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935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936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937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938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939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940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941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942</v>
      </c>
      <c r="C27" s="84"/>
      <c r="D27" s="84"/>
      <c r="E27" s="54"/>
      <c r="F27" s="262">
        <v>1150</v>
      </c>
      <c r="H27" s="54">
        <f t="shared" si="0"/>
        <v>-2534.61</v>
      </c>
    </row>
    <row r="28" spans="1:8">
      <c r="A28" s="89">
        <v>44875</v>
      </c>
      <c r="B28" s="84" t="s">
        <v>943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944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945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946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946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947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948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949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950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951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952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953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954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955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956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957</v>
      </c>
      <c r="C44" s="84"/>
      <c r="D44" s="84"/>
      <c r="E44" s="76"/>
      <c r="F44" s="262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958</v>
      </c>
      <c r="C46" s="84" t="s">
        <v>959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960</v>
      </c>
      <c r="C47" s="84" t="s">
        <v>959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961</v>
      </c>
      <c r="C48" s="84" t="s">
        <v>962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963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124</v>
      </c>
      <c r="D55" s="245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125</v>
      </c>
      <c r="D56" s="245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964</v>
      </c>
      <c r="D57" s="245">
        <v>3000</v>
      </c>
      <c r="F57" s="54">
        <v>3000</v>
      </c>
      <c r="H57" s="54">
        <f t="shared" si="1"/>
        <v>-7761.3600000000006</v>
      </c>
    </row>
    <row r="58" spans="1:8">
      <c r="B58" t="s">
        <v>965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966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967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968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969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08"/>
      <c r="B68" s="208"/>
      <c r="C68" s="208"/>
      <c r="D68" s="208"/>
      <c r="E68" s="54"/>
      <c r="H68" s="54"/>
    </row>
    <row r="69" spans="1:8">
      <c r="A69" s="279">
        <v>44871</v>
      </c>
      <c r="B69" s="208" t="s">
        <v>970</v>
      </c>
      <c r="C69" s="208"/>
      <c r="D69" s="260">
        <v>200</v>
      </c>
      <c r="E69" s="54" t="s">
        <v>971</v>
      </c>
      <c r="H69" s="54"/>
    </row>
    <row r="70" spans="1:8">
      <c r="A70" s="279">
        <v>44839</v>
      </c>
      <c r="B70" s="208" t="s">
        <v>972</v>
      </c>
      <c r="C70" s="208"/>
      <c r="D70" s="260">
        <v>200</v>
      </c>
      <c r="E70" s="54" t="s">
        <v>971</v>
      </c>
      <c r="H70" s="54"/>
    </row>
    <row r="71" spans="1:8">
      <c r="A71" s="279"/>
      <c r="B71" s="208"/>
      <c r="C71" s="208"/>
      <c r="D71" s="280"/>
      <c r="E71" s="54"/>
      <c r="H71" s="54"/>
    </row>
    <row r="72" spans="1:8">
      <c r="A72" s="279">
        <v>44650</v>
      </c>
      <c r="B72" s="208" t="s">
        <v>852</v>
      </c>
      <c r="C72" s="208">
        <v>3</v>
      </c>
      <c r="D72" t="s">
        <v>973</v>
      </c>
      <c r="E72" s="54"/>
    </row>
    <row r="73" spans="1:8">
      <c r="A73" s="279">
        <v>44844</v>
      </c>
      <c r="B73" s="208" t="s">
        <v>854</v>
      </c>
      <c r="C73" s="90"/>
      <c r="D73" t="s">
        <v>855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974</v>
      </c>
      <c r="C2" s="79" t="s">
        <v>95</v>
      </c>
      <c r="D2" s="239">
        <f>SUM(D4:D52)</f>
        <v>179191.62</v>
      </c>
      <c r="E2" s="239">
        <f>SUM(E4:E73)</f>
        <v>-14175.82</v>
      </c>
      <c r="F2" s="239">
        <f>SUM(F4:F71)</f>
        <v>178439.6</v>
      </c>
      <c r="G2" s="239">
        <f>SUM(G4:G71)</f>
        <v>-18452.8</v>
      </c>
      <c r="H2" s="239">
        <f>F2+G2</f>
        <v>159986.80000000002</v>
      </c>
    </row>
    <row r="3" spans="1:8">
      <c r="B3" s="61"/>
      <c r="D3" s="245"/>
      <c r="E3" s="245"/>
      <c r="F3" s="245"/>
      <c r="G3" s="245"/>
      <c r="H3" s="54"/>
    </row>
    <row r="4" spans="1:8">
      <c r="D4" s="245"/>
      <c r="E4" s="245"/>
      <c r="F4" s="95"/>
      <c r="G4" s="245"/>
      <c r="H4" s="54">
        <f t="shared" ref="H4:H35" si="0">H3+F4+G4</f>
        <v>0</v>
      </c>
    </row>
    <row r="5" spans="1:8">
      <c r="A5" s="89">
        <v>44874</v>
      </c>
      <c r="B5" t="s">
        <v>132</v>
      </c>
      <c r="D5" s="245">
        <v>1221.4100000000001</v>
      </c>
      <c r="E5" s="245"/>
      <c r="F5" s="245">
        <v>1220</v>
      </c>
      <c r="G5" s="245"/>
      <c r="H5" s="54">
        <f t="shared" si="0"/>
        <v>1220</v>
      </c>
    </row>
    <row r="6" spans="1:8">
      <c r="A6" s="89">
        <v>44874</v>
      </c>
      <c r="B6" t="s">
        <v>133</v>
      </c>
      <c r="D6" s="245">
        <v>98.9</v>
      </c>
      <c r="E6" s="245"/>
      <c r="F6" s="245">
        <v>98</v>
      </c>
      <c r="G6" s="245"/>
      <c r="H6" s="54">
        <f t="shared" si="0"/>
        <v>1318</v>
      </c>
    </row>
    <row r="7" spans="1:8">
      <c r="A7" s="89">
        <v>44871</v>
      </c>
      <c r="B7" t="s">
        <v>970</v>
      </c>
      <c r="D7" s="95">
        <v>200</v>
      </c>
      <c r="E7" s="245"/>
      <c r="F7" s="245"/>
      <c r="G7" s="245"/>
      <c r="H7" s="54">
        <f t="shared" si="0"/>
        <v>1318</v>
      </c>
    </row>
    <row r="8" spans="1:8">
      <c r="A8" s="89">
        <v>44874</v>
      </c>
      <c r="B8" t="s">
        <v>134</v>
      </c>
      <c r="D8" s="245">
        <v>1182.1600000000001</v>
      </c>
      <c r="E8" s="245"/>
      <c r="F8" s="245">
        <v>1182.1500000000001</v>
      </c>
      <c r="G8" s="245"/>
      <c r="H8" s="54">
        <f t="shared" si="0"/>
        <v>2500.15</v>
      </c>
    </row>
    <row r="9" spans="1:8">
      <c r="A9" s="89">
        <v>44874</v>
      </c>
      <c r="B9" t="s">
        <v>135</v>
      </c>
      <c r="D9" s="245">
        <v>289.7</v>
      </c>
      <c r="E9" s="245"/>
      <c r="F9" s="245">
        <v>290</v>
      </c>
      <c r="G9" s="245"/>
      <c r="H9" s="54">
        <f t="shared" si="0"/>
        <v>2790.15</v>
      </c>
    </row>
    <row r="10" spans="1:8">
      <c r="A10" s="89">
        <v>44874</v>
      </c>
      <c r="B10" t="s">
        <v>975</v>
      </c>
      <c r="D10" s="245">
        <v>200</v>
      </c>
      <c r="E10" s="245"/>
      <c r="F10" s="245">
        <v>200</v>
      </c>
      <c r="G10" s="245"/>
      <c r="H10" s="54">
        <f t="shared" si="0"/>
        <v>2990.15</v>
      </c>
    </row>
    <row r="11" spans="1:8">
      <c r="A11" s="89">
        <v>44874</v>
      </c>
      <c r="B11" t="s">
        <v>136</v>
      </c>
      <c r="D11" s="245">
        <v>49.95</v>
      </c>
      <c r="E11" s="245"/>
      <c r="F11" s="245">
        <v>49.95</v>
      </c>
      <c r="G11" s="245"/>
      <c r="H11" s="54">
        <f t="shared" si="0"/>
        <v>3040.1</v>
      </c>
    </row>
    <row r="12" spans="1:8">
      <c r="A12" s="89">
        <v>44875</v>
      </c>
      <c r="B12" s="84" t="s">
        <v>935</v>
      </c>
      <c r="C12" s="84"/>
      <c r="D12" s="281"/>
      <c r="E12" s="245">
        <v>-1500</v>
      </c>
      <c r="F12" s="245"/>
      <c r="G12" s="245">
        <v>-2334</v>
      </c>
      <c r="H12" s="54">
        <f t="shared" si="0"/>
        <v>706.09999999999991</v>
      </c>
    </row>
    <row r="13" spans="1:8">
      <c r="A13" s="89">
        <v>44872</v>
      </c>
      <c r="B13" t="s">
        <v>976</v>
      </c>
      <c r="D13" s="245"/>
      <c r="E13" s="245"/>
      <c r="F13" s="245">
        <v>200</v>
      </c>
      <c r="G13" s="245"/>
      <c r="H13" s="54">
        <f t="shared" si="0"/>
        <v>906.09999999999991</v>
      </c>
    </row>
    <row r="14" spans="1:8">
      <c r="D14" s="245"/>
      <c r="E14" s="245"/>
      <c r="F14" s="245"/>
      <c r="G14" s="245"/>
      <c r="H14" s="54">
        <f t="shared" si="0"/>
        <v>906.09999999999991</v>
      </c>
    </row>
    <row r="15" spans="1:8">
      <c r="A15" s="89">
        <v>44868</v>
      </c>
      <c r="B15" s="80" t="s">
        <v>928</v>
      </c>
      <c r="C15" s="80"/>
      <c r="D15" s="281"/>
      <c r="E15" s="245">
        <v>-200</v>
      </c>
      <c r="F15" s="245"/>
      <c r="G15" s="245">
        <v>-255</v>
      </c>
      <c r="H15" s="54">
        <f t="shared" si="0"/>
        <v>651.09999999999991</v>
      </c>
    </row>
    <row r="16" spans="1:8">
      <c r="A16" s="89">
        <v>44868</v>
      </c>
      <c r="B16" s="80" t="s">
        <v>929</v>
      </c>
      <c r="C16" s="80"/>
      <c r="D16" s="281"/>
      <c r="E16" s="245">
        <v>-400</v>
      </c>
      <c r="F16" s="245"/>
      <c r="G16" s="245">
        <v>-536</v>
      </c>
      <c r="H16" s="54">
        <f t="shared" si="0"/>
        <v>115.09999999999991</v>
      </c>
    </row>
    <row r="17" spans="1:8">
      <c r="B17" s="80"/>
      <c r="C17" s="80"/>
      <c r="D17" s="281"/>
      <c r="E17" s="95"/>
      <c r="F17" s="245"/>
      <c r="G17" s="245"/>
      <c r="H17" s="54">
        <f t="shared" si="0"/>
        <v>115.09999999999991</v>
      </c>
    </row>
    <row r="18" spans="1:8">
      <c r="A18" s="89">
        <v>44873</v>
      </c>
      <c r="B18" s="80" t="s">
        <v>977</v>
      </c>
      <c r="C18" s="80"/>
      <c r="D18" s="281"/>
      <c r="E18" s="95"/>
      <c r="F18" s="245"/>
      <c r="G18" s="245">
        <v>-1250</v>
      </c>
      <c r="H18" s="54">
        <f t="shared" si="0"/>
        <v>-1134.9000000000001</v>
      </c>
    </row>
    <row r="19" spans="1:8">
      <c r="B19" s="84" t="s">
        <v>978</v>
      </c>
      <c r="C19" s="84"/>
      <c r="D19" s="281"/>
      <c r="E19" s="95"/>
      <c r="F19" s="282">
        <v>1250</v>
      </c>
      <c r="G19" s="245"/>
      <c r="H19" s="54">
        <f t="shared" si="0"/>
        <v>115.09999999999991</v>
      </c>
    </row>
    <row r="20" spans="1:8">
      <c r="A20" s="89">
        <v>44872</v>
      </c>
      <c r="B20" s="80" t="s">
        <v>979</v>
      </c>
      <c r="C20" s="80"/>
      <c r="D20" s="281"/>
      <c r="E20" s="245">
        <v>-4300</v>
      </c>
      <c r="F20" s="95"/>
      <c r="G20" s="245">
        <v>-4150</v>
      </c>
      <c r="H20" s="54">
        <f t="shared" si="0"/>
        <v>-4034.9</v>
      </c>
    </row>
    <row r="21" spans="1:8">
      <c r="A21" s="89">
        <v>44872</v>
      </c>
      <c r="B21" s="80" t="s">
        <v>980</v>
      </c>
      <c r="C21" s="80"/>
      <c r="D21" s="281"/>
      <c r="E21" s="245">
        <v>-496.5</v>
      </c>
      <c r="F21" s="95"/>
      <c r="G21" s="245">
        <v>-496.5</v>
      </c>
      <c r="H21" s="54">
        <f t="shared" si="0"/>
        <v>-4531.3999999999996</v>
      </c>
    </row>
    <row r="22" spans="1:8">
      <c r="B22" s="84"/>
      <c r="C22" s="84"/>
      <c r="D22" s="281"/>
      <c r="E22" s="95"/>
      <c r="F22" s="245"/>
      <c r="G22" s="245"/>
      <c r="H22" s="54">
        <f t="shared" si="0"/>
        <v>-4531.3999999999996</v>
      </c>
    </row>
    <row r="23" spans="1:8">
      <c r="A23" s="89">
        <v>44830</v>
      </c>
      <c r="B23" s="84" t="s">
        <v>981</v>
      </c>
      <c r="C23" s="84"/>
      <c r="D23" s="281"/>
      <c r="E23" s="245">
        <v>-112.67</v>
      </c>
      <c r="F23" s="245"/>
      <c r="G23" s="245"/>
      <c r="H23" s="54">
        <f t="shared" si="0"/>
        <v>-4531.3999999999996</v>
      </c>
    </row>
    <row r="24" spans="1:8">
      <c r="A24" s="89">
        <v>44835</v>
      </c>
      <c r="B24" s="84" t="s">
        <v>982</v>
      </c>
      <c r="C24" s="84"/>
      <c r="D24" s="281"/>
      <c r="E24" s="245">
        <v>-754.45</v>
      </c>
      <c r="F24" s="245"/>
      <c r="G24" s="245"/>
      <c r="H24" s="54">
        <f t="shared" si="0"/>
        <v>-4531.3999999999996</v>
      </c>
    </row>
    <row r="25" spans="1:8">
      <c r="A25" s="89">
        <v>44835</v>
      </c>
      <c r="B25" s="84" t="s">
        <v>983</v>
      </c>
      <c r="C25" s="84"/>
      <c r="D25" s="281"/>
      <c r="E25" s="245">
        <v>-208.17</v>
      </c>
      <c r="F25" s="245"/>
      <c r="G25" s="245"/>
      <c r="H25" s="54">
        <f t="shared" si="0"/>
        <v>-4531.3999999999996</v>
      </c>
    </row>
    <row r="26" spans="1:8">
      <c r="A26" s="89">
        <v>44840</v>
      </c>
      <c r="B26" s="84" t="s">
        <v>984</v>
      </c>
      <c r="C26" s="84"/>
      <c r="D26" s="281"/>
      <c r="E26" s="245">
        <v>-151.65</v>
      </c>
      <c r="F26" s="245"/>
      <c r="G26" s="245"/>
      <c r="H26" s="54">
        <f t="shared" si="0"/>
        <v>-4531.3999999999996</v>
      </c>
    </row>
    <row r="27" spans="1:8">
      <c r="A27" s="89">
        <v>44833</v>
      </c>
      <c r="B27" t="s">
        <v>985</v>
      </c>
      <c r="D27" s="245"/>
      <c r="E27" s="245">
        <v>-721.38</v>
      </c>
      <c r="F27" s="245"/>
      <c r="G27" s="245"/>
      <c r="H27" s="54">
        <f t="shared" si="0"/>
        <v>-4531.3999999999996</v>
      </c>
    </row>
    <row r="28" spans="1:8">
      <c r="A28" s="89">
        <v>44850</v>
      </c>
      <c r="B28" s="84" t="s">
        <v>986</v>
      </c>
      <c r="C28" s="84"/>
      <c r="D28" s="281"/>
      <c r="E28" s="245">
        <v>-500</v>
      </c>
      <c r="F28" s="245"/>
      <c r="G28" s="245"/>
      <c r="H28" s="54">
        <f t="shared" si="0"/>
        <v>-4531.3999999999996</v>
      </c>
    </row>
    <row r="29" spans="1:8">
      <c r="A29" s="89">
        <v>44857</v>
      </c>
      <c r="B29" s="84" t="s">
        <v>828</v>
      </c>
      <c r="C29" s="84"/>
      <c r="D29" s="281"/>
      <c r="E29" s="245">
        <v>-80</v>
      </c>
      <c r="F29" s="245"/>
      <c r="G29" s="245"/>
      <c r="H29" s="54">
        <f t="shared" si="0"/>
        <v>-4531.3999999999996</v>
      </c>
    </row>
    <row r="30" spans="1:8">
      <c r="A30" s="89">
        <v>44869</v>
      </c>
      <c r="B30" s="84" t="s">
        <v>987</v>
      </c>
      <c r="C30" s="84"/>
      <c r="D30" s="281"/>
      <c r="E30" s="95"/>
      <c r="F30" s="245"/>
      <c r="G30" s="245">
        <v>-2528.3000000000002</v>
      </c>
      <c r="H30" s="54">
        <f t="shared" si="0"/>
        <v>-7059.7</v>
      </c>
    </row>
    <row r="31" spans="1:8">
      <c r="B31" s="84"/>
      <c r="C31" s="84"/>
      <c r="D31" s="281"/>
      <c r="E31" s="95"/>
      <c r="F31" s="245"/>
      <c r="G31" s="245"/>
      <c r="H31" s="54">
        <f t="shared" si="0"/>
        <v>-7059.7</v>
      </c>
    </row>
    <row r="32" spans="1:8">
      <c r="B32" s="84" t="s">
        <v>988</v>
      </c>
      <c r="C32" s="84"/>
      <c r="D32" s="281"/>
      <c r="E32" s="245">
        <v>-200</v>
      </c>
      <c r="F32" s="245"/>
      <c r="G32" s="245">
        <v>-569</v>
      </c>
      <c r="H32" s="54">
        <f t="shared" si="0"/>
        <v>-7628.7</v>
      </c>
    </row>
    <row r="33" spans="1:8">
      <c r="B33" s="84" t="s">
        <v>989</v>
      </c>
      <c r="C33" s="84"/>
      <c r="D33" s="281"/>
      <c r="E33" s="245">
        <v>-51</v>
      </c>
      <c r="F33" s="245"/>
      <c r="G33" s="245">
        <v>-51</v>
      </c>
      <c r="H33" s="54">
        <f t="shared" si="0"/>
        <v>-7679.7</v>
      </c>
    </row>
    <row r="34" spans="1:8">
      <c r="B34" s="84"/>
      <c r="C34" s="84"/>
      <c r="D34" s="281"/>
      <c r="E34" s="245"/>
      <c r="F34" s="245"/>
      <c r="G34" s="245"/>
      <c r="H34" s="54">
        <f t="shared" si="0"/>
        <v>-7679.7</v>
      </c>
    </row>
    <row r="35" spans="1:8">
      <c r="A35" s="89">
        <v>44890</v>
      </c>
      <c r="B35" s="97" t="s">
        <v>990</v>
      </c>
      <c r="C35" s="84"/>
      <c r="D35" s="281"/>
      <c r="E35" s="245"/>
      <c r="F35" s="245"/>
      <c r="G35" s="245">
        <v>-175</v>
      </c>
      <c r="H35" s="54">
        <f t="shared" si="0"/>
        <v>-7854.7</v>
      </c>
    </row>
    <row r="36" spans="1:8">
      <c r="A36" s="89">
        <v>44891</v>
      </c>
      <c r="B36" s="97" t="s">
        <v>991</v>
      </c>
      <c r="C36" s="84"/>
      <c r="D36" s="281"/>
      <c r="E36" s="245"/>
      <c r="F36" s="245"/>
      <c r="G36" s="245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992</v>
      </c>
      <c r="C37" s="84"/>
      <c r="D37" s="281"/>
      <c r="E37" s="245"/>
      <c r="F37" s="245"/>
      <c r="G37" s="245">
        <v>-182</v>
      </c>
      <c r="H37" s="54">
        <f t="shared" si="1"/>
        <v>-8240.7000000000007</v>
      </c>
    </row>
    <row r="38" spans="1:8">
      <c r="B38" s="84"/>
      <c r="C38" s="84"/>
      <c r="D38" s="281"/>
      <c r="E38" s="95"/>
      <c r="F38" s="245"/>
      <c r="G38" s="245"/>
      <c r="H38" s="54">
        <f t="shared" si="1"/>
        <v>-8240.7000000000007</v>
      </c>
    </row>
    <row r="39" spans="1:8">
      <c r="B39" t="s">
        <v>73</v>
      </c>
      <c r="D39" s="245"/>
      <c r="E39" s="95">
        <v>-1500</v>
      </c>
      <c r="F39" s="245"/>
      <c r="G39" s="245">
        <v>-2111</v>
      </c>
      <c r="H39" s="54">
        <f t="shared" si="1"/>
        <v>-10351.700000000001</v>
      </c>
    </row>
    <row r="40" spans="1:8">
      <c r="B40" t="s">
        <v>74</v>
      </c>
      <c r="D40" s="245"/>
      <c r="E40" s="95">
        <v>-1500</v>
      </c>
      <c r="F40" s="245"/>
      <c r="G40" s="245">
        <v>-2111</v>
      </c>
      <c r="H40" s="54">
        <f t="shared" si="1"/>
        <v>-12462.7</v>
      </c>
    </row>
    <row r="41" spans="1:8">
      <c r="B41" t="s">
        <v>123</v>
      </c>
      <c r="D41" s="245"/>
      <c r="E41" s="95">
        <v>-1500</v>
      </c>
      <c r="F41" s="245"/>
      <c r="G41" s="245">
        <v>-1500</v>
      </c>
      <c r="H41" s="54">
        <f t="shared" si="1"/>
        <v>-13962.7</v>
      </c>
    </row>
    <row r="42" spans="1:8">
      <c r="D42" s="245"/>
      <c r="E42" s="245"/>
      <c r="F42" s="245"/>
      <c r="G42" s="245"/>
      <c r="H42" s="54">
        <f t="shared" si="1"/>
        <v>-13962.7</v>
      </c>
    </row>
    <row r="43" spans="1:8">
      <c r="B43" t="s">
        <v>124</v>
      </c>
      <c r="D43" s="245">
        <v>4299.5</v>
      </c>
      <c r="E43" s="245"/>
      <c r="F43" s="245">
        <v>4299.5</v>
      </c>
      <c r="G43" s="245"/>
      <c r="H43" s="54">
        <f t="shared" si="1"/>
        <v>-9663.2000000000007</v>
      </c>
    </row>
    <row r="44" spans="1:8">
      <c r="B44" t="s">
        <v>125</v>
      </c>
      <c r="D44" s="245">
        <v>1650</v>
      </c>
      <c r="E44" s="245"/>
      <c r="F44" s="245">
        <v>1650</v>
      </c>
      <c r="G44" s="245"/>
      <c r="H44" s="54">
        <f t="shared" si="1"/>
        <v>-8013.2000000000007</v>
      </c>
    </row>
    <row r="45" spans="1:8">
      <c r="A45" s="89">
        <v>44903</v>
      </c>
      <c r="B45" t="s">
        <v>993</v>
      </c>
      <c r="D45" s="245">
        <v>3000</v>
      </c>
      <c r="E45" s="245"/>
      <c r="F45" s="245">
        <v>3000</v>
      </c>
      <c r="G45" s="245"/>
      <c r="H45" s="54">
        <f t="shared" si="1"/>
        <v>-5013.2000000000007</v>
      </c>
    </row>
    <row r="46" spans="1:8">
      <c r="A46" s="89">
        <v>44895</v>
      </c>
      <c r="B46" t="s">
        <v>994</v>
      </c>
      <c r="D46" s="245">
        <v>1000</v>
      </c>
      <c r="E46" s="245"/>
      <c r="F46" s="245">
        <v>1000</v>
      </c>
      <c r="G46" s="245"/>
      <c r="H46" s="54">
        <f t="shared" si="1"/>
        <v>-4013.2000000000007</v>
      </c>
    </row>
    <row r="47" spans="1:8">
      <c r="A47" s="89"/>
      <c r="D47" s="95"/>
      <c r="E47" s="245"/>
      <c r="F47" s="245"/>
      <c r="G47" s="245"/>
      <c r="H47" s="54">
        <f t="shared" si="1"/>
        <v>-4013.2000000000007</v>
      </c>
    </row>
    <row r="48" spans="1:8">
      <c r="B48" t="s">
        <v>995</v>
      </c>
      <c r="D48" s="245">
        <v>82000</v>
      </c>
      <c r="E48" s="245"/>
      <c r="F48" s="245">
        <v>80000</v>
      </c>
      <c r="G48" s="245"/>
      <c r="H48" s="54">
        <f t="shared" si="1"/>
        <v>75986.8</v>
      </c>
    </row>
    <row r="49" spans="1:8">
      <c r="B49" t="s">
        <v>996</v>
      </c>
      <c r="D49" s="245"/>
      <c r="E49" s="245"/>
      <c r="F49" s="245"/>
      <c r="G49" s="245"/>
      <c r="H49" s="54">
        <f t="shared" si="1"/>
        <v>75986.8</v>
      </c>
    </row>
    <row r="50" spans="1:8">
      <c r="A50" s="89">
        <v>44893</v>
      </c>
      <c r="B50" t="s">
        <v>997</v>
      </c>
      <c r="D50" s="245">
        <v>84000</v>
      </c>
      <c r="E50" s="245"/>
      <c r="F50" s="245">
        <v>84000</v>
      </c>
      <c r="G50" s="245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998</v>
      </c>
      <c r="H54" s="54">
        <f t="shared" si="1"/>
        <v>159986.79999999999</v>
      </c>
    </row>
    <row r="56" spans="1:8">
      <c r="A56" s="89">
        <v>44844</v>
      </c>
      <c r="B56" s="283" t="s">
        <v>854</v>
      </c>
      <c r="C56" s="283"/>
      <c r="D56" s="284">
        <v>2000</v>
      </c>
    </row>
    <row r="57" spans="1:8">
      <c r="A57" s="89">
        <v>44839</v>
      </c>
      <c r="B57" s="283" t="s">
        <v>972</v>
      </c>
      <c r="C57" s="283"/>
      <c r="D57" s="284">
        <v>200</v>
      </c>
    </row>
    <row r="59" spans="1:8">
      <c r="A59" s="279">
        <v>44803</v>
      </c>
      <c r="B59" s="208" t="s">
        <v>852</v>
      </c>
      <c r="C59" s="208"/>
      <c r="D59" s="280"/>
    </row>
    <row r="60" spans="1:8">
      <c r="A60" s="279">
        <v>44772</v>
      </c>
      <c r="B60" s="208" t="s">
        <v>999</v>
      </c>
      <c r="C60" s="208"/>
      <c r="D60" s="280"/>
    </row>
    <row r="61" spans="1:8">
      <c r="A61" s="279">
        <v>44742</v>
      </c>
      <c r="B61" s="208" t="s">
        <v>1000</v>
      </c>
      <c r="C61" s="208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1001</v>
      </c>
      <c r="C2" s="79" t="s">
        <v>95</v>
      </c>
      <c r="D2" s="239">
        <f>SUM(D4:D78)</f>
        <v>23872.199999999997</v>
      </c>
      <c r="E2" s="239">
        <f>SUM(E4:E107)</f>
        <v>-33587.82</v>
      </c>
      <c r="F2" s="239">
        <f>SUM(F4:F104)</f>
        <v>79418.41</v>
      </c>
      <c r="G2" s="239">
        <f>SUM(G4:G104)</f>
        <v>-90424.320000000007</v>
      </c>
      <c r="H2" s="239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1002</v>
      </c>
      <c r="F4" s="262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972</v>
      </c>
      <c r="D8" s="62">
        <v>200</v>
      </c>
      <c r="E8" s="54"/>
      <c r="F8" s="54"/>
      <c r="G8" s="54"/>
      <c r="H8" s="54"/>
    </row>
    <row r="9" spans="1:8">
      <c r="B9" t="s">
        <v>134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935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928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929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1003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1004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1005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1006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1007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1008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1009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1010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1011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1012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1012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1013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1012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1014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237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1015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1016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1012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1012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1017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1018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1019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1020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1021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1012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1013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1022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1023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1011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1024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1025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1026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1027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1028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1029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1030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1031</v>
      </c>
      <c r="G56" s="54"/>
      <c r="H56" s="54">
        <f t="shared" si="1"/>
        <v>-42104.91</v>
      </c>
    </row>
    <row r="57" spans="1:8">
      <c r="A57" s="89"/>
      <c r="B57" t="s">
        <v>1032</v>
      </c>
      <c r="G57" s="54"/>
      <c r="H57" s="54">
        <f t="shared" si="1"/>
        <v>-42104.91</v>
      </c>
    </row>
    <row r="58" spans="1:8">
      <c r="A58" s="89">
        <v>44844</v>
      </c>
      <c r="B58" t="s">
        <v>1033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1033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1034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854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1035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1036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1037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124</v>
      </c>
      <c r="D71" s="245">
        <v>4293.6499999999996</v>
      </c>
      <c r="E71" s="3"/>
      <c r="F71" s="245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125</v>
      </c>
      <c r="D72" s="245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1038</v>
      </c>
      <c r="D73" s="245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1039</v>
      </c>
      <c r="D74" s="245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1040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998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1041</v>
      </c>
      <c r="H82" s="54">
        <f t="shared" si="2"/>
        <v>-11205.910000000003</v>
      </c>
    </row>
    <row r="83" spans="1:8">
      <c r="B83" s="285" t="s">
        <v>1042</v>
      </c>
      <c r="C83" s="285"/>
      <c r="D83" s="286">
        <v>20000</v>
      </c>
      <c r="F83">
        <v>23750</v>
      </c>
      <c r="H83" s="54">
        <f t="shared" si="2"/>
        <v>12544.089999999997</v>
      </c>
    </row>
    <row r="84" spans="1:8">
      <c r="B84" s="285" t="s">
        <v>1043</v>
      </c>
      <c r="C84" s="285"/>
      <c r="D84" s="286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79"/>
      <c r="B86" s="208"/>
      <c r="C86" s="208"/>
      <c r="D86" s="287"/>
      <c r="G86" s="54"/>
      <c r="H86" s="54"/>
    </row>
    <row r="87" spans="1:8">
      <c r="A87" s="279">
        <v>44803</v>
      </c>
      <c r="B87" s="208" t="s">
        <v>852</v>
      </c>
      <c r="C87" s="208"/>
      <c r="D87" s="287">
        <v>4000</v>
      </c>
      <c r="H87" s="54"/>
    </row>
    <row r="88" spans="1:8">
      <c r="A88" s="279">
        <v>44772</v>
      </c>
      <c r="B88" s="208" t="s">
        <v>999</v>
      </c>
      <c r="C88" s="208"/>
      <c r="D88" s="287">
        <v>4000</v>
      </c>
      <c r="H88" s="54"/>
    </row>
    <row r="89" spans="1:8">
      <c r="A89" s="279">
        <v>44742</v>
      </c>
      <c r="B89" s="208" t="s">
        <v>1000</v>
      </c>
      <c r="C89" s="208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1044</v>
      </c>
      <c r="B2" s="288"/>
      <c r="C2" s="79" t="s">
        <v>95</v>
      </c>
      <c r="D2" s="239">
        <f>SUM(D5:D42)</f>
        <v>66162.31</v>
      </c>
      <c r="E2" s="239">
        <f>SUM(E5:E69)</f>
        <v>-61978.720000000001</v>
      </c>
      <c r="F2" s="239">
        <f>SUM(F5:F66)</f>
        <v>9260.5</v>
      </c>
      <c r="G2" s="239">
        <f>SUM(G5:G66)</f>
        <v>-25729.239999999998</v>
      </c>
      <c r="H2" s="239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1045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935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928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929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1046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1047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1048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1036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1049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1050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1051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1052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1053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1054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1055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1056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1057</v>
      </c>
      <c r="C27" s="84" t="s">
        <v>1058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1059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1060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1061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1062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1063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89" t="s">
        <v>1042</v>
      </c>
      <c r="C45" s="289"/>
      <c r="D45" s="290">
        <v>20000</v>
      </c>
      <c r="H45" s="54">
        <f t="shared" si="0"/>
        <v>-16468.739999999998</v>
      </c>
    </row>
    <row r="46" spans="1:8">
      <c r="A46" s="279">
        <v>44803</v>
      </c>
      <c r="B46" s="208" t="s">
        <v>852</v>
      </c>
      <c r="C46" s="208"/>
      <c r="D46" s="287">
        <v>4000</v>
      </c>
      <c r="H46" s="54">
        <f t="shared" si="0"/>
        <v>-16468.739999999998</v>
      </c>
    </row>
    <row r="47" spans="1:8">
      <c r="A47" s="279">
        <v>44772</v>
      </c>
      <c r="B47" s="208" t="s">
        <v>999</v>
      </c>
      <c r="C47" s="208"/>
      <c r="D47" s="287">
        <v>4000</v>
      </c>
      <c r="H47" s="54" t="e">
        <f>#REF!+F47+G47</f>
        <v>#REF!</v>
      </c>
    </row>
    <row r="48" spans="1:8">
      <c r="A48" s="279">
        <v>44742</v>
      </c>
      <c r="B48" s="208" t="s">
        <v>1000</v>
      </c>
      <c r="C48" s="208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1064</v>
      </c>
      <c r="C2" s="79" t="s">
        <v>95</v>
      </c>
      <c r="D2" s="239">
        <f>SUM(D4:D52)</f>
        <v>34617.910000000003</v>
      </c>
      <c r="E2" s="239">
        <f>SUM(E4:E84)</f>
        <v>-11695.349999999999</v>
      </c>
      <c r="F2" s="239">
        <f>SUM(F4:F81)</f>
        <v>102061.66</v>
      </c>
      <c r="G2" s="239">
        <f>SUM(G4:G81)</f>
        <v>-33894.33</v>
      </c>
      <c r="H2" s="239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1065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1045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935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928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929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1066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1067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1068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1036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1049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1069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1070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1056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1071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1072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1073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1074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233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1075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1076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1077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1078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1079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1080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1081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1082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1083</v>
      </c>
      <c r="C41" s="84"/>
      <c r="D41" s="291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1083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1084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1085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1086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1087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1042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852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2" t="s">
        <v>1088</v>
      </c>
      <c r="H54" s="54">
        <f t="shared" si="1"/>
        <v>61721.7</v>
      </c>
    </row>
    <row r="55" spans="1:8">
      <c r="B55" s="259" t="s">
        <v>1089</v>
      </c>
      <c r="C55" s="259"/>
      <c r="D55" s="262">
        <v>1000</v>
      </c>
      <c r="E55" s="259"/>
      <c r="F55" s="293">
        <v>1000</v>
      </c>
      <c r="H55" s="54">
        <f t="shared" si="1"/>
        <v>62721.7</v>
      </c>
    </row>
    <row r="56" spans="1:8">
      <c r="A56" s="89">
        <v>44802</v>
      </c>
      <c r="B56" s="294" t="s">
        <v>1090</v>
      </c>
      <c r="C56" s="294" t="s">
        <v>1091</v>
      </c>
      <c r="D56" s="295">
        <v>5000</v>
      </c>
      <c r="E56" s="294"/>
      <c r="F56" s="296">
        <v>5000</v>
      </c>
      <c r="H56" s="54">
        <f t="shared" si="1"/>
        <v>67721.7</v>
      </c>
    </row>
    <row r="57" spans="1:8">
      <c r="B57" s="259" t="s">
        <v>1092</v>
      </c>
      <c r="C57" s="259"/>
      <c r="D57" s="297"/>
      <c r="E57" s="259"/>
      <c r="F57" s="259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08" t="s">
        <v>1000</v>
      </c>
      <c r="C59" s="208"/>
      <c r="D59" s="287">
        <f>'07'!D55</f>
        <v>4000</v>
      </c>
      <c r="H59" s="54">
        <f t="shared" si="1"/>
        <v>68167.33</v>
      </c>
    </row>
    <row r="60" spans="1:8">
      <c r="B60" s="208" t="s">
        <v>999</v>
      </c>
      <c r="C60" s="208"/>
      <c r="D60" s="287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1093</v>
      </c>
      <c r="C2" s="79" t="s">
        <v>95</v>
      </c>
      <c r="D2" s="239">
        <f>SUM(D4:D90)</f>
        <v>27131.070000000003</v>
      </c>
      <c r="E2" s="239">
        <f>SUM(E4:E90)</f>
        <v>-17400.82</v>
      </c>
      <c r="F2" s="239">
        <f>SUM(F4:F87)</f>
        <v>16133.3</v>
      </c>
      <c r="G2" s="239">
        <f>SUM(G4:G87)</f>
        <v>-20600.82</v>
      </c>
      <c r="H2" s="239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1065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935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928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929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1094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1095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1096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1097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1098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1036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1049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1099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1100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824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1101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1102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1103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1104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1105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1106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828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1056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1107</v>
      </c>
      <c r="C35" s="84"/>
      <c r="D35" s="291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674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673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1108</v>
      </c>
      <c r="C41" t="s">
        <v>1091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1109</v>
      </c>
      <c r="C43" s="84"/>
      <c r="D43" s="291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1110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298">
        <v>44747</v>
      </c>
      <c r="B47" s="294" t="s">
        <v>1111</v>
      </c>
      <c r="C47" s="294"/>
      <c r="D47" s="295">
        <v>4000</v>
      </c>
      <c r="E47" s="294"/>
      <c r="F47" s="296">
        <v>4000</v>
      </c>
      <c r="G47" s="54"/>
      <c r="H47" s="54">
        <f t="shared" si="1"/>
        <v>-4467.5200000000004</v>
      </c>
    </row>
    <row r="48" spans="1:8">
      <c r="A48" s="89"/>
      <c r="B48" s="289" t="s">
        <v>1089</v>
      </c>
      <c r="C48" s="289"/>
      <c r="D48" s="299">
        <v>1000</v>
      </c>
      <c r="E48" s="289"/>
      <c r="F48" s="300"/>
      <c r="G48" s="301"/>
      <c r="H48" s="54">
        <f t="shared" si="1"/>
        <v>-4467.5200000000004</v>
      </c>
    </row>
    <row r="49" spans="1:8">
      <c r="B49" t="s">
        <v>1112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999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2"/>
      <c r="B54" s="302" t="s">
        <v>1113</v>
      </c>
      <c r="C54" s="302"/>
      <c r="D54" s="303">
        <v>445.63</v>
      </c>
      <c r="E54" s="304"/>
      <c r="F54" s="302"/>
      <c r="G54" s="304"/>
      <c r="H54" s="54">
        <f t="shared" si="1"/>
        <v>-4467.5200000000004</v>
      </c>
    </row>
    <row r="55" spans="1:8">
      <c r="B55" s="302" t="s">
        <v>1000</v>
      </c>
      <c r="C55" s="302"/>
      <c r="D55" s="290">
        <v>4000</v>
      </c>
      <c r="E55" s="289"/>
      <c r="F55" s="289"/>
      <c r="G55" s="289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1114</v>
      </c>
      <c r="C2" s="79" t="s">
        <v>95</v>
      </c>
      <c r="D2" s="239">
        <f>SUM(D4:D44)</f>
        <v>17837.05</v>
      </c>
      <c r="E2" s="239">
        <f>SUM(E4:E80)</f>
        <v>-28058.100000000002</v>
      </c>
      <c r="F2" s="239">
        <f>SUM(F4:F77)</f>
        <v>16654.189999999999</v>
      </c>
      <c r="G2" s="239">
        <f>SUM(G4:G77)</f>
        <v>-28058.1</v>
      </c>
      <c r="H2" s="239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2"/>
      <c r="B5" s="305" t="s">
        <v>1115</v>
      </c>
      <c r="C5" s="305"/>
      <c r="D5" s="305">
        <v>182.86</v>
      </c>
      <c r="E5" s="306"/>
      <c r="F5" s="306"/>
      <c r="G5" s="306"/>
      <c r="H5" s="54">
        <f t="shared" si="0"/>
        <v>0</v>
      </c>
    </row>
    <row r="6" spans="1:8">
      <c r="B6" t="s">
        <v>132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1065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7" t="s">
        <v>935</v>
      </c>
      <c r="C9" s="307"/>
      <c r="D9" s="307"/>
      <c r="E9" s="308">
        <v>-1317.2</v>
      </c>
      <c r="F9" s="308"/>
      <c r="G9" s="308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928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929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1116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1117</v>
      </c>
      <c r="C15" t="s">
        <v>1091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1118</v>
      </c>
      <c r="C16" t="s">
        <v>1119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1120</v>
      </c>
      <c r="E18" s="54"/>
      <c r="F18" s="54"/>
      <c r="G18" s="54"/>
      <c r="H18" s="54">
        <f t="shared" si="0"/>
        <v>-5596.51</v>
      </c>
    </row>
    <row r="19" spans="1:8">
      <c r="B19" t="s">
        <v>1121</v>
      </c>
      <c r="E19" s="54"/>
      <c r="F19" s="54"/>
      <c r="G19" s="54"/>
      <c r="H19" s="54">
        <f t="shared" si="0"/>
        <v>-5596.51</v>
      </c>
    </row>
    <row r="20" spans="1:8">
      <c r="B20" t="s">
        <v>1122</v>
      </c>
      <c r="E20" s="54"/>
      <c r="F20" s="54"/>
      <c r="G20" s="54"/>
      <c r="H20" s="54">
        <f t="shared" si="0"/>
        <v>-5596.51</v>
      </c>
    </row>
    <row r="21" spans="1:8">
      <c r="B21" t="s">
        <v>1123</v>
      </c>
      <c r="C21" t="s">
        <v>1091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1124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09" t="s">
        <v>1125</v>
      </c>
      <c r="C24" s="309"/>
      <c r="D24" s="309"/>
      <c r="E24" s="310">
        <v>-177.65</v>
      </c>
      <c r="F24" s="310"/>
      <c r="G24" s="310"/>
      <c r="H24" s="54">
        <f t="shared" si="0"/>
        <v>-18818.010000000002</v>
      </c>
    </row>
    <row r="25" spans="1:8">
      <c r="B25" s="84" t="s">
        <v>1104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1126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1127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1128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1129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655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7" t="s">
        <v>1056</v>
      </c>
      <c r="C31" s="307"/>
      <c r="D31" s="307"/>
      <c r="E31" s="311"/>
      <c r="F31" s="308"/>
      <c r="G31" s="308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1130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1036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1049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1131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1132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2"/>
      <c r="B43" s="302" t="s">
        <v>1133</v>
      </c>
      <c r="C43" s="302"/>
      <c r="D43" s="304">
        <v>5000</v>
      </c>
      <c r="E43" s="304"/>
      <c r="F43" s="304"/>
      <c r="G43" s="304"/>
      <c r="H43" s="54">
        <f t="shared" si="0"/>
        <v>-22001.54</v>
      </c>
    </row>
    <row r="44" spans="1:8">
      <c r="A44">
        <v>2022</v>
      </c>
      <c r="B44" t="s">
        <v>1134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298">
        <v>44732</v>
      </c>
      <c r="B46" s="294" t="s">
        <v>1135</v>
      </c>
      <c r="C46" s="294"/>
      <c r="D46" s="294"/>
      <c r="E46" s="294"/>
      <c r="F46" s="296">
        <v>4000</v>
      </c>
      <c r="G46" s="294"/>
      <c r="H46" s="54">
        <f t="shared" si="0"/>
        <v>-11403.91</v>
      </c>
    </row>
    <row r="47" spans="1:8">
      <c r="A47" s="302"/>
      <c r="B47" s="302" t="s">
        <v>1000</v>
      </c>
      <c r="C47" s="302"/>
      <c r="D47" s="312">
        <v>4000</v>
      </c>
      <c r="E47" s="302"/>
      <c r="F47" s="302"/>
      <c r="G47" s="302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1136</v>
      </c>
      <c r="B1" s="32">
        <v>2.98</v>
      </c>
      <c r="F1" s="119" t="s">
        <v>21</v>
      </c>
      <c r="G1" s="119" t="s">
        <v>22</v>
      </c>
      <c r="H1" s="119" t="s">
        <v>4</v>
      </c>
    </row>
    <row r="2" spans="1:8">
      <c r="A2" s="3" t="s">
        <v>1137</v>
      </c>
      <c r="C2" s="79" t="s">
        <v>95</v>
      </c>
      <c r="D2" s="239">
        <f>SUM(D4:D32)</f>
        <v>11328.34</v>
      </c>
      <c r="E2" s="239">
        <f>SUM(E4:E68)</f>
        <v>-7712.66</v>
      </c>
      <c r="F2" s="239">
        <f>SUM(F4:F65)</f>
        <v>9522.369999999999</v>
      </c>
      <c r="G2" s="239">
        <f>SUM(G4:G65)</f>
        <v>-7722.66</v>
      </c>
      <c r="H2" s="239">
        <f>F2+G2</f>
        <v>1799.7099999999991</v>
      </c>
    </row>
    <row r="3" spans="1:8">
      <c r="B3" s="61"/>
      <c r="E3" s="119"/>
      <c r="F3" s="119"/>
      <c r="G3" s="119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1115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1138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1045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935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928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929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1036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1049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09" t="s">
        <v>375</v>
      </c>
      <c r="C17" s="309"/>
      <c r="D17" s="309"/>
      <c r="E17" s="310">
        <v>-100</v>
      </c>
      <c r="F17" s="310"/>
      <c r="G17" s="310"/>
      <c r="H17" s="54">
        <f t="shared" si="0"/>
        <v>-452.68999999999994</v>
      </c>
    </row>
    <row r="18" spans="1:8">
      <c r="B18" s="84" t="s">
        <v>1139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1139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375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950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1140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1141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7" t="s">
        <v>1056</v>
      </c>
      <c r="C24" s="307"/>
      <c r="D24" s="307"/>
      <c r="E24" s="311"/>
      <c r="F24" s="308"/>
      <c r="G24" s="308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1142</v>
      </c>
      <c r="C32" s="313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4"/>
      <c r="B34" s="302" t="s">
        <v>1135</v>
      </c>
      <c r="C34" s="302"/>
      <c r="D34" s="315">
        <v>4000</v>
      </c>
      <c r="E34" s="302"/>
      <c r="F34" s="304"/>
      <c r="G34" s="304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1143</v>
      </c>
      <c r="C2" s="79" t="s">
        <v>95</v>
      </c>
      <c r="D2" s="239">
        <f>SUM(D5:D66)</f>
        <v>15937.59</v>
      </c>
      <c r="E2" s="239">
        <f>SUM(E5:E66)</f>
        <v>-11790.68</v>
      </c>
      <c r="F2" s="239">
        <f>SUM(F5:F66)</f>
        <v>17940.28</v>
      </c>
      <c r="G2" s="239">
        <f>SUM(G5:G66)</f>
        <v>-11140.68</v>
      </c>
      <c r="H2" s="239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1115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1065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935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928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929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1036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1049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09" t="s">
        <v>1144</v>
      </c>
      <c r="C16" s="309"/>
      <c r="D16" s="309"/>
      <c r="E16" s="310">
        <v>-169</v>
      </c>
      <c r="F16" s="316"/>
      <c r="G16" s="310"/>
      <c r="H16" s="54">
        <f t="shared" si="0"/>
        <v>-313.91999999999973</v>
      </c>
    </row>
    <row r="17" spans="1:8">
      <c r="A17" s="89"/>
      <c r="B17" s="84" t="s">
        <v>1145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1146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1147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1148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1149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7" t="s">
        <v>1056</v>
      </c>
      <c r="C22" s="307"/>
      <c r="D22" s="307"/>
      <c r="E22" s="311"/>
      <c r="F22" s="311"/>
      <c r="G22" s="308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1150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1151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1152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4" t="s">
        <v>1153</v>
      </c>
      <c r="C32" s="313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1154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1155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1156</v>
      </c>
      <c r="C2" s="79" t="s">
        <v>95</v>
      </c>
      <c r="D2" s="239">
        <f>SUM(D5:D61)</f>
        <v>36859.61</v>
      </c>
      <c r="E2" s="239">
        <f>SUM(E5:E61)</f>
        <v>-30109.3</v>
      </c>
      <c r="F2" s="239">
        <f>SUM(F5:F61)</f>
        <v>35859.61</v>
      </c>
      <c r="G2" s="239">
        <f>SUM(G5:G61)</f>
        <v>-30109.3</v>
      </c>
      <c r="H2" s="239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1115</v>
      </c>
      <c r="C5" t="s">
        <v>1157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132</v>
      </c>
      <c r="C6" t="s">
        <v>1157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1065</v>
      </c>
      <c r="C7" t="s">
        <v>1157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136</v>
      </c>
      <c r="C8" t="s">
        <v>1157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935</v>
      </c>
      <c r="C9" s="84" t="s">
        <v>1158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928</v>
      </c>
      <c r="C10" s="80" t="s">
        <v>1158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929</v>
      </c>
      <c r="C11" s="80" t="s">
        <v>1158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1036</v>
      </c>
      <c r="C13" s="84" t="s">
        <v>1158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1049</v>
      </c>
      <c r="C14" s="84" t="s">
        <v>1158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1159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1160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1161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7" t="s">
        <v>1056</v>
      </c>
      <c r="C19" s="317" t="s">
        <v>1158</v>
      </c>
      <c r="D19" s="317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73</v>
      </c>
      <c r="C21" t="s">
        <v>1158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74</v>
      </c>
      <c r="C22" t="s">
        <v>1158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1162</v>
      </c>
      <c r="C23" t="s">
        <v>1158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124</v>
      </c>
      <c r="C26" t="s">
        <v>1158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1163</v>
      </c>
      <c r="C28" s="54" t="s">
        <v>1157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1164</v>
      </c>
      <c r="C30" s="54" t="s">
        <v>1157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1165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1166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1167</v>
      </c>
      <c r="C2" s="79" t="s">
        <v>95</v>
      </c>
      <c r="D2" s="239">
        <f>SUM(D5:D63)</f>
        <v>10567.09</v>
      </c>
      <c r="E2" s="239">
        <f>SUM(E5:E63)</f>
        <v>-21938.15</v>
      </c>
      <c r="F2" s="239">
        <f>SUM(F5:F63)</f>
        <v>11567.09</v>
      </c>
      <c r="G2" s="239">
        <f>SUM(G5:G63)</f>
        <v>-21938.15</v>
      </c>
      <c r="H2" s="239">
        <f>F2+G2</f>
        <v>-10371.060000000001</v>
      </c>
    </row>
    <row r="3" spans="1:8">
      <c r="A3" s="89"/>
      <c r="B3" s="61"/>
      <c r="E3" s="54"/>
      <c r="F3" s="76"/>
      <c r="G3" s="76"/>
      <c r="H3" s="119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1115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1065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935</v>
      </c>
      <c r="C9" s="84" t="s">
        <v>1158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928</v>
      </c>
      <c r="C10" s="80" t="s">
        <v>1158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929</v>
      </c>
      <c r="C11" s="80" t="s">
        <v>1158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1036</v>
      </c>
      <c r="C13" s="84" t="s">
        <v>1158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1049</v>
      </c>
      <c r="C14" s="84" t="s">
        <v>1158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7" t="s">
        <v>1056</v>
      </c>
      <c r="C16" s="317" t="s">
        <v>1158</v>
      </c>
      <c r="D16" s="317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1159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1168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1169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73</v>
      </c>
      <c r="C21" t="s">
        <v>1091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1170</v>
      </c>
      <c r="C22" t="s">
        <v>1171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74</v>
      </c>
      <c r="C23" t="s">
        <v>1091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1172</v>
      </c>
      <c r="C24" t="s">
        <v>1091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1173</v>
      </c>
      <c r="C28" s="22" t="s">
        <v>1158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1173</v>
      </c>
      <c r="C29" s="22" t="s">
        <v>1158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1174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9"/>
      <c r="F1" s="119" t="s">
        <v>21</v>
      </c>
      <c r="G1" s="119" t="s">
        <v>22</v>
      </c>
      <c r="H1" s="119" t="s">
        <v>4</v>
      </c>
    </row>
    <row r="2" spans="1:8">
      <c r="A2" s="176" t="s">
        <v>1175</v>
      </c>
      <c r="C2" s="79" t="s">
        <v>95</v>
      </c>
      <c r="D2" s="239">
        <f>SUM(D3:D57)</f>
        <v>7333.3</v>
      </c>
      <c r="E2" s="239">
        <f>SUM(E3:E57)</f>
        <v>-6834.05</v>
      </c>
      <c r="F2" s="239">
        <f>SUM(F3:F57)</f>
        <v>46462.64</v>
      </c>
      <c r="G2" s="239">
        <f>SUM(G3:G57)</f>
        <v>-6834.05</v>
      </c>
      <c r="H2" s="239">
        <f>F2+G2</f>
        <v>39628.589999999997</v>
      </c>
    </row>
    <row r="3" spans="1:8">
      <c r="A3" s="89"/>
      <c r="B3" s="61" t="s">
        <v>1176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1115</v>
      </c>
      <c r="C5" t="s">
        <v>1157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132</v>
      </c>
      <c r="C6" t="s">
        <v>1157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1065</v>
      </c>
      <c r="C7" t="s">
        <v>1157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136</v>
      </c>
      <c r="C8" t="s">
        <v>1157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935</v>
      </c>
      <c r="C9" s="84" t="s">
        <v>1158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928</v>
      </c>
      <c r="C10" s="80" t="s">
        <v>1158</v>
      </c>
      <c r="D10" s="80"/>
      <c r="E10" s="119">
        <v>-130.30000000000001</v>
      </c>
      <c r="F10" s="119"/>
      <c r="G10" s="119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929</v>
      </c>
      <c r="C11" s="80" t="s">
        <v>1158</v>
      </c>
      <c r="D11" s="80"/>
      <c r="E11" s="119">
        <v>-255.4</v>
      </c>
      <c r="F11" s="119"/>
      <c r="G11" s="119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1036</v>
      </c>
      <c r="C13" s="84" t="s">
        <v>1158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1049</v>
      </c>
      <c r="C14" s="84" t="s">
        <v>1158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1159</v>
      </c>
      <c r="C16" s="84"/>
      <c r="D16" s="84"/>
      <c r="E16" s="119">
        <v>-50</v>
      </c>
      <c r="F16" s="119"/>
      <c r="G16" s="119"/>
      <c r="H16" s="54">
        <f t="shared" si="0"/>
        <v>39160.219999999987</v>
      </c>
    </row>
    <row r="17" spans="1:8">
      <c r="A17" s="89">
        <v>44565</v>
      </c>
      <c r="B17" s="317" t="s">
        <v>1056</v>
      </c>
      <c r="C17" s="317" t="s">
        <v>1158</v>
      </c>
      <c r="D17" s="317"/>
      <c r="E17" s="119"/>
      <c r="F17" s="119"/>
      <c r="G17" s="119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9"/>
      <c r="F18" s="119"/>
      <c r="G18" s="119"/>
      <c r="H18" s="54">
        <f t="shared" si="0"/>
        <v>39110.219999999987</v>
      </c>
    </row>
    <row r="19" spans="1:8">
      <c r="A19" s="89">
        <v>44588</v>
      </c>
      <c r="B19" t="s">
        <v>73</v>
      </c>
      <c r="C19" t="s">
        <v>1091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74</v>
      </c>
      <c r="C20" t="s">
        <v>1091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9"/>
      <c r="F22" s="119"/>
      <c r="G22" s="119"/>
      <c r="H22" s="54">
        <f t="shared" si="0"/>
        <v>34608.219999999987</v>
      </c>
    </row>
    <row r="23" spans="1:8">
      <c r="A23" s="89">
        <v>44588</v>
      </c>
      <c r="B23" t="s">
        <v>124</v>
      </c>
      <c r="C23" t="s">
        <v>1158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1177</v>
      </c>
      <c r="C25" t="s">
        <v>1157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9"/>
      <c r="F32" s="119"/>
      <c r="G32" s="119"/>
      <c r="H32" s="119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1178</v>
      </c>
    </row>
    <row r="3" spans="1:14">
      <c r="A3" t="s">
        <v>1179</v>
      </c>
      <c r="C3" t="s">
        <v>1180</v>
      </c>
      <c r="D3" t="s">
        <v>1181</v>
      </c>
    </row>
    <row r="4" spans="1:14">
      <c r="A4" t="s">
        <v>1182</v>
      </c>
      <c r="C4" t="s">
        <v>1183</v>
      </c>
      <c r="D4" t="s">
        <v>1184</v>
      </c>
    </row>
    <row r="5" spans="1:14">
      <c r="A5" t="s">
        <v>1185</v>
      </c>
      <c r="C5" t="s">
        <v>1183</v>
      </c>
      <c r="D5" t="s">
        <v>1186</v>
      </c>
    </row>
    <row r="10" spans="1:14" ht="15.75">
      <c r="A10" s="9"/>
      <c r="B10" s="10"/>
      <c r="C10" s="11" t="s">
        <v>16</v>
      </c>
      <c r="D10" s="12"/>
      <c r="E10" s="13"/>
      <c r="F10" s="11" t="s">
        <v>17</v>
      </c>
      <c r="G10" s="12"/>
      <c r="H10" s="14"/>
      <c r="I10" s="15"/>
      <c r="J10" s="16"/>
      <c r="K10" s="268">
        <v>0.23471</v>
      </c>
      <c r="L10" s="268">
        <v>0.76529000000000003</v>
      </c>
      <c r="M10" s="269"/>
      <c r="N10" s="16" t="s">
        <v>19</v>
      </c>
    </row>
    <row r="11" spans="1:14" ht="15.75">
      <c r="A11" s="9">
        <v>-2022</v>
      </c>
      <c r="B11" s="13" t="s">
        <v>21</v>
      </c>
      <c r="C11" s="18" t="s">
        <v>22</v>
      </c>
      <c r="D11" s="12" t="s">
        <v>23</v>
      </c>
      <c r="E11" s="13" t="s">
        <v>21</v>
      </c>
      <c r="F11" s="18" t="s">
        <v>22</v>
      </c>
      <c r="G11" s="12" t="s">
        <v>4</v>
      </c>
      <c r="H11" s="14"/>
      <c r="I11" s="15"/>
      <c r="J11" s="16" t="s">
        <v>24</v>
      </c>
      <c r="K11" s="269" t="s">
        <v>393</v>
      </c>
      <c r="L11" s="269" t="s">
        <v>394</v>
      </c>
      <c r="M11" s="269" t="s">
        <v>25</v>
      </c>
      <c r="N11" s="16" t="s">
        <v>922</v>
      </c>
    </row>
    <row r="12" spans="1:14">
      <c r="A12" s="22" t="s">
        <v>26</v>
      </c>
      <c r="B12" s="144">
        <v>7333.3</v>
      </c>
      <c r="C12" s="145">
        <v>-6834.05</v>
      </c>
      <c r="D12" s="146">
        <v>499.25</v>
      </c>
      <c r="E12" s="144">
        <v>46462.64</v>
      </c>
      <c r="F12" s="145">
        <v>-6834.05</v>
      </c>
      <c r="G12" s="147">
        <v>39628.589999999997</v>
      </c>
      <c r="H12" s="25"/>
      <c r="I12" s="26" t="s">
        <v>27</v>
      </c>
      <c r="J12" s="22">
        <v>36</v>
      </c>
      <c r="K12" s="2"/>
      <c r="M12" s="2">
        <v>36</v>
      </c>
    </row>
    <row r="13" spans="1:14">
      <c r="A13" s="22" t="s">
        <v>28</v>
      </c>
      <c r="B13" s="144">
        <v>10567.09</v>
      </c>
      <c r="C13" s="145">
        <v>-21938.15</v>
      </c>
      <c r="D13" s="146">
        <v>-10871.81</v>
      </c>
      <c r="E13" s="144">
        <v>11567.09</v>
      </c>
      <c r="F13" s="145">
        <v>-21938.15</v>
      </c>
      <c r="G13" s="147">
        <v>29257.53</v>
      </c>
      <c r="H13" s="25"/>
      <c r="I13" s="26" t="s">
        <v>31</v>
      </c>
      <c r="J13" s="22">
        <v>19.8</v>
      </c>
      <c r="K13" s="2"/>
      <c r="M13" s="2">
        <v>19.8</v>
      </c>
    </row>
    <row r="14" spans="1:14">
      <c r="A14" s="22" t="s">
        <v>30</v>
      </c>
      <c r="B14" s="144">
        <v>36859.61</v>
      </c>
      <c r="C14" s="145">
        <v>-30109.3</v>
      </c>
      <c r="D14" s="146">
        <v>-4121.5</v>
      </c>
      <c r="E14" s="144">
        <v>35859.61</v>
      </c>
      <c r="F14" s="145">
        <v>-30109.3</v>
      </c>
      <c r="G14" s="147">
        <v>35007.839999999997</v>
      </c>
      <c r="H14" s="25"/>
      <c r="I14" s="26" t="s">
        <v>124</v>
      </c>
      <c r="N14" s="2">
        <v>46.1</v>
      </c>
    </row>
    <row r="15" spans="1:14">
      <c r="A15" s="22" t="s">
        <v>32</v>
      </c>
      <c r="B15" s="144">
        <v>15937.59</v>
      </c>
      <c r="C15" s="145">
        <v>-11790.68</v>
      </c>
      <c r="D15" s="146">
        <v>25.4100000000035</v>
      </c>
      <c r="E15" s="144">
        <v>17940.28</v>
      </c>
      <c r="F15" s="145">
        <v>-11140.68</v>
      </c>
      <c r="G15" s="147">
        <v>41807.440000000002</v>
      </c>
      <c r="H15" s="25"/>
      <c r="I15" s="26" t="s">
        <v>41</v>
      </c>
      <c r="J15" s="22">
        <v>60</v>
      </c>
      <c r="K15" s="2"/>
      <c r="M15" s="2">
        <v>6.5</v>
      </c>
    </row>
    <row r="16" spans="1:14">
      <c r="A16" s="22" t="s">
        <v>34</v>
      </c>
      <c r="B16" s="144">
        <v>11328.34</v>
      </c>
      <c r="C16" s="145">
        <v>-7712.66</v>
      </c>
      <c r="D16" s="146">
        <v>3641.09</v>
      </c>
      <c r="E16" s="144">
        <v>9522.3700000000008</v>
      </c>
      <c r="F16" s="145">
        <v>-7722.66</v>
      </c>
      <c r="G16" s="147">
        <v>43607.15</v>
      </c>
      <c r="H16" s="25"/>
      <c r="I16" s="26" t="s">
        <v>923</v>
      </c>
      <c r="J16" s="22">
        <v>95</v>
      </c>
      <c r="K16" s="2"/>
      <c r="M16" s="2">
        <v>23.75</v>
      </c>
    </row>
    <row r="17" spans="1:14">
      <c r="A17" s="22" t="s">
        <v>924</v>
      </c>
      <c r="B17" s="144">
        <v>17837.05</v>
      </c>
      <c r="C17" s="145">
        <v>-28058.1</v>
      </c>
      <c r="D17" s="146">
        <v>-6579.96</v>
      </c>
      <c r="E17" s="144">
        <v>16654.189999999999</v>
      </c>
      <c r="F17" s="145">
        <v>-28058.1</v>
      </c>
      <c r="G17" s="147">
        <v>32203.24</v>
      </c>
      <c r="H17" s="25"/>
    </row>
    <row r="18" spans="1:14">
      <c r="A18" s="22" t="s">
        <v>925</v>
      </c>
      <c r="B18" s="144">
        <v>27131.07</v>
      </c>
      <c r="C18" s="145">
        <v>-17400.82</v>
      </c>
      <c r="D18" s="146">
        <v>3150.29</v>
      </c>
      <c r="E18" s="144">
        <v>16133.3</v>
      </c>
      <c r="F18" s="145">
        <v>-20600.82</v>
      </c>
      <c r="G18" s="147">
        <v>27735.72</v>
      </c>
      <c r="H18" s="25"/>
      <c r="I18" s="26" t="s">
        <v>45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926</v>
      </c>
      <c r="B19" s="144">
        <v>34617.910000000003</v>
      </c>
      <c r="C19" s="145">
        <v>-11695.35</v>
      </c>
      <c r="D19" s="146">
        <v>26072.85</v>
      </c>
      <c r="E19" s="144">
        <v>102061.66</v>
      </c>
      <c r="F19" s="145">
        <v>-33894.33</v>
      </c>
      <c r="G19" s="147">
        <v>95903.05</v>
      </c>
      <c r="H19" s="25"/>
      <c r="I19" s="26" t="s">
        <v>49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42</v>
      </c>
      <c r="B20" s="144">
        <v>66162.31</v>
      </c>
      <c r="C20" s="145">
        <v>-61978.720000000001</v>
      </c>
      <c r="D20" s="146">
        <v>30256.44</v>
      </c>
      <c r="E20" s="144">
        <v>9260.5</v>
      </c>
      <c r="F20" s="145">
        <v>-25729.24</v>
      </c>
      <c r="G20" s="147">
        <v>79434.31</v>
      </c>
      <c r="H20" s="25"/>
      <c r="I20" s="26" t="s">
        <v>47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44</v>
      </c>
      <c r="B21" s="144">
        <v>23872.2</v>
      </c>
      <c r="C21" s="145">
        <v>-34541.120000000003</v>
      </c>
      <c r="D21" s="146">
        <v>19587.52</v>
      </c>
      <c r="E21" s="144">
        <v>79418.41</v>
      </c>
      <c r="F21" s="145">
        <v>-90424.320000000007</v>
      </c>
      <c r="G21" s="147">
        <v>68428.399999999994</v>
      </c>
      <c r="H21" s="25"/>
      <c r="I21" s="26" t="s">
        <v>39</v>
      </c>
      <c r="J21" s="22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s="22" t="s">
        <v>46</v>
      </c>
      <c r="B22" s="144">
        <v>179191.62</v>
      </c>
      <c r="C22" s="145">
        <v>-14175.82</v>
      </c>
      <c r="D22" s="146">
        <v>184603.32</v>
      </c>
      <c r="E22" s="144">
        <v>178439.6</v>
      </c>
      <c r="F22" s="145">
        <v>-18452.8</v>
      </c>
      <c r="G22" s="147">
        <v>228415.2</v>
      </c>
      <c r="H22" s="25"/>
      <c r="I22" s="26" t="s">
        <v>29</v>
      </c>
      <c r="J22" s="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s="22" t="s">
        <v>48</v>
      </c>
      <c r="B23" s="144">
        <v>15475.96</v>
      </c>
      <c r="C23" s="145">
        <v>-16961.34</v>
      </c>
      <c r="D23" s="146">
        <v>183117.94</v>
      </c>
      <c r="E23" s="144">
        <v>22052.39</v>
      </c>
      <c r="F23" s="145">
        <v>-21692.25</v>
      </c>
      <c r="G23" s="147">
        <v>228775.34</v>
      </c>
      <c r="H23" s="25"/>
      <c r="I23" s="26" t="s">
        <v>43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95</v>
      </c>
      <c r="B24" s="150">
        <v>446314.05</v>
      </c>
      <c r="C24" s="151">
        <v>-263196.11</v>
      </c>
      <c r="D24" s="272">
        <v>183117.94</v>
      </c>
      <c r="E24" s="150">
        <v>545372.04</v>
      </c>
      <c r="F24" s="151">
        <v>-316596.7</v>
      </c>
      <c r="G24" s="272">
        <v>228775.34</v>
      </c>
      <c r="H24" s="25"/>
      <c r="I24" s="153"/>
      <c r="J24" s="153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47"/>
      <c r="I25" s="155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2023-12-11T05:55:06Z</cp:lastPrinted>
  <dcterms:created xsi:type="dcterms:W3CDTF">2022-03-04T11:30:59Z</dcterms:created>
  <dcterms:modified xsi:type="dcterms:W3CDTF">2024-04-20T06:54:41Z</dcterms:modified>
  <dc:language>tr-TR</dc:language>
</cp:coreProperties>
</file>