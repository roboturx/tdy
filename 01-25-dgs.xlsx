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97BA3D3-2047-48AD-BF4E-90B668395E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-Dgs Adem Son (2)" sheetId="10" r:id="rId1"/>
    <sheet name="2025-Dgs" sheetId="9" r:id="rId2"/>
    <sheet name="01-DgsOLD" sheetId="1" r:id="rId3"/>
    <sheet name="DGS_31-05-24" sheetId="2" r:id="rId4"/>
    <sheet name="2024" sheetId="3" r:id="rId5"/>
    <sheet name="02--_Tzgmrg" sheetId="4" r:id="rId6"/>
    <sheet name="01-03-HAKAN" sheetId="5" r:id="rId7"/>
    <sheet name="01-01-DGS" sheetId="6" r:id="rId8"/>
    <sheet name="01-02-DGS" sheetId="7" r:id="rId9"/>
    <sheet name="1203-YZD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" i="10" l="1"/>
  <c r="H24" i="10"/>
  <c r="H25" i="10" s="1"/>
  <c r="H26" i="10" s="1"/>
  <c r="H27" i="10" s="1"/>
  <c r="H28" i="10" s="1"/>
  <c r="H4" i="10"/>
  <c r="H5" i="10" s="1"/>
  <c r="H6" i="10" s="1"/>
  <c r="H7" i="10" s="1"/>
  <c r="H8" i="10" s="1"/>
  <c r="H9" i="10" s="1"/>
  <c r="F16" i="10"/>
  <c r="E16" i="10"/>
  <c r="E14" i="10"/>
  <c r="F14" i="10" s="1"/>
  <c r="E12" i="10"/>
  <c r="F12" i="10" s="1"/>
  <c r="E10" i="10"/>
  <c r="F10" i="10" s="1"/>
  <c r="E6" i="10"/>
  <c r="F6" i="10"/>
  <c r="E5" i="10"/>
  <c r="F5" i="10"/>
  <c r="E8" i="10"/>
  <c r="F8" i="10" s="1"/>
  <c r="H3" i="10"/>
  <c r="G148" i="9"/>
  <c r="H147" i="9"/>
  <c r="E187" i="9"/>
  <c r="C185" i="9"/>
  <c r="C175" i="9"/>
  <c r="C174" i="9"/>
  <c r="C173" i="9"/>
  <c r="C171" i="9"/>
  <c r="C172" i="9"/>
  <c r="C170" i="9"/>
  <c r="C169" i="9"/>
  <c r="C168" i="9"/>
  <c r="C167" i="9"/>
  <c r="E170" i="9"/>
  <c r="E169" i="9"/>
  <c r="E168" i="9"/>
  <c r="E167" i="9"/>
  <c r="E184" i="9" s="1"/>
  <c r="E132" i="9"/>
  <c r="E124" i="9"/>
  <c r="E175" i="9" s="1"/>
  <c r="E102" i="9"/>
  <c r="E174" i="9" s="1"/>
  <c r="E94" i="9"/>
  <c r="E173" i="9" s="1"/>
  <c r="E71" i="9"/>
  <c r="E172" i="9" s="1"/>
  <c r="E64" i="9"/>
  <c r="E171" i="9" s="1"/>
  <c r="E38" i="9"/>
  <c r="E31" i="9"/>
  <c r="E10" i="9"/>
  <c r="D153" i="5"/>
  <c r="F141" i="9"/>
  <c r="H141" i="9" s="1"/>
  <c r="O22" i="3"/>
  <c r="O17" i="3"/>
  <c r="N18" i="3" s="1"/>
  <c r="O18" i="3" s="1"/>
  <c r="O16" i="3"/>
  <c r="N17" i="3" s="1"/>
  <c r="N16" i="3"/>
  <c r="H62" i="9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G119" i="9"/>
  <c r="G113" i="9" s="1"/>
  <c r="H111" i="9" s="1"/>
  <c r="G23" i="9"/>
  <c r="H142" i="9"/>
  <c r="G6" i="9"/>
  <c r="G22" i="9"/>
  <c r="G57" i="9"/>
  <c r="H55" i="9" s="1"/>
  <c r="G90" i="9"/>
  <c r="G89" i="9"/>
  <c r="G88" i="9"/>
  <c r="H87" i="9"/>
  <c r="H56" i="9"/>
  <c r="H27" i="9"/>
  <c r="H28" i="9" s="1"/>
  <c r="H29" i="9" s="1"/>
  <c r="H30" i="9" s="1"/>
  <c r="H31" i="9" s="1"/>
  <c r="H32" i="9" s="1"/>
  <c r="H33" i="9" s="1"/>
  <c r="H34" i="9" s="1"/>
  <c r="H35" i="9" s="1"/>
  <c r="H36" i="9" s="1"/>
  <c r="H38" i="9" s="1"/>
  <c r="H39" i="9" s="1"/>
  <c r="H40" i="9" s="1"/>
  <c r="H41" i="9" s="1"/>
  <c r="H42" i="9" s="1"/>
  <c r="H43" i="9" s="1"/>
  <c r="H44" i="9" s="1"/>
  <c r="H45" i="9" s="1"/>
  <c r="H46" i="9" s="1"/>
  <c r="H47" i="9" s="1"/>
  <c r="H21" i="9"/>
  <c r="H20" i="9"/>
  <c r="H5" i="9"/>
  <c r="H10" i="10" l="1"/>
  <c r="H11" i="10" s="1"/>
  <c r="H12" i="10" s="1"/>
  <c r="H13" i="10" s="1"/>
  <c r="H14" i="10" s="1"/>
  <c r="H15" i="10" s="1"/>
  <c r="H16" i="10" s="1"/>
  <c r="H17" i="10" s="1"/>
  <c r="H18" i="10" s="1"/>
  <c r="H19" i="10" s="1"/>
  <c r="H20" i="10"/>
  <c r="H21" i="10" s="1"/>
  <c r="H22" i="10" s="1"/>
  <c r="H29" i="10" s="1"/>
  <c r="H30" i="10" s="1"/>
  <c r="H31" i="10" s="1"/>
  <c r="H148" i="9"/>
  <c r="H149" i="9" s="1"/>
  <c r="H150" i="9" s="1"/>
  <c r="H151" i="9" s="1"/>
  <c r="H152" i="9" s="1"/>
  <c r="E178" i="9"/>
  <c r="E179" i="9" s="1"/>
  <c r="E183" i="9" s="1"/>
  <c r="E185" i="9"/>
  <c r="N19" i="3"/>
  <c r="O19" i="3" s="1"/>
  <c r="H63" i="9"/>
  <c r="H64" i="9" s="1"/>
  <c r="H65" i="9" s="1"/>
  <c r="H66" i="9" s="1"/>
  <c r="H67" i="9" s="1"/>
  <c r="H68" i="9" s="1"/>
  <c r="H69" i="9" s="1"/>
  <c r="H71" i="9" s="1"/>
  <c r="H72" i="9" s="1"/>
  <c r="H73" i="9" s="1"/>
  <c r="H74" i="9" s="1"/>
  <c r="H75" i="9" s="1"/>
  <c r="H76" i="9" s="1"/>
  <c r="H77" i="9" s="1"/>
  <c r="H78" i="9" s="1"/>
  <c r="H112" i="9"/>
  <c r="H81" i="9"/>
  <c r="G82" i="9"/>
  <c r="H80" i="9" s="1"/>
  <c r="G24" i="9"/>
  <c r="G58" i="9" s="1"/>
  <c r="H4" i="9"/>
  <c r="H88" i="9"/>
  <c r="H89" i="9" s="1"/>
  <c r="H90" i="9" s="1"/>
  <c r="H91" i="9" s="1"/>
  <c r="H92" i="9" s="1"/>
  <c r="H93" i="9" l="1"/>
  <c r="H94" i="9" s="1"/>
  <c r="H95" i="9" s="1"/>
  <c r="H96" i="9" s="1"/>
  <c r="H97" i="9" s="1"/>
  <c r="H98" i="9" s="1"/>
  <c r="H99" i="9" s="1"/>
  <c r="H100" i="9" s="1"/>
  <c r="H102" i="9" s="1"/>
  <c r="H103" i="9" s="1"/>
  <c r="H104" i="9" s="1"/>
  <c r="H105" i="9" s="1"/>
  <c r="H106" i="9" s="1"/>
  <c r="H107" i="9" s="1"/>
  <c r="H108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3" i="9" s="1"/>
  <c r="H134" i="9" s="1"/>
  <c r="H135" i="9" s="1"/>
  <c r="H136" i="9" s="1"/>
  <c r="H137" i="9" s="1"/>
  <c r="H138" i="9" s="1"/>
  <c r="H139" i="9" s="1"/>
  <c r="H140" i="9" s="1"/>
  <c r="G25" i="9"/>
  <c r="G59" i="9"/>
  <c r="G60" i="9" s="1"/>
  <c r="G83" i="9" l="1"/>
  <c r="G84" i="9" s="1"/>
  <c r="G114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80" i="5"/>
  <c r="F180" i="5" s="1"/>
  <c r="C179" i="5"/>
  <c r="B179" i="5"/>
  <c r="F179" i="5" s="1"/>
  <c r="C177" i="5"/>
  <c r="B177" i="5"/>
  <c r="F177" i="5" s="1"/>
  <c r="C176" i="5"/>
  <c r="B176" i="5"/>
  <c r="F176" i="5" s="1"/>
  <c r="C174" i="5"/>
  <c r="B174" i="5"/>
  <c r="D174" i="5" s="1"/>
  <c r="E153" i="5"/>
  <c r="E134" i="5"/>
  <c r="C178" i="5" s="1"/>
  <c r="D134" i="5"/>
  <c r="B178" i="5" s="1"/>
  <c r="F178" i="5" s="1"/>
  <c r="E123" i="5"/>
  <c r="D123" i="5"/>
  <c r="E68" i="5"/>
  <c r="D68" i="5"/>
  <c r="E26" i="5"/>
  <c r="C175" i="5" s="1"/>
  <c r="D26" i="5"/>
  <c r="B175" i="5" s="1"/>
  <c r="F4" i="5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67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2" i="5" s="1"/>
  <c r="F126" i="5" s="1"/>
  <c r="F127" i="5" s="1"/>
  <c r="F128" i="5" s="1"/>
  <c r="F129" i="5" s="1"/>
  <c r="F130" i="5" s="1"/>
  <c r="F131" i="5" s="1"/>
  <c r="F132" i="5" s="1"/>
  <c r="F133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2" i="5" s="1"/>
  <c r="F154" i="5" s="1"/>
  <c r="F155" i="5" s="1"/>
  <c r="F160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5" i="5"/>
  <c r="O5" i="3"/>
  <c r="J4" i="3"/>
  <c r="E111" i="1"/>
  <c r="G27" i="4"/>
  <c r="G29" i="4" s="1"/>
  <c r="G31" i="4" s="1"/>
  <c r="F174" i="5"/>
  <c r="G115" i="9"/>
  <c r="G116" i="9" s="1"/>
  <c r="G85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9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5" i="5"/>
  <c r="D176" i="5" s="1"/>
  <c r="D177" i="5" s="1"/>
  <c r="D178" i="5" s="1"/>
  <c r="D179" i="5" s="1"/>
  <c r="D180" i="5" s="1"/>
  <c r="F17" i="6" s="1"/>
  <c r="C31" i="6" s="1"/>
  <c r="K8" i="3"/>
  <c r="R4" i="3"/>
  <c r="I8" i="1"/>
  <c r="R7" i="3"/>
  <c r="E40" i="1"/>
  <c r="E41" i="1" s="1"/>
  <c r="D30" i="6"/>
  <c r="E9" i="1"/>
  <c r="C10" i="1" s="1"/>
  <c r="F10" i="1" s="1"/>
  <c r="I10" i="1" s="1"/>
  <c r="C42" i="1"/>
  <c r="J6" i="3"/>
  <c r="I7" i="1"/>
  <c r="K6" i="3"/>
  <c r="D31" i="6" l="1"/>
  <c r="D32" i="6" s="1"/>
  <c r="H143" i="9"/>
  <c r="H144" i="9" s="1"/>
  <c r="F182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</calcChain>
</file>

<file path=xl/sharedStrings.xml><?xml version="1.0" encoding="utf-8"?>
<sst xmlns="http://schemas.openxmlformats.org/spreadsheetml/2006/main" count="803" uniqueCount="505">
  <si>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</si>
  <si>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</si>
  <si>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</si>
  <si>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</si>
  <si>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</si>
  <si>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</si>
  <si>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</si>
  <si>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</si>
  <si>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</si>
  <si>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</si>
  <si>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</si>
  <si>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</si>
  <si>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</si>
  <si>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</si>
  <si>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</si>
  <si>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</si>
  <si>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</si>
  <si>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</si>
  <si>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</si>
  <si>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</si>
  <si>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</si>
  <si>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</si>
  <si>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</si>
  <si>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</si>
  <si>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</si>
  <si>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</si>
  <si>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</si>
  <si>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</si>
  <si>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</si>
  <si>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</si>
  <si>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</si>
  <si>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</si>
  <si>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</si>
  <si>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</si>
  <si>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</si>
  <si>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</si>
  <si>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</si>
  <si>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</si>
  <si>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</si>
  <si>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</si>
  <si>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</si>
  <si>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</si>
  <si>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</si>
  <si>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</si>
  <si>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</si>
  <si>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</si>
  <si>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</si>
  <si>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</si>
  <si>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</si>
  <si>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</si>
  <si>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</si>
  <si>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</si>
  <si>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</si>
  <si>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</si>
  <si>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</si>
  <si>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</si>
  <si>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</si>
  <si>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</si>
  <si>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</si>
  <si>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</si>
  <si>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</si>
  <si>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</si>
  <si>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</si>
  <si>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</si>
  <si>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</si>
  <si>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</si>
  <si>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</si>
  <si>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</si>
  <si>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</si>
  <si>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</si>
  <si>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</si>
  <si>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</si>
  <si>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</si>
  <si>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</si>
  <si>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</si>
  <si>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</si>
  <si>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</si>
  <si>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</si>
  <si>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</si>
  <si>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</si>
  <si>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</si>
  <si>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</si>
  <si>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</si>
  <si>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</si>
  <si>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</si>
  <si>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</si>
  <si>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</si>
  <si>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</si>
  <si>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</si>
  <si>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</si>
  <si>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</si>
  <si>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</si>
  <si>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</si>
  <si>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</si>
  <si>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</si>
  <si>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</si>
  <si>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</si>
  <si>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</si>
  <si>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</si>
  <si>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</si>
  <si>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</si>
  <si>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</si>
  <si>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</si>
  <si>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</si>
  <si>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</si>
  <si>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</si>
  <si>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</si>
  <si>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</si>
  <si>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</si>
  <si>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</si>
  <si>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</si>
  <si>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</si>
  <si>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</si>
  <si>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</si>
  <si>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</si>
  <si>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</si>
  <si>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</si>
  <si>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</si>
  <si>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</si>
  <si>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</si>
  <si>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</si>
  <si>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</si>
  <si>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</si>
  <si>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</si>
  <si>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</si>
  <si>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</si>
  <si>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</si>
  <si>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</si>
  <si>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</si>
  <si>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</si>
  <si>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</si>
  <si>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</si>
  <si>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</si>
  <si>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</si>
  <si>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</si>
  <si>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</si>
  <si>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</si>
  <si>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</si>
  <si>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</si>
  <si>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</si>
  <si>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</si>
  <si>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</si>
  <si>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</si>
  <si>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</si>
  <si>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</si>
  <si>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</si>
  <si>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</si>
  <si>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</si>
  <si>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</si>
  <si>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</si>
  <si>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</si>
  <si>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</si>
  <si>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</si>
  <si>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</si>
  <si>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</si>
  <si>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</si>
  <si>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</si>
  <si>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</si>
  <si>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</si>
  <si>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</si>
  <si>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</si>
  <si>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</si>
  <si>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</si>
  <si>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</si>
  <si>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</si>
  <si>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</si>
  <si>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</si>
  <si>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</si>
  <si>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</si>
  <si>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</si>
  <si>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</si>
  <si>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</si>
  <si>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</si>
  <si>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</si>
  <si>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</si>
  <si>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</si>
  <si>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</si>
  <si>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</si>
  <si>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</si>
  <si>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</si>
  <si>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</si>
  <si>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</si>
  <si>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</si>
  <si>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</si>
  <si>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</si>
  <si>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</si>
  <si>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</si>
  <si>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</si>
  <si>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</si>
  <si>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</si>
  <si>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</si>
  <si>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</si>
  <si>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</si>
  <si>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</si>
  <si>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</si>
  <si>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</si>
  <si>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</si>
  <si>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</si>
  <si>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</si>
  <si>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</si>
  <si>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</si>
  <si>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</si>
  <si>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</si>
  <si>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</si>
  <si>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</si>
  <si>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</si>
  <si>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</si>
  <si>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</si>
  <si>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</si>
  <si>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</si>
  <si>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</si>
  <si>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</si>
  <si>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</si>
  <si>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</si>
  <si>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</si>
  <si>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</si>
  <si>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</si>
  <si>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</si>
  <si>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</si>
  <si>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</si>
  <si>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</si>
  <si>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</si>
  <si>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</si>
  <si>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</si>
  <si>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</si>
  <si>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</si>
  <si>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</si>
  <si>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</si>
  <si>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</si>
  <si>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</si>
  <si>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</si>
  <si>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</si>
  <si>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</si>
  <si>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</si>
  <si>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</si>
  <si>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</si>
  <si>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</si>
  <si>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</si>
  <si>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</si>
  <si>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</si>
  <si>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</si>
  <si>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</si>
  <si>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</si>
  <si>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</si>
  <si>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</si>
  <si>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</si>
  <si>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</si>
  <si>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</si>
  <si>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</si>
  <si>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</si>
  <si>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</si>
  <si>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</si>
  <si>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</si>
  <si>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</si>
  <si>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</si>
  <si>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</si>
  <si>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</si>
  <si>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</si>
  <si>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</si>
  <si>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</si>
  <si>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</si>
  <si>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</si>
  <si>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</si>
  <si>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</si>
  <si>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</si>
  <si>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</si>
  <si>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</si>
  <si>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</si>
  <si>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</si>
  <si>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</si>
  <si>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</si>
  <si>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</si>
  <si>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</si>
  <si>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</si>
  <si>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</si>
  <si>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</si>
  <si>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</si>
  <si>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</si>
  <si>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</si>
  <si>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</si>
  <si>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</si>
  <si>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</si>
  <si>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</si>
  <si>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</si>
  <si>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</si>
  <si>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</si>
  <si>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</si>
  <si>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</si>
  <si>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</si>
  <si>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</si>
  <si>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</si>
  <si>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</si>
  <si>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</si>
  <si>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</si>
  <si>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</si>
  <si>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</si>
  <si>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</si>
  <si>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</si>
  <si>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</si>
  <si>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</si>
  <si>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</si>
  <si>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</si>
  <si>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</si>
  <si>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</si>
  <si>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</si>
  <si>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</si>
  <si>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</si>
  <si>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</si>
  <si>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</si>
  <si>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</si>
  <si>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</si>
  <si>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</si>
  <si>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</si>
  <si>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</si>
  <si>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</si>
  <si>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</si>
  <si>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</si>
  <si>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</si>
  <si>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</si>
  <si>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</si>
  <si>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</si>
  <si>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</si>
  <si>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</si>
  <si>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</si>
  <si>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</si>
  <si>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</si>
  <si>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</si>
  <si>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</si>
  <si>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</si>
  <si>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</si>
  <si>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</si>
  <si>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</si>
  <si>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</si>
  <si>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</si>
  <si>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</si>
  <si>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</si>
  <si>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</si>
  <si>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</si>
  <si>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</si>
  <si>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</si>
  <si>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</si>
  <si>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</si>
  <si>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</si>
  <si>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</si>
  <si>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</si>
  <si>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</si>
  <si>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</si>
  <si>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</si>
  <si>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</si>
  <si>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</si>
  <si>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</si>
  <si>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</si>
  <si>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</si>
  <si>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</si>
  <si>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</si>
  <si>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</si>
  <si>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</si>
  <si>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</si>
  <si>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</si>
  <si>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</si>
  <si>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</si>
  <si>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</si>
  <si>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</si>
  <si>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</si>
  <si>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</si>
  <si>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</si>
  <si>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</si>
  <si>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</si>
  <si>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</si>
  <si>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</si>
  <si>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</si>
  <si>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</si>
  <si>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</si>
  <si>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</si>
  <si>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</si>
  <si>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</si>
  <si>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</si>
  <si>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</si>
  <si>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</si>
  <si>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</si>
  <si>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</si>
  <si>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</si>
  <si>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</si>
  <si>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</si>
  <si>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</si>
  <si>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</si>
  <si>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</si>
  <si>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</si>
  <si>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</si>
  <si>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</si>
  <si>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</si>
  <si>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</si>
  <si>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</si>
  <si>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</si>
  <si>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</si>
  <si>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</si>
  <si>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</si>
  <si>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</si>
  <si>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</si>
  <si>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</si>
  <si>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</si>
  <si>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</si>
  <si>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</si>
  <si>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</si>
  <si>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</si>
  <si>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</si>
  <si>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</si>
  <si>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</si>
  <si>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</si>
  <si>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</si>
  <si>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</si>
  <si>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</si>
  <si>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</si>
  <si>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</si>
  <si>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</si>
  <si>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</si>
  <si>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</si>
  <si>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</si>
  <si>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</si>
  <si>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</si>
  <si>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</si>
  <si>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</si>
  <si>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</si>
  <si>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</si>
  <si>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</si>
  <si>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</si>
  <si>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</si>
  <si>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</si>
  <si>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</si>
  <si>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</si>
  <si>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</si>
  <si>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</si>
  <si>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</si>
  <si>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</si>
  <si>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</si>
  <si>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</si>
  <si>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</si>
  <si>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</si>
  <si>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</si>
  <si>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</si>
  <si>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</si>
  <si>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</si>
  <si>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</si>
  <si>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</si>
  <si>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</si>
  <si>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</si>
  <si>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</si>
  <si>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</si>
  <si>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</si>
  <si>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</si>
  <si>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t xml:space="preserve">28-02-2025 28-02-2026 DÖNEMİ </t>
  </si>
  <si>
    <t>Yıllık peşin ödemeye geçildi</t>
  </si>
  <si>
    <t>2025-2026 dönemi için ödenecek bakiye için senet yapıldı</t>
  </si>
  <si>
    <t>senet</t>
  </si>
  <si>
    <t>Sennedin ödenmesiyle hesap sıfırlanacak</t>
  </si>
  <si>
    <t>banka</t>
  </si>
  <si>
    <r>
      <t>Nakit  22104 TL                         09</t>
    </r>
    <r>
      <rPr>
        <b/>
        <sz val="10"/>
        <color rgb="FFFF0000"/>
        <rFont val="Liberation Sans1"/>
        <charset val="162"/>
      </rPr>
      <t>-11-2024</t>
    </r>
  </si>
  <si>
    <t xml:space="preserve">senet sözleşme taahhüt  imzalanmadı </t>
  </si>
  <si>
    <t>boşaltacağını söyledi</t>
  </si>
  <si>
    <t>toplam banka ödemesi</t>
  </si>
  <si>
    <t>son ödeme</t>
  </si>
  <si>
    <t xml:space="preserve">Nakit  22104 TL                    </t>
  </si>
  <si>
    <t>anahtarı teslim etti 2 adet</t>
  </si>
  <si>
    <t>1 anahtarı vermedi</t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</si>
  <si>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14-01-2025</t>
    </r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</si>
  <si>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17-02-2025</t>
    </r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</si>
  <si>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05-03-2025</t>
    </r>
  </si>
  <si>
    <r>
      <t xml:space="preserve">Nakit  22104 TL kira bedeli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</si>
  <si>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t>bankaya yatış trh</t>
  </si>
  <si>
    <t>altın</t>
  </si>
  <si>
    <t>gr altın</t>
  </si>
  <si>
    <t>6 aylık kapanış</t>
  </si>
  <si>
    <t>toplam alınan</t>
  </si>
  <si>
    <t>aylık kira  ortalama gram altın</t>
  </si>
  <si>
    <t xml:space="preserve"> en düşük</t>
  </si>
  <si>
    <t>doğuş temmuz kira bedeli</t>
  </si>
  <si>
    <t>ilk kiraya göre</t>
  </si>
  <si>
    <t>sonraki 6 ay tahmini (+ enflasyon</t>
  </si>
  <si>
    <t>tahmini enflasyon / 2</t>
  </si>
  <si>
    <t>en yüksek</t>
  </si>
  <si>
    <t>HESAP SIFIRLAMA</t>
  </si>
  <si>
    <t>aylık ta noksan ödeme 15000-6500=8500</t>
  </si>
  <si>
    <t>yıllık tüfe</t>
  </si>
  <si>
    <t>5. dönem için toplam ödeme</t>
  </si>
  <si>
    <t>mart nisan mayıs bedeli  3*15000</t>
  </si>
  <si>
    <t>elektrik</t>
  </si>
  <si>
    <t>ferhat duvar tamiri</t>
  </si>
  <si>
    <t>mart 2025 kira bedeli ödemesi</t>
  </si>
  <si>
    <t>nisan 2025 ödemesi</t>
  </si>
  <si>
    <t>mayıs 2025  ödemesi</t>
  </si>
  <si>
    <t>haziran 2025 ödemesi</t>
  </si>
  <si>
    <t>temmuz 2025 ödemesi</t>
  </si>
  <si>
    <t>ağustos 2025 ödemesi</t>
  </si>
  <si>
    <t>mart bedeli</t>
  </si>
  <si>
    <t>nisan bedeli</t>
  </si>
  <si>
    <t>mayıs bedeli</t>
  </si>
  <si>
    <t>haziran 2025 iade</t>
  </si>
  <si>
    <t>eylül 2025 ödemesi</t>
  </si>
  <si>
    <t>elektrik gecikme</t>
  </si>
  <si>
    <t>noksan ödeme gecikme</t>
  </si>
  <si>
    <t>mart 9 günlük gecikme</t>
  </si>
  <si>
    <t>nisan 9 günlük gecikme</t>
  </si>
  <si>
    <t>mayıs  9 günlük gecikme</t>
  </si>
  <si>
    <t>nisan 14 günlük gecikme</t>
  </si>
  <si>
    <t>ağustos 17  günlük gecikme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</si>
</sst>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  <numFmt numFmtId="183" formatCode="#,##0.00\ &quot;Tl/gr&quot;"/>
    <numFmt numFmtId="184" formatCode="#,##0\ &quot;Tl/gr&quot;"/>
    <numFmt numFmtId="186" formatCode="#,##0.000\ &quot;Gr/ay&quot;"/>
    <numFmt numFmtId="188" formatCode="#,##0\ &quot;Dönem&quot;"/>
    <numFmt numFmtId="190" formatCode="#,##0\ &quot;TL/ay&quot;"/>
    <numFmt numFmtId="192" formatCode="dd/mm/yy;@"/>
  </numFmts>
  <fonts count="6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  <font>
      <b/>
      <u/>
      <sz val="10"/>
      <color rgb="FFFF0000"/>
      <name val="Liberation Sans1"/>
      <charset val="162"/>
    </font>
    <font>
      <b/>
      <i/>
      <u/>
      <sz val="11"/>
      <color rgb="FFFF0000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u/>
      <sz val="14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6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  <xf numFmtId="16" fontId="0" fillId="0" borderId="0" xfId="0" applyNumberFormat="1"/>
    <xf numFmtId="0" fontId="0" fillId="20" borderId="0" xfId="0" applyFill="1"/>
    <xf numFmtId="0" fontId="64" fillId="20" borderId="41" xfId="0" applyFont="1" applyFill="1" applyBorder="1"/>
    <xf numFmtId="4" fontId="0" fillId="21" borderId="0" xfId="0" applyNumberFormat="1" applyFill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  <xf numFmtId="0" fontId="65" fillId="0" borderId="0" xfId="0" applyFont="1" applyAlignment="1">
      <alignment horizontal="right"/>
    </xf>
    <xf numFmtId="184" fontId="0" fillId="0" borderId="0" xfId="0" applyNumberFormat="1"/>
    <xf numFmtId="184" fontId="34" fillId="0" borderId="0" xfId="0" applyNumberFormat="1" applyFont="1"/>
    <xf numFmtId="184" fontId="57" fillId="0" borderId="0" xfId="0" applyNumberFormat="1" applyFont="1"/>
    <xf numFmtId="184" fontId="0" fillId="22" borderId="0" xfId="0" applyNumberFormat="1" applyFill="1"/>
    <xf numFmtId="186" fontId="0" fillId="22" borderId="0" xfId="0" applyNumberFormat="1" applyFill="1"/>
    <xf numFmtId="0" fontId="0" fillId="23" borderId="42" xfId="0" applyFill="1" applyBorder="1" applyAlignment="1">
      <alignment horizontal="center"/>
    </xf>
    <xf numFmtId="16" fontId="55" fillId="23" borderId="43" xfId="0" applyNumberFormat="1" applyFont="1" applyFill="1" applyBorder="1" applyAlignment="1">
      <alignment horizontal="center"/>
    </xf>
    <xf numFmtId="16" fontId="0" fillId="23" borderId="43" xfId="0" applyNumberFormat="1" applyFill="1" applyBorder="1" applyAlignment="1">
      <alignment horizontal="center"/>
    </xf>
    <xf numFmtId="0" fontId="0" fillId="23" borderId="43" xfId="0" applyFill="1" applyBorder="1" applyAlignment="1">
      <alignment horizontal="center"/>
    </xf>
    <xf numFmtId="0" fontId="0" fillId="23" borderId="44" xfId="0" applyFill="1" applyBorder="1"/>
    <xf numFmtId="186" fontId="0" fillId="0" borderId="0" xfId="0" applyNumberFormat="1"/>
    <xf numFmtId="17" fontId="0" fillId="0" borderId="0" xfId="0" applyNumberFormat="1"/>
    <xf numFmtId="188" fontId="0" fillId="0" borderId="0" xfId="0" applyNumberFormat="1"/>
    <xf numFmtId="183" fontId="0" fillId="22" borderId="0" xfId="0" applyNumberFormat="1" applyFill="1"/>
    <xf numFmtId="190" fontId="4" fillId="0" borderId="0" xfId="0" applyNumberFormat="1" applyFont="1" applyAlignment="1">
      <alignment horizontal="right"/>
    </xf>
    <xf numFmtId="9" fontId="0" fillId="0" borderId="0" xfId="2" applyFont="1"/>
    <xf numFmtId="0" fontId="0" fillId="0" borderId="45" xfId="0" applyBorder="1"/>
    <xf numFmtId="0" fontId="0" fillId="0" borderId="46" xfId="0" applyBorder="1"/>
    <xf numFmtId="184" fontId="0" fillId="0" borderId="46" xfId="0" applyNumberFormat="1" applyBorder="1"/>
    <xf numFmtId="0" fontId="53" fillId="0" borderId="46" xfId="0" applyFont="1" applyBorder="1"/>
    <xf numFmtId="0" fontId="60" fillId="0" borderId="47" xfId="0" applyFont="1" applyBorder="1"/>
    <xf numFmtId="0" fontId="0" fillId="0" borderId="48" xfId="0" applyBorder="1"/>
    <xf numFmtId="0" fontId="0" fillId="0" borderId="0" xfId="0" applyBorder="1"/>
    <xf numFmtId="184" fontId="0" fillId="0" borderId="0" xfId="0" applyNumberFormat="1" applyBorder="1"/>
    <xf numFmtId="0" fontId="55" fillId="0" borderId="0" xfId="0" applyFont="1" applyBorder="1"/>
    <xf numFmtId="0" fontId="56" fillId="0" borderId="0" xfId="0" applyFont="1" applyBorder="1" applyAlignment="1">
      <alignment horizontal="right"/>
    </xf>
    <xf numFmtId="4" fontId="56" fillId="20" borderId="49" xfId="0" applyNumberFormat="1" applyFont="1" applyFill="1" applyBorder="1" applyAlignment="1">
      <alignment horizontal="right"/>
    </xf>
    <xf numFmtId="0" fontId="0" fillId="0" borderId="40" xfId="0" applyBorder="1"/>
    <xf numFmtId="184" fontId="0" fillId="0" borderId="40" xfId="0" applyNumberFormat="1" applyBorder="1"/>
    <xf numFmtId="0" fontId="34" fillId="0" borderId="40" xfId="0" applyFont="1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14" fontId="0" fillId="0" borderId="0" xfId="0" applyNumberFormat="1"/>
    <xf numFmtId="184" fontId="43" fillId="0" borderId="0" xfId="0" applyNumberFormat="1" applyFont="1"/>
    <xf numFmtId="192" fontId="0" fillId="0" borderId="0" xfId="0" applyNumberFormat="1"/>
    <xf numFmtId="192" fontId="66" fillId="0" borderId="0" xfId="0" applyNumberFormat="1" applyFont="1"/>
    <xf numFmtId="0" fontId="67" fillId="0" borderId="0" xfId="0" applyFont="1"/>
    <xf numFmtId="0" fontId="0" fillId="23" borderId="0" xfId="0" applyFill="1"/>
    <xf numFmtId="4" fontId="4" fillId="23" borderId="0" xfId="0" applyNumberFormat="1" applyFont="1" applyFill="1"/>
    <xf numFmtId="4" fontId="0" fillId="23" borderId="0" xfId="0" applyNumberFormat="1" applyFill="1"/>
    <xf numFmtId="192" fontId="0" fillId="18" borderId="0" xfId="0" applyNumberFormat="1" applyFill="1"/>
    <xf numFmtId="184" fontId="0" fillId="18" borderId="0" xfId="0" applyNumberFormat="1" applyFill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5376-190E-446B-B19E-14E8B629D485}">
  <dimension ref="B2:I31"/>
  <sheetViews>
    <sheetView tabSelected="1" topLeftCell="A7" zoomScale="160" zoomScaleNormal="160" workbookViewId="0">
      <selection activeCell="J29" sqref="J29"/>
    </sheetView>
  </sheetViews>
  <sheetFormatPr defaultRowHeight="12.75"/>
  <cols>
    <col min="1" max="1" width="3" bestFit="1" customWidth="1"/>
    <col min="2" max="2" width="10.5703125" style="354" customWidth="1"/>
    <col min="3" max="3" width="12.28515625" style="317" customWidth="1"/>
    <col min="4" max="4" width="37.5703125" bestFit="1" customWidth="1"/>
    <col min="5" max="5" width="13.140625" customWidth="1"/>
    <col min="6" max="6" width="10.42578125" style="3" bestFit="1" customWidth="1"/>
    <col min="7" max="7" width="10.5703125" style="3" customWidth="1"/>
    <col min="8" max="8" width="11.42578125" style="3" bestFit="1" customWidth="1"/>
    <col min="9" max="9" width="12.7109375" style="278" customWidth="1"/>
  </cols>
  <sheetData>
    <row r="2" spans="2:8" ht="18">
      <c r="B2" s="355">
        <v>45831</v>
      </c>
      <c r="C2" s="353"/>
      <c r="D2" s="356" t="s">
        <v>480</v>
      </c>
    </row>
    <row r="3" spans="2:8">
      <c r="B3" s="354">
        <v>45350</v>
      </c>
      <c r="D3" t="s">
        <v>481</v>
      </c>
      <c r="F3" s="3">
        <v>8500</v>
      </c>
      <c r="H3" s="3">
        <f>H2+F3-G3</f>
        <v>8500</v>
      </c>
    </row>
    <row r="4" spans="2:8">
      <c r="B4" s="354">
        <v>45544</v>
      </c>
      <c r="D4" t="s">
        <v>487</v>
      </c>
      <c r="G4" s="3">
        <v>15000</v>
      </c>
      <c r="H4" s="3">
        <f t="shared" ref="H4:H19" si="0">H3+F4-G4</f>
        <v>-6500</v>
      </c>
    </row>
    <row r="5" spans="2:8">
      <c r="B5" s="354">
        <v>45544</v>
      </c>
      <c r="D5" t="s">
        <v>499</v>
      </c>
      <c r="E5" s="296">
        <f>50/365*(B4-B3)%</f>
        <v>0.26575342465753421</v>
      </c>
      <c r="F5" s="3">
        <f>F3*E5</f>
        <v>2258.9041095890407</v>
      </c>
      <c r="H5" s="3">
        <f t="shared" si="0"/>
        <v>-4241.0958904109593</v>
      </c>
    </row>
    <row r="6" spans="2:8">
      <c r="B6" s="354">
        <v>45909</v>
      </c>
      <c r="D6" t="s">
        <v>500</v>
      </c>
      <c r="E6" s="296">
        <f>50/365*9%</f>
        <v>1.2328767123287671E-2</v>
      </c>
      <c r="F6" s="3">
        <f>G4*E6</f>
        <v>184.93150684931507</v>
      </c>
      <c r="H6" s="3">
        <f t="shared" si="0"/>
        <v>-4056.1643835616442</v>
      </c>
    </row>
    <row r="7" spans="2:8">
      <c r="B7" s="354">
        <v>45574</v>
      </c>
      <c r="D7" t="s">
        <v>488</v>
      </c>
      <c r="G7" s="3">
        <v>15000</v>
      </c>
      <c r="H7" s="3">
        <f t="shared" si="0"/>
        <v>-19056.164383561645</v>
      </c>
    </row>
    <row r="8" spans="2:8">
      <c r="B8" s="354">
        <v>45909</v>
      </c>
      <c r="D8" t="s">
        <v>501</v>
      </c>
      <c r="E8" s="296">
        <f>50/365*9%</f>
        <v>1.2328767123287671E-2</v>
      </c>
      <c r="F8" s="3">
        <f>G7*E8</f>
        <v>184.93150684931507</v>
      </c>
      <c r="H8" s="3">
        <f t="shared" si="0"/>
        <v>-18871.232876712329</v>
      </c>
    </row>
    <row r="9" spans="2:8">
      <c r="B9" s="354">
        <v>45605</v>
      </c>
      <c r="D9" t="s">
        <v>489</v>
      </c>
      <c r="G9" s="3">
        <v>15000</v>
      </c>
      <c r="H9" s="3">
        <f t="shared" si="0"/>
        <v>-33871.232876712325</v>
      </c>
    </row>
    <row r="10" spans="2:8">
      <c r="B10" s="354">
        <v>45606</v>
      </c>
      <c r="D10" t="s">
        <v>502</v>
      </c>
      <c r="E10" s="296">
        <f>50/365*9%</f>
        <v>1.2328767123287671E-2</v>
      </c>
      <c r="F10" s="3">
        <f>G9*E10</f>
        <v>184.93150684931507</v>
      </c>
      <c r="H10" s="3">
        <f t="shared" si="0"/>
        <v>-33686.301369863009</v>
      </c>
    </row>
    <row r="11" spans="2:8">
      <c r="B11" s="354">
        <v>45637</v>
      </c>
      <c r="D11" t="s">
        <v>490</v>
      </c>
      <c r="G11" s="3">
        <v>15000</v>
      </c>
      <c r="H11" s="3">
        <f t="shared" si="0"/>
        <v>-48686.301369863009</v>
      </c>
    </row>
    <row r="12" spans="2:8">
      <c r="B12" s="354">
        <v>45638</v>
      </c>
      <c r="D12" t="s">
        <v>501</v>
      </c>
      <c r="E12" s="296">
        <f>50/365*12%</f>
        <v>1.643835616438356E-2</v>
      </c>
      <c r="F12" s="3">
        <f>G11*E12</f>
        <v>246.57534246575341</v>
      </c>
      <c r="H12" s="3">
        <f t="shared" si="0"/>
        <v>-48439.726027397257</v>
      </c>
    </row>
    <row r="13" spans="2:8">
      <c r="B13" s="354">
        <v>45671</v>
      </c>
      <c r="D13" t="s">
        <v>491</v>
      </c>
      <c r="G13" s="3">
        <v>15000</v>
      </c>
      <c r="H13" s="3">
        <f t="shared" si="0"/>
        <v>-63439.726027397257</v>
      </c>
    </row>
    <row r="14" spans="2:8">
      <c r="B14" s="354">
        <v>45672</v>
      </c>
      <c r="D14" t="s">
        <v>503</v>
      </c>
      <c r="E14" s="296">
        <f>50/365*14%</f>
        <v>1.9178082191780823E-2</v>
      </c>
      <c r="F14" s="3">
        <f>G13*E14</f>
        <v>287.67123287671234</v>
      </c>
      <c r="H14" s="3">
        <f t="shared" si="0"/>
        <v>-63152.054794520547</v>
      </c>
    </row>
    <row r="15" spans="2:8">
      <c r="B15" s="354">
        <v>45705</v>
      </c>
      <c r="D15" t="s">
        <v>492</v>
      </c>
      <c r="E15" s="296"/>
      <c r="G15" s="3">
        <v>15000</v>
      </c>
      <c r="H15" s="3">
        <f t="shared" si="0"/>
        <v>-78152.054794520547</v>
      </c>
    </row>
    <row r="16" spans="2:8">
      <c r="B16" s="354">
        <v>45706</v>
      </c>
      <c r="D16" t="s">
        <v>504</v>
      </c>
      <c r="E16" s="296">
        <f>50/365*17%</f>
        <v>2.3287671232876714E-2</v>
      </c>
      <c r="F16" s="3">
        <f>G15*E16</f>
        <v>349.3150684931507</v>
      </c>
      <c r="H16" s="3">
        <f t="shared" si="0"/>
        <v>-77802.739726027401</v>
      </c>
    </row>
    <row r="17" spans="2:8">
      <c r="B17" s="354">
        <v>45716</v>
      </c>
      <c r="D17" t="s">
        <v>493</v>
      </c>
      <c r="F17" s="3">
        <v>15000</v>
      </c>
      <c r="H17" s="3">
        <f t="shared" si="0"/>
        <v>-62802.739726027401</v>
      </c>
    </row>
    <row r="18" spans="2:8">
      <c r="B18" s="354">
        <v>45721</v>
      </c>
      <c r="D18" t="s">
        <v>497</v>
      </c>
      <c r="G18" s="3">
        <v>15000</v>
      </c>
      <c r="H18" s="3">
        <f t="shared" si="0"/>
        <v>-77802.739726027401</v>
      </c>
    </row>
    <row r="19" spans="2:8">
      <c r="B19" s="354">
        <v>45722</v>
      </c>
      <c r="D19" t="s">
        <v>485</v>
      </c>
      <c r="F19" s="3">
        <v>455</v>
      </c>
      <c r="H19" s="3">
        <f t="shared" si="0"/>
        <v>-77347.739726027401</v>
      </c>
    </row>
    <row r="20" spans="2:8">
      <c r="B20" s="354">
        <v>45746</v>
      </c>
      <c r="D20" t="s">
        <v>494</v>
      </c>
      <c r="F20" s="3">
        <v>15000</v>
      </c>
      <c r="H20" s="3">
        <f t="shared" ref="H20:H31" si="1">H19+F20-G20</f>
        <v>-62347.739726027401</v>
      </c>
    </row>
    <row r="21" spans="2:8">
      <c r="B21" s="354">
        <v>45750</v>
      </c>
      <c r="D21" t="s">
        <v>485</v>
      </c>
      <c r="F21" s="3">
        <v>315</v>
      </c>
      <c r="H21" s="3">
        <f t="shared" si="1"/>
        <v>-62032.739726027401</v>
      </c>
    </row>
    <row r="22" spans="2:8">
      <c r="B22" s="354">
        <v>45777</v>
      </c>
      <c r="D22" t="s">
        <v>495</v>
      </c>
      <c r="F22" s="3">
        <v>15000</v>
      </c>
      <c r="H22" s="3">
        <f t="shared" si="1"/>
        <v>-47032.739726027401</v>
      </c>
    </row>
    <row r="23" spans="2:8">
      <c r="B23" s="354">
        <v>45782</v>
      </c>
      <c r="D23" t="s">
        <v>485</v>
      </c>
      <c r="F23" s="3">
        <v>495</v>
      </c>
      <c r="H23" s="3">
        <f t="shared" si="1"/>
        <v>-46537.739726027401</v>
      </c>
    </row>
    <row r="24" spans="2:8">
      <c r="B24" s="354">
        <v>45818</v>
      </c>
      <c r="D24" t="s">
        <v>485</v>
      </c>
      <c r="F24" s="3">
        <v>435</v>
      </c>
      <c r="H24" s="3">
        <f t="shared" si="1"/>
        <v>-46102.739726027401</v>
      </c>
    </row>
    <row r="25" spans="2:8">
      <c r="B25" s="360">
        <v>45833</v>
      </c>
      <c r="C25" s="361"/>
      <c r="D25" s="283" t="s">
        <v>485</v>
      </c>
      <c r="E25" s="283"/>
      <c r="F25" s="281">
        <v>25</v>
      </c>
      <c r="G25" s="281"/>
      <c r="H25" s="281">
        <f t="shared" si="1"/>
        <v>-46077.739726027401</v>
      </c>
    </row>
    <row r="26" spans="2:8">
      <c r="D26" s="357" t="s">
        <v>498</v>
      </c>
      <c r="E26" s="357"/>
      <c r="F26" s="358">
        <v>300</v>
      </c>
      <c r="G26" s="359"/>
      <c r="H26" s="3">
        <f t="shared" si="1"/>
        <v>-45777.739726027401</v>
      </c>
    </row>
    <row r="27" spans="2:8">
      <c r="D27" s="357"/>
      <c r="E27" s="357"/>
      <c r="F27" s="359"/>
      <c r="G27" s="359"/>
      <c r="H27" s="3">
        <f t="shared" si="1"/>
        <v>-45777.739726027401</v>
      </c>
    </row>
    <row r="28" spans="2:8">
      <c r="D28" s="357"/>
      <c r="E28" s="357"/>
      <c r="F28" s="359"/>
      <c r="G28" s="359"/>
      <c r="H28" s="3">
        <f t="shared" si="1"/>
        <v>-45777.739726027401</v>
      </c>
    </row>
    <row r="29" spans="2:8">
      <c r="D29" s="357" t="s">
        <v>486</v>
      </c>
      <c r="E29" s="357"/>
      <c r="F29" s="358">
        <v>5000</v>
      </c>
      <c r="G29" s="359"/>
      <c r="H29" s="359">
        <f t="shared" si="1"/>
        <v>-40777.739726027401</v>
      </c>
    </row>
    <row r="30" spans="2:8">
      <c r="D30" s="357"/>
      <c r="E30" s="357"/>
      <c r="F30" s="359"/>
      <c r="G30" s="359"/>
      <c r="H30" s="359">
        <f t="shared" si="1"/>
        <v>-40777.739726027401</v>
      </c>
    </row>
    <row r="31" spans="2:8">
      <c r="B31" s="354">
        <v>45838</v>
      </c>
      <c r="D31" s="357" t="s">
        <v>496</v>
      </c>
      <c r="E31" s="357"/>
      <c r="F31" s="358">
        <v>40000</v>
      </c>
      <c r="G31" s="359"/>
      <c r="H31" s="359">
        <f t="shared" si="1"/>
        <v>-777.73972602740105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7"/>
  <sheetViews>
    <sheetView topLeftCell="A117" zoomScale="160" zoomScaleNormal="160" workbookViewId="0">
      <selection activeCell="J146" sqref="J146"/>
    </sheetView>
  </sheetViews>
  <sheetFormatPr defaultRowHeight="12.75"/>
  <cols>
    <col min="1" max="1" width="3" bestFit="1" customWidth="1"/>
    <col min="2" max="2" width="10.5703125" customWidth="1"/>
    <col min="3" max="3" width="12.28515625" style="317" customWidth="1"/>
    <col min="4" max="4" width="37.5703125" bestFit="1" customWidth="1"/>
    <col min="5" max="5" width="13.140625" customWidth="1"/>
    <col min="6" max="6" width="7.85546875" customWidth="1"/>
    <col min="7" max="7" width="10.42578125" bestFit="1" customWidth="1"/>
    <col min="8" max="8" width="11.42578125" bestFit="1" customWidth="1"/>
    <col min="9" max="9" width="12.7109375" style="278" customWidth="1"/>
  </cols>
  <sheetData>
    <row r="1" spans="1:8">
      <c r="D1" s="301">
        <v>45727</v>
      </c>
    </row>
    <row r="2" spans="1:8" ht="15">
      <c r="B2" s="287" t="s">
        <v>393</v>
      </c>
      <c r="C2" s="318"/>
      <c r="H2" s="3"/>
    </row>
    <row r="3" spans="1:8" ht="13.5" thickBot="1">
      <c r="D3" t="s">
        <v>394</v>
      </c>
      <c r="H3" s="3"/>
    </row>
    <row r="4" spans="1:8" ht="21">
      <c r="D4" s="288" t="s">
        <v>395</v>
      </c>
      <c r="E4" s="322" t="s">
        <v>469</v>
      </c>
      <c r="H4" s="289">
        <f>G6/12</f>
        <v>2000</v>
      </c>
    </row>
    <row r="5" spans="1:8" ht="15">
      <c r="D5" s="290" t="s">
        <v>396</v>
      </c>
      <c r="E5" s="323">
        <v>45658</v>
      </c>
      <c r="F5" s="290"/>
      <c r="G5" s="291">
        <v>2324</v>
      </c>
      <c r="H5" s="292">
        <f>G8/G5</f>
        <v>10.327022375215146</v>
      </c>
    </row>
    <row r="6" spans="1:8" ht="15">
      <c r="D6" s="287" t="s">
        <v>397</v>
      </c>
      <c r="E6" s="324">
        <v>45839</v>
      </c>
      <c r="G6" s="294">
        <f>G8</f>
        <v>24000</v>
      </c>
      <c r="H6" s="294"/>
    </row>
    <row r="7" spans="1:8" ht="15">
      <c r="E7" s="325" t="s">
        <v>470</v>
      </c>
      <c r="F7" s="2" t="s">
        <v>434</v>
      </c>
      <c r="G7" s="293" t="s">
        <v>398</v>
      </c>
      <c r="H7" s="294" t="s">
        <v>158</v>
      </c>
    </row>
    <row r="8" spans="1:8" ht="13.5" thickBot="1">
      <c r="B8" s="295"/>
      <c r="C8" s="319"/>
      <c r="D8" t="s">
        <v>399</v>
      </c>
      <c r="E8" s="326" t="s">
        <v>471</v>
      </c>
      <c r="G8" s="3">
        <v>24000</v>
      </c>
      <c r="H8" s="3">
        <f>G8</f>
        <v>24000</v>
      </c>
    </row>
    <row r="9" spans="1:8">
      <c r="B9" s="295"/>
      <c r="C9" s="319"/>
      <c r="E9" s="320">
        <v>495</v>
      </c>
      <c r="G9" s="3"/>
      <c r="H9" s="3">
        <f>H8-G9-F9</f>
        <v>24000</v>
      </c>
    </row>
    <row r="10" spans="1:8">
      <c r="B10" s="13">
        <v>44250</v>
      </c>
      <c r="D10" t="s">
        <v>8</v>
      </c>
      <c r="E10" s="321">
        <f>G10/E9</f>
        <v>4.0404040404040407</v>
      </c>
      <c r="G10" s="3">
        <v>2000</v>
      </c>
      <c r="H10" s="3">
        <f>H9-G10-F10</f>
        <v>22000</v>
      </c>
    </row>
    <row r="11" spans="1:8">
      <c r="A11">
        <v>1</v>
      </c>
      <c r="B11" s="13">
        <v>44285</v>
      </c>
      <c r="D11" t="s">
        <v>8</v>
      </c>
      <c r="G11" s="3">
        <v>2000</v>
      </c>
      <c r="H11" s="3">
        <f t="shared" ref="H11:H18" si="0">H10-G11-F11</f>
        <v>20000</v>
      </c>
    </row>
    <row r="12" spans="1:8">
      <c r="A12">
        <v>2</v>
      </c>
      <c r="B12" s="13">
        <v>44316</v>
      </c>
      <c r="D12" t="s">
        <v>8</v>
      </c>
      <c r="G12" s="3">
        <v>2000</v>
      </c>
      <c r="H12" s="3">
        <f t="shared" si="0"/>
        <v>18000</v>
      </c>
    </row>
    <row r="13" spans="1:8">
      <c r="A13">
        <v>3</v>
      </c>
      <c r="B13" s="13">
        <v>44346</v>
      </c>
      <c r="D13" t="s">
        <v>8</v>
      </c>
      <c r="G13" s="3">
        <v>1000</v>
      </c>
      <c r="H13" s="3">
        <f t="shared" si="0"/>
        <v>17000</v>
      </c>
    </row>
    <row r="14" spans="1:8">
      <c r="A14">
        <v>4</v>
      </c>
      <c r="B14" s="13">
        <v>44377</v>
      </c>
      <c r="D14" t="s">
        <v>8</v>
      </c>
      <c r="G14" s="3">
        <v>3000</v>
      </c>
      <c r="H14" s="3">
        <f t="shared" si="0"/>
        <v>14000</v>
      </c>
    </row>
    <row r="15" spans="1:8">
      <c r="A15">
        <v>5</v>
      </c>
      <c r="B15" s="13">
        <v>44407</v>
      </c>
      <c r="D15" t="s">
        <v>8</v>
      </c>
      <c r="G15" s="3">
        <v>4000</v>
      </c>
      <c r="H15" s="3">
        <f t="shared" si="0"/>
        <v>10000</v>
      </c>
    </row>
    <row r="16" spans="1:8">
      <c r="A16">
        <v>6</v>
      </c>
      <c r="B16" s="13">
        <v>44788</v>
      </c>
      <c r="D16" t="s">
        <v>8</v>
      </c>
      <c r="G16" s="3">
        <v>10000</v>
      </c>
      <c r="H16" s="3">
        <f t="shared" si="0"/>
        <v>0</v>
      </c>
    </row>
    <row r="17" spans="1:10" ht="15">
      <c r="B17" s="13"/>
      <c r="D17" s="287" t="s">
        <v>400</v>
      </c>
      <c r="G17" s="3"/>
      <c r="H17" s="3">
        <f t="shared" si="0"/>
        <v>0</v>
      </c>
    </row>
    <row r="18" spans="1:10">
      <c r="B18" s="13"/>
      <c r="D18" s="9" t="s">
        <v>401</v>
      </c>
      <c r="E18" s="9"/>
      <c r="F18" s="9"/>
      <c r="H18" s="3">
        <f t="shared" si="0"/>
        <v>0</v>
      </c>
    </row>
    <row r="19" spans="1:10">
      <c r="B19" s="13"/>
      <c r="G19" s="3"/>
      <c r="H19" s="3"/>
    </row>
    <row r="20" spans="1:10" ht="21">
      <c r="D20" s="288" t="s">
        <v>402</v>
      </c>
      <c r="G20" s="3"/>
      <c r="H20" s="289">
        <f>G29/12</f>
        <v>3000</v>
      </c>
    </row>
    <row r="21" spans="1:10" ht="15">
      <c r="D21" s="290" t="s">
        <v>403</v>
      </c>
      <c r="E21" s="290"/>
      <c r="F21" s="290"/>
      <c r="G21" s="291">
        <v>2825</v>
      </c>
      <c r="H21" s="292">
        <f>G29/G21</f>
        <v>12.743362831858407</v>
      </c>
    </row>
    <row r="22" spans="1:10" ht="15">
      <c r="B22" s="295"/>
      <c r="C22" s="319"/>
      <c r="D22" s="287" t="s">
        <v>404</v>
      </c>
      <c r="G22">
        <f>G29</f>
        <v>36000</v>
      </c>
    </row>
    <row r="23" spans="1:10" ht="15">
      <c r="B23" s="295"/>
      <c r="C23" s="319"/>
      <c r="D23" s="287" t="s">
        <v>442</v>
      </c>
      <c r="G23" s="278">
        <f>G8</f>
        <v>24000</v>
      </c>
    </row>
    <row r="24" spans="1:10" ht="15">
      <c r="B24" s="295">
        <v>44407</v>
      </c>
      <c r="C24" s="319"/>
      <c r="D24" s="303" t="s">
        <v>435</v>
      </c>
      <c r="E24" s="306">
        <v>0.25979999999999998</v>
      </c>
      <c r="F24" s="283"/>
      <c r="G24" s="307">
        <f>G23*E24</f>
        <v>6235.2</v>
      </c>
    </row>
    <row r="25" spans="1:10" ht="15">
      <c r="D25" s="287" t="s">
        <v>441</v>
      </c>
      <c r="G25" s="311">
        <f>G23+G24</f>
        <v>30235.200000000001</v>
      </c>
      <c r="J25" s="296"/>
    </row>
    <row r="26" spans="1:10" ht="15">
      <c r="B26" s="295"/>
      <c r="C26" s="319"/>
      <c r="F26" s="2" t="s">
        <v>434</v>
      </c>
      <c r="G26" s="293" t="s">
        <v>398</v>
      </c>
      <c r="H26" s="294" t="s">
        <v>158</v>
      </c>
    </row>
    <row r="27" spans="1:10" ht="15">
      <c r="B27" s="295"/>
      <c r="C27" s="319"/>
      <c r="F27" s="296"/>
      <c r="G27" s="293"/>
      <c r="H27" s="3">
        <f>G27</f>
        <v>0</v>
      </c>
    </row>
    <row r="28" spans="1:10" ht="15">
      <c r="B28" s="295"/>
      <c r="C28" s="319"/>
      <c r="E28" s="296"/>
      <c r="F28" s="296"/>
      <c r="G28" s="293"/>
      <c r="H28" s="3">
        <f>H27+G28</f>
        <v>0</v>
      </c>
    </row>
    <row r="29" spans="1:10" ht="15">
      <c r="B29" s="295"/>
      <c r="C29" s="319"/>
      <c r="D29" t="s">
        <v>405</v>
      </c>
      <c r="G29" s="293">
        <v>36000</v>
      </c>
      <c r="H29" s="3">
        <f>H28+G29</f>
        <v>36000</v>
      </c>
    </row>
    <row r="30" spans="1:10" ht="15">
      <c r="B30" s="295"/>
      <c r="C30" s="319"/>
      <c r="E30" s="320">
        <v>783</v>
      </c>
      <c r="G30" s="293"/>
      <c r="H30" s="3">
        <f>H29-G30-F30</f>
        <v>36000</v>
      </c>
    </row>
    <row r="31" spans="1:10">
      <c r="A31">
        <v>1</v>
      </c>
      <c r="B31" s="13">
        <v>44438</v>
      </c>
      <c r="D31" t="s">
        <v>406</v>
      </c>
      <c r="E31" s="321">
        <f>G32/E30</f>
        <v>2.554278416347382</v>
      </c>
      <c r="G31" s="3">
        <v>2000</v>
      </c>
      <c r="H31" s="3">
        <f t="shared" ref="H31:H47" si="1">H30-G31-F31</f>
        <v>34000</v>
      </c>
    </row>
    <row r="32" spans="1:10">
      <c r="A32">
        <v>2</v>
      </c>
      <c r="B32" s="13">
        <v>44469</v>
      </c>
      <c r="D32" t="s">
        <v>406</v>
      </c>
      <c r="G32" s="3">
        <v>2000</v>
      </c>
      <c r="H32" s="3">
        <f t="shared" si="1"/>
        <v>32000</v>
      </c>
    </row>
    <row r="33" spans="1:8">
      <c r="A33">
        <v>3</v>
      </c>
      <c r="B33" s="13">
        <v>44499</v>
      </c>
      <c r="D33" t="s">
        <v>406</v>
      </c>
      <c r="G33" s="3">
        <v>2000</v>
      </c>
      <c r="H33" s="3">
        <f t="shared" si="1"/>
        <v>30000</v>
      </c>
    </row>
    <row r="34" spans="1:8">
      <c r="A34">
        <v>4</v>
      </c>
      <c r="B34" s="13">
        <v>44530</v>
      </c>
      <c r="D34" t="s">
        <v>406</v>
      </c>
      <c r="G34" s="3">
        <v>2000</v>
      </c>
      <c r="H34" s="3">
        <f t="shared" si="1"/>
        <v>28000</v>
      </c>
    </row>
    <row r="35" spans="1:8">
      <c r="A35">
        <v>5</v>
      </c>
      <c r="B35" s="13">
        <v>44560</v>
      </c>
      <c r="D35" t="s">
        <v>406</v>
      </c>
      <c r="G35" s="3">
        <v>2000</v>
      </c>
      <c r="H35" s="3">
        <f t="shared" si="1"/>
        <v>26000</v>
      </c>
    </row>
    <row r="36" spans="1:8">
      <c r="A36">
        <v>6</v>
      </c>
      <c r="B36" s="13">
        <v>44591</v>
      </c>
      <c r="D36" t="s">
        <v>406</v>
      </c>
      <c r="G36" s="3">
        <v>2000</v>
      </c>
      <c r="H36" s="3">
        <f t="shared" si="1"/>
        <v>24000</v>
      </c>
    </row>
    <row r="37" spans="1:8">
      <c r="B37" s="13"/>
      <c r="E37" s="320">
        <v>968</v>
      </c>
      <c r="G37" s="3"/>
      <c r="H37" s="3"/>
    </row>
    <row r="38" spans="1:8">
      <c r="A38">
        <v>7</v>
      </c>
      <c r="B38" s="13">
        <v>44620</v>
      </c>
      <c r="D38" t="s">
        <v>407</v>
      </c>
      <c r="E38" s="321">
        <f>G38/E37</f>
        <v>3.0991735537190084</v>
      </c>
      <c r="G38" s="3">
        <v>3000</v>
      </c>
      <c r="H38" s="3">
        <f>H36-G38-F38</f>
        <v>21000</v>
      </c>
    </row>
    <row r="39" spans="1:8">
      <c r="A39">
        <v>8</v>
      </c>
      <c r="B39" s="13">
        <v>44650</v>
      </c>
      <c r="D39" t="s">
        <v>408</v>
      </c>
      <c r="G39" s="3">
        <v>3000</v>
      </c>
      <c r="H39" s="3">
        <f t="shared" si="1"/>
        <v>18000</v>
      </c>
    </row>
    <row r="40" spans="1:8" ht="15">
      <c r="A40">
        <v>9</v>
      </c>
      <c r="B40" s="13">
        <v>44681</v>
      </c>
      <c r="D40" s="287" t="s">
        <v>409</v>
      </c>
      <c r="G40" s="3">
        <v>5000</v>
      </c>
      <c r="H40" s="3">
        <f t="shared" si="1"/>
        <v>13000</v>
      </c>
    </row>
    <row r="41" spans="1:8" ht="15">
      <c r="A41">
        <v>10</v>
      </c>
      <c r="B41" s="13">
        <v>44711</v>
      </c>
      <c r="D41" s="287" t="s">
        <v>410</v>
      </c>
      <c r="E41" s="297"/>
      <c r="F41" s="297"/>
      <c r="G41" s="3">
        <v>3000</v>
      </c>
      <c r="H41" s="3">
        <f t="shared" si="1"/>
        <v>10000</v>
      </c>
    </row>
    <row r="42" spans="1:8" ht="15">
      <c r="A42">
        <v>11</v>
      </c>
      <c r="B42" s="13">
        <v>44742</v>
      </c>
      <c r="D42" s="287" t="s">
        <v>411</v>
      </c>
      <c r="F42" s="302">
        <v>4000</v>
      </c>
      <c r="G42" s="3"/>
      <c r="H42" s="3">
        <f t="shared" si="1"/>
        <v>6000</v>
      </c>
    </row>
    <row r="43" spans="1:8" ht="15">
      <c r="A43">
        <v>12</v>
      </c>
      <c r="B43" s="13">
        <v>44772</v>
      </c>
      <c r="D43" s="287" t="s">
        <v>447</v>
      </c>
      <c r="F43" s="302">
        <v>5000</v>
      </c>
      <c r="G43" s="3"/>
      <c r="H43" s="3">
        <f t="shared" si="1"/>
        <v>1000</v>
      </c>
    </row>
    <row r="44" spans="1:8" ht="15">
      <c r="A44">
        <v>13</v>
      </c>
      <c r="B44" s="13"/>
      <c r="D44" s="287" t="s">
        <v>446</v>
      </c>
      <c r="G44" s="3"/>
      <c r="H44" s="3">
        <f t="shared" si="1"/>
        <v>1000</v>
      </c>
    </row>
    <row r="45" spans="1:8" ht="15">
      <c r="A45">
        <v>14</v>
      </c>
      <c r="B45" s="13"/>
      <c r="D45" s="287" t="s">
        <v>412</v>
      </c>
      <c r="G45" s="3">
        <v>1000</v>
      </c>
      <c r="H45" s="3">
        <f t="shared" si="1"/>
        <v>0</v>
      </c>
    </row>
    <row r="46" spans="1:8">
      <c r="B46" s="13"/>
      <c r="G46" s="3"/>
      <c r="H46" s="3">
        <f t="shared" si="1"/>
        <v>0</v>
      </c>
    </row>
    <row r="47" spans="1:8">
      <c r="B47" s="13"/>
      <c r="D47" s="9" t="s">
        <v>401</v>
      </c>
      <c r="H47" s="3">
        <f t="shared" si="1"/>
        <v>0</v>
      </c>
    </row>
    <row r="48" spans="1:8">
      <c r="B48" s="13"/>
      <c r="G48" s="9"/>
      <c r="H48" s="3"/>
    </row>
    <row r="49" spans="1:8">
      <c r="B49" s="13"/>
      <c r="G49" s="9"/>
      <c r="H49" s="3"/>
    </row>
    <row r="50" spans="1:8">
      <c r="B50" s="13"/>
      <c r="G50" s="9"/>
      <c r="H50" s="3"/>
    </row>
    <row r="51" spans="1:8">
      <c r="B51" s="13"/>
      <c r="G51" s="9"/>
      <c r="H51" s="3"/>
    </row>
    <row r="52" spans="1:8">
      <c r="B52" s="13"/>
      <c r="G52" s="9"/>
      <c r="H52" s="3"/>
    </row>
    <row r="53" spans="1:8">
      <c r="B53" s="13"/>
      <c r="G53" s="9"/>
      <c r="H53" s="3"/>
    </row>
    <row r="54" spans="1:8">
      <c r="B54" s="13"/>
      <c r="G54" s="9"/>
      <c r="H54" s="3"/>
    </row>
    <row r="55" spans="1:8" ht="21">
      <c r="D55" s="288" t="s">
        <v>413</v>
      </c>
      <c r="G55" s="9"/>
      <c r="H55" s="289">
        <f>G57/12</f>
        <v>5000</v>
      </c>
    </row>
    <row r="56" spans="1:8" ht="15">
      <c r="D56" s="290" t="s">
        <v>403</v>
      </c>
      <c r="E56" s="290"/>
      <c r="F56" s="290"/>
      <c r="G56" s="291">
        <v>4253</v>
      </c>
      <c r="H56" s="292">
        <f>G62/G56</f>
        <v>14.107688690336234</v>
      </c>
    </row>
    <row r="57" spans="1:8" ht="15">
      <c r="D57" s="287" t="s">
        <v>414</v>
      </c>
      <c r="F57" s="2"/>
      <c r="G57">
        <f>G62</f>
        <v>60000</v>
      </c>
      <c r="H57" s="3"/>
    </row>
    <row r="58" spans="1:8" ht="15">
      <c r="D58" s="287" t="s">
        <v>442</v>
      </c>
      <c r="F58" s="2"/>
      <c r="G58" s="278">
        <f>G23+G24</f>
        <v>30235.200000000001</v>
      </c>
      <c r="H58" s="3"/>
    </row>
    <row r="59" spans="1:8" ht="15">
      <c r="B59" s="295">
        <v>44772</v>
      </c>
      <c r="C59" s="319"/>
      <c r="D59" s="303" t="s">
        <v>436</v>
      </c>
      <c r="E59" s="306">
        <v>0.71830000000000005</v>
      </c>
      <c r="F59" s="283"/>
      <c r="G59" s="307">
        <f>G58*E59</f>
        <v>21717.944160000003</v>
      </c>
      <c r="H59" s="3"/>
    </row>
    <row r="60" spans="1:8" ht="15">
      <c r="D60" s="287" t="s">
        <v>441</v>
      </c>
      <c r="F60" s="2"/>
      <c r="G60" s="311">
        <f>G58+G59</f>
        <v>51953.144160000003</v>
      </c>
    </row>
    <row r="61" spans="1:8" ht="15">
      <c r="F61" s="2" t="s">
        <v>434</v>
      </c>
      <c r="G61" s="293" t="s">
        <v>398</v>
      </c>
      <c r="H61" s="294" t="s">
        <v>158</v>
      </c>
    </row>
    <row r="62" spans="1:8" ht="15">
      <c r="D62" s="287" t="s">
        <v>448</v>
      </c>
      <c r="G62" s="293">
        <v>60000</v>
      </c>
      <c r="H62" s="3">
        <f>G62</f>
        <v>60000</v>
      </c>
    </row>
    <row r="63" spans="1:8" ht="15">
      <c r="D63" s="287"/>
      <c r="E63" s="320">
        <v>1095</v>
      </c>
      <c r="G63" s="293"/>
      <c r="H63" s="3">
        <f>H62-G63-F63</f>
        <v>60000</v>
      </c>
    </row>
    <row r="64" spans="1:8">
      <c r="A64">
        <v>1</v>
      </c>
      <c r="B64" s="13">
        <v>44803</v>
      </c>
      <c r="D64" t="s">
        <v>408</v>
      </c>
      <c r="E64" s="321">
        <f>G64/E63</f>
        <v>2.7397260273972601</v>
      </c>
      <c r="G64">
        <v>3000</v>
      </c>
      <c r="H64" s="3">
        <f t="shared" ref="H64:H78" si="2">H63-G64-F64</f>
        <v>57000</v>
      </c>
    </row>
    <row r="65" spans="1:8" ht="15">
      <c r="A65">
        <v>2</v>
      </c>
      <c r="B65" s="13">
        <v>44834</v>
      </c>
      <c r="D65" t="s">
        <v>416</v>
      </c>
      <c r="G65">
        <v>3000</v>
      </c>
      <c r="H65" s="3">
        <f t="shared" si="2"/>
        <v>54000</v>
      </c>
    </row>
    <row r="66" spans="1:8">
      <c r="A66">
        <v>3</v>
      </c>
      <c r="B66" s="13">
        <v>44864</v>
      </c>
      <c r="D66" t="s">
        <v>408</v>
      </c>
      <c r="G66">
        <v>3000</v>
      </c>
      <c r="H66" s="3">
        <f t="shared" si="2"/>
        <v>51000</v>
      </c>
    </row>
    <row r="67" spans="1:8" ht="15">
      <c r="A67">
        <v>4</v>
      </c>
      <c r="B67" s="13">
        <v>44895</v>
      </c>
      <c r="D67" t="s">
        <v>417</v>
      </c>
      <c r="G67">
        <v>3000</v>
      </c>
      <c r="H67" s="3">
        <f t="shared" si="2"/>
        <v>48000</v>
      </c>
    </row>
    <row r="68" spans="1:8">
      <c r="A68">
        <v>5</v>
      </c>
      <c r="B68" s="13">
        <v>44925</v>
      </c>
      <c r="D68" t="s">
        <v>408</v>
      </c>
      <c r="F68" s="302">
        <v>3000</v>
      </c>
      <c r="H68" s="3">
        <f t="shared" si="2"/>
        <v>45000</v>
      </c>
    </row>
    <row r="69" spans="1:8" ht="15">
      <c r="A69">
        <v>6</v>
      </c>
      <c r="B69" s="13">
        <v>44956</v>
      </c>
      <c r="D69" t="s">
        <v>418</v>
      </c>
      <c r="F69" s="302">
        <v>6000</v>
      </c>
      <c r="H69" s="3">
        <f t="shared" si="2"/>
        <v>39000</v>
      </c>
    </row>
    <row r="70" spans="1:8">
      <c r="B70" s="13"/>
      <c r="E70" s="320">
        <v>1607</v>
      </c>
      <c r="F70" s="302"/>
      <c r="H70" s="3"/>
    </row>
    <row r="71" spans="1:8" ht="15">
      <c r="A71">
        <v>7</v>
      </c>
      <c r="B71" s="13">
        <v>44985</v>
      </c>
      <c r="D71" t="s">
        <v>419</v>
      </c>
      <c r="E71" s="321">
        <f>G71/E70</f>
        <v>4.0448039825762292</v>
      </c>
      <c r="G71">
        <v>6500</v>
      </c>
      <c r="H71" s="3">
        <f>H69-G71-F71</f>
        <v>32500</v>
      </c>
    </row>
    <row r="72" spans="1:8">
      <c r="A72">
        <v>8</v>
      </c>
      <c r="B72" s="13">
        <v>45015</v>
      </c>
      <c r="D72" t="s">
        <v>420</v>
      </c>
      <c r="G72">
        <v>6500</v>
      </c>
      <c r="H72" s="3">
        <f t="shared" si="2"/>
        <v>26000</v>
      </c>
    </row>
    <row r="73" spans="1:8">
      <c r="A73">
        <v>9</v>
      </c>
      <c r="B73" s="13">
        <v>45046</v>
      </c>
      <c r="D73" t="s">
        <v>420</v>
      </c>
      <c r="G73">
        <v>6500</v>
      </c>
      <c r="H73" s="3">
        <f t="shared" si="2"/>
        <v>19500</v>
      </c>
    </row>
    <row r="74" spans="1:8" ht="15">
      <c r="A74">
        <v>10</v>
      </c>
      <c r="B74" s="13">
        <v>45076</v>
      </c>
      <c r="D74" t="s">
        <v>421</v>
      </c>
      <c r="G74">
        <v>6500</v>
      </c>
      <c r="H74" s="3">
        <f t="shared" si="2"/>
        <v>13000</v>
      </c>
    </row>
    <row r="75" spans="1:8">
      <c r="A75">
        <v>11</v>
      </c>
      <c r="B75" s="13">
        <v>45107</v>
      </c>
      <c r="D75" t="s">
        <v>420</v>
      </c>
      <c r="G75">
        <v>6500</v>
      </c>
      <c r="H75" s="3">
        <f t="shared" si="2"/>
        <v>6500</v>
      </c>
    </row>
    <row r="76" spans="1:8">
      <c r="A76">
        <v>12</v>
      </c>
      <c r="B76" s="13">
        <v>45137</v>
      </c>
      <c r="D76" t="s">
        <v>420</v>
      </c>
      <c r="G76">
        <v>6500</v>
      </c>
      <c r="H76" s="3">
        <f t="shared" si="2"/>
        <v>0</v>
      </c>
    </row>
    <row r="77" spans="1:8">
      <c r="H77" s="3">
        <f t="shared" si="2"/>
        <v>0</v>
      </c>
    </row>
    <row r="78" spans="1:8">
      <c r="D78" s="9" t="s">
        <v>401</v>
      </c>
      <c r="H78" s="3">
        <f t="shared" si="2"/>
        <v>0</v>
      </c>
    </row>
    <row r="79" spans="1:8">
      <c r="H79" s="3"/>
    </row>
    <row r="80" spans="1:8" ht="21">
      <c r="D80" s="288" t="s">
        <v>422</v>
      </c>
      <c r="H80" s="298">
        <f>(G82)/12</f>
        <v>12600</v>
      </c>
    </row>
    <row r="81" spans="1:8" ht="15">
      <c r="D81" s="290" t="s">
        <v>403</v>
      </c>
      <c r="E81" s="290"/>
      <c r="F81" s="290"/>
      <c r="G81" s="291">
        <v>17002</v>
      </c>
      <c r="H81" s="292">
        <f>(G88+G89+G90)/G81</f>
        <v>8.8930714033643099</v>
      </c>
    </row>
    <row r="82" spans="1:8" ht="15">
      <c r="D82" s="287" t="s">
        <v>423</v>
      </c>
      <c r="G82" s="293">
        <f>SUM(G88:G90)</f>
        <v>151200</v>
      </c>
      <c r="H82" s="3"/>
    </row>
    <row r="83" spans="1:8" ht="15">
      <c r="D83" s="287" t="s">
        <v>442</v>
      </c>
      <c r="G83" s="278">
        <f>G58+G59</f>
        <v>51953.144160000003</v>
      </c>
      <c r="H83" s="3"/>
    </row>
    <row r="84" spans="1:8" ht="15">
      <c r="B84" s="295">
        <v>45137</v>
      </c>
      <c r="C84" s="319"/>
      <c r="D84" s="303" t="s">
        <v>437</v>
      </c>
      <c r="E84" s="306">
        <v>0.55910000000000004</v>
      </c>
      <c r="F84" s="283"/>
      <c r="G84" s="307">
        <f>G83*E84</f>
        <v>29047.002899856005</v>
      </c>
      <c r="H84" s="3"/>
    </row>
    <row r="85" spans="1:8" ht="15">
      <c r="D85" s="287" t="s">
        <v>441</v>
      </c>
      <c r="G85" s="311">
        <f>G83+G84</f>
        <v>81000.147059856012</v>
      </c>
    </row>
    <row r="86" spans="1:8" ht="15">
      <c r="F86" s="2" t="s">
        <v>434</v>
      </c>
      <c r="G86" s="293" t="s">
        <v>398</v>
      </c>
      <c r="H86" s="294" t="s">
        <v>158</v>
      </c>
    </row>
    <row r="87" spans="1:8" ht="15">
      <c r="D87" t="s">
        <v>424</v>
      </c>
      <c r="G87" s="293"/>
      <c r="H87" s="3">
        <f>G87</f>
        <v>0</v>
      </c>
    </row>
    <row r="88" spans="1:8" ht="15">
      <c r="D88">
        <v>6500</v>
      </c>
      <c r="E88">
        <v>6</v>
      </c>
      <c r="G88" s="293">
        <f>E88*D88</f>
        <v>39000</v>
      </c>
      <c r="H88" s="3">
        <f>H87+G88</f>
        <v>39000</v>
      </c>
    </row>
    <row r="89" spans="1:8" ht="15">
      <c r="D89">
        <v>17000</v>
      </c>
      <c r="E89">
        <v>4</v>
      </c>
      <c r="G89" s="293">
        <f>E89*D89</f>
        <v>68000</v>
      </c>
      <c r="H89" s="3">
        <f>H88+G89</f>
        <v>107000</v>
      </c>
    </row>
    <row r="90" spans="1:8" ht="15">
      <c r="D90">
        <v>22100</v>
      </c>
      <c r="E90">
        <v>2</v>
      </c>
      <c r="G90" s="293">
        <f>E90*D90</f>
        <v>44200</v>
      </c>
      <c r="H90" s="3">
        <f t="shared" ref="H90:H92" si="3">H89+G90</f>
        <v>151200</v>
      </c>
    </row>
    <row r="91" spans="1:8">
      <c r="H91" s="3">
        <f t="shared" si="3"/>
        <v>151200</v>
      </c>
    </row>
    <row r="92" spans="1:8" ht="15">
      <c r="D92" s="299" t="s">
        <v>415</v>
      </c>
      <c r="E92" s="290"/>
      <c r="F92" s="290"/>
      <c r="G92" s="291"/>
      <c r="H92" s="3">
        <f t="shared" si="3"/>
        <v>151200</v>
      </c>
    </row>
    <row r="93" spans="1:8" ht="15">
      <c r="D93" s="299"/>
      <c r="E93" s="320">
        <v>1954</v>
      </c>
      <c r="F93" s="290"/>
      <c r="G93" s="291"/>
      <c r="H93" s="3">
        <f>H92-G93-F93</f>
        <v>151200</v>
      </c>
    </row>
    <row r="94" spans="1:8">
      <c r="A94">
        <v>1</v>
      </c>
      <c r="B94" s="13">
        <v>45168</v>
      </c>
      <c r="D94" t="s">
        <v>420</v>
      </c>
      <c r="E94" s="321">
        <f>G94/E93</f>
        <v>3.3265097236438077</v>
      </c>
      <c r="G94">
        <v>6500</v>
      </c>
      <c r="H94" s="3">
        <f t="shared" ref="H94:H108" si="4">H93-G94-F94</f>
        <v>144700</v>
      </c>
    </row>
    <row r="95" spans="1:8" ht="15">
      <c r="A95">
        <v>2</v>
      </c>
      <c r="B95" s="13">
        <v>45199</v>
      </c>
      <c r="D95" t="s">
        <v>425</v>
      </c>
      <c r="F95" s="302">
        <v>6500</v>
      </c>
      <c r="H95" s="3">
        <f t="shared" si="4"/>
        <v>138200</v>
      </c>
    </row>
    <row r="96" spans="1:8">
      <c r="A96">
        <v>3</v>
      </c>
      <c r="B96" s="13">
        <v>45229</v>
      </c>
      <c r="D96" t="s">
        <v>420</v>
      </c>
      <c r="G96">
        <v>6500</v>
      </c>
      <c r="H96" s="3">
        <f t="shared" si="4"/>
        <v>131700</v>
      </c>
    </row>
    <row r="97" spans="1:8">
      <c r="A97">
        <v>4</v>
      </c>
      <c r="B97" s="13">
        <v>45260</v>
      </c>
      <c r="D97" t="s">
        <v>420</v>
      </c>
      <c r="G97">
        <v>6500</v>
      </c>
      <c r="H97" s="3">
        <f t="shared" si="4"/>
        <v>125200</v>
      </c>
    </row>
    <row r="98" spans="1:8">
      <c r="A98">
        <v>5</v>
      </c>
      <c r="B98" s="13">
        <v>45290</v>
      </c>
      <c r="D98" t="s">
        <v>420</v>
      </c>
      <c r="G98">
        <v>6500</v>
      </c>
      <c r="H98" s="3">
        <f t="shared" si="4"/>
        <v>118700</v>
      </c>
    </row>
    <row r="99" spans="1:8" ht="15">
      <c r="A99">
        <v>6</v>
      </c>
      <c r="B99" s="13">
        <v>45321</v>
      </c>
      <c r="D99" t="s">
        <v>426</v>
      </c>
      <c r="G99">
        <v>6500</v>
      </c>
      <c r="H99" s="3">
        <f t="shared" si="4"/>
        <v>112200</v>
      </c>
    </row>
    <row r="100" spans="1:8" ht="15">
      <c r="A100">
        <v>7</v>
      </c>
      <c r="B100" s="13">
        <v>45350</v>
      </c>
      <c r="D100" t="s">
        <v>427</v>
      </c>
      <c r="G100" s="300">
        <v>6500</v>
      </c>
      <c r="H100" s="3">
        <f t="shared" si="4"/>
        <v>105700</v>
      </c>
    </row>
    <row r="101" spans="1:8" ht="15">
      <c r="B101" s="13"/>
      <c r="E101" s="320">
        <v>2442</v>
      </c>
      <c r="G101" s="300"/>
      <c r="H101" s="3"/>
    </row>
    <row r="102" spans="1:8" ht="15">
      <c r="A102">
        <v>8</v>
      </c>
      <c r="B102" s="13">
        <v>45381</v>
      </c>
      <c r="D102" t="s">
        <v>428</v>
      </c>
      <c r="E102" s="321">
        <f>G102/E101</f>
        <v>6.1425061425061429</v>
      </c>
      <c r="G102">
        <v>15000</v>
      </c>
      <c r="H102" s="3">
        <f>H100-G102-F102</f>
        <v>90700</v>
      </c>
    </row>
    <row r="103" spans="1:8">
      <c r="A103">
        <v>9</v>
      </c>
      <c r="B103" s="13">
        <v>45412</v>
      </c>
      <c r="D103" t="s">
        <v>429</v>
      </c>
      <c r="G103">
        <v>15000</v>
      </c>
      <c r="H103" s="3">
        <f t="shared" si="4"/>
        <v>75700</v>
      </c>
    </row>
    <row r="104" spans="1:8">
      <c r="A104">
        <v>10</v>
      </c>
      <c r="B104" s="13">
        <v>45442</v>
      </c>
      <c r="D104" t="s">
        <v>429</v>
      </c>
      <c r="G104">
        <v>15000</v>
      </c>
      <c r="H104" s="3">
        <f t="shared" si="4"/>
        <v>60700</v>
      </c>
    </row>
    <row r="105" spans="1:8" ht="15">
      <c r="A105">
        <v>11</v>
      </c>
      <c r="B105" s="13">
        <v>45473</v>
      </c>
      <c r="D105" t="s">
        <v>430</v>
      </c>
      <c r="E105" s="310" t="s">
        <v>455</v>
      </c>
      <c r="F105" s="302">
        <v>15000</v>
      </c>
      <c r="H105" s="3">
        <f t="shared" si="4"/>
        <v>45700</v>
      </c>
    </row>
    <row r="106" spans="1:8">
      <c r="A106">
        <v>12</v>
      </c>
      <c r="B106" s="13">
        <v>45503</v>
      </c>
      <c r="D106" t="s">
        <v>429</v>
      </c>
      <c r="G106">
        <v>15000</v>
      </c>
      <c r="H106" s="3">
        <f t="shared" si="4"/>
        <v>30700</v>
      </c>
    </row>
    <row r="107" spans="1:8">
      <c r="H107" s="3">
        <f t="shared" si="4"/>
        <v>30700</v>
      </c>
    </row>
    <row r="108" spans="1:8">
      <c r="D108" s="9" t="s">
        <v>401</v>
      </c>
      <c r="H108" s="3">
        <f t="shared" si="4"/>
        <v>30700</v>
      </c>
    </row>
    <row r="109" spans="1:8">
      <c r="H109" s="3"/>
    </row>
    <row r="110" spans="1:8" ht="13.5" thickBot="1">
      <c r="A110" s="339"/>
      <c r="H110" s="3"/>
    </row>
    <row r="111" spans="1:8" ht="21">
      <c r="A111" s="333"/>
      <c r="B111" s="349"/>
      <c r="C111" s="335"/>
      <c r="D111" s="336" t="s">
        <v>431</v>
      </c>
      <c r="E111" s="334"/>
      <c r="F111" s="334"/>
      <c r="G111" s="334"/>
      <c r="H111" s="337">
        <f>G113/12</f>
        <v>25000</v>
      </c>
    </row>
    <row r="112" spans="1:8" ht="15">
      <c r="A112" s="338"/>
      <c r="B112" s="348"/>
      <c r="C112" s="340"/>
      <c r="D112" s="341" t="s">
        <v>403</v>
      </c>
      <c r="E112" s="341"/>
      <c r="F112" s="341"/>
      <c r="G112" s="342">
        <v>22104</v>
      </c>
      <c r="H112" s="343">
        <f>G119/G112</f>
        <v>13.572204125950055</v>
      </c>
    </row>
    <row r="113" spans="1:8" ht="15.75" thickBot="1">
      <c r="A113" s="350"/>
      <c r="B113" s="351"/>
      <c r="C113" s="345"/>
      <c r="D113" s="346" t="s">
        <v>450</v>
      </c>
      <c r="E113" s="344"/>
      <c r="F113" s="344"/>
      <c r="G113" s="344">
        <f>G119</f>
        <v>300000</v>
      </c>
      <c r="H113" s="347"/>
    </row>
    <row r="114" spans="1:8" ht="15">
      <c r="D114" s="287" t="s">
        <v>442</v>
      </c>
      <c r="G114" s="278">
        <f>G83+G84</f>
        <v>81000.147059856012</v>
      </c>
      <c r="H114" s="3"/>
    </row>
    <row r="115" spans="1:8" ht="15">
      <c r="B115" s="295">
        <v>45503</v>
      </c>
      <c r="C115" s="319"/>
      <c r="D115" s="303" t="s">
        <v>438</v>
      </c>
      <c r="E115" s="306">
        <v>0.5383</v>
      </c>
      <c r="F115" s="283"/>
      <c r="G115" s="307">
        <f>G114*E115</f>
        <v>43602.379162320489</v>
      </c>
      <c r="H115" s="3"/>
    </row>
    <row r="116" spans="1:8" ht="15">
      <c r="D116" s="287" t="s">
        <v>441</v>
      </c>
      <c r="G116" s="311">
        <f>G114+G115</f>
        <v>124602.5262221765</v>
      </c>
    </row>
    <row r="117" spans="1:8" ht="15">
      <c r="F117" s="2" t="s">
        <v>434</v>
      </c>
      <c r="G117" s="293" t="s">
        <v>398</v>
      </c>
      <c r="H117" s="294" t="s">
        <v>158</v>
      </c>
    </row>
    <row r="118" spans="1:8" ht="15">
      <c r="D118" s="287" t="s">
        <v>449</v>
      </c>
      <c r="G118" s="293"/>
      <c r="H118" s="3">
        <f>H108</f>
        <v>30700</v>
      </c>
    </row>
    <row r="119" spans="1:8" ht="15">
      <c r="D119">
        <v>25000</v>
      </c>
      <c r="E119">
        <v>12</v>
      </c>
      <c r="G119" s="293">
        <f>E119*D119</f>
        <v>300000</v>
      </c>
      <c r="H119" s="3">
        <f>H118+G119</f>
        <v>330700</v>
      </c>
    </row>
    <row r="120" spans="1:8" ht="15">
      <c r="G120" s="293"/>
      <c r="H120" s="3">
        <f>H119+G120</f>
        <v>330700</v>
      </c>
    </row>
    <row r="121" spans="1:8" ht="15">
      <c r="G121" s="293"/>
      <c r="H121" s="3">
        <f t="shared" ref="H121:H123" si="5">H120+G121</f>
        <v>330700</v>
      </c>
    </row>
    <row r="122" spans="1:8" ht="15">
      <c r="G122" s="293"/>
      <c r="H122" s="3">
        <f t="shared" si="5"/>
        <v>330700</v>
      </c>
    </row>
    <row r="123" spans="1:8" ht="15">
      <c r="D123" s="299"/>
      <c r="E123" s="320">
        <v>2981</v>
      </c>
      <c r="G123" s="291"/>
      <c r="H123" s="3">
        <f t="shared" si="5"/>
        <v>330700</v>
      </c>
    </row>
    <row r="124" spans="1:8" ht="15">
      <c r="D124" s="316" t="s">
        <v>468</v>
      </c>
      <c r="E124" s="321">
        <f>F125/E123</f>
        <v>5.0318685005031867</v>
      </c>
      <c r="F124" s="290"/>
      <c r="G124" s="291"/>
      <c r="H124" s="3">
        <f>H123-G124-F124</f>
        <v>330700</v>
      </c>
    </row>
    <row r="125" spans="1:8">
      <c r="A125">
        <v>1</v>
      </c>
      <c r="B125" s="13">
        <v>45534</v>
      </c>
      <c r="D125" t="s">
        <v>440</v>
      </c>
      <c r="E125" s="310" t="s">
        <v>455</v>
      </c>
      <c r="F125" s="302">
        <v>15000</v>
      </c>
      <c r="H125" s="3">
        <f t="shared" ref="H125:H140" si="6">H124-G125-F125</f>
        <v>315700</v>
      </c>
    </row>
    <row r="126" spans="1:8">
      <c r="A126">
        <v>2</v>
      </c>
      <c r="B126" s="13">
        <v>45565</v>
      </c>
      <c r="D126" t="s">
        <v>439</v>
      </c>
      <c r="E126" s="310" t="s">
        <v>455</v>
      </c>
      <c r="F126" s="302">
        <v>15000</v>
      </c>
      <c r="H126" s="3">
        <f t="shared" si="6"/>
        <v>300700</v>
      </c>
    </row>
    <row r="127" spans="1:8">
      <c r="A127">
        <v>3</v>
      </c>
      <c r="B127" s="13">
        <v>45595</v>
      </c>
      <c r="D127" t="s">
        <v>456</v>
      </c>
      <c r="E127" s="310" t="s">
        <v>455</v>
      </c>
      <c r="F127" s="302">
        <v>15000</v>
      </c>
      <c r="H127" s="3">
        <f t="shared" si="6"/>
        <v>285700</v>
      </c>
    </row>
    <row r="128" spans="1:8">
      <c r="A128">
        <v>4</v>
      </c>
      <c r="B128" s="13">
        <v>45626</v>
      </c>
      <c r="D128" t="s">
        <v>467</v>
      </c>
      <c r="E128" s="310" t="s">
        <v>455</v>
      </c>
      <c r="F128" s="302">
        <v>15000</v>
      </c>
      <c r="H128" s="3">
        <f t="shared" si="6"/>
        <v>270700</v>
      </c>
    </row>
    <row r="129" spans="1:8">
      <c r="A129">
        <v>5</v>
      </c>
      <c r="B129" s="13">
        <v>45656</v>
      </c>
      <c r="D129" t="s">
        <v>464</v>
      </c>
      <c r="E129" s="310" t="s">
        <v>455</v>
      </c>
      <c r="F129" s="302">
        <v>15000</v>
      </c>
      <c r="H129" s="3">
        <f t="shared" si="6"/>
        <v>255700</v>
      </c>
    </row>
    <row r="130" spans="1:8">
      <c r="A130">
        <v>6</v>
      </c>
      <c r="B130" s="13">
        <v>45687</v>
      </c>
      <c r="D130" t="s">
        <v>465</v>
      </c>
      <c r="E130" s="310" t="s">
        <v>455</v>
      </c>
      <c r="F130" s="302">
        <v>15000</v>
      </c>
      <c r="H130" s="3">
        <f t="shared" si="6"/>
        <v>240700</v>
      </c>
    </row>
    <row r="131" spans="1:8">
      <c r="B131" s="13"/>
      <c r="E131" s="320">
        <v>4292</v>
      </c>
      <c r="F131" s="302"/>
      <c r="H131" s="3"/>
    </row>
    <row r="132" spans="1:8">
      <c r="B132" s="13"/>
      <c r="E132" s="321">
        <f>F133/E131</f>
        <v>3.4948741845293569</v>
      </c>
      <c r="F132" s="302"/>
      <c r="H132" s="3"/>
    </row>
    <row r="133" spans="1:8" ht="15">
      <c r="A133">
        <v>7</v>
      </c>
      <c r="B133" s="13">
        <v>45716</v>
      </c>
      <c r="D133" t="s">
        <v>466</v>
      </c>
      <c r="E133" s="310" t="s">
        <v>455</v>
      </c>
      <c r="F133" s="302">
        <v>15000</v>
      </c>
      <c r="G133" s="300"/>
      <c r="H133" s="3">
        <f>H130-G133-F133</f>
        <v>225700</v>
      </c>
    </row>
    <row r="134" spans="1:8">
      <c r="A134">
        <v>8</v>
      </c>
      <c r="B134" s="13">
        <v>45746</v>
      </c>
      <c r="D134" t="s">
        <v>461</v>
      </c>
      <c r="F134" s="302"/>
      <c r="H134" s="3">
        <f t="shared" si="6"/>
        <v>225700</v>
      </c>
    </row>
    <row r="135" spans="1:8">
      <c r="A135">
        <v>9</v>
      </c>
      <c r="B135" s="13" t="s">
        <v>433</v>
      </c>
      <c r="D135" t="s">
        <v>432</v>
      </c>
      <c r="F135" s="302"/>
      <c r="H135" s="3">
        <f t="shared" si="6"/>
        <v>225700</v>
      </c>
    </row>
    <row r="136" spans="1:8">
      <c r="A136">
        <v>10</v>
      </c>
      <c r="B136" s="13">
        <v>45807</v>
      </c>
      <c r="D136" t="s">
        <v>432</v>
      </c>
      <c r="H136" s="3">
        <f t="shared" si="6"/>
        <v>225700</v>
      </c>
    </row>
    <row r="137" spans="1:8">
      <c r="A137">
        <v>11</v>
      </c>
      <c r="B137" s="13">
        <v>45838</v>
      </c>
      <c r="D137" t="s">
        <v>432</v>
      </c>
      <c r="H137" s="3">
        <f t="shared" si="6"/>
        <v>225700</v>
      </c>
    </row>
    <row r="138" spans="1:8">
      <c r="A138">
        <v>12</v>
      </c>
      <c r="B138" s="13">
        <v>45868</v>
      </c>
      <c r="D138" t="s">
        <v>432</v>
      </c>
      <c r="H138" s="3">
        <f t="shared" si="6"/>
        <v>225700</v>
      </c>
    </row>
    <row r="139" spans="1:8">
      <c r="H139" s="3">
        <f t="shared" si="6"/>
        <v>225700</v>
      </c>
    </row>
    <row r="140" spans="1:8">
      <c r="D140" s="9" t="s">
        <v>401</v>
      </c>
      <c r="H140" s="3">
        <f t="shared" si="6"/>
        <v>225700</v>
      </c>
    </row>
    <row r="141" spans="1:8" ht="15">
      <c r="E141" s="83" t="s">
        <v>459</v>
      </c>
      <c r="F141" s="309">
        <f>SUM(F125:F140)</f>
        <v>105000</v>
      </c>
      <c r="G141" s="309"/>
      <c r="H141" s="292">
        <f>F141/G112</f>
        <v>4.7502714440825189</v>
      </c>
    </row>
    <row r="142" spans="1:8">
      <c r="D142" t="s">
        <v>443</v>
      </c>
      <c r="H142" s="278">
        <f>SUM(F8:F140)</f>
        <v>144500</v>
      </c>
    </row>
    <row r="143" spans="1:8">
      <c r="D143" t="s">
        <v>444</v>
      </c>
      <c r="H143" s="278">
        <f>SUM(G8)+G25+G60+G85+G116</f>
        <v>311791.01744203252</v>
      </c>
    </row>
    <row r="144" spans="1:8">
      <c r="D144" t="s">
        <v>445</v>
      </c>
      <c r="H144" s="278">
        <f>H143-H142</f>
        <v>167291.01744203252</v>
      </c>
    </row>
    <row r="145" spans="2:8">
      <c r="H145" s="3"/>
    </row>
    <row r="146" spans="2:8">
      <c r="B146" s="308">
        <v>45831</v>
      </c>
      <c r="D146" t="s">
        <v>480</v>
      </c>
      <c r="H146" s="3"/>
    </row>
    <row r="147" spans="2:8">
      <c r="B147" s="352">
        <v>45350</v>
      </c>
      <c r="D147" t="s">
        <v>481</v>
      </c>
      <c r="G147">
        <v>8500</v>
      </c>
      <c r="H147" s="3">
        <f t="shared" ref="H147:H152" si="7">H146-G147-F147</f>
        <v>-8500</v>
      </c>
    </row>
    <row r="148" spans="2:8">
      <c r="D148" t="s">
        <v>482</v>
      </c>
      <c r="E148" s="332">
        <v>0.5</v>
      </c>
      <c r="G148">
        <f>G147*E148</f>
        <v>4250</v>
      </c>
      <c r="H148" s="3">
        <f t="shared" si="7"/>
        <v>-12750</v>
      </c>
    </row>
    <row r="149" spans="2:8">
      <c r="D149" t="s">
        <v>483</v>
      </c>
      <c r="F149">
        <v>-105000</v>
      </c>
      <c r="H149" s="3">
        <f t="shared" si="7"/>
        <v>92250</v>
      </c>
    </row>
    <row r="150" spans="2:8">
      <c r="D150" t="s">
        <v>484</v>
      </c>
      <c r="G150">
        <v>45000</v>
      </c>
      <c r="H150" s="3">
        <f t="shared" si="7"/>
        <v>47250</v>
      </c>
    </row>
    <row r="151" spans="2:8">
      <c r="D151" t="s">
        <v>485</v>
      </c>
      <c r="H151" s="3">
        <f t="shared" si="7"/>
        <v>47250</v>
      </c>
    </row>
    <row r="152" spans="2:8">
      <c r="B152" s="308">
        <v>45722</v>
      </c>
      <c r="G152">
        <v>455</v>
      </c>
      <c r="H152" s="3">
        <f t="shared" si="7"/>
        <v>46795</v>
      </c>
    </row>
    <row r="153" spans="2:8">
      <c r="B153" s="308">
        <v>45750</v>
      </c>
      <c r="G153">
        <v>315</v>
      </c>
      <c r="H153" s="3"/>
    </row>
    <row r="154" spans="2:8">
      <c r="H154" s="3"/>
    </row>
    <row r="155" spans="2:8">
      <c r="D155" t="s">
        <v>451</v>
      </c>
      <c r="H155" s="3"/>
    </row>
    <row r="156" spans="2:8">
      <c r="B156" s="308">
        <v>45728</v>
      </c>
      <c r="D156" t="s">
        <v>452</v>
      </c>
    </row>
    <row r="157" spans="2:8">
      <c r="B157" s="308">
        <v>45777</v>
      </c>
      <c r="D157" t="s">
        <v>453</v>
      </c>
      <c r="H157" s="3">
        <v>150000</v>
      </c>
    </row>
    <row r="158" spans="2:8">
      <c r="D158" t="s">
        <v>454</v>
      </c>
      <c r="H158" s="3"/>
    </row>
    <row r="159" spans="2:8">
      <c r="H159" s="3"/>
    </row>
    <row r="160" spans="2:8">
      <c r="B160" s="308">
        <v>45740</v>
      </c>
      <c r="D160" t="s">
        <v>457</v>
      </c>
      <c r="H160" s="3"/>
    </row>
    <row r="161" spans="2:8">
      <c r="D161" t="s">
        <v>458</v>
      </c>
      <c r="H161" s="3"/>
    </row>
    <row r="163" spans="2:8">
      <c r="B163" s="308">
        <v>45807</v>
      </c>
      <c r="D163" t="s">
        <v>462</v>
      </c>
    </row>
    <row r="164" spans="2:8">
      <c r="D164" t="s">
        <v>463</v>
      </c>
    </row>
    <row r="167" spans="2:8">
      <c r="B167" s="328">
        <v>44197</v>
      </c>
      <c r="C167" s="330">
        <f>E9</f>
        <v>495</v>
      </c>
      <c r="E167" s="327">
        <f>E10</f>
        <v>4.0404040404040407</v>
      </c>
    </row>
    <row r="168" spans="2:8">
      <c r="B168" s="328">
        <v>44378</v>
      </c>
      <c r="C168" s="330">
        <f>E9</f>
        <v>495</v>
      </c>
      <c r="E168" s="327">
        <f>E10</f>
        <v>4.0404040404040407</v>
      </c>
    </row>
    <row r="169" spans="2:8">
      <c r="B169" s="328">
        <v>44562</v>
      </c>
      <c r="C169" s="330">
        <f>E30</f>
        <v>783</v>
      </c>
      <c r="E169" s="327">
        <f>E31</f>
        <v>2.554278416347382</v>
      </c>
    </row>
    <row r="170" spans="2:8">
      <c r="B170" s="328">
        <v>44743</v>
      </c>
      <c r="C170" s="330">
        <f>E37</f>
        <v>968</v>
      </c>
      <c r="E170" s="327">
        <f>E38</f>
        <v>3.0991735537190084</v>
      </c>
    </row>
    <row r="171" spans="2:8">
      <c r="B171" s="328">
        <v>44927</v>
      </c>
      <c r="C171" s="330">
        <f>E63</f>
        <v>1095</v>
      </c>
      <c r="E171" s="327">
        <f>E64</f>
        <v>2.7397260273972601</v>
      </c>
    </row>
    <row r="172" spans="2:8">
      <c r="B172" s="328">
        <v>45108</v>
      </c>
      <c r="C172" s="330">
        <f>E70</f>
        <v>1607</v>
      </c>
      <c r="E172" s="327">
        <f>E71</f>
        <v>4.0448039825762292</v>
      </c>
    </row>
    <row r="173" spans="2:8">
      <c r="B173" s="328">
        <v>45292</v>
      </c>
      <c r="C173" s="330">
        <f>E93</f>
        <v>1954</v>
      </c>
      <c r="E173" s="327">
        <f>E94</f>
        <v>3.3265097236438077</v>
      </c>
    </row>
    <row r="174" spans="2:8">
      <c r="B174" s="328">
        <v>45474</v>
      </c>
      <c r="C174" s="330">
        <f>E101</f>
        <v>2442</v>
      </c>
      <c r="E174" s="327">
        <f>E102</f>
        <v>6.1425061425061429</v>
      </c>
    </row>
    <row r="175" spans="2:8">
      <c r="B175" s="328">
        <v>45658</v>
      </c>
      <c r="C175" s="330">
        <f>E123</f>
        <v>2981</v>
      </c>
      <c r="E175" s="327">
        <f>E124</f>
        <v>5.0318685005031867</v>
      </c>
    </row>
    <row r="176" spans="2:8">
      <c r="B176" s="328"/>
      <c r="C176" s="330"/>
      <c r="E176" s="327"/>
    </row>
    <row r="177" spans="2:5">
      <c r="B177" s="328"/>
    </row>
    <row r="178" spans="2:5">
      <c r="B178" s="329">
        <v>9</v>
      </c>
      <c r="C178" s="329"/>
      <c r="D178" t="s">
        <v>472</v>
      </c>
      <c r="E178" s="327">
        <f>SUM(E167:E177)</f>
        <v>35.019674427501101</v>
      </c>
    </row>
    <row r="179" spans="2:5">
      <c r="B179" s="329">
        <v>9</v>
      </c>
      <c r="C179" s="329"/>
      <c r="D179" t="s">
        <v>473</v>
      </c>
      <c r="E179" s="327">
        <f>E178/B179</f>
        <v>3.8910749363890114</v>
      </c>
    </row>
    <row r="180" spans="2:5">
      <c r="B180" s="328"/>
    </row>
    <row r="181" spans="2:5">
      <c r="B181" s="328"/>
    </row>
    <row r="182" spans="2:5">
      <c r="B182" s="328"/>
      <c r="D182" t="s">
        <v>475</v>
      </c>
    </row>
    <row r="183" spans="2:5">
      <c r="B183" s="328">
        <v>45839</v>
      </c>
      <c r="C183" s="330">
        <v>4250</v>
      </c>
      <c r="D183" s="27" t="s">
        <v>474</v>
      </c>
      <c r="E183" s="331">
        <f>E179*C183</f>
        <v>16537.068479653299</v>
      </c>
    </row>
    <row r="184" spans="2:5">
      <c r="B184" s="328"/>
      <c r="D184" s="27" t="s">
        <v>476</v>
      </c>
      <c r="E184" s="331">
        <f>E167*C183</f>
        <v>17171.717171717173</v>
      </c>
    </row>
    <row r="185" spans="2:5">
      <c r="B185" s="328">
        <v>46023</v>
      </c>
      <c r="C185" s="317">
        <f>C183+(C183*C186)</f>
        <v>5100</v>
      </c>
      <c r="D185" s="83" t="s">
        <v>477</v>
      </c>
      <c r="E185" s="331">
        <f>E167*C185</f>
        <v>20606.060606060608</v>
      </c>
    </row>
    <row r="186" spans="2:5">
      <c r="C186" s="332">
        <v>0.2</v>
      </c>
      <c r="D186" s="83" t="s">
        <v>478</v>
      </c>
    </row>
    <row r="187" spans="2:5">
      <c r="D187" t="s">
        <v>479</v>
      </c>
      <c r="E187" s="331">
        <f>E174*C185</f>
        <v>31326.781326781329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34" zoomScale="190" zoomScaleNormal="190" workbookViewId="0">
      <selection activeCell="D46" sqref="D46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120000</v>
      </c>
      <c r="E10" s="3">
        <f>C10-D10</f>
        <v>109540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24208</v>
      </c>
      <c r="D45" s="19">
        <v>15000</v>
      </c>
      <c r="E45" s="20">
        <f t="shared" si="0"/>
        <v>9208</v>
      </c>
      <c r="F45" s="19"/>
      <c r="G45" s="3">
        <f t="shared" si="1"/>
        <v>160248</v>
      </c>
    </row>
    <row r="46" spans="1:7">
      <c r="A46" s="17">
        <v>45721</v>
      </c>
      <c r="B46" t="s">
        <v>460</v>
      </c>
      <c r="C46">
        <f>C45</f>
        <v>24208</v>
      </c>
      <c r="D46">
        <v>15000</v>
      </c>
      <c r="E46" s="3">
        <f t="shared" si="0"/>
        <v>18416</v>
      </c>
      <c r="G46" s="3">
        <f t="shared" si="1"/>
        <v>145248</v>
      </c>
    </row>
    <row r="47" spans="1:7">
      <c r="A47" s="17">
        <v>45777</v>
      </c>
      <c r="C47">
        <f>C46</f>
        <v>24208</v>
      </c>
      <c r="E47" s="3">
        <f t="shared" si="0"/>
        <v>42624</v>
      </c>
      <c r="G47" s="3">
        <f t="shared" si="1"/>
        <v>145248</v>
      </c>
    </row>
    <row r="48" spans="1:7">
      <c r="A48" s="17">
        <v>45807</v>
      </c>
      <c r="C48">
        <f>C47</f>
        <v>24208</v>
      </c>
      <c r="E48" s="3">
        <f t="shared" si="0"/>
        <v>66832</v>
      </c>
      <c r="G48" s="3">
        <f t="shared" si="1"/>
        <v>145248</v>
      </c>
    </row>
    <row r="49" spans="1:11">
      <c r="A49" s="17">
        <v>45838</v>
      </c>
      <c r="C49">
        <f>C48</f>
        <v>24208</v>
      </c>
      <c r="E49" s="3">
        <f t="shared" si="0"/>
        <v>91040</v>
      </c>
      <c r="G49" s="3">
        <f t="shared" si="1"/>
        <v>145248</v>
      </c>
    </row>
    <row r="50" spans="1:11">
      <c r="A50" s="17">
        <v>45868</v>
      </c>
      <c r="C50">
        <f>C49</f>
        <v>24208</v>
      </c>
      <c r="E50" s="3">
        <f t="shared" si="0"/>
        <v>115248</v>
      </c>
      <c r="G50" s="3">
        <f t="shared" si="1"/>
        <v>145248</v>
      </c>
    </row>
    <row r="52" spans="1:11">
      <c r="B52" t="s">
        <v>43</v>
      </c>
      <c r="C52">
        <f>SUM(C39:C51)</f>
        <v>235248</v>
      </c>
      <c r="D52">
        <f>SUM(D39:D51)</f>
        <v>120000</v>
      </c>
    </row>
    <row r="53" spans="1:11">
      <c r="B53" t="s">
        <v>44</v>
      </c>
      <c r="C53">
        <f>C52/12</f>
        <v>19604</v>
      </c>
      <c r="D53">
        <f>D52/12</f>
        <v>10000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37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topLeftCell="A53"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19" si="2">O16*L17</f>
        <v>21717.944160000003</v>
      </c>
      <c r="O17">
        <f t="shared" ref="O17:O19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4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4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4"/>
    </row>
    <row r="28" spans="1:15">
      <c r="C28" t="s">
        <v>128</v>
      </c>
      <c r="D28" s="98"/>
      <c r="G28" s="27" t="s">
        <v>129</v>
      </c>
      <c r="L28" s="304"/>
    </row>
    <row r="29" spans="1:15" ht="13.5" thickBot="1">
      <c r="C29" t="s">
        <v>70</v>
      </c>
      <c r="E29">
        <v>2280</v>
      </c>
      <c r="F29" s="3"/>
      <c r="L29" s="305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4"/>
  <sheetViews>
    <sheetView topLeftCell="A129" zoomScale="205" zoomScaleNormal="205" workbookViewId="0">
      <selection activeCell="D154" sqref="D154"/>
    </sheetView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12">
        <v>45233</v>
      </c>
      <c r="F1" s="312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B5" s="101"/>
      <c r="D5" s="107"/>
      <c r="E5" s="102"/>
      <c r="F5" s="107"/>
    </row>
    <row r="6" spans="1:6" ht="11.25" customHeight="1">
      <c r="A6" s="108">
        <v>38253</v>
      </c>
      <c r="B6" s="99" t="s">
        <v>160</v>
      </c>
      <c r="D6" s="100">
        <v>90</v>
      </c>
      <c r="E6" s="102"/>
      <c r="F6" s="100">
        <f>F4+D6+E6</f>
        <v>17165.75</v>
      </c>
    </row>
    <row r="7" spans="1:6" ht="11.25" customHeight="1">
      <c r="B7" s="99" t="s">
        <v>160</v>
      </c>
      <c r="D7" s="100">
        <v>45</v>
      </c>
      <c r="E7" s="102"/>
      <c r="F7" s="100">
        <f t="shared" ref="F7:F25" si="0">F6+D7+E7</f>
        <v>17210.75</v>
      </c>
    </row>
    <row r="8" spans="1:6" ht="11.25" customHeight="1">
      <c r="B8" s="99" t="s">
        <v>161</v>
      </c>
      <c r="D8" s="100">
        <v>5</v>
      </c>
      <c r="E8" s="102"/>
      <c r="F8" s="100">
        <f t="shared" si="0"/>
        <v>17215.75</v>
      </c>
    </row>
    <row r="9" spans="1:6" ht="11.25" customHeight="1">
      <c r="B9" s="99" t="s">
        <v>160</v>
      </c>
      <c r="D9" s="100">
        <v>36</v>
      </c>
      <c r="E9" s="102"/>
      <c r="F9" s="100">
        <f t="shared" si="0"/>
        <v>17251.75</v>
      </c>
    </row>
    <row r="10" spans="1:6" ht="11.25" customHeight="1">
      <c r="B10" s="101" t="s">
        <v>162</v>
      </c>
      <c r="C10" s="101"/>
      <c r="D10" s="109">
        <v>725</v>
      </c>
      <c r="E10" s="102"/>
      <c r="F10" s="100">
        <f t="shared" si="0"/>
        <v>17976.75</v>
      </c>
    </row>
    <row r="11" spans="1:6" ht="11.25" customHeight="1">
      <c r="B11" s="101" t="s">
        <v>163</v>
      </c>
      <c r="C11" s="101"/>
      <c r="D11" s="109">
        <v>725</v>
      </c>
      <c r="E11" s="102"/>
      <c r="F11" s="100">
        <f t="shared" si="0"/>
        <v>18701.75</v>
      </c>
    </row>
    <row r="12" spans="1:6" ht="11.25" customHeight="1">
      <c r="B12" s="101" t="s">
        <v>164</v>
      </c>
      <c r="C12" s="101"/>
      <c r="D12" s="109">
        <v>725</v>
      </c>
      <c r="E12" s="102"/>
      <c r="F12" s="100">
        <f t="shared" si="0"/>
        <v>19426.75</v>
      </c>
    </row>
    <row r="13" spans="1:6" ht="11.25" customHeight="1">
      <c r="B13" s="101" t="s">
        <v>165</v>
      </c>
      <c r="C13" s="101"/>
      <c r="D13" s="109">
        <v>1200</v>
      </c>
      <c r="E13" s="102"/>
      <c r="F13" s="100">
        <f t="shared" si="0"/>
        <v>20626.75</v>
      </c>
    </row>
    <row r="14" spans="1:6" ht="11.25" customHeight="1">
      <c r="B14" s="101" t="s">
        <v>166</v>
      </c>
      <c r="C14" s="101"/>
      <c r="D14" s="109">
        <v>725</v>
      </c>
      <c r="E14" s="102"/>
      <c r="F14" s="100">
        <f t="shared" si="0"/>
        <v>21351.75</v>
      </c>
    </row>
    <row r="15" spans="1:6" ht="11.25" customHeight="1">
      <c r="B15" s="99" t="s">
        <v>167</v>
      </c>
      <c r="D15" s="100">
        <v>65</v>
      </c>
      <c r="E15" s="102"/>
      <c r="F15" s="100">
        <f t="shared" si="0"/>
        <v>21416.75</v>
      </c>
    </row>
    <row r="16" spans="1:6" ht="11.25" customHeight="1">
      <c r="B16" s="99" t="s">
        <v>168</v>
      </c>
      <c r="D16" s="100">
        <v>400</v>
      </c>
      <c r="E16" s="102"/>
      <c r="F16" s="100">
        <f t="shared" si="0"/>
        <v>21816.75</v>
      </c>
    </row>
    <row r="17" spans="1:6" ht="11.25" customHeight="1">
      <c r="B17" s="101" t="s">
        <v>169</v>
      </c>
      <c r="C17" s="101"/>
      <c r="D17" s="109">
        <v>725</v>
      </c>
      <c r="E17" s="102"/>
      <c r="F17" s="100">
        <f t="shared" si="0"/>
        <v>22541.75</v>
      </c>
    </row>
    <row r="18" spans="1:6" ht="11.25" customHeight="1">
      <c r="B18" s="101" t="s">
        <v>170</v>
      </c>
      <c r="C18" s="101"/>
      <c r="D18" s="109">
        <v>725</v>
      </c>
      <c r="E18" s="102"/>
      <c r="F18" s="100">
        <f t="shared" si="0"/>
        <v>23266.75</v>
      </c>
    </row>
    <row r="19" spans="1:6" ht="11.25" customHeight="1">
      <c r="B19" s="101" t="s">
        <v>165</v>
      </c>
      <c r="C19" s="101"/>
      <c r="D19" s="109">
        <v>4500</v>
      </c>
      <c r="E19" s="102"/>
      <c r="F19" s="100">
        <f t="shared" si="0"/>
        <v>27766.75</v>
      </c>
    </row>
    <row r="20" spans="1:6" ht="11.25" customHeight="1">
      <c r="A20" s="108">
        <v>38328</v>
      </c>
      <c r="B20" s="101" t="s">
        <v>171</v>
      </c>
      <c r="C20" s="101">
        <v>1</v>
      </c>
      <c r="D20" s="109">
        <v>2426</v>
      </c>
      <c r="E20" s="102"/>
      <c r="F20" s="100">
        <f t="shared" si="0"/>
        <v>30192.75</v>
      </c>
    </row>
    <row r="21" spans="1:6" ht="11.25" customHeight="1">
      <c r="B21" s="101" t="s">
        <v>172</v>
      </c>
      <c r="C21" s="101"/>
      <c r="D21" s="109">
        <v>1520</v>
      </c>
      <c r="E21" s="102"/>
      <c r="F21" s="100">
        <f t="shared" si="0"/>
        <v>31712.75</v>
      </c>
    </row>
    <row r="22" spans="1:6" ht="11.25" customHeight="1">
      <c r="B22" s="99" t="s">
        <v>173</v>
      </c>
      <c r="D22" s="100"/>
      <c r="E22" s="102">
        <v>-2000</v>
      </c>
      <c r="F22" s="100">
        <f t="shared" si="0"/>
        <v>29712.75</v>
      </c>
    </row>
    <row r="23" spans="1:6" ht="11.25" customHeight="1">
      <c r="B23" s="99" t="s">
        <v>174</v>
      </c>
      <c r="D23" s="100"/>
      <c r="E23" s="102">
        <v>-3000</v>
      </c>
      <c r="F23" s="100">
        <f t="shared" si="0"/>
        <v>26712.75</v>
      </c>
    </row>
    <row r="24" spans="1:6" ht="11.25" customHeight="1">
      <c r="B24" s="99" t="s">
        <v>175</v>
      </c>
      <c r="D24" s="100"/>
      <c r="E24" s="102">
        <v>-3750</v>
      </c>
      <c r="F24" s="100">
        <f t="shared" si="0"/>
        <v>22962.75</v>
      </c>
    </row>
    <row r="25" spans="1:6" ht="11.25" customHeight="1">
      <c r="A25" s="108">
        <v>38352</v>
      </c>
      <c r="B25" s="99" t="s">
        <v>176</v>
      </c>
      <c r="D25" s="100"/>
      <c r="E25" s="102">
        <v>-1960</v>
      </c>
      <c r="F25" s="100">
        <f t="shared" si="0"/>
        <v>21002.75</v>
      </c>
    </row>
    <row r="26" spans="1:6" ht="11.25" customHeight="1">
      <c r="A26" s="108"/>
      <c r="C26" s="110" t="s">
        <v>177</v>
      </c>
      <c r="D26" s="107">
        <f>SUM(D6:D25)</f>
        <v>14637</v>
      </c>
      <c r="E26" s="111">
        <f>SUM(E6:E25)</f>
        <v>-10710</v>
      </c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8"/>
      <c r="D28" s="100"/>
      <c r="E28" s="102"/>
      <c r="F28" s="100"/>
    </row>
    <row r="29" spans="1:6" ht="11.25" customHeight="1">
      <c r="A29" s="103">
        <v>2005</v>
      </c>
      <c r="B29" s="104"/>
      <c r="C29" s="103" t="s">
        <v>155</v>
      </c>
      <c r="D29" s="105" t="s">
        <v>156</v>
      </c>
      <c r="E29" s="106" t="s">
        <v>157</v>
      </c>
      <c r="F29" s="105" t="s">
        <v>158</v>
      </c>
    </row>
    <row r="30" spans="1:6" ht="11.25" customHeight="1">
      <c r="A30" s="108"/>
      <c r="D30" s="100"/>
      <c r="E30" s="112" t="s">
        <v>178</v>
      </c>
      <c r="F30" s="100">
        <f>F25</f>
        <v>21002.75</v>
      </c>
    </row>
    <row r="31" spans="1:6" ht="11.25" customHeight="1">
      <c r="A31" s="108">
        <v>38366</v>
      </c>
      <c r="B31" s="101" t="s">
        <v>179</v>
      </c>
      <c r="C31" s="101">
        <v>2</v>
      </c>
      <c r="D31" s="109">
        <v>677</v>
      </c>
      <c r="E31" s="102"/>
      <c r="F31" s="100">
        <f t="shared" ref="F31:F67" si="1">F30+D31+E31</f>
        <v>21679.75</v>
      </c>
    </row>
    <row r="32" spans="1:6" ht="11.25" customHeight="1">
      <c r="A32" s="108">
        <v>38369</v>
      </c>
      <c r="B32" s="101" t="s">
        <v>171</v>
      </c>
      <c r="C32" s="101">
        <v>3</v>
      </c>
      <c r="D32" s="109">
        <v>2466.3200000000002</v>
      </c>
      <c r="E32" s="102"/>
      <c r="F32" s="100">
        <f t="shared" si="1"/>
        <v>24146.07</v>
      </c>
    </row>
    <row r="33" spans="1:6" ht="11.25" customHeight="1">
      <c r="A33" s="108">
        <v>38378</v>
      </c>
      <c r="B33" s="99" t="s">
        <v>180</v>
      </c>
      <c r="D33" s="100">
        <v>200</v>
      </c>
      <c r="E33" s="102"/>
      <c r="F33" s="100">
        <f t="shared" si="1"/>
        <v>24346.07</v>
      </c>
    </row>
    <row r="34" spans="1:6" ht="11.25" customHeight="1">
      <c r="A34" s="108"/>
      <c r="B34" s="99" t="s">
        <v>167</v>
      </c>
      <c r="D34" s="100">
        <v>140</v>
      </c>
      <c r="E34" s="102"/>
      <c r="F34" s="100">
        <f t="shared" si="1"/>
        <v>24486.07</v>
      </c>
    </row>
    <row r="35" spans="1:6" ht="11.25" customHeight="1">
      <c r="A35" s="108"/>
      <c r="B35" s="99" t="s">
        <v>181</v>
      </c>
      <c r="D35" s="100">
        <v>1000</v>
      </c>
      <c r="E35" s="102"/>
      <c r="F35" s="100">
        <f t="shared" si="1"/>
        <v>25486.07</v>
      </c>
    </row>
    <row r="36" spans="1:6" ht="11.25" customHeight="1">
      <c r="A36" s="108">
        <v>38383</v>
      </c>
      <c r="B36" s="101" t="s">
        <v>182</v>
      </c>
      <c r="C36" s="101"/>
      <c r="D36" s="109">
        <v>760</v>
      </c>
      <c r="E36" s="102"/>
      <c r="F36" s="100">
        <f t="shared" si="1"/>
        <v>26246.07</v>
      </c>
    </row>
    <row r="37" spans="1:6" ht="11.25" customHeight="1">
      <c r="A37" s="108">
        <v>38411</v>
      </c>
      <c r="B37" s="101" t="s">
        <v>183</v>
      </c>
      <c r="C37" s="101"/>
      <c r="D37" s="109">
        <v>760</v>
      </c>
      <c r="E37" s="102"/>
      <c r="F37" s="100">
        <f t="shared" si="1"/>
        <v>27006.07</v>
      </c>
    </row>
    <row r="38" spans="1:6" ht="11.25" customHeight="1">
      <c r="A38" s="108">
        <v>38421</v>
      </c>
      <c r="B38" s="101" t="s">
        <v>184</v>
      </c>
      <c r="C38" s="101">
        <v>4</v>
      </c>
      <c r="D38" s="109">
        <v>2568.86</v>
      </c>
      <c r="E38" s="102"/>
      <c r="F38" s="100">
        <f t="shared" si="1"/>
        <v>29574.93</v>
      </c>
    </row>
    <row r="39" spans="1:6" ht="11.25" customHeight="1">
      <c r="A39" s="108">
        <v>38422</v>
      </c>
      <c r="B39" s="101" t="s">
        <v>185</v>
      </c>
      <c r="C39" s="101">
        <v>5</v>
      </c>
      <c r="D39" s="109">
        <v>2414.08</v>
      </c>
      <c r="E39" s="102"/>
      <c r="F39" s="100">
        <f t="shared" si="1"/>
        <v>31989.010000000002</v>
      </c>
    </row>
    <row r="40" spans="1:6" ht="11.25" customHeight="1">
      <c r="A40" s="108">
        <v>38422</v>
      </c>
      <c r="B40" s="101" t="s">
        <v>186</v>
      </c>
      <c r="C40" s="101">
        <v>6</v>
      </c>
      <c r="D40" s="109">
        <v>2279.2399999999998</v>
      </c>
      <c r="E40" s="102"/>
      <c r="F40" s="100">
        <f t="shared" si="1"/>
        <v>34268.25</v>
      </c>
    </row>
    <row r="41" spans="1:6" ht="11.25" customHeight="1">
      <c r="A41" s="108">
        <v>38442</v>
      </c>
      <c r="B41" s="101" t="s">
        <v>187</v>
      </c>
      <c r="C41" s="101"/>
      <c r="D41" s="109">
        <v>742</v>
      </c>
      <c r="E41" s="102"/>
      <c r="F41" s="100">
        <f t="shared" si="1"/>
        <v>35010.25</v>
      </c>
    </row>
    <row r="42" spans="1:6" ht="11.25" customHeight="1">
      <c r="A42" s="108"/>
      <c r="B42" s="99" t="s">
        <v>167</v>
      </c>
      <c r="D42" s="100">
        <v>65</v>
      </c>
      <c r="E42" s="102"/>
      <c r="F42" s="100">
        <f t="shared" si="1"/>
        <v>35075.25</v>
      </c>
    </row>
    <row r="43" spans="1:6" ht="11.25" customHeight="1">
      <c r="A43" s="108"/>
      <c r="B43" s="99" t="s">
        <v>188</v>
      </c>
      <c r="D43" s="100">
        <v>5</v>
      </c>
      <c r="E43" s="102"/>
      <c r="F43" s="100">
        <f t="shared" si="1"/>
        <v>35080.25</v>
      </c>
    </row>
    <row r="44" spans="1:6" ht="11.25" customHeight="1">
      <c r="A44" s="108">
        <v>38472</v>
      </c>
      <c r="B44" s="101" t="s">
        <v>189</v>
      </c>
      <c r="C44" s="101"/>
      <c r="D44" s="109">
        <v>742</v>
      </c>
      <c r="E44" s="102"/>
      <c r="F44" s="100">
        <f t="shared" si="1"/>
        <v>35822.25</v>
      </c>
    </row>
    <row r="45" spans="1:6" ht="11.25" customHeight="1">
      <c r="A45" s="108"/>
      <c r="B45" s="99" t="s">
        <v>190</v>
      </c>
      <c r="D45" s="100">
        <v>10</v>
      </c>
      <c r="E45" s="102"/>
      <c r="F45" s="100">
        <f t="shared" si="1"/>
        <v>35832.25</v>
      </c>
    </row>
    <row r="46" spans="1:6" ht="11.25" customHeight="1">
      <c r="A46" s="108"/>
      <c r="B46" s="99" t="s">
        <v>191</v>
      </c>
      <c r="D46" s="100">
        <v>3</v>
      </c>
      <c r="E46" s="102"/>
      <c r="F46" s="100">
        <f t="shared" si="1"/>
        <v>35835.25</v>
      </c>
    </row>
    <row r="47" spans="1:6" ht="11.25" customHeight="1">
      <c r="A47" s="108">
        <v>38503</v>
      </c>
      <c r="B47" s="101" t="s">
        <v>192</v>
      </c>
      <c r="C47" s="101"/>
      <c r="D47" s="109">
        <v>750</v>
      </c>
      <c r="E47" s="102"/>
      <c r="F47" s="100">
        <f t="shared" si="1"/>
        <v>36585.25</v>
      </c>
    </row>
    <row r="48" spans="1:6" ht="11.25" customHeight="1">
      <c r="A48" s="108">
        <v>38506</v>
      </c>
      <c r="B48" s="101" t="s">
        <v>193</v>
      </c>
      <c r="C48" s="101">
        <v>7</v>
      </c>
      <c r="D48" s="109">
        <v>2547.8000000000002</v>
      </c>
      <c r="E48" s="102"/>
      <c r="F48" s="100">
        <f t="shared" si="1"/>
        <v>39133.050000000003</v>
      </c>
    </row>
    <row r="49" spans="1:6" ht="11.25" customHeight="1">
      <c r="A49" s="108">
        <v>38506</v>
      </c>
      <c r="B49" s="101" t="s">
        <v>194</v>
      </c>
      <c r="C49" s="101">
        <v>8</v>
      </c>
      <c r="D49" s="109">
        <v>2392.65</v>
      </c>
      <c r="E49" s="102"/>
      <c r="F49" s="100">
        <f t="shared" si="1"/>
        <v>41525.700000000004</v>
      </c>
    </row>
    <row r="50" spans="1:6" ht="11.25" customHeight="1">
      <c r="A50" s="108"/>
      <c r="B50" s="99" t="s">
        <v>195</v>
      </c>
      <c r="D50" s="100">
        <v>116</v>
      </c>
      <c r="E50" s="102"/>
      <c r="F50" s="100">
        <f t="shared" si="1"/>
        <v>41641.700000000004</v>
      </c>
    </row>
    <row r="51" spans="1:6" ht="11.25" customHeight="1">
      <c r="A51" s="108">
        <v>38582</v>
      </c>
      <c r="B51" s="101" t="s">
        <v>196</v>
      </c>
      <c r="C51" s="101">
        <v>10</v>
      </c>
      <c r="D51" s="109">
        <v>7455.35</v>
      </c>
      <c r="E51" s="102"/>
      <c r="F51" s="100">
        <f t="shared" si="1"/>
        <v>49097.05</v>
      </c>
    </row>
    <row r="52" spans="1:6" ht="11.25" customHeight="1">
      <c r="A52" s="108">
        <v>38582</v>
      </c>
      <c r="B52" s="101" t="s">
        <v>196</v>
      </c>
      <c r="C52" s="101">
        <v>11</v>
      </c>
      <c r="D52" s="109">
        <v>80.73</v>
      </c>
      <c r="E52" s="102"/>
      <c r="F52" s="100">
        <f t="shared" si="1"/>
        <v>49177.780000000006</v>
      </c>
    </row>
    <row r="53" spans="1:6" ht="11.25" customHeight="1">
      <c r="A53" s="113">
        <v>38582</v>
      </c>
      <c r="B53" s="114" t="s">
        <v>197</v>
      </c>
      <c r="C53" s="114">
        <v>9</v>
      </c>
      <c r="D53" s="115">
        <v>10861.5</v>
      </c>
      <c r="E53" s="102"/>
      <c r="F53" s="100">
        <f t="shared" si="1"/>
        <v>60039.280000000006</v>
      </c>
    </row>
    <row r="54" spans="1:6" ht="11.25" customHeight="1">
      <c r="A54" s="108">
        <v>38477</v>
      </c>
      <c r="B54" s="99" t="s">
        <v>198</v>
      </c>
      <c r="C54" s="99">
        <v>12</v>
      </c>
      <c r="D54" s="100">
        <v>1500</v>
      </c>
      <c r="E54" s="102"/>
      <c r="F54" s="100">
        <f t="shared" si="1"/>
        <v>61539.280000000006</v>
      </c>
    </row>
    <row r="55" spans="1:6" ht="11.25" customHeight="1">
      <c r="A55" s="108">
        <v>38603</v>
      </c>
      <c r="B55" s="101" t="s">
        <v>199</v>
      </c>
      <c r="C55" s="101">
        <v>13</v>
      </c>
      <c r="D55" s="109">
        <v>2494.27</v>
      </c>
      <c r="E55" s="102"/>
      <c r="F55" s="100">
        <f t="shared" si="1"/>
        <v>64033.55</v>
      </c>
    </row>
    <row r="56" spans="1:6" ht="11.25" customHeight="1">
      <c r="A56" s="108">
        <v>38603</v>
      </c>
      <c r="B56" s="101" t="s">
        <v>200</v>
      </c>
      <c r="C56" s="101">
        <v>14</v>
      </c>
      <c r="D56" s="109">
        <v>2379.15</v>
      </c>
      <c r="E56" s="102"/>
      <c r="F56" s="100">
        <f t="shared" si="1"/>
        <v>66412.7</v>
      </c>
    </row>
    <row r="57" spans="1:6" ht="11.25" customHeight="1">
      <c r="A57" s="108">
        <v>38603</v>
      </c>
      <c r="B57" s="101" t="s">
        <v>201</v>
      </c>
      <c r="C57" s="101">
        <v>15</v>
      </c>
      <c r="D57" s="109">
        <v>2623.01</v>
      </c>
      <c r="E57" s="102"/>
      <c r="F57" s="100">
        <f t="shared" si="1"/>
        <v>69035.709999999992</v>
      </c>
    </row>
    <row r="58" spans="1:6" ht="11.25" customHeight="1">
      <c r="A58" s="108"/>
      <c r="B58" s="99" t="s">
        <v>202</v>
      </c>
      <c r="D58" s="100">
        <v>3900</v>
      </c>
      <c r="E58" s="102"/>
      <c r="F58" s="100">
        <f t="shared" si="1"/>
        <v>72935.709999999992</v>
      </c>
    </row>
    <row r="59" spans="1:6" ht="11.25" customHeight="1">
      <c r="A59" s="108"/>
      <c r="B59" s="99" t="s">
        <v>203</v>
      </c>
      <c r="D59" s="100">
        <v>3540</v>
      </c>
      <c r="E59" s="102"/>
      <c r="F59" s="100">
        <f t="shared" si="1"/>
        <v>76475.709999999992</v>
      </c>
    </row>
    <row r="60" spans="1:6" ht="11.25" customHeight="1">
      <c r="A60" s="108"/>
      <c r="B60" s="99" t="s">
        <v>204</v>
      </c>
      <c r="D60" s="100"/>
      <c r="E60" s="102">
        <v>-7040</v>
      </c>
      <c r="F60" s="100">
        <f t="shared" si="1"/>
        <v>69435.709999999992</v>
      </c>
    </row>
    <row r="61" spans="1:6" ht="11.25" customHeight="1">
      <c r="A61" s="108">
        <v>38643</v>
      </c>
      <c r="B61" s="101" t="s">
        <v>205</v>
      </c>
      <c r="C61" s="101">
        <v>16</v>
      </c>
      <c r="D61" s="109">
        <v>2421.46</v>
      </c>
      <c r="E61" s="102"/>
      <c r="F61" s="100">
        <f t="shared" si="1"/>
        <v>71857.17</v>
      </c>
    </row>
    <row r="62" spans="1:6" ht="11.25" customHeight="1">
      <c r="A62" s="108">
        <v>38643</v>
      </c>
      <c r="B62" s="101" t="s">
        <v>206</v>
      </c>
      <c r="C62" s="101">
        <v>17</v>
      </c>
      <c r="D62" s="109">
        <v>2309.5</v>
      </c>
      <c r="E62" s="102"/>
      <c r="F62" s="100">
        <f t="shared" si="1"/>
        <v>74166.67</v>
      </c>
    </row>
    <row r="63" spans="1:6" ht="11.25" customHeight="1">
      <c r="A63" s="108">
        <v>38643</v>
      </c>
      <c r="B63" s="99" t="s">
        <v>207</v>
      </c>
      <c r="C63" s="99">
        <v>18</v>
      </c>
      <c r="D63" s="100">
        <v>10165</v>
      </c>
      <c r="E63" s="102"/>
      <c r="F63" s="100">
        <f t="shared" si="1"/>
        <v>84331.67</v>
      </c>
    </row>
    <row r="64" spans="1:6" ht="11.25" customHeight="1">
      <c r="A64" s="108"/>
      <c r="B64" s="101" t="s">
        <v>208</v>
      </c>
      <c r="C64" s="101"/>
      <c r="D64" s="109">
        <v>500</v>
      </c>
      <c r="E64" s="102"/>
      <c r="F64" s="100">
        <f t="shared" si="1"/>
        <v>84831.67</v>
      </c>
    </row>
    <row r="65" spans="1:6" ht="11.25" customHeight="1">
      <c r="A65" s="108"/>
      <c r="B65" s="99" t="s">
        <v>209</v>
      </c>
      <c r="D65" s="100">
        <v>30</v>
      </c>
      <c r="E65" s="102"/>
      <c r="F65" s="100">
        <f t="shared" si="1"/>
        <v>84861.67</v>
      </c>
    </row>
    <row r="66" spans="1:6" ht="11.25" customHeight="1">
      <c r="A66" s="108"/>
      <c r="B66" s="101" t="s">
        <v>208</v>
      </c>
      <c r="C66" s="101"/>
      <c r="D66" s="109">
        <v>105</v>
      </c>
      <c r="E66" s="102"/>
      <c r="F66" s="100">
        <f t="shared" si="1"/>
        <v>84966.67</v>
      </c>
    </row>
    <row r="67" spans="1:6" ht="11.25" customHeight="1">
      <c r="A67" s="108"/>
      <c r="B67" s="99" t="s">
        <v>210</v>
      </c>
      <c r="D67" s="100">
        <v>1000</v>
      </c>
      <c r="E67" s="102"/>
      <c r="F67" s="100">
        <f t="shared" si="1"/>
        <v>85966.67</v>
      </c>
    </row>
    <row r="68" spans="1:6" ht="11.25" customHeight="1">
      <c r="A68" s="108"/>
      <c r="C68" s="110" t="s">
        <v>211</v>
      </c>
      <c r="D68" s="107">
        <f>SUM(D31:D67)</f>
        <v>72003.92</v>
      </c>
      <c r="E68" s="111">
        <f>SUM(E31:E67)</f>
        <v>-7040</v>
      </c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8"/>
      <c r="D71" s="100"/>
      <c r="E71" s="102"/>
      <c r="F71" s="100"/>
    </row>
    <row r="72" spans="1:6" ht="11.25" customHeight="1">
      <c r="A72" s="103">
        <v>2006</v>
      </c>
      <c r="B72" s="104"/>
      <c r="C72" s="103" t="s">
        <v>155</v>
      </c>
      <c r="D72" s="105" t="s">
        <v>156</v>
      </c>
      <c r="E72" s="106" t="s">
        <v>157</v>
      </c>
      <c r="F72" s="105" t="s">
        <v>158</v>
      </c>
    </row>
    <row r="73" spans="1:6" ht="11.25" customHeight="1">
      <c r="A73" s="108"/>
      <c r="D73" s="100"/>
      <c r="E73" s="112" t="s">
        <v>212</v>
      </c>
      <c r="F73" s="109">
        <f>F67</f>
        <v>85966.67</v>
      </c>
    </row>
    <row r="74" spans="1:6" ht="11.25" customHeight="1">
      <c r="A74" s="99">
        <v>2006</v>
      </c>
      <c r="B74" s="99" t="s">
        <v>213</v>
      </c>
      <c r="D74" s="100">
        <v>3150</v>
      </c>
      <c r="E74" s="102"/>
      <c r="F74" s="100">
        <f t="shared" ref="F74:F105" si="2">F73+D74+E74</f>
        <v>89116.67</v>
      </c>
    </row>
    <row r="75" spans="1:6" ht="11.25" customHeight="1">
      <c r="A75" s="108"/>
      <c r="B75" s="99" t="s">
        <v>214</v>
      </c>
      <c r="D75" s="100">
        <v>200</v>
      </c>
      <c r="E75" s="102"/>
      <c r="F75" s="100">
        <f t="shared" si="2"/>
        <v>89316.67</v>
      </c>
    </row>
    <row r="76" spans="1:6" ht="11.25" customHeight="1">
      <c r="A76" s="108"/>
      <c r="B76" s="99" t="s">
        <v>215</v>
      </c>
      <c r="D76" s="100">
        <v>49</v>
      </c>
      <c r="E76" s="102"/>
      <c r="F76" s="100">
        <f t="shared" si="2"/>
        <v>89365.67</v>
      </c>
    </row>
    <row r="77" spans="1:6" ht="11.25" customHeight="1">
      <c r="A77" s="108"/>
      <c r="B77" s="99" t="s">
        <v>216</v>
      </c>
      <c r="D77" s="100">
        <v>115</v>
      </c>
      <c r="E77" s="102"/>
      <c r="F77" s="100">
        <f t="shared" si="2"/>
        <v>89480.67</v>
      </c>
    </row>
    <row r="78" spans="1:6" ht="11.25" customHeight="1">
      <c r="A78" s="108">
        <v>38762</v>
      </c>
      <c r="B78" s="101" t="s">
        <v>217</v>
      </c>
      <c r="C78" s="101">
        <v>19</v>
      </c>
      <c r="D78" s="109">
        <v>2755</v>
      </c>
      <c r="E78" s="102"/>
      <c r="F78" s="100">
        <f t="shared" si="2"/>
        <v>92235.67</v>
      </c>
    </row>
    <row r="79" spans="1:6" ht="11.25" customHeight="1">
      <c r="A79" s="108">
        <v>38762</v>
      </c>
      <c r="B79" s="101" t="s">
        <v>218</v>
      </c>
      <c r="C79" s="101">
        <v>20</v>
      </c>
      <c r="D79" s="109">
        <v>2399.2399999999998</v>
      </c>
      <c r="E79" s="102"/>
      <c r="F79" s="100">
        <f t="shared" si="2"/>
        <v>94634.91</v>
      </c>
    </row>
    <row r="80" spans="1:6" ht="11.25" customHeight="1">
      <c r="A80" s="108">
        <v>38762</v>
      </c>
      <c r="B80" s="101" t="s">
        <v>219</v>
      </c>
      <c r="C80" s="101">
        <v>21</v>
      </c>
      <c r="D80" s="109">
        <v>2298.65</v>
      </c>
      <c r="E80" s="102"/>
      <c r="F80" s="100">
        <f t="shared" si="2"/>
        <v>96933.56</v>
      </c>
    </row>
    <row r="81" spans="1:6" ht="11.25" customHeight="1">
      <c r="A81" s="108">
        <v>38762</v>
      </c>
      <c r="B81" s="101" t="s">
        <v>220</v>
      </c>
      <c r="C81" s="101">
        <v>22</v>
      </c>
      <c r="D81" s="109">
        <v>2489.14</v>
      </c>
      <c r="E81" s="102"/>
      <c r="F81" s="100">
        <f t="shared" si="2"/>
        <v>99422.7</v>
      </c>
    </row>
    <row r="82" spans="1:6" ht="11.25" customHeight="1">
      <c r="A82" s="108">
        <v>38762</v>
      </c>
      <c r="B82" s="101" t="s">
        <v>221</v>
      </c>
      <c r="C82" s="101">
        <v>23</v>
      </c>
      <c r="D82" s="109">
        <v>2580.3000000000002</v>
      </c>
      <c r="E82" s="102"/>
      <c r="F82" s="100">
        <f t="shared" si="2"/>
        <v>102003</v>
      </c>
    </row>
    <row r="83" spans="1:6" ht="11.25" customHeight="1">
      <c r="A83" s="108">
        <v>38762</v>
      </c>
      <c r="B83" s="101" t="s">
        <v>222</v>
      </c>
      <c r="C83" s="101">
        <v>24</v>
      </c>
      <c r="D83" s="109">
        <v>30724.12</v>
      </c>
      <c r="E83" s="102"/>
      <c r="F83" s="100">
        <f t="shared" si="2"/>
        <v>132727.12</v>
      </c>
    </row>
    <row r="84" spans="1:6" ht="11.25" customHeight="1">
      <c r="A84" s="108"/>
      <c r="B84" s="99" t="s">
        <v>223</v>
      </c>
      <c r="D84" s="100"/>
      <c r="E84" s="102">
        <v>-250</v>
      </c>
      <c r="F84" s="100">
        <f t="shared" si="2"/>
        <v>132477.12</v>
      </c>
    </row>
    <row r="85" spans="1:6" ht="11.25" customHeight="1">
      <c r="A85" s="108"/>
      <c r="B85" s="99" t="s">
        <v>224</v>
      </c>
      <c r="D85" s="100"/>
      <c r="E85" s="102">
        <v>-30</v>
      </c>
      <c r="F85" s="100">
        <f t="shared" si="2"/>
        <v>132447.12</v>
      </c>
    </row>
    <row r="86" spans="1:6" ht="11.25" customHeight="1">
      <c r="A86" s="108"/>
      <c r="B86" s="99" t="s">
        <v>225</v>
      </c>
      <c r="D86" s="100"/>
      <c r="E86" s="102">
        <v>-603</v>
      </c>
      <c r="F86" s="100">
        <f t="shared" si="2"/>
        <v>131844.12</v>
      </c>
    </row>
    <row r="87" spans="1:6" ht="11.25" customHeight="1">
      <c r="A87" s="108"/>
      <c r="B87" s="99" t="s">
        <v>226</v>
      </c>
      <c r="D87" s="100">
        <v>208</v>
      </c>
      <c r="E87" s="102"/>
      <c r="F87" s="100">
        <f t="shared" si="2"/>
        <v>132052.12</v>
      </c>
    </row>
    <row r="88" spans="1:6" ht="11.25" customHeight="1">
      <c r="A88" s="108"/>
      <c r="B88" s="99" t="s">
        <v>167</v>
      </c>
      <c r="D88" s="100">
        <v>216</v>
      </c>
      <c r="E88" s="102"/>
      <c r="F88" s="100">
        <f t="shared" si="2"/>
        <v>132268.12</v>
      </c>
    </row>
    <row r="89" spans="1:6" ht="11.25" customHeight="1">
      <c r="A89" s="108"/>
      <c r="B89" s="99" t="s">
        <v>160</v>
      </c>
      <c r="D89" s="100">
        <v>164</v>
      </c>
      <c r="E89" s="102"/>
      <c r="F89" s="100">
        <f t="shared" si="2"/>
        <v>132432.12</v>
      </c>
    </row>
    <row r="90" spans="1:6" ht="11.25" customHeight="1">
      <c r="A90" s="108"/>
      <c r="B90" s="99" t="s">
        <v>227</v>
      </c>
      <c r="D90" s="100">
        <v>40</v>
      </c>
      <c r="E90" s="102"/>
      <c r="F90" s="100">
        <f t="shared" si="2"/>
        <v>132472.12</v>
      </c>
    </row>
    <row r="91" spans="1:6" ht="11.25" customHeight="1">
      <c r="A91" s="108"/>
      <c r="B91" s="99" t="s">
        <v>167</v>
      </c>
      <c r="D91" s="100">
        <v>108</v>
      </c>
      <c r="E91" s="102"/>
      <c r="F91" s="100">
        <f t="shared" si="2"/>
        <v>132580.12</v>
      </c>
    </row>
    <row r="92" spans="1:6" ht="11.25" customHeight="1">
      <c r="A92" s="108"/>
      <c r="B92" s="99" t="s">
        <v>204</v>
      </c>
      <c r="D92" s="100"/>
      <c r="E92" s="102">
        <v>-8908</v>
      </c>
      <c r="F92" s="100">
        <f t="shared" si="2"/>
        <v>123672.12</v>
      </c>
    </row>
    <row r="93" spans="1:6" ht="11.25" customHeight="1">
      <c r="A93" s="108"/>
      <c r="B93" s="101" t="s">
        <v>228</v>
      </c>
      <c r="C93" s="101"/>
      <c r="D93" s="109">
        <v>28</v>
      </c>
      <c r="E93" s="102"/>
      <c r="F93" s="100">
        <f t="shared" si="2"/>
        <v>123700.12</v>
      </c>
    </row>
    <row r="94" spans="1:6" ht="11.25" customHeight="1">
      <c r="A94" s="108"/>
      <c r="B94" s="99" t="s">
        <v>229</v>
      </c>
      <c r="D94" s="100">
        <v>5000</v>
      </c>
      <c r="E94" s="102"/>
      <c r="F94" s="100">
        <f t="shared" si="2"/>
        <v>128700.12</v>
      </c>
    </row>
    <row r="95" spans="1:6" ht="11.25" customHeight="1">
      <c r="A95" s="108"/>
      <c r="B95" s="99" t="s">
        <v>230</v>
      </c>
      <c r="D95" s="100">
        <v>500</v>
      </c>
      <c r="E95" s="102"/>
      <c r="F95" s="100">
        <f t="shared" si="2"/>
        <v>129200.12</v>
      </c>
    </row>
    <row r="96" spans="1:6" ht="11.25" customHeight="1">
      <c r="A96" s="108"/>
      <c r="B96" s="99" t="s">
        <v>231</v>
      </c>
      <c r="D96" s="100"/>
      <c r="E96" s="102">
        <v>-2500</v>
      </c>
      <c r="F96" s="100">
        <f t="shared" si="2"/>
        <v>126700.12</v>
      </c>
    </row>
    <row r="97" spans="1:6" ht="11.25" customHeight="1">
      <c r="A97" s="108"/>
      <c r="B97" s="99" t="s">
        <v>232</v>
      </c>
      <c r="D97" s="100">
        <v>2500</v>
      </c>
      <c r="E97" s="102"/>
      <c r="F97" s="100">
        <f t="shared" si="2"/>
        <v>129200.12</v>
      </c>
    </row>
    <row r="98" spans="1:6" ht="11.25" customHeight="1">
      <c r="A98" s="108"/>
      <c r="B98" s="99" t="s">
        <v>233</v>
      </c>
      <c r="D98" s="100">
        <v>60</v>
      </c>
      <c r="E98" s="102"/>
      <c r="F98" s="100">
        <f t="shared" si="2"/>
        <v>129260.12</v>
      </c>
    </row>
    <row r="99" spans="1:6" ht="11.25" customHeight="1">
      <c r="A99" s="108"/>
      <c r="B99" s="99" t="s">
        <v>233</v>
      </c>
      <c r="D99" s="100">
        <v>72</v>
      </c>
      <c r="E99" s="102"/>
      <c r="F99" s="100">
        <f t="shared" si="2"/>
        <v>129332.12</v>
      </c>
    </row>
    <row r="100" spans="1:6" ht="11.25" customHeight="1">
      <c r="A100" s="108"/>
      <c r="B100" s="99" t="s">
        <v>234</v>
      </c>
      <c r="D100" s="100">
        <v>7708</v>
      </c>
      <c r="E100" s="102"/>
      <c r="F100" s="100">
        <f t="shared" si="2"/>
        <v>137040.12</v>
      </c>
    </row>
    <row r="101" spans="1:6" ht="11.25" customHeight="1">
      <c r="A101" s="108">
        <v>39007</v>
      </c>
      <c r="B101" s="101" t="s">
        <v>235</v>
      </c>
      <c r="C101" s="101"/>
      <c r="D101" s="109">
        <v>172</v>
      </c>
      <c r="E101" s="102"/>
      <c r="F101" s="100">
        <f t="shared" si="2"/>
        <v>137212.12</v>
      </c>
    </row>
    <row r="102" spans="1:6" ht="11.25" customHeight="1">
      <c r="A102" s="108">
        <v>39007</v>
      </c>
      <c r="B102" s="101" t="s">
        <v>235</v>
      </c>
      <c r="C102" s="101"/>
      <c r="D102" s="109">
        <v>210</v>
      </c>
      <c r="E102" s="102"/>
      <c r="F102" s="100">
        <f t="shared" si="2"/>
        <v>137422.12</v>
      </c>
    </row>
    <row r="103" spans="1:6" ht="11.25" customHeight="1">
      <c r="A103" s="108"/>
      <c r="B103" s="99" t="s">
        <v>236</v>
      </c>
      <c r="D103" s="100"/>
      <c r="E103" s="102">
        <v>-25</v>
      </c>
      <c r="F103" s="100">
        <f t="shared" si="2"/>
        <v>137397.12</v>
      </c>
    </row>
    <row r="104" spans="1:6" ht="11.25" customHeight="1">
      <c r="A104" s="108"/>
      <c r="B104" s="99" t="s">
        <v>236</v>
      </c>
      <c r="D104" s="100"/>
      <c r="E104" s="102">
        <v>-13</v>
      </c>
      <c r="F104" s="100">
        <f t="shared" si="2"/>
        <v>137384.12</v>
      </c>
    </row>
    <row r="105" spans="1:6" ht="11.25" customHeight="1">
      <c r="A105" s="108"/>
      <c r="B105" s="99" t="s">
        <v>237</v>
      </c>
      <c r="D105" s="100"/>
      <c r="E105" s="102">
        <v>-1000</v>
      </c>
      <c r="F105" s="100">
        <f t="shared" si="2"/>
        <v>136384.12</v>
      </c>
    </row>
    <row r="106" spans="1:6" ht="11.25" customHeight="1">
      <c r="A106" s="108">
        <v>39001</v>
      </c>
      <c r="B106" s="99" t="s">
        <v>204</v>
      </c>
      <c r="D106" s="100"/>
      <c r="E106" s="102">
        <v>-1274</v>
      </c>
      <c r="F106" s="100">
        <f t="shared" ref="F106:F122" si="3">F105+D106+E106</f>
        <v>135110.12</v>
      </c>
    </row>
    <row r="107" spans="1:6" ht="11.25" customHeight="1">
      <c r="A107" s="108"/>
      <c r="B107" s="99" t="s">
        <v>237</v>
      </c>
      <c r="D107" s="100"/>
      <c r="E107" s="102">
        <v>-1000</v>
      </c>
      <c r="F107" s="100">
        <f t="shared" si="3"/>
        <v>134110.12</v>
      </c>
    </row>
    <row r="108" spans="1:6" ht="11.25" customHeight="1">
      <c r="A108" s="108"/>
      <c r="B108" s="99" t="s">
        <v>224</v>
      </c>
      <c r="D108" s="100"/>
      <c r="E108" s="102">
        <v>-80</v>
      </c>
      <c r="F108" s="100">
        <f t="shared" si="3"/>
        <v>134030.12</v>
      </c>
    </row>
    <row r="109" spans="1:6" ht="11.25" customHeight="1">
      <c r="A109" s="108"/>
      <c r="B109" s="99" t="s">
        <v>224</v>
      </c>
      <c r="D109" s="100">
        <v>70</v>
      </c>
      <c r="E109" s="102"/>
      <c r="F109" s="100">
        <f t="shared" si="3"/>
        <v>134100.12</v>
      </c>
    </row>
    <row r="110" spans="1:6" ht="11.25" customHeight="1">
      <c r="A110" s="108"/>
      <c r="B110" s="99" t="s">
        <v>238</v>
      </c>
      <c r="D110" s="100">
        <v>60</v>
      </c>
      <c r="E110" s="102"/>
      <c r="F110" s="100">
        <f t="shared" si="3"/>
        <v>134160.12</v>
      </c>
    </row>
    <row r="111" spans="1:6" ht="11.25" customHeight="1">
      <c r="A111" s="108"/>
      <c r="B111" s="99" t="s">
        <v>239</v>
      </c>
      <c r="D111" s="100"/>
      <c r="E111" s="102">
        <v>-34</v>
      </c>
      <c r="F111" s="100">
        <f t="shared" si="3"/>
        <v>134126.12</v>
      </c>
    </row>
    <row r="112" spans="1:6" ht="11.25" customHeight="1">
      <c r="A112" s="108"/>
      <c r="B112" s="99" t="s">
        <v>239</v>
      </c>
      <c r="D112" s="100"/>
      <c r="E112" s="102">
        <v>-16</v>
      </c>
      <c r="F112" s="100">
        <f t="shared" si="3"/>
        <v>134110.12</v>
      </c>
    </row>
    <row r="113" spans="1:6" ht="11.25" customHeight="1">
      <c r="A113" s="108"/>
      <c r="B113" s="99" t="s">
        <v>236</v>
      </c>
      <c r="D113" s="100"/>
      <c r="E113" s="102">
        <v>-50</v>
      </c>
      <c r="F113" s="100">
        <f t="shared" si="3"/>
        <v>134060.12</v>
      </c>
    </row>
    <row r="114" spans="1:6" ht="11.25" customHeight="1">
      <c r="A114" s="108"/>
      <c r="B114" s="99" t="s">
        <v>240</v>
      </c>
      <c r="D114" s="100"/>
      <c r="E114" s="102">
        <v>-218</v>
      </c>
      <c r="F114" s="100">
        <f t="shared" si="3"/>
        <v>133842.12</v>
      </c>
    </row>
    <row r="115" spans="1:6" ht="11.25" customHeight="1">
      <c r="A115" s="108"/>
      <c r="B115" s="101" t="s">
        <v>241</v>
      </c>
      <c r="C115" s="101"/>
      <c r="D115" s="109">
        <v>405</v>
      </c>
      <c r="E115" s="102"/>
      <c r="F115" s="100">
        <f t="shared" si="3"/>
        <v>134247.12</v>
      </c>
    </row>
    <row r="116" spans="1:6" ht="11.25" customHeight="1">
      <c r="A116" s="108"/>
      <c r="B116" s="101" t="s">
        <v>242</v>
      </c>
      <c r="C116" s="101"/>
      <c r="D116" s="109">
        <v>900</v>
      </c>
      <c r="E116" s="102"/>
      <c r="F116" s="100">
        <f t="shared" si="3"/>
        <v>135147.12</v>
      </c>
    </row>
    <row r="117" spans="1:6" ht="11.25" customHeight="1">
      <c r="A117" s="108"/>
      <c r="B117" s="101" t="s">
        <v>243</v>
      </c>
      <c r="C117" s="101"/>
      <c r="D117" s="109">
        <v>1050</v>
      </c>
      <c r="E117" s="102"/>
      <c r="F117" s="100">
        <f t="shared" si="3"/>
        <v>136197.12</v>
      </c>
    </row>
    <row r="118" spans="1:6" ht="11.25" customHeight="1">
      <c r="A118" s="108"/>
      <c r="B118" s="101" t="s">
        <v>244</v>
      </c>
      <c r="C118" s="101"/>
      <c r="D118" s="109">
        <v>1200</v>
      </c>
      <c r="E118" s="102"/>
      <c r="F118" s="100">
        <f t="shared" si="3"/>
        <v>137397.12</v>
      </c>
    </row>
    <row r="119" spans="1:6" ht="11.25" customHeight="1">
      <c r="A119" s="108"/>
      <c r="B119" s="101" t="s">
        <v>245</v>
      </c>
      <c r="C119" s="101"/>
      <c r="D119" s="109">
        <v>3365</v>
      </c>
      <c r="E119" s="102"/>
      <c r="F119" s="100">
        <f t="shared" si="3"/>
        <v>140762.12</v>
      </c>
    </row>
    <row r="120" spans="1:6" ht="11.25" customHeight="1">
      <c r="A120" s="108"/>
      <c r="B120" s="101" t="s">
        <v>246</v>
      </c>
      <c r="C120" s="101"/>
      <c r="D120" s="109">
        <v>3000</v>
      </c>
      <c r="E120" s="102"/>
      <c r="F120" s="100">
        <f t="shared" si="3"/>
        <v>143762.12</v>
      </c>
    </row>
    <row r="121" spans="1:6" ht="11.25" customHeight="1">
      <c r="A121" s="108"/>
      <c r="B121" s="99" t="s">
        <v>239</v>
      </c>
      <c r="D121" s="100"/>
      <c r="E121" s="102">
        <v>-204</v>
      </c>
      <c r="F121" s="100">
        <f t="shared" si="3"/>
        <v>143558.12</v>
      </c>
    </row>
    <row r="122" spans="1:6" ht="11.25" customHeight="1">
      <c r="A122" s="108"/>
      <c r="B122" s="99" t="s">
        <v>247</v>
      </c>
      <c r="D122" s="100"/>
      <c r="E122" s="102">
        <v>-25</v>
      </c>
      <c r="F122" s="100">
        <f t="shared" si="3"/>
        <v>143533.12</v>
      </c>
    </row>
    <row r="123" spans="1:6" ht="11.25" customHeight="1">
      <c r="A123" s="108"/>
      <c r="C123" s="110" t="s">
        <v>248</v>
      </c>
      <c r="D123" s="107">
        <f>SUM(D74:D122)</f>
        <v>73796.45</v>
      </c>
      <c r="E123" s="111">
        <f>SUM(E74:E122)</f>
        <v>-16230</v>
      </c>
      <c r="F123" s="100"/>
    </row>
    <row r="124" spans="1:6" ht="11.25" customHeight="1">
      <c r="A124" s="108"/>
      <c r="C124" s="101"/>
      <c r="D124" s="107"/>
      <c r="E124" s="111"/>
      <c r="F124" s="100"/>
    </row>
    <row r="125" spans="1:6" ht="11.25" customHeight="1">
      <c r="A125" s="116">
        <v>2007</v>
      </c>
      <c r="B125" s="104"/>
      <c r="C125" s="103" t="s">
        <v>155</v>
      </c>
      <c r="D125" s="105" t="s">
        <v>156</v>
      </c>
      <c r="E125" s="106" t="s">
        <v>157</v>
      </c>
      <c r="F125" s="105" t="s">
        <v>158</v>
      </c>
    </row>
    <row r="126" spans="1:6" ht="11.25" customHeight="1">
      <c r="A126" s="108"/>
      <c r="D126" s="100"/>
      <c r="E126" s="102"/>
      <c r="F126" s="100">
        <f>F122</f>
        <v>143533.12</v>
      </c>
    </row>
    <row r="127" spans="1:6" ht="11.25" customHeight="1">
      <c r="A127" s="108">
        <v>39092</v>
      </c>
      <c r="B127" s="99" t="s">
        <v>49</v>
      </c>
      <c r="D127" s="100"/>
      <c r="E127" s="102">
        <v>-500</v>
      </c>
      <c r="F127" s="100">
        <f t="shared" ref="F127:F133" si="4">F126+D127+E127</f>
        <v>143033.12</v>
      </c>
    </row>
    <row r="128" spans="1:6" ht="11.25" customHeight="1">
      <c r="A128" s="108"/>
      <c r="B128" s="99" t="s">
        <v>249</v>
      </c>
      <c r="D128" s="100">
        <v>60</v>
      </c>
      <c r="E128" s="102"/>
      <c r="F128" s="100">
        <f t="shared" si="4"/>
        <v>143093.12</v>
      </c>
    </row>
    <row r="129" spans="1:6" ht="11.25" customHeight="1">
      <c r="A129" s="108"/>
      <c r="B129" s="99" t="s">
        <v>250</v>
      </c>
      <c r="D129" s="100">
        <v>68</v>
      </c>
      <c r="E129" s="102"/>
      <c r="F129" s="100">
        <f t="shared" si="4"/>
        <v>143161.12</v>
      </c>
    </row>
    <row r="130" spans="1:6" ht="11.25" customHeight="1">
      <c r="A130" s="108"/>
      <c r="B130" s="99" t="s">
        <v>251</v>
      </c>
      <c r="D130" s="100">
        <v>8</v>
      </c>
      <c r="E130" s="102"/>
      <c r="F130" s="100">
        <f t="shared" si="4"/>
        <v>143169.12</v>
      </c>
    </row>
    <row r="131" spans="1:6" ht="11.25" customHeight="1">
      <c r="A131" s="108"/>
      <c r="B131" s="99" t="s">
        <v>252</v>
      </c>
      <c r="D131" s="100"/>
      <c r="E131" s="102">
        <v>-20</v>
      </c>
      <c r="F131" s="100">
        <f t="shared" si="4"/>
        <v>143149.12</v>
      </c>
    </row>
    <row r="132" spans="1:6" ht="11.25" customHeight="1">
      <c r="A132" s="108"/>
      <c r="B132" s="99" t="s">
        <v>209</v>
      </c>
      <c r="D132" s="100">
        <v>8</v>
      </c>
      <c r="E132" s="102"/>
      <c r="F132" s="100">
        <f t="shared" si="4"/>
        <v>143157.12</v>
      </c>
    </row>
    <row r="133" spans="1:6" ht="11.25" customHeight="1">
      <c r="A133" s="108"/>
      <c r="B133" s="99" t="s">
        <v>253</v>
      </c>
      <c r="D133" s="100">
        <v>251</v>
      </c>
      <c r="E133" s="102"/>
      <c r="F133" s="109">
        <f t="shared" si="4"/>
        <v>143408.12</v>
      </c>
    </row>
    <row r="134" spans="1:6" ht="11.25" customHeight="1">
      <c r="A134" s="108"/>
      <c r="C134" s="110" t="s">
        <v>254</v>
      </c>
      <c r="D134" s="107">
        <f>SUM(D127:D133)</f>
        <v>395</v>
      </c>
      <c r="E134" s="111">
        <f>SUM(E127:E133)</f>
        <v>-520</v>
      </c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C137" s="110"/>
      <c r="D137" s="107"/>
      <c r="E137" s="111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08"/>
      <c r="D140" s="100"/>
      <c r="E140" s="102"/>
      <c r="F140" s="100"/>
    </row>
    <row r="141" spans="1:6" ht="11.25" customHeight="1">
      <c r="A141" s="117" t="s">
        <v>255</v>
      </c>
      <c r="B141" s="104"/>
      <c r="C141" s="103" t="s">
        <v>155</v>
      </c>
      <c r="D141" s="105" t="s">
        <v>156</v>
      </c>
      <c r="E141" s="106" t="s">
        <v>157</v>
      </c>
      <c r="F141" s="105" t="s">
        <v>158</v>
      </c>
    </row>
    <row r="142" spans="1:6" ht="11.25" customHeight="1">
      <c r="A142" s="108"/>
      <c r="D142" s="100"/>
      <c r="E142" s="112" t="s">
        <v>256</v>
      </c>
      <c r="F142" s="109">
        <f>F133</f>
        <v>143408.12</v>
      </c>
    </row>
    <row r="143" spans="1:6" ht="11.25" customHeight="1">
      <c r="A143" s="99">
        <v>2008</v>
      </c>
      <c r="B143" s="99" t="s">
        <v>257</v>
      </c>
      <c r="D143" s="100"/>
      <c r="E143" s="102">
        <v>-20</v>
      </c>
      <c r="F143" s="100">
        <f t="shared" ref="F143:F152" si="5">F142+D143+E143</f>
        <v>143388.12</v>
      </c>
    </row>
    <row r="144" spans="1:6" ht="11.25" customHeight="1">
      <c r="A144" s="108"/>
      <c r="B144" s="99" t="s">
        <v>258</v>
      </c>
      <c r="D144" s="100"/>
      <c r="E144" s="102">
        <v>-180</v>
      </c>
      <c r="F144" s="100">
        <f t="shared" si="5"/>
        <v>143208.12</v>
      </c>
    </row>
    <row r="145" spans="1:6" ht="11.25" customHeight="1">
      <c r="A145" s="108"/>
      <c r="B145" s="99" t="s">
        <v>259</v>
      </c>
      <c r="E145" s="102">
        <v>-25</v>
      </c>
      <c r="F145" s="100">
        <f t="shared" si="5"/>
        <v>143183.12</v>
      </c>
    </row>
    <row r="146" spans="1:6" ht="11.25" customHeight="1">
      <c r="A146" s="108"/>
      <c r="B146" s="99" t="s">
        <v>260</v>
      </c>
      <c r="D146" s="100"/>
      <c r="E146" s="102">
        <v>-320</v>
      </c>
      <c r="F146" s="100">
        <f t="shared" si="5"/>
        <v>142863.12</v>
      </c>
    </row>
    <row r="147" spans="1:6" ht="11.25" customHeight="1">
      <c r="A147" s="108"/>
      <c r="B147" s="99" t="s">
        <v>261</v>
      </c>
      <c r="D147" s="100"/>
      <c r="E147" s="102">
        <v>-25</v>
      </c>
      <c r="F147" s="100">
        <f t="shared" si="5"/>
        <v>142838.12</v>
      </c>
    </row>
    <row r="148" spans="1:6" ht="11.25" customHeight="1">
      <c r="A148" s="108"/>
      <c r="B148" s="99" t="s">
        <v>262</v>
      </c>
      <c r="D148" s="100"/>
      <c r="E148" s="102">
        <v>-135</v>
      </c>
      <c r="F148" s="100">
        <f t="shared" si="5"/>
        <v>142703.12</v>
      </c>
    </row>
    <row r="149" spans="1:6" ht="11.25" customHeight="1">
      <c r="A149" s="108"/>
      <c r="B149" s="99" t="s">
        <v>263</v>
      </c>
      <c r="D149" s="100"/>
      <c r="E149" s="102">
        <v>-35</v>
      </c>
      <c r="F149" s="100">
        <f t="shared" si="5"/>
        <v>142668.12</v>
      </c>
    </row>
    <row r="150" spans="1:6" ht="11.25" customHeight="1">
      <c r="A150" s="108"/>
      <c r="B150" s="99" t="s">
        <v>264</v>
      </c>
      <c r="D150" s="100">
        <v>48</v>
      </c>
      <c r="E150" s="102"/>
      <c r="F150" s="100">
        <f t="shared" si="5"/>
        <v>142716.12</v>
      </c>
    </row>
    <row r="151" spans="1:6" ht="11.25" customHeight="1">
      <c r="A151" s="108"/>
      <c r="B151" s="99" t="s">
        <v>265</v>
      </c>
      <c r="D151" s="100"/>
      <c r="E151" s="102">
        <v>-182</v>
      </c>
      <c r="F151" s="100">
        <f t="shared" si="5"/>
        <v>142534.12</v>
      </c>
    </row>
    <row r="152" spans="1:6" ht="11.25" customHeight="1">
      <c r="E152" s="102"/>
      <c r="F152" s="100">
        <f t="shared" si="5"/>
        <v>142534.12</v>
      </c>
    </row>
    <row r="153" spans="1:6" ht="11.25" customHeight="1">
      <c r="A153" s="108"/>
      <c r="C153" s="118" t="s">
        <v>266</v>
      </c>
      <c r="D153" s="107">
        <f>SUM(D143:D151)</f>
        <v>48</v>
      </c>
      <c r="E153" s="111">
        <f>SUM(E143:E151)</f>
        <v>-922</v>
      </c>
      <c r="F153" s="100"/>
    </row>
    <row r="154" spans="1:6" ht="11.25" customHeight="1">
      <c r="A154" s="108"/>
      <c r="C154" s="119"/>
      <c r="D154" s="107"/>
      <c r="E154" s="111"/>
      <c r="F154" s="100">
        <f>F152+D154+E154</f>
        <v>142534.12</v>
      </c>
    </row>
    <row r="155" spans="1:6" ht="11.25" customHeight="1">
      <c r="A155" s="99">
        <v>2012</v>
      </c>
      <c r="B155" s="99" t="s">
        <v>267</v>
      </c>
      <c r="D155" s="100">
        <v>1000</v>
      </c>
      <c r="E155" s="111"/>
      <c r="F155" s="100">
        <f>F154+D155+E155</f>
        <v>143534.12</v>
      </c>
    </row>
    <row r="156" spans="1:6" ht="11.25" customHeight="1">
      <c r="A156" s="108"/>
      <c r="C156" s="119"/>
      <c r="D156" s="107"/>
      <c r="E156" s="111"/>
      <c r="F156" s="120" t="s">
        <v>123</v>
      </c>
    </row>
    <row r="157" spans="1:6" ht="13.7" customHeight="1">
      <c r="A157" s="108"/>
      <c r="D157"/>
      <c r="E157"/>
      <c r="F157"/>
    </row>
    <row r="158" spans="1:6" ht="16.7" customHeight="1">
      <c r="A158" s="108"/>
      <c r="B158" s="313">
        <v>45233</v>
      </c>
      <c r="C158" s="313"/>
      <c r="D158" s="100"/>
      <c r="E158" s="121" t="s">
        <v>268</v>
      </c>
      <c r="F158" s="122">
        <v>119619.37</v>
      </c>
    </row>
    <row r="159" spans="1:6" ht="11.25" customHeight="1">
      <c r="A159" s="108"/>
      <c r="D159" s="100"/>
      <c r="E159" s="123" t="s">
        <v>269</v>
      </c>
      <c r="F159" s="122">
        <f>F160-F158</f>
        <v>23914.75</v>
      </c>
    </row>
    <row r="160" spans="1:6" ht="17.25" customHeight="1">
      <c r="A160" s="108"/>
      <c r="D160" s="100"/>
      <c r="E160" s="123" t="s">
        <v>270</v>
      </c>
      <c r="F160" s="122">
        <f>F155</f>
        <v>143534.12</v>
      </c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7.25" customHeight="1">
      <c r="A169" s="108"/>
      <c r="D169" s="100"/>
      <c r="E169" s="123"/>
      <c r="F169" s="122"/>
    </row>
    <row r="170" spans="1:6" ht="11.25" customHeight="1">
      <c r="A170" s="108"/>
      <c r="D170" s="100"/>
      <c r="E170" s="124"/>
      <c r="F170" s="109"/>
    </row>
    <row r="171" spans="1:6" ht="11.25" customHeight="1">
      <c r="A171" s="108"/>
      <c r="B171" s="101" t="s">
        <v>271</v>
      </c>
      <c r="D171" s="100"/>
      <c r="E171" s="102"/>
      <c r="F171" s="100"/>
    </row>
    <row r="172" spans="1:6" ht="11.25" customHeight="1">
      <c r="A172" s="108"/>
      <c r="B172" s="110" t="s">
        <v>272</v>
      </c>
      <c r="C172" s="110" t="s">
        <v>272</v>
      </c>
      <c r="D172" s="100"/>
      <c r="E172" s="102"/>
      <c r="F172" s="100"/>
    </row>
    <row r="173" spans="1:6" ht="11.25" customHeight="1">
      <c r="A173" s="108"/>
      <c r="B173" s="110" t="s">
        <v>273</v>
      </c>
      <c r="C173" s="110" t="s">
        <v>274</v>
      </c>
      <c r="D173" s="120" t="s">
        <v>158</v>
      </c>
      <c r="E173" s="124" t="s">
        <v>275</v>
      </c>
      <c r="F173" s="120" t="s">
        <v>276</v>
      </c>
    </row>
    <row r="174" spans="1:6" ht="11.25" customHeight="1">
      <c r="A174" s="99">
        <v>2003</v>
      </c>
      <c r="B174" s="100">
        <f>D4</f>
        <v>17075.75</v>
      </c>
      <c r="C174" s="125">
        <f>E4</f>
        <v>0</v>
      </c>
      <c r="D174" s="100">
        <f>B174+C174</f>
        <v>17075.75</v>
      </c>
      <c r="E174" s="126">
        <v>1.41</v>
      </c>
      <c r="F174" s="125">
        <f t="shared" ref="F174:F180" si="6">(B174+C174)/E174</f>
        <v>12110.460992907801</v>
      </c>
    </row>
    <row r="175" spans="1:6" ht="11.25" customHeight="1">
      <c r="A175" s="99">
        <v>2004</v>
      </c>
      <c r="B175" s="100">
        <f>D26</f>
        <v>14637</v>
      </c>
      <c r="C175" s="125">
        <f>E26</f>
        <v>-10710</v>
      </c>
      <c r="D175" s="100">
        <f t="shared" ref="D175:D180" si="7">D174+B175+C175</f>
        <v>21002.75</v>
      </c>
      <c r="E175" s="126">
        <v>1.49</v>
      </c>
      <c r="F175" s="125">
        <f t="shared" si="6"/>
        <v>2635.5704697986575</v>
      </c>
    </row>
    <row r="176" spans="1:6" ht="11.25" customHeight="1">
      <c r="A176" s="99">
        <v>2005</v>
      </c>
      <c r="B176" s="100">
        <f>D68</f>
        <v>72003.92</v>
      </c>
      <c r="C176" s="125">
        <f>E68</f>
        <v>-7040</v>
      </c>
      <c r="D176" s="100">
        <f t="shared" si="7"/>
        <v>85966.67</v>
      </c>
      <c r="E176" s="126">
        <v>1.35</v>
      </c>
      <c r="F176" s="125">
        <f t="shared" si="6"/>
        <v>48121.422222222216</v>
      </c>
    </row>
    <row r="177" spans="1:6" ht="11.25" customHeight="1">
      <c r="A177" s="99">
        <v>2006</v>
      </c>
      <c r="B177" s="100">
        <f>D123</f>
        <v>73796.45</v>
      </c>
      <c r="C177" s="125">
        <f>E123</f>
        <v>-16230</v>
      </c>
      <c r="D177" s="100">
        <f t="shared" si="7"/>
        <v>143533.12</v>
      </c>
      <c r="E177" s="126">
        <v>1.56</v>
      </c>
      <c r="F177" s="125">
        <f t="shared" si="6"/>
        <v>36901.570512820508</v>
      </c>
    </row>
    <row r="178" spans="1:6" ht="11.25" customHeight="1">
      <c r="A178" s="99">
        <v>2007</v>
      </c>
      <c r="B178" s="100">
        <f>D134</f>
        <v>395</v>
      </c>
      <c r="C178" s="125">
        <f>E134</f>
        <v>-520</v>
      </c>
      <c r="D178" s="100">
        <f t="shared" si="7"/>
        <v>143408.12</v>
      </c>
      <c r="E178" s="126">
        <v>1.31</v>
      </c>
      <c r="F178" s="125">
        <f t="shared" si="6"/>
        <v>-95.419847328244273</v>
      </c>
    </row>
    <row r="179" spans="1:6" ht="11.25" customHeight="1">
      <c r="A179" s="99">
        <v>2008</v>
      </c>
      <c r="B179" s="100">
        <f>D150</f>
        <v>48</v>
      </c>
      <c r="C179" s="125">
        <f>E153</f>
        <v>-922</v>
      </c>
      <c r="D179" s="100">
        <f t="shared" si="7"/>
        <v>142534.12</v>
      </c>
      <c r="E179" s="126">
        <v>1.2</v>
      </c>
      <c r="F179" s="125">
        <f t="shared" si="6"/>
        <v>-728.33333333333337</v>
      </c>
    </row>
    <row r="180" spans="1:6" ht="11.25" customHeight="1">
      <c r="A180" s="99">
        <v>2012</v>
      </c>
      <c r="B180" s="100">
        <v>1000</v>
      </c>
      <c r="C180" s="125">
        <f>E152</f>
        <v>0</v>
      </c>
      <c r="D180" s="127">
        <f t="shared" si="7"/>
        <v>143534.12</v>
      </c>
      <c r="E180" s="126">
        <v>1.84</v>
      </c>
      <c r="F180" s="125">
        <f t="shared" si="6"/>
        <v>543.47826086956525</v>
      </c>
    </row>
    <row r="181" spans="1:6" ht="11.25" customHeight="1">
      <c r="B181" s="100"/>
      <c r="D181" s="100"/>
      <c r="E181" s="102"/>
      <c r="F181" s="128"/>
    </row>
    <row r="182" spans="1:6" ht="16.5" customHeight="1">
      <c r="B182" s="100"/>
      <c r="D182" s="100"/>
      <c r="E182" s="124" t="s">
        <v>277</v>
      </c>
      <c r="F182" s="129">
        <f>SUM(F174:F180)</f>
        <v>99488.749277957177</v>
      </c>
    </row>
    <row r="183" spans="1:6" ht="11.25" customHeight="1">
      <c r="B183" s="100"/>
      <c r="D183" s="100"/>
      <c r="E183" s="102"/>
      <c r="F183" s="130" t="s">
        <v>278</v>
      </c>
    </row>
    <row r="184" spans="1:6" ht="16.149999999999999" customHeight="1">
      <c r="A184" s="108"/>
      <c r="D184" s="100"/>
      <c r="E184"/>
      <c r="F184"/>
    </row>
  </sheetData>
  <mergeCells count="2">
    <mergeCell ref="E1:F1"/>
    <mergeCell ref="B158:C158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14">
        <v>45233</v>
      </c>
      <c r="F3" s="314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'01-03-HAKAN'!D180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'01-03-HAKAN'!F182/2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15">
        <v>45233</v>
      </c>
      <c r="E1" s="315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'01-03-HAKAN'!F160</f>
        <v>143534.12</v>
      </c>
      <c r="C4" s="183">
        <f>B4/D4</f>
        <v>1.4427171015989599</v>
      </c>
      <c r="D4" s="184">
        <f>'01-03-HAKAN'!F182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2025-Dgs Adem Son (2)</vt:lpstr>
      <vt:lpstr>2025-Dgs</vt:lpstr>
      <vt:lpstr>01-DgsOLD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2025-06-22T09:41:12Z</dcterms:modified>
</cp:coreProperties>
</file>