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2D3E91AD-E3BF-4CEA-A8AD-7A2D6E3FB9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-DgsOLD" sheetId="1" r:id="rId1"/>
    <sheet name="01-Dgs" sheetId="9" r:id="rId2"/>
    <sheet name="DGS_31-05-24" sheetId="2" r:id="rId3"/>
    <sheet name="2024" sheetId="3" r:id="rId4"/>
    <sheet name="02--_Tzgmrg" sheetId="4" r:id="rId5"/>
    <sheet name="01-03-HAKAN" sheetId="5" r:id="rId6"/>
    <sheet name="01-01-DGS" sheetId="6" r:id="rId7"/>
    <sheet name="01-02-DGS" sheetId="7" r:id="rId8"/>
    <sheet name="1203-YZD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" i="9" l="1"/>
  <c r="G8" i="9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F116" i="9"/>
  <c r="F110" i="9" s="1"/>
  <c r="G108" i="9" s="1"/>
  <c r="F23" i="9"/>
  <c r="G137" i="9"/>
  <c r="F6" i="9"/>
  <c r="F22" i="9"/>
  <c r="F56" i="9"/>
  <c r="G54" i="9" s="1"/>
  <c r="F88" i="9"/>
  <c r="F87" i="9"/>
  <c r="F86" i="9"/>
  <c r="G85" i="9"/>
  <c r="G55" i="9"/>
  <c r="G27" i="9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21" i="9"/>
  <c r="G20" i="9"/>
  <c r="G5" i="9"/>
  <c r="G62" i="9" l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109" i="9"/>
  <c r="G79" i="9"/>
  <c r="F80" i="9"/>
  <c r="G78" i="9" s="1"/>
  <c r="F24" i="9"/>
  <c r="F57" i="9" s="1"/>
  <c r="G4" i="9"/>
  <c r="G86" i="9"/>
  <c r="G87" i="9" s="1"/>
  <c r="G88" i="9" s="1"/>
  <c r="G89" i="9" s="1"/>
  <c r="G90" i="9" s="1"/>
  <c r="G91" i="9" l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F25" i="9"/>
  <c r="F58" i="9"/>
  <c r="F59" i="9" s="1"/>
  <c r="F81" i="9" l="1"/>
  <c r="F82" i="9" s="1"/>
  <c r="F111" i="9" s="1"/>
  <c r="F9" i="1"/>
  <c r="H10" i="1" s="1"/>
  <c r="F111" i="1"/>
  <c r="G9" i="1"/>
  <c r="E14" i="8"/>
  <c r="E7" i="8"/>
  <c r="D7" i="8"/>
  <c r="E22" i="7"/>
  <c r="E21" i="7"/>
  <c r="E23" i="7" s="1"/>
  <c r="D29" i="7" s="1"/>
  <c r="D10" i="7"/>
  <c r="F45" i="6"/>
  <c r="F46" i="6" s="1"/>
  <c r="F47" i="6" s="1"/>
  <c r="F48" i="6" s="1"/>
  <c r="F49" i="6" s="1"/>
  <c r="F50" i="6" s="1"/>
  <c r="F51" i="6" s="1"/>
  <c r="F36" i="6"/>
  <c r="F38" i="6" s="1"/>
  <c r="D36" i="6"/>
  <c r="D37" i="6" s="1"/>
  <c r="C32" i="6"/>
  <c r="F32" i="6" s="1"/>
  <c r="C30" i="6"/>
  <c r="F30" i="6" s="1"/>
  <c r="C179" i="5"/>
  <c r="F179" i="5" s="1"/>
  <c r="C178" i="5"/>
  <c r="B178" i="5"/>
  <c r="F178" i="5" s="1"/>
  <c r="C176" i="5"/>
  <c r="B176" i="5"/>
  <c r="F176" i="5" s="1"/>
  <c r="C175" i="5"/>
  <c r="B175" i="5"/>
  <c r="F175" i="5" s="1"/>
  <c r="C173" i="5"/>
  <c r="B173" i="5"/>
  <c r="D173" i="5" s="1"/>
  <c r="E152" i="5"/>
  <c r="E133" i="5"/>
  <c r="C177" i="5" s="1"/>
  <c r="D133" i="5"/>
  <c r="B177" i="5" s="1"/>
  <c r="F177" i="5" s="1"/>
  <c r="E122" i="5"/>
  <c r="D122" i="5"/>
  <c r="E67" i="5"/>
  <c r="D67" i="5"/>
  <c r="E25" i="5"/>
  <c r="C174" i="5" s="1"/>
  <c r="D25" i="5"/>
  <c r="B174" i="5" s="1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5" i="5" s="1"/>
  <c r="F126" i="5" s="1"/>
  <c r="F127" i="5" s="1"/>
  <c r="F128" i="5" s="1"/>
  <c r="F129" i="5" s="1"/>
  <c r="F130" i="5" s="1"/>
  <c r="F131" i="5" s="1"/>
  <c r="F132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3" i="5" s="1"/>
  <c r="F154" i="5" s="1"/>
  <c r="F159" i="5" s="1"/>
  <c r="F63" i="4"/>
  <c r="D63" i="4"/>
  <c r="G63" i="4" s="1"/>
  <c r="G65" i="4" s="1"/>
  <c r="G67" i="4" s="1"/>
  <c r="C63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E44" i="4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F27" i="4"/>
  <c r="D27" i="4"/>
  <c r="C27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H76" i="3"/>
  <c r="E76" i="3"/>
  <c r="L8" i="3" s="1"/>
  <c r="J8" i="3" s="1"/>
  <c r="D64" i="3"/>
  <c r="D65" i="3" s="1"/>
  <c r="F63" i="3"/>
  <c r="E59" i="3"/>
  <c r="L7" i="3" s="1"/>
  <c r="F46" i="3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E43" i="3"/>
  <c r="L6" i="3" s="1"/>
  <c r="R6" i="3" s="1"/>
  <c r="F31" i="3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E27" i="3"/>
  <c r="L5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O12" i="3"/>
  <c r="E11" i="3"/>
  <c r="L4" i="3" s="1"/>
  <c r="F4" i="3"/>
  <c r="F5" i="3" s="1"/>
  <c r="F6" i="3" s="1"/>
  <c r="F7" i="3" s="1"/>
  <c r="F8" i="3" s="1"/>
  <c r="F9" i="3" s="1"/>
  <c r="F10" i="3" s="1"/>
  <c r="E19" i="2"/>
  <c r="D19" i="2"/>
  <c r="D20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G137" i="1"/>
  <c r="G136" i="1"/>
  <c r="G135" i="1"/>
  <c r="G134" i="1"/>
  <c r="G133" i="1"/>
  <c r="G132" i="1"/>
  <c r="G131" i="1"/>
  <c r="G130" i="1"/>
  <c r="G129" i="1"/>
  <c r="G128" i="1"/>
  <c r="G127" i="1"/>
  <c r="G126" i="1"/>
  <c r="E120" i="1"/>
  <c r="E118" i="1"/>
  <c r="D111" i="1"/>
  <c r="C111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E91" i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G85" i="1"/>
  <c r="G84" i="1"/>
  <c r="E84" i="1"/>
  <c r="E85" i="1" s="1"/>
  <c r="D73" i="1"/>
  <c r="D74" i="1" s="1"/>
  <c r="C73" i="1"/>
  <c r="G71" i="1"/>
  <c r="G70" i="1"/>
  <c r="G69" i="1"/>
  <c r="G68" i="1"/>
  <c r="G67" i="1"/>
  <c r="G66" i="1"/>
  <c r="G65" i="1"/>
  <c r="G64" i="1"/>
  <c r="G63" i="1"/>
  <c r="G62" i="1"/>
  <c r="G61" i="1"/>
  <c r="G60" i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D52" i="1"/>
  <c r="D53" i="1" s="1"/>
  <c r="C40" i="1"/>
  <c r="C41" i="1" s="1"/>
  <c r="E39" i="1"/>
  <c r="G33" i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C45" i="1" s="1"/>
  <c r="K9" i="1"/>
  <c r="K8" i="1"/>
  <c r="F8" i="1"/>
  <c r="E8" i="1"/>
  <c r="K7" i="1"/>
  <c r="F7" i="1"/>
  <c r="H8" i="1" s="1"/>
  <c r="E7" i="1"/>
  <c r="K6" i="1"/>
  <c r="F6" i="1"/>
  <c r="H7" i="1" s="1"/>
  <c r="E6" i="1"/>
  <c r="J7" i="3" l="1"/>
  <c r="K7" i="3"/>
  <c r="F174" i="5"/>
  <c r="O5" i="3"/>
  <c r="J4" i="3"/>
  <c r="E111" i="1"/>
  <c r="G27" i="4"/>
  <c r="G29" i="4" s="1"/>
  <c r="G31" i="4" s="1"/>
  <c r="F173" i="5"/>
  <c r="F112" i="9"/>
  <c r="F113" i="9" s="1"/>
  <c r="F83" i="9"/>
  <c r="D10" i="1"/>
  <c r="G111" i="1"/>
  <c r="G113" i="1" s="1"/>
  <c r="G114" i="1" s="1"/>
  <c r="H9" i="1"/>
  <c r="G38" i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O6" i="3"/>
  <c r="O7" i="3" s="1"/>
  <c r="O8" i="3" s="1"/>
  <c r="O10" i="3"/>
  <c r="C46" i="1"/>
  <c r="F158" i="5"/>
  <c r="B4" i="7"/>
  <c r="D66" i="3"/>
  <c r="E27" i="4"/>
  <c r="E23" i="4"/>
  <c r="E24" i="4" s="1"/>
  <c r="E25" i="4" s="1"/>
  <c r="E54" i="6"/>
  <c r="F54" i="6" s="1"/>
  <c r="F55" i="6" s="1"/>
  <c r="F56" i="6" s="1"/>
  <c r="F57" i="6" s="1"/>
  <c r="F58" i="6" s="1"/>
  <c r="F59" i="6" s="1"/>
  <c r="E61" i="6"/>
  <c r="F61" i="6" s="1"/>
  <c r="R5" i="3"/>
  <c r="K5" i="3"/>
  <c r="J5" i="3"/>
  <c r="L10" i="3"/>
  <c r="E59" i="4"/>
  <c r="E60" i="4" s="1"/>
  <c r="E61" i="4" s="1"/>
  <c r="E63" i="4"/>
  <c r="F64" i="3"/>
  <c r="F65" i="3" s="1"/>
  <c r="D174" i="5"/>
  <c r="D175" i="5" s="1"/>
  <c r="D176" i="5" s="1"/>
  <c r="D177" i="5" s="1"/>
  <c r="D178" i="5" s="1"/>
  <c r="D179" i="5" s="1"/>
  <c r="F17" i="6" s="1"/>
  <c r="C31" i="6" s="1"/>
  <c r="K8" i="3"/>
  <c r="R4" i="3"/>
  <c r="I8" i="1"/>
  <c r="R7" i="3"/>
  <c r="E40" i="1"/>
  <c r="E41" i="1" s="1"/>
  <c r="D30" i="6"/>
  <c r="D31" i="6" s="1"/>
  <c r="D32" i="6" s="1"/>
  <c r="E9" i="1"/>
  <c r="C10" i="1" s="1"/>
  <c r="F10" i="1" s="1"/>
  <c r="I10" i="1" s="1"/>
  <c r="C42" i="1"/>
  <c r="J6" i="3"/>
  <c r="I7" i="1"/>
  <c r="K6" i="3"/>
  <c r="G138" i="9" l="1"/>
  <c r="G139" i="9" s="1"/>
  <c r="F181" i="5"/>
  <c r="E10" i="1"/>
  <c r="B5" i="7"/>
  <c r="D5" i="7" s="1"/>
  <c r="D28" i="7" s="1"/>
  <c r="C33" i="6"/>
  <c r="F33" i="6" s="1"/>
  <c r="D33" i="6"/>
  <c r="B6" i="7"/>
  <c r="D6" i="7" s="1"/>
  <c r="F62" i="6"/>
  <c r="F64" i="6" s="1"/>
  <c r="B11" i="7" s="1"/>
  <c r="D67" i="3"/>
  <c r="F66" i="3"/>
  <c r="I9" i="1"/>
  <c r="B7" i="7"/>
  <c r="C47" i="1"/>
  <c r="C43" i="1"/>
  <c r="E42" i="1"/>
  <c r="C39" i="6"/>
  <c r="D4" i="7" l="1"/>
  <c r="F31" i="6"/>
  <c r="D11" i="7"/>
  <c r="D12" i="7" s="1"/>
  <c r="B12" i="7"/>
  <c r="E43" i="1"/>
  <c r="C44" i="1"/>
  <c r="E44" i="1" s="1"/>
  <c r="E45" i="1" s="1"/>
  <c r="E46" i="1" s="1"/>
  <c r="E47" i="1" s="1"/>
  <c r="D68" i="3"/>
  <c r="F67" i="3"/>
  <c r="C48" i="1"/>
  <c r="F34" i="6" l="1"/>
  <c r="F40" i="6" s="1"/>
  <c r="E31" i="6"/>
  <c r="E4" i="7"/>
  <c r="E5" i="7" s="1"/>
  <c r="E6" i="7" s="1"/>
  <c r="E10" i="7" s="1"/>
  <c r="E11" i="7" s="1"/>
  <c r="E12" i="7" s="1"/>
  <c r="E13" i="7" s="1"/>
  <c r="E14" i="7" s="1"/>
  <c r="D16" i="7" s="1"/>
  <c r="D27" i="7"/>
  <c r="E27" i="7" s="1"/>
  <c r="E28" i="7" s="1"/>
  <c r="E29" i="7" s="1"/>
  <c r="E30" i="7" s="1"/>
  <c r="C4" i="7"/>
  <c r="D7" i="7"/>
  <c r="D31" i="7"/>
  <c r="E31" i="7" s="1"/>
  <c r="E32" i="7" s="1"/>
  <c r="E33" i="7" s="1"/>
  <c r="D17" i="7"/>
  <c r="C49" i="1"/>
  <c r="E48" i="1"/>
  <c r="D69" i="3"/>
  <c r="F68" i="3"/>
  <c r="D70" i="3" l="1"/>
  <c r="F69" i="3"/>
  <c r="E49" i="1"/>
  <c r="C50" i="1"/>
  <c r="D9" i="8"/>
  <c r="D34" i="7"/>
  <c r="E9" i="8" l="1"/>
  <c r="E11" i="8" s="1"/>
  <c r="D11" i="8"/>
  <c r="E50" i="1"/>
  <c r="C52" i="1"/>
  <c r="C53" i="1" s="1"/>
  <c r="D71" i="3"/>
  <c r="F70" i="3"/>
  <c r="F71" i="3" l="1"/>
  <c r="D72" i="3"/>
  <c r="D12" i="8"/>
  <c r="D17" i="8"/>
  <c r="D18" i="8" s="1"/>
  <c r="E12" i="8"/>
  <c r="E17" i="8"/>
  <c r="E18" i="8" s="1"/>
  <c r="D21" i="8" l="1"/>
  <c r="D15" i="8"/>
  <c r="E21" i="8"/>
  <c r="E15" i="8"/>
  <c r="D73" i="3"/>
  <c r="F72" i="3"/>
  <c r="D74" i="3" l="1"/>
  <c r="F73" i="3"/>
  <c r="F74" i="3" l="1"/>
  <c r="D152" i="5" l="1"/>
</calcChain>
</file>

<file path=xl/sharedStrings.xml><?xml version="1.0" encoding="utf-8"?>
<sst xmlns="http://schemas.openxmlformats.org/spreadsheetml/2006/main" count="740" uniqueCount="454">
  <si>
    <t>Doğuş</t>
  </si>
  <si>
    <t>2021 ve sonrası</t>
  </si>
  <si>
    <t>ödeme yapılan son</t>
  </si>
  <si>
    <t>temmuz</t>
  </si>
  <si>
    <t>olması gereken</t>
  </si>
  <si>
    <t>Tarih</t>
  </si>
  <si>
    <t>Açıklama</t>
  </si>
  <si>
    <t>Bedeli</t>
  </si>
  <si>
    <t>Ödeme</t>
  </si>
  <si>
    <t>Bakiye</t>
  </si>
  <si>
    <t>Masraf</t>
  </si>
  <si>
    <t>Kalan NET</t>
  </si>
  <si>
    <t>aylık</t>
  </si>
  <si>
    <t>tüfe</t>
  </si>
  <si>
    <t>+</t>
  </si>
  <si>
    <t>Asg.Ü.</t>
  </si>
  <si>
    <t>adet</t>
  </si>
  <si>
    <t>Kira dönemi</t>
  </si>
  <si>
    <t>ADEM DUMAN</t>
  </si>
  <si>
    <t>28-02-21*27-02-22</t>
  </si>
  <si>
    <t>28-02-22*27-02-23</t>
  </si>
  <si>
    <t>28-02-23*27-02-24</t>
  </si>
  <si>
    <t>Kirada Oturma Dönem 28 Şubat ile sonraki yıl 27 Şubat tarihleri arasıdır.</t>
  </si>
  <si>
    <t>Ödeme kira dönem başalangıcından 6 ay önce başlar. Döneme ait Kira ödemesi bittiğinde</t>
  </si>
  <si>
    <t>sonraki yılın ödemesi 6 ay önceden başlar</t>
  </si>
  <si>
    <t xml:space="preserve"> tarihine kadar şubat ayı enflasyonu ile artış yapılıp</t>
  </si>
  <si>
    <t>önceki 6 ay farkı son altı ayda tahsil ediliyordu</t>
  </si>
  <si>
    <t>2023 ilk ödemeler 3000 son ödemeler 6500 TL toplamda 60000 TL uygulandı</t>
  </si>
  <si>
    <t>2023 bedeli toplamda 60000 aylık 5000 TL oldu</t>
  </si>
  <si>
    <t>2023 8. ayda 2023-24 için 60000 TL olan bedel %30 artışla 6500x12=78000 olarak belirlendi</t>
  </si>
  <si>
    <t>78000 TL 28-02-2024 ile 27-02-2025 bedelidir ve ödemeler 2023 yılının 8. ayında başlamıştır.</t>
  </si>
  <si>
    <t>şubat ayında nakit ödeme yapmak yerine 6 ay öncesinden başlayarak 12 aylık ortalama</t>
  </si>
  <si>
    <t>vadeye göre ödeme yapılmaktadır. Yıllık artışlarda şubat ayına göre değil ağustos ayına</t>
  </si>
  <si>
    <t>göre uygulanacak</t>
  </si>
  <si>
    <t>Kiranın 12 asgari ücret bedeli olan 17,002*12=204024 TL olacağı ve artık</t>
  </si>
  <si>
    <t>yıllık artışın asgari ücrete bağlı olarak yapılacağı bildirildi.</t>
  </si>
  <si>
    <t xml:space="preserve">2024 yılı için 10 aylık sözleşme yapılacağı, kira döneminin 2025 yılından sonra </t>
  </si>
  <si>
    <t xml:space="preserve"> ocak-aralık olarak uygulanacağı anlatıldı.</t>
  </si>
  <si>
    <t xml:space="preserve">ödemeler düzenli yapılıyor ise ödediği ayın kira bedeli </t>
  </si>
  <si>
    <t>6 ay sonrasının kira bedelidir.</t>
  </si>
  <si>
    <t>Ödenecek</t>
  </si>
  <si>
    <t>Ödenen</t>
  </si>
  <si>
    <t>28-02-2025 -27-02-2026 için yapılan ödemeler</t>
  </si>
  <si>
    <t>Toplam</t>
  </si>
  <si>
    <t>aylık ortalama</t>
  </si>
  <si>
    <t>28-02-2024 -27-02-2025 bedeli</t>
  </si>
  <si>
    <t>28-02-2024 -27-02-2025 için yapılan ödemeler</t>
  </si>
  <si>
    <t>Nakit</t>
  </si>
  <si>
    <t>bankadan</t>
  </si>
  <si>
    <t>nakit</t>
  </si>
  <si>
    <t>Kira bedeli</t>
  </si>
  <si>
    <t>Adem Duman</t>
  </si>
  <si>
    <t>28-02-2021 * 27-02-22 hesabı sıfırlandı</t>
  </si>
  <si>
    <t>28-02-2022 * 27-02-23</t>
  </si>
  <si>
    <t>Senet 2000 x</t>
  </si>
  <si>
    <t>Senet 2000 X</t>
  </si>
  <si>
    <t>Senet 2000</t>
  </si>
  <si>
    <t>Nakit 3000</t>
  </si>
  <si>
    <t>Nakit 3000 10-05-2022</t>
  </si>
  <si>
    <t>Nakit 5000</t>
  </si>
  <si>
    <t>BANKADAN 5-7 4000</t>
  </si>
  <si>
    <t>BANKADAN 29-8  5000</t>
  </si>
  <si>
    <t>28-02-2022 * 27-02-23 hesabı sıfırlandı</t>
  </si>
  <si>
    <t>Toplamlar</t>
  </si>
  <si>
    <t>Doğuş Toplam Gelir</t>
  </si>
  <si>
    <t>Hacı</t>
  </si>
  <si>
    <t>28-02-2023 - 27-02-2024</t>
  </si>
  <si>
    <t>şubat tüfe</t>
  </si>
  <si>
    <t>2023 artış</t>
  </si>
  <si>
    <t>28-02-2023 * 27-02-24 bedeli</t>
  </si>
  <si>
    <t>2023 indirim</t>
  </si>
  <si>
    <t>Nakit 3000 bankadan</t>
  </si>
  <si>
    <t>Nakit 3000 bankadan 6-2</t>
  </si>
  <si>
    <t>Nakit 3000 ELDEN</t>
  </si>
  <si>
    <t>Nakit 6500</t>
  </si>
  <si>
    <t>28-02-2023 - 27-02-2024 hesabı sıfırlandı</t>
  </si>
  <si>
    <t>31-05-2024 Adem Dumana bildirildi</t>
  </si>
  <si>
    <t>MEVCUT DEVAM EDEN DURUM</t>
  </si>
  <si>
    <t>28-02-2024 --&gt; 27-02-2025</t>
  </si>
  <si>
    <t>Temmuz sonundan itibaren uygulanmayacak</t>
  </si>
  <si>
    <t>Ödeme Tarihi</t>
  </si>
  <si>
    <t xml:space="preserve"> 1 / 12</t>
  </si>
  <si>
    <t xml:space="preserve"> 2 / 12</t>
  </si>
  <si>
    <t xml:space="preserve"> 3 / 12</t>
  </si>
  <si>
    <t xml:space="preserve"> 4 / 12</t>
  </si>
  <si>
    <t xml:space="preserve"> 5 / 12</t>
  </si>
  <si>
    <t xml:space="preserve"> 6 / 12</t>
  </si>
  <si>
    <t xml:space="preserve"> 7 / 12</t>
  </si>
  <si>
    <t xml:space="preserve"> 8 / 12</t>
  </si>
  <si>
    <t xml:space="preserve"> 9 / 12</t>
  </si>
  <si>
    <t xml:space="preserve"> 10 / 12</t>
  </si>
  <si>
    <t xml:space="preserve"> 11 / 12</t>
  </si>
  <si>
    <t xml:space="preserve"> 12 / 12</t>
  </si>
  <si>
    <t>TOPLAMLAR</t>
  </si>
  <si>
    <t>Aylık ortalama</t>
  </si>
  <si>
    <t>1. SEÇENEK</t>
  </si>
  <si>
    <t>AYLIK ÖDEMEYLE DEVAM</t>
  </si>
  <si>
    <t>28-02-2025 --&gt; 27-02-2026</t>
  </si>
  <si>
    <t xml:space="preserve"> 1 / 12                                    asgari ücret tutarı</t>
  </si>
  <si>
    <t xml:space="preserve"> 2 / 12                                    asgari ücret tutarı</t>
  </si>
  <si>
    <t xml:space="preserve"> 3 / 12                                    asgari ücret tutarı</t>
  </si>
  <si>
    <t xml:space="preserve"> 4 / 12                                    asgari ücret tutarı</t>
  </si>
  <si>
    <t xml:space="preserve"> 5 / 12                                    asgari ücret tutarı</t>
  </si>
  <si>
    <t xml:space="preserve"> 6 / 12                                    asgari ücret tutarı</t>
  </si>
  <si>
    <t xml:space="preserve"> 7 / 12                                    asgari ücret tutarı</t>
  </si>
  <si>
    <t xml:space="preserve"> 8 / 12                                    asgari ücret tutarı</t>
  </si>
  <si>
    <t xml:space="preserve"> 9 / 12                                    asgari ücret tutarı</t>
  </si>
  <si>
    <t>10 / 12                                    asgari ücret tutarı</t>
  </si>
  <si>
    <t>11 / 12                                    asgari ücret tutarı</t>
  </si>
  <si>
    <t>12 / 12                                    asgari ücret tutarı</t>
  </si>
  <si>
    <t>2. SEÇENEK</t>
  </si>
  <si>
    <r>
      <rPr>
        <b/>
        <u/>
        <sz val="10"/>
        <color rgb="FF000000"/>
        <rFont val="Adobe Gothic Std B"/>
        <family val="2"/>
        <charset val="128"/>
      </rPr>
      <t>ERKEN</t>
    </r>
    <r>
      <rPr>
        <b/>
        <sz val="10"/>
        <color rgb="FF000000"/>
        <rFont val="Adobe Gothic Std B"/>
        <family val="2"/>
        <charset val="128"/>
      </rPr>
      <t xml:space="preserve"> YILLIK PEŞİN ÖDEME</t>
    </r>
  </si>
  <si>
    <t>Tek Ödeme              17002  x 12</t>
  </si>
  <si>
    <t>3. SEÇENEK</t>
  </si>
  <si>
    <r>
      <rPr>
        <b/>
        <u/>
        <sz val="10"/>
        <color rgb="FF000000"/>
        <rFont val="Adobe Gothic Std B"/>
        <family val="2"/>
        <charset val="128"/>
      </rPr>
      <t>DÖNEM BAŞI</t>
    </r>
    <r>
      <rPr>
        <b/>
        <sz val="10"/>
        <color rgb="FF000000"/>
        <rFont val="Adobe Gothic Std B"/>
        <family val="2"/>
        <charset val="128"/>
      </rPr>
      <t xml:space="preserve"> YILLIK PEŞİN ÖDEME</t>
    </r>
  </si>
  <si>
    <t>Tek Ödeme                           asgari ücret x 12</t>
  </si>
  <si>
    <t>28-02-2021 * 27-02-22</t>
  </si>
  <si>
    <t>Ödenecek Toplam 24000</t>
  </si>
  <si>
    <t xml:space="preserve">temmuz </t>
  </si>
  <si>
    <t xml:space="preserve">     ASGARİ ÜCRET</t>
  </si>
  <si>
    <t>yıllık</t>
  </si>
  <si>
    <t>tüfe %</t>
  </si>
  <si>
    <t>tüfeli fiyat</t>
  </si>
  <si>
    <t>TL</t>
  </si>
  <si>
    <t>Senet 14000 x</t>
  </si>
  <si>
    <t>Toplam Ödenen</t>
  </si>
  <si>
    <t>Ödenecek Toplam 36000</t>
  </si>
  <si>
    <t>bankadan ödeme</t>
  </si>
  <si>
    <t>28-02-2023 * 27-02-24 Bir yıl</t>
  </si>
  <si>
    <t>Ödenecek Toplam 62280</t>
  </si>
  <si>
    <t xml:space="preserve">28-02-2024 * 27-02-2025 </t>
  </si>
  <si>
    <t>Ödenecek Toplam 39000</t>
  </si>
  <si>
    <t>08-07-24 banka</t>
  </si>
  <si>
    <t>28-02-2025 * 27-02-2026</t>
  </si>
  <si>
    <t xml:space="preserve">Ödenecek Toplam </t>
  </si>
  <si>
    <t>09-09-24 bnaka</t>
  </si>
  <si>
    <t>09-10-24 banka</t>
  </si>
  <si>
    <t>11-11-24 banka</t>
  </si>
  <si>
    <t>11-12-24 banka</t>
  </si>
  <si>
    <t>29.02.2025</t>
  </si>
  <si>
    <t>Tuzgümrüğü kira</t>
  </si>
  <si>
    <t>Kalan Kira</t>
  </si>
  <si>
    <t>26-12-2022 bankadan 3300</t>
  </si>
  <si>
    <t>30-4-2023-24</t>
  </si>
  <si>
    <t>Salih Kaymak</t>
  </si>
  <si>
    <t xml:space="preserve">    *12</t>
  </si>
  <si>
    <t>bankadan 5600 1/2</t>
  </si>
  <si>
    <t>bankadan 2/2</t>
  </si>
  <si>
    <t>Tuzgümrüğü Toplam Kira Geliri</t>
  </si>
  <si>
    <t>2021 den kalan</t>
  </si>
  <si>
    <t>30-4-2022-23</t>
  </si>
  <si>
    <t>1650*12</t>
  </si>
  <si>
    <t>12-05-2022 ilk ödeme</t>
  </si>
  <si>
    <t>DOĞUŞ TİC. - HAKAN BALCI 2003-2012 HESAP CETVELİ</t>
  </si>
  <si>
    <t>2003-2004</t>
  </si>
  <si>
    <t>evrak no</t>
  </si>
  <si>
    <t>alınan</t>
  </si>
  <si>
    <t>ödeme</t>
  </si>
  <si>
    <t>bakiye</t>
  </si>
  <si>
    <t>Ny 2003</t>
  </si>
  <si>
    <t>yb</t>
  </si>
  <si>
    <t>örtü</t>
  </si>
  <si>
    <t>Araba kredi 7</t>
  </si>
  <si>
    <t>Araba kredi 8</t>
  </si>
  <si>
    <t>Araba kredi 9</t>
  </si>
  <si>
    <t>vergi</t>
  </si>
  <si>
    <t>Araba kredi 10</t>
  </si>
  <si>
    <t>pls</t>
  </si>
  <si>
    <t>tunç perde</t>
  </si>
  <si>
    <t>Araba kredi 11</t>
  </si>
  <si>
    <t>Araba kredi 12</t>
  </si>
  <si>
    <t>Vakıf kredi 1</t>
  </si>
  <si>
    <t>ssk</t>
  </si>
  <si>
    <t>26-2 çek HAKANDAN</t>
  </si>
  <si>
    <t>27-2 çek HAKANDAN</t>
  </si>
  <si>
    <t>5-3 çek HAKANDAN</t>
  </si>
  <si>
    <t>sanayi hesabı</t>
  </si>
  <si>
    <t>2004 yıl içi toplamı</t>
  </si>
  <si>
    <t>2004 NY</t>
  </si>
  <si>
    <t>bağkur</t>
  </si>
  <si>
    <t>tvn</t>
  </si>
  <si>
    <t>kdv</t>
  </si>
  <si>
    <t>Araba kredi 1</t>
  </si>
  <si>
    <t>Araba kredi 2</t>
  </si>
  <si>
    <t>Vakıf kredi 2</t>
  </si>
  <si>
    <t>Vakıf kredi 3</t>
  </si>
  <si>
    <t>Vakıf kredi 4</t>
  </si>
  <si>
    <t>Araba kredi 3</t>
  </si>
  <si>
    <t>stn</t>
  </si>
  <si>
    <t>Araba kredi 4</t>
  </si>
  <si>
    <t>maliye</t>
  </si>
  <si>
    <t>fırça</t>
  </si>
  <si>
    <t>Araba kredi 5</t>
  </si>
  <si>
    <t>Vakıf kredi 5</t>
  </si>
  <si>
    <t>Vakıf kredi 6</t>
  </si>
  <si>
    <t>gırgıroğlu</t>
  </si>
  <si>
    <t>kk</t>
  </si>
  <si>
    <t>iş döviz alım</t>
  </si>
  <si>
    <t>iş yatan</t>
  </si>
  <si>
    <t>vakıf kredi 7</t>
  </si>
  <si>
    <t>vakıf kredi 8</t>
  </si>
  <si>
    <t>vakıf kredi 9</t>
  </si>
  <si>
    <t>elden verilen</t>
  </si>
  <si>
    <t>elden standox</t>
  </si>
  <si>
    <t>ziraatten alınan</t>
  </si>
  <si>
    <t>vakıf kredi 10</t>
  </si>
  <si>
    <t>vakıf kredi 11</t>
  </si>
  <si>
    <t>san iş kredili mevduat</t>
  </si>
  <si>
    <t>taşıt pulu</t>
  </si>
  <si>
    <t>soba by</t>
  </si>
  <si>
    <t>ali ülkü</t>
  </si>
  <si>
    <t>2005 yıl içi toplamı</t>
  </si>
  <si>
    <t>Ny 2005</t>
  </si>
  <si>
    <t>2006 hesap</t>
  </si>
  <si>
    <t>hasözgen</t>
  </si>
  <si>
    <t>hilal koop</t>
  </si>
  <si>
    <t>opel fatih</t>
  </si>
  <si>
    <t>vakıf kredi 12</t>
  </si>
  <si>
    <t>vakıf kredi 13</t>
  </si>
  <si>
    <t>vakıf kredi 14</t>
  </si>
  <si>
    <t>vakıf kredi 15</t>
  </si>
  <si>
    <t>vakıf kredi 16</t>
  </si>
  <si>
    <t>vakıf kredi 17</t>
  </si>
  <si>
    <t>opel lastik</t>
  </si>
  <si>
    <t>antipas</t>
  </si>
  <si>
    <t>eski hesap</t>
  </si>
  <si>
    <t>ev</t>
  </si>
  <si>
    <t>tiner</t>
  </si>
  <si>
    <t>ziraat masraf</t>
  </si>
  <si>
    <t>alanya havale</t>
  </si>
  <si>
    <t>oyakbanka yatan</t>
  </si>
  <si>
    <t>oyak must bülbül çek</t>
  </si>
  <si>
    <t>polsn hvl</t>
  </si>
  <si>
    <t>strfr</t>
  </si>
  <si>
    <t>dış cph</t>
  </si>
  <si>
    <t>iş faiz</t>
  </si>
  <si>
    <t>populer</t>
  </si>
  <si>
    <t>elden alınan</t>
  </si>
  <si>
    <t>antp</t>
  </si>
  <si>
    <t>puan</t>
  </si>
  <si>
    <t>jnd ziraat</t>
  </si>
  <si>
    <t>dftr tsdk</t>
  </si>
  <si>
    <t>Muh 2004</t>
  </si>
  <si>
    <t>Muh 2005</t>
  </si>
  <si>
    <t>Muh 2006</t>
  </si>
  <si>
    <t>Vergi 2005</t>
  </si>
  <si>
    <t>Vergi 2006</t>
  </si>
  <si>
    <t>tn</t>
  </si>
  <si>
    <t>2006 yıl içi toplamı</t>
  </si>
  <si>
    <t>mcn</t>
  </si>
  <si>
    <t>plızl</t>
  </si>
  <si>
    <t>muslk</t>
  </si>
  <si>
    <t>elden ödem</t>
  </si>
  <si>
    <t>kal mlzm ev</t>
  </si>
  <si>
    <t>2007 yıl içi toplamı</t>
  </si>
  <si>
    <t>2008-12</t>
  </si>
  <si>
    <t>NY 2007</t>
  </si>
  <si>
    <t>fıratpen</t>
  </si>
  <si>
    <t>iş çek için</t>
  </si>
  <si>
    <t>180 zmp</t>
  </si>
  <si>
    <t>hacıya uçak bileti için</t>
  </si>
  <si>
    <t>Zmp 50 ad</t>
  </si>
  <si>
    <t>opel balata</t>
  </si>
  <si>
    <t>tnr</t>
  </si>
  <si>
    <t>sr yldz</t>
  </si>
  <si>
    <t>dinç</t>
  </si>
  <si>
    <t>2008 yıl içi toplamı</t>
  </si>
  <si>
    <t>furkan (motorcu yalıtım taksidi)</t>
  </si>
  <si>
    <t>resmi ödemelerin toplamı</t>
  </si>
  <si>
    <t>alışveriş hesabı</t>
  </si>
  <si>
    <t>TL bazında hakanın doğuştan aldığı para</t>
  </si>
  <si>
    <t>2003-2012 DOĞUŞ- HAKAN HESAP TOPLAMI</t>
  </si>
  <si>
    <t>hakanın</t>
  </si>
  <si>
    <t>aldığı</t>
  </si>
  <si>
    <t>ödediği</t>
  </si>
  <si>
    <t>$-tl</t>
  </si>
  <si>
    <t>$</t>
  </si>
  <si>
    <t>dolar bazında hakanın doğuştan aldığı para</t>
  </si>
  <si>
    <t>USD</t>
  </si>
  <si>
    <t>DOĞUŞ TİCARET – NAZAN BALCI  İŞ SONLANDIRMA HESAP CETVELİ</t>
  </si>
  <si>
    <t>1994 yılında Doğuş Ticaret Ayten Balcı’ya ait arsaya 5 daire 1 dükkan</t>
  </si>
  <si>
    <t>olacak şekilde bir bina yaptı.</t>
  </si>
  <si>
    <t>Değeri</t>
  </si>
  <si>
    <t>Kat Karşılığı</t>
  </si>
  <si>
    <t>Kime Ait</t>
  </si>
  <si>
    <t>Son Durum</t>
  </si>
  <si>
    <t>Daire 5</t>
  </si>
  <si>
    <t>Arsa Sahibine</t>
  </si>
  <si>
    <t>Ayten Balcı</t>
  </si>
  <si>
    <t>Daire 4</t>
  </si>
  <si>
    <t>Doğuş Ticaret</t>
  </si>
  <si>
    <t>Nazan Balcı</t>
  </si>
  <si>
    <t>Daire 3</t>
  </si>
  <si>
    <t>Daire 2 satıldı</t>
  </si>
  <si>
    <t>Satıldı</t>
  </si>
  <si>
    <t>Daire 1   Satıldı</t>
  </si>
  <si>
    <t>Dükkan   Satıldı</t>
  </si>
  <si>
    <t>Hacı + Nazan</t>
  </si>
  <si>
    <t>*</t>
  </si>
  <si>
    <t>daire 2 satıldı, Ali Paşa Hamam daki arsanın, Mustafa Işıklıyurt’a ait hisse satın alındı</t>
  </si>
  <si>
    <t>2 nolu daire hacı ya ait olmasına rağmen ali paşa ortak alındığından dolayı daire den alınan</t>
  </si>
  <si>
    <t>paranın yarısı İsmail Balcıya geçmiş oldu.</t>
  </si>
  <si>
    <t>Dükkan satıldı parayı hacı aldı ortaklardan nazanın alacağı oluştu</t>
  </si>
  <si>
    <t>hakanın Doğuştan aldığı nakit</t>
  </si>
  <si>
    <t>2007 de hacı doğuşa geçtiğinde borç ödemesi için mustafa balcı 50000 TL verdi.</t>
  </si>
  <si>
    <t>2015-ocak ayı Doğuşun; Denizbanka 365.000 TL, İşbank a 36.000 TL kredi borcu var</t>
  </si>
  <si>
    <r>
      <t xml:space="preserve">Aylık borç ödemesi 6765+3409=10.174 TL.  1  USD=2.40 TL </t>
    </r>
    <r>
      <rPr>
        <b/>
        <sz val="11"/>
        <color rgb="FF000000"/>
        <rFont val="Calibri"/>
        <family val="2"/>
        <charset val="162"/>
      </rPr>
      <t>Aylık ödeme # 4239 USD #</t>
    </r>
  </si>
  <si>
    <t>Dolar cinsinden borç yaklaşık 167000 USD</t>
  </si>
  <si>
    <t>Envanter yaklaşık 110 000 TL   Satılabilir mal toplamı yaklaşık 60 000 TL = 25000 usd</t>
  </si>
  <si>
    <t>* Bu bilgiler şirkette aylık dönen paranın anlaşılabilmesi için verilmiştir.</t>
  </si>
  <si>
    <t>HACI ALACAK</t>
  </si>
  <si>
    <t>TL – usd</t>
  </si>
  <si>
    <t>karşılığı</t>
  </si>
  <si>
    <t>İnşaat Daire 2 den kalan ½</t>
  </si>
  <si>
    <t>04-07</t>
  </si>
  <si>
    <t>Hakan BALCI Doğuştan verilen ½</t>
  </si>
  <si>
    <t>mustafa balcıdan doğuşa verilen ½</t>
  </si>
  <si>
    <t>Nazan Doğuş kapanış borcu ½</t>
  </si>
  <si>
    <t>2017 yılı sonu</t>
  </si>
  <si>
    <t>hacının alacağı USD</t>
  </si>
  <si>
    <t>NAZAN ALACAK</t>
  </si>
  <si>
    <t>İnşaat Dükkandan nazana ½</t>
  </si>
  <si>
    <t>Nazanın alacağı USD</t>
  </si>
  <si>
    <t>Toplam TL</t>
  </si>
  <si>
    <t>hacının KALAN alacağı USD</t>
  </si>
  <si>
    <t>DOĞUŞ TİCARET KAPANIŞ HESABI 2017</t>
  </si>
  <si>
    <t>sanayi boya dükkan masrafı mermer-alçıpan Ali Balcı</t>
  </si>
  <si>
    <t>hacı bağkur borcu</t>
  </si>
  <si>
    <t>Envanter satış kdv</t>
  </si>
  <si>
    <t>maliye kapanışta vergi</t>
  </si>
  <si>
    <t>Firmalara ölan borçlar (yanar)</t>
  </si>
  <si>
    <t>Firmalara olan borçlar (diğer)</t>
  </si>
  <si>
    <t>Doğuş 2017 haziranda borçla kapandı 1 USD = 3,55 TL</t>
  </si>
  <si>
    <t>NAZAN BALCI – DOĞUŞ 2017 HESABI</t>
  </si>
  <si>
    <t>doğuş hesabı  1/2</t>
  </si>
  <si>
    <t>2011 emlak vergi</t>
  </si>
  <si>
    <t>nazana ait esnaf koop aidat ödemesi     15-2-2016</t>
  </si>
  <si>
    <t>2013 2014 gelir vergisi farkı ankaradaki ev kira vergisi</t>
  </si>
  <si>
    <t>kümbet ev yalıtım hesabı * 100m2*60 TL</t>
  </si>
  <si>
    <t>DOĞUŞ KAPANIŞTA NAZAN BALCININ BORCU</t>
  </si>
  <si>
    <t>hacının kapanışta doğuşa borcu ½</t>
  </si>
  <si>
    <t>Doğuş Kapanışta Toplam Borç</t>
  </si>
  <si>
    <t>Doğuşa Olan Borçlar</t>
  </si>
  <si>
    <t>BAKİYE</t>
  </si>
  <si>
    <t>Nazan – Hakanın doğuştan ödenen borçlar</t>
  </si>
  <si>
    <t>Nazan – Doğuş kapanış borcu ½</t>
  </si>
  <si>
    <t>Hacı – Doğuş kapanış borcu ½</t>
  </si>
  <si>
    <t>DOĞUŞ KAPANIŞ ALACAK TOPLAMI</t>
  </si>
  <si>
    <t>Doğuşun Borçları</t>
  </si>
  <si>
    <t>Hacı – MUSTAFA BALCIdan doğuşa verilen-2007</t>
  </si>
  <si>
    <t>Hacı – Doğuş kapanırken hacının ödediği-2017</t>
  </si>
  <si>
    <t>DOĞUŞ KAPANIŞ BORÇ TOPLAMI</t>
  </si>
  <si>
    <t>Borç – alacak tahsilatı yapılabilseydi doğuş kapanışta kalan sermaye</t>
  </si>
  <si>
    <t>doğuş hesabından hacıya düşen hisse</t>
  </si>
  <si>
    <t>doğuş hesabından nazana düşen hisse</t>
  </si>
  <si>
    <t>İnşaat HESABI</t>
  </si>
  <si>
    <t>Nazanın fazladan aldığı ,nşaat hissesi – Daire ½</t>
  </si>
  <si>
    <t>Hacının fazladan aldığı dükkan hissesi – Dükkan ½</t>
  </si>
  <si>
    <t>İnşaat hesabından hacının alacağı</t>
  </si>
  <si>
    <t>nazanın toplam borcu</t>
  </si>
  <si>
    <t>hakandan</t>
  </si>
  <si>
    <t>doğuştan</t>
  </si>
  <si>
    <t>inşaattan</t>
  </si>
  <si>
    <t>nazanın doğuş kapanışta doğuşun varlığının yarısı</t>
  </si>
  <si>
    <t>nazanın toplam borcu = hakan + doğuş kapanış + inşaat hesabı</t>
  </si>
  <si>
    <t>hakanın doğuşa olan toplam borç içindeki payı</t>
  </si>
  <si>
    <t xml:space="preserve">1203 m2 SANAYİ Arsa Değeri </t>
  </si>
  <si>
    <t>Nazan</t>
  </si>
  <si>
    <t>2007 hisse oranları</t>
  </si>
  <si>
    <t>2007 hisse değerleri</t>
  </si>
  <si>
    <t>2017 DOĞUŞ hesap kapama sonucu</t>
  </si>
  <si>
    <t>nazanın borcu arsa hissesinden düşüldü                                            I                                                    V</t>
  </si>
  <si>
    <t>hacının alacağı arsa hissesine eklendi                                           I                                                    V</t>
  </si>
  <si>
    <t>2017 hesap sonrası hisse değerleri</t>
  </si>
  <si>
    <t>2017 hesap sonrası hisse oranları</t>
  </si>
  <si>
    <t>'[02-23-sny.ods]02-13-BAKIYE'!$AC$28</t>
  </si>
  <si>
    <t>2019-22 kira gelirlerini hacı tahsil etti                                            I                                                    V</t>
  </si>
  <si>
    <t>2019-22 kira gelirleri</t>
  </si>
  <si>
    <t>2019-22 kira gelirleri % si</t>
  </si>
  <si>
    <t>hacının tahsil ettiği 2019-22 kira gelirleri nazanın hissesine eklendi                                            I                                                    V</t>
  </si>
  <si>
    <t>2019-22 kira gelirleri hacının hissesinden düşüldü                                            I                                                    V</t>
  </si>
  <si>
    <t>2022 kira gelirleri eklenmiş hisse değerleri</t>
  </si>
  <si>
    <t>2022 kira gelirleri eklenmiş  hisse oranları</t>
  </si>
  <si>
    <t xml:space="preserve">2023 ve sonrası hesaplar için uygulanacak </t>
  </si>
  <si>
    <t>SON HİSSE ORANLARI</t>
  </si>
  <si>
    <t xml:space="preserve">2023 kira gelirleri SON HİSSE ORANLARINA GÖRE HESAPLANARAK </t>
  </si>
  <si>
    <t>OCAK 2024 tarihinden itibaren NAZANın hesabına havale edilmeye başlandı</t>
  </si>
  <si>
    <t>Arsa değeri yan arsanın satış rakamı baz alınatak belirlenmiştir.</t>
  </si>
  <si>
    <t>Niğdeli, 2007 de Altıngövde den 700.000 TL ye satın aldı.</t>
  </si>
  <si>
    <t>Dolar olarak değeri 450,000 USD.</t>
  </si>
  <si>
    <t>28-02-2025 -31-12-2025 bedeli</t>
  </si>
  <si>
    <t>28-02-24*27-02-25</t>
  </si>
  <si>
    <t>28/02/25-31/12/25</t>
  </si>
  <si>
    <t>ADEM DUMAN - 2021-2025</t>
  </si>
  <si>
    <t>HESAP ÖZETİ</t>
  </si>
  <si>
    <t>DÖNEM 1 Aylık Tutar</t>
  </si>
  <si>
    <t>AÜ TL-Adet</t>
  </si>
  <si>
    <t>28-02-2021 27-02-2022 DÖNEMİ</t>
  </si>
  <si>
    <t>tutar</t>
  </si>
  <si>
    <t>DÖNEM 1 Hesabı</t>
  </si>
  <si>
    <t>2021-22 Tutarı       24000 TL</t>
  </si>
  <si>
    <t>Dönem Sonu Kalan BAKİYE</t>
  </si>
  <si>
    <t>DÖNEM 2  Aylık Tutar</t>
  </si>
  <si>
    <t>AÜ</t>
  </si>
  <si>
    <t>28-02-2022 27-02-2023 DÖNEMİ</t>
  </si>
  <si>
    <t>DÖNEM 2 Hesabı</t>
  </si>
  <si>
    <t>Nakit  2000 TL</t>
  </si>
  <si>
    <t>Nakit  3000 TL ödendi</t>
  </si>
  <si>
    <t>Nakit  3000 TL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</si>
  <si>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</si>
  <si>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t xml:space="preserve">Nakit  5000 TL                 </t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</si>
  <si>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</si>
  <si>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</si>
  <si>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t>DÖNEM 3 Aylık Tutar</t>
  </si>
  <si>
    <t>28-02-2023 27-02-2024 DÖNEMİ</t>
  </si>
  <si>
    <t>DÖNEM 3 Hesabı</t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</si>
  <si>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</si>
  <si>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</si>
  <si>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</si>
  <si>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</si>
  <si>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t>Nakit  6500 TL</t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</si>
  <si>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</si>
  <si>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t>DÖNEM 4 Aylık Tutar</t>
  </si>
  <si>
    <t>28-02-2024 27-02-2025 DÖNEMİ</t>
  </si>
  <si>
    <t>DÖNEM 4 Hesabı           151216</t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</si>
  <si>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</si>
  <si>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</si>
  <si>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</si>
  <si>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</si>
  <si>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Nakit  15000 TL</t>
  </si>
  <si>
    <r>
      <t xml:space="preserve">bankadan  15000 TL              </t>
    </r>
    <r>
      <rPr>
        <b/>
        <sz val="11"/>
        <color rgb="FFFF0000"/>
        <rFont val="Calibri"/>
        <family val="2"/>
        <charset val="162"/>
      </rPr>
      <t>08-07-2024</t>
    </r>
  </si>
  <si>
    <t>DÖNEM 5 Aylık Tutar</t>
  </si>
  <si>
    <r>
      <rPr>
        <b/>
        <sz val="11"/>
        <color rgb="FF000000"/>
        <rFont val="Calibri"/>
        <family val="2"/>
        <charset val="162"/>
      </rPr>
      <t xml:space="preserve">DÖNEM 5 Hesabı         </t>
    </r>
    <r>
      <rPr>
        <b/>
        <u/>
        <sz val="11"/>
        <color rgb="FFFF0000"/>
        <rFont val="Calibri"/>
        <family val="2"/>
        <charset val="162"/>
      </rPr>
      <t>10 AYLIK</t>
    </r>
  </si>
  <si>
    <t>Nakit  22104 TL</t>
  </si>
  <si>
    <t>30.04.20245</t>
  </si>
  <si>
    <t>BANKA</t>
  </si>
  <si>
    <t>ŞUBAT 2022 TÜFE</t>
  </si>
  <si>
    <t>ŞUBAT 2023 TÜFE</t>
  </si>
  <si>
    <t>ŞUBAT 2024 TÜFE</t>
  </si>
  <si>
    <t>ŞUBAT 2025 TÜFE</t>
  </si>
  <si>
    <r>
      <t xml:space="preserve">Nakit  22104 TL                        </t>
    </r>
    <r>
      <rPr>
        <b/>
        <sz val="10"/>
        <color rgb="FF000000"/>
        <rFont val="Liberation Sans1"/>
        <charset val="162"/>
      </rPr>
      <t xml:space="preserve"> </t>
    </r>
    <r>
      <rPr>
        <b/>
        <sz val="10"/>
        <color rgb="FFFF0000"/>
        <rFont val="Liberation Sans1"/>
        <charset val="162"/>
      </rPr>
      <t>11-12-2024</t>
    </r>
  </si>
  <si>
    <r>
      <t xml:space="preserve">Nakit  22104 TL                         </t>
    </r>
    <r>
      <rPr>
        <b/>
        <sz val="10"/>
        <color rgb="FFFF0000"/>
        <rFont val="Liberation Sans1"/>
        <charset val="162"/>
      </rPr>
      <t>11-11-2024</t>
    </r>
  </si>
  <si>
    <r>
      <t xml:space="preserve">Nakit  22104 TL                        </t>
    </r>
    <r>
      <rPr>
        <b/>
        <sz val="10"/>
        <color rgb="FFFF0000"/>
        <rFont val="Liberation Sans1"/>
        <charset val="162"/>
      </rPr>
      <t xml:space="preserve"> 09-10-2024</t>
    </r>
  </si>
  <si>
    <r>
      <t xml:space="preserve">Nakit  22104 TL                        </t>
    </r>
    <r>
      <rPr>
        <b/>
        <sz val="10"/>
        <color rgb="FFFF0000"/>
        <rFont val="Liberation Sans1"/>
        <charset val="162"/>
      </rPr>
      <t xml:space="preserve"> 09-09-2024</t>
    </r>
  </si>
  <si>
    <r>
      <t xml:space="preserve">Nakit  22104 TL                         </t>
    </r>
    <r>
      <rPr>
        <b/>
        <sz val="10"/>
        <color rgb="FFFF0000"/>
        <rFont val="Liberation Sans1"/>
        <charset val="162"/>
      </rPr>
      <t>14-01-2025</t>
    </r>
  </si>
  <si>
    <t>tüfeli toplam</t>
  </si>
  <si>
    <t>Önceki dönem tüfeli  bedel</t>
  </si>
  <si>
    <t>Banka Ödemesi</t>
  </si>
  <si>
    <t>Tüfeli GENEL TOPLAM</t>
  </si>
  <si>
    <t>Ödenmesi Gereken</t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</si>
  <si>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  <r>
      <rPr>
        <b/>
        <sz val="11"/>
        <color rgb="FF000000"/>
        <rFont val="Calibri"/>
        <family val="2"/>
        <charset val="162"/>
      </rPr>
      <t xml:space="preserve"> 2000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</si>
  <si>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  <r>
      <rPr>
        <b/>
        <sz val="11"/>
        <color rgb="FF000000"/>
        <rFont val="Calibri"/>
        <family val="2"/>
        <charset val="162"/>
      </rPr>
      <t xml:space="preserve"> 3000</t>
    </r>
  </si>
  <si>
    <t>DÖNEM 3 Hesabı 12*5=   60000</t>
  </si>
  <si>
    <t>28-02-2025 31-1-2025 DÖNEMİ 10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</si>
</sst>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-&quot;#,##0.00;[Red]&quot;-&quot;#,##0.00"/>
    <numFmt numFmtId="165" formatCode="d&quot;.&quot;mm&quot;.&quot;yyyy"/>
    <numFmt numFmtId="166" formatCode="dd&quot;.&quot;mm&quot;.&quot;yyyy"/>
    <numFmt numFmtId="167" formatCode="[$$-409]#,##0.00;[Red]&quot;-&quot;[$$-409]#,##0.00"/>
    <numFmt numFmtId="168" formatCode="[$-41F]dddd&quot;, &quot;mmmm&quot; &quot;dd&quot;, &quot;yyyy"/>
    <numFmt numFmtId="169" formatCode="[$-41F]General"/>
    <numFmt numFmtId="170" formatCode="[$-41F]#,##0.00"/>
    <numFmt numFmtId="171" formatCode="dd&quot;.&quot;mm&quot;.&quot;yy;@"/>
    <numFmt numFmtId="172" formatCode="d&quot;.&quot;mmm"/>
    <numFmt numFmtId="173" formatCode="[$-41F]%0.00"/>
    <numFmt numFmtId="174" formatCode="#,##0.00000"/>
    <numFmt numFmtId="175" formatCode="[$₺-41F]#,##0.00;[Red]&quot;-&quot;[$₺-41F]#,##0.00"/>
    <numFmt numFmtId="176" formatCode="[$$-409]#,##0.00;[Red][$$-409]#,##0.00"/>
    <numFmt numFmtId="177" formatCode="%0.00"/>
    <numFmt numFmtId="178" formatCode="mmm&quot;.&quot;yy"/>
    <numFmt numFmtId="179" formatCode="0.0000%"/>
    <numFmt numFmtId="180" formatCode="&quot; &quot;#,##0.00&quot; &quot;;&quot;-&quot;#,##0.00&quot; &quot;;&quot; -&quot;#&quot; &quot;;&quot; &quot;@&quot; &quot;"/>
    <numFmt numFmtId="181" formatCode="[$-F800]dddd\,\ mmmm\ dd\,\ yyyy"/>
  </numFmts>
  <fonts count="62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"/>
      <family val="2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FF0000"/>
      <name val="Liberation Sans1"/>
      <charset val="162"/>
    </font>
    <font>
      <sz val="10"/>
      <color rgb="FF111111"/>
      <name val="Liberation Sans1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10"/>
      <color rgb="FF000000"/>
      <name val="Adobe Gothic Std B"/>
      <family val="2"/>
      <charset val="128"/>
    </font>
    <font>
      <b/>
      <u/>
      <sz val="10"/>
      <color rgb="FF000000"/>
      <name val="Adobe Gothic Std B"/>
      <family val="2"/>
      <charset val="128"/>
    </font>
    <font>
      <sz val="10"/>
      <color rgb="FF000000"/>
      <name val="Bitstream Vera Sans"/>
      <charset val="162"/>
    </font>
    <font>
      <b/>
      <sz val="10"/>
      <color rgb="FF000000"/>
      <name val="Bitstream Vera Sans"/>
      <charset val="162"/>
    </font>
    <font>
      <b/>
      <i/>
      <u/>
      <sz val="10"/>
      <color rgb="FF000000"/>
      <name val="Bitstream Vera Sans"/>
      <charset val="162"/>
    </font>
    <font>
      <b/>
      <u/>
      <sz val="10"/>
      <color rgb="FF000000"/>
      <name val="Bitstream Vera Sans"/>
      <charset val="162"/>
    </font>
    <font>
      <b/>
      <i/>
      <sz val="10"/>
      <color rgb="FF000000"/>
      <name val="Bitstream Vera Sans"/>
      <charset val="162"/>
    </font>
    <font>
      <i/>
      <u/>
      <sz val="10"/>
      <color rgb="FF000000"/>
      <name val="Bitstream Vera Sans"/>
      <charset val="162"/>
    </font>
    <font>
      <b/>
      <sz val="12"/>
      <color rgb="FF000000"/>
      <name val="Bitstream Vera Sans"/>
      <charset val="162"/>
    </font>
    <font>
      <b/>
      <sz val="11"/>
      <color rgb="FF000000"/>
      <name val="Bitstream Vera Sans"/>
      <charset val="162"/>
    </font>
    <font>
      <u/>
      <sz val="10"/>
      <color rgb="FF000000"/>
      <name val="Bitstream Vera Sans"/>
      <charset val="162"/>
    </font>
    <font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i/>
      <sz val="8"/>
      <color rgb="FF000000"/>
      <name val="Bitstream Vera Sans"/>
      <charset val="162"/>
    </font>
    <font>
      <b/>
      <sz val="9"/>
      <color rgb="FF000000"/>
      <name val="Bitstream Vera Sans"/>
      <charset val="162"/>
    </font>
    <font>
      <sz val="10"/>
      <color rgb="FF000000"/>
      <name val="Abyssinica SIL1"/>
      <charset val="162"/>
    </font>
    <font>
      <b/>
      <sz val="10"/>
      <color rgb="FF000000"/>
      <name val="Abyssinica SIL1"/>
      <charset val="162"/>
    </font>
    <font>
      <i/>
      <sz val="10"/>
      <color rgb="FF000000"/>
      <name val="Abyssinica SIL1"/>
      <charset val="162"/>
    </font>
    <font>
      <b/>
      <sz val="12"/>
      <color rgb="FF000000"/>
      <name val="Abyssinica SIL1"/>
      <charset val="162"/>
    </font>
    <font>
      <b/>
      <sz val="11"/>
      <color rgb="FF000000"/>
      <name val="Liberation Sans1"/>
      <charset val="162"/>
    </font>
    <font>
      <u/>
      <sz val="10"/>
      <color rgb="FF000000"/>
      <name val="Abyssinica SIL1"/>
      <charset val="162"/>
    </font>
    <font>
      <b/>
      <u/>
      <sz val="10"/>
      <color rgb="FF000000"/>
      <name val="Liberation Sans1"/>
      <charset val="162"/>
    </font>
    <font>
      <sz val="10"/>
      <color rgb="FF000000"/>
      <name val="Abyssinica SIL"/>
      <charset val="162"/>
    </font>
    <font>
      <sz val="14"/>
      <color rgb="FF000000"/>
      <name val="Abyssinica SIL"/>
      <charset val="162"/>
    </font>
    <font>
      <b/>
      <sz val="14"/>
      <color rgb="FF000000"/>
      <name val="Abyssinica SIL"/>
      <charset val="162"/>
    </font>
    <font>
      <sz val="14"/>
      <color rgb="FF000000"/>
      <name val="Liberation Sans1"/>
      <charset val="162"/>
    </font>
    <font>
      <b/>
      <sz val="14"/>
      <color rgb="FF000000"/>
      <name val="Liberation Sans1"/>
      <charset val="162"/>
    </font>
    <font>
      <sz val="14"/>
      <color rgb="FFC9211E"/>
      <name val="Liberation Sans1"/>
      <charset val="162"/>
    </font>
    <font>
      <b/>
      <sz val="12"/>
      <color rgb="FF000000"/>
      <name val="Liberation Sans1"/>
      <charset val="162"/>
    </font>
    <font>
      <b/>
      <sz val="18"/>
      <color rgb="FF000000"/>
      <name val="Liberation Sans1"/>
      <charset val="162"/>
    </font>
    <font>
      <sz val="9"/>
      <color rgb="FF000000"/>
      <name val="Liberation Sans1"/>
      <charset val="162"/>
    </font>
    <font>
      <b/>
      <i/>
      <u/>
      <sz val="16"/>
      <color rgb="FF00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b/>
      <u/>
      <sz val="11"/>
      <color rgb="FFFF0000"/>
      <name val="Calibri"/>
      <family val="2"/>
      <charset val="162"/>
    </font>
    <font>
      <sz val="10"/>
      <name val="Arial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AFD095"/>
        <bgColor rgb="FFAFD095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8F2A1"/>
        <bgColor rgb="FFE8F2A1"/>
      </patternFill>
    </fill>
    <fill>
      <patternFill patternType="solid">
        <fgColor theme="9" tint="0.79998168889431442"/>
        <bgColor rgb="FFAFD09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2A6099"/>
      </left>
      <right/>
      <top style="thin">
        <color rgb="FF2A6099"/>
      </top>
      <bottom style="thin">
        <color rgb="FF2A6099"/>
      </bottom>
      <diagonal/>
    </border>
    <border>
      <left/>
      <right/>
      <top style="thin">
        <color rgb="FF2A6099"/>
      </top>
      <bottom style="thin">
        <color rgb="FF2A6099"/>
      </bottom>
      <diagonal/>
    </border>
    <border>
      <left/>
      <right style="thin">
        <color rgb="FF2A6099"/>
      </right>
      <top style="thin">
        <color rgb="FF2A6099"/>
      </top>
      <bottom style="thin">
        <color rgb="FF2A609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4">
    <xf numFmtId="0" fontId="0" fillId="0" borderId="0"/>
    <xf numFmtId="18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169" fontId="7" fillId="0" borderId="0" applyBorder="0" applyProtection="0"/>
    <xf numFmtId="0" fontId="8" fillId="0" borderId="0" applyNumberFormat="0" applyBorder="0" applyProtection="0"/>
    <xf numFmtId="0" fontId="9" fillId="7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8" borderId="0" applyNumberFormat="0" applyBorder="0" applyProtection="0"/>
    <xf numFmtId="0" fontId="15" fillId="8" borderId="1" applyNumberFormat="0" applyProtection="0"/>
    <xf numFmtId="0" fontId="16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0" fontId="61" fillId="0" borderId="0">
      <alignment vertical="center"/>
    </xf>
  </cellStyleXfs>
  <cellXfs count="30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" fontId="0" fillId="0" borderId="0" xfId="0" applyNumberFormat="1"/>
    <xf numFmtId="165" fontId="3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/>
    <xf numFmtId="4" fontId="16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2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0" fillId="0" borderId="0" xfId="0" applyFill="1"/>
    <xf numFmtId="165" fontId="0" fillId="0" borderId="0" xfId="0" applyNumberFormat="1"/>
    <xf numFmtId="165" fontId="17" fillId="9" borderId="2" xfId="0" applyNumberFormat="1" applyFont="1" applyFill="1" applyBorder="1"/>
    <xf numFmtId="0" fontId="17" fillId="9" borderId="2" xfId="0" applyFont="1" applyFill="1" applyBorder="1"/>
    <xf numFmtId="4" fontId="17" fillId="9" borderId="2" xfId="0" applyNumberFormat="1" applyFont="1" applyFill="1" applyBorder="1"/>
    <xf numFmtId="166" fontId="3" fillId="10" borderId="0" xfId="0" applyNumberFormat="1" applyFont="1" applyFill="1" applyAlignment="1">
      <alignment horizontal="center"/>
    </xf>
    <xf numFmtId="0" fontId="0" fillId="9" borderId="0" xfId="0" applyFill="1"/>
    <xf numFmtId="4" fontId="18" fillId="0" borderId="0" xfId="0" applyNumberFormat="1" applyFont="1"/>
    <xf numFmtId="4" fontId="0" fillId="9" borderId="0" xfId="0" applyNumberFormat="1" applyFill="1"/>
    <xf numFmtId="4" fontId="3" fillId="0" borderId="0" xfId="0" applyNumberFormat="1" applyFont="1"/>
    <xf numFmtId="4" fontId="3" fillId="9" borderId="0" xfId="0" applyNumberFormat="1" applyFont="1" applyFill="1"/>
    <xf numFmtId="0" fontId="3" fillId="0" borderId="0" xfId="0" applyFont="1" applyAlignment="1">
      <alignment horizontal="right"/>
    </xf>
    <xf numFmtId="177" fontId="0" fillId="0" borderId="0" xfId="0" applyNumberFormat="1"/>
    <xf numFmtId="0" fontId="20" fillId="0" borderId="0" xfId="0" applyFont="1"/>
    <xf numFmtId="166" fontId="0" fillId="10" borderId="0" xfId="0" applyNumberFormat="1" applyFill="1"/>
    <xf numFmtId="171" fontId="0" fillId="0" borderId="0" xfId="0" applyNumberFormat="1" applyAlignment="1">
      <alignment horizontal="left"/>
    </xf>
    <xf numFmtId="171" fontId="3" fillId="0" borderId="3" xfId="0" applyNumberFormat="1" applyFont="1" applyBorder="1" applyAlignment="1">
      <alignment horizontal="left"/>
    </xf>
    <xf numFmtId="0" fontId="0" fillId="0" borderId="4" xfId="0" applyBorder="1"/>
    <xf numFmtId="4" fontId="0" fillId="0" borderId="4" xfId="0" applyNumberFormat="1" applyBorder="1"/>
    <xf numFmtId="0" fontId="3" fillId="0" borderId="5" xfId="0" applyFont="1" applyBorder="1" applyAlignment="1">
      <alignment horizontal="right"/>
    </xf>
    <xf numFmtId="171" fontId="3" fillId="0" borderId="6" xfId="0" applyNumberFormat="1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171" fontId="3" fillId="0" borderId="8" xfId="0" applyNumberFormat="1" applyFont="1" applyBorder="1" applyAlignment="1">
      <alignment horizontal="left"/>
    </xf>
    <xf numFmtId="0" fontId="0" fillId="0" borderId="9" xfId="0" applyBorder="1"/>
    <xf numFmtId="4" fontId="0" fillId="0" borderId="9" xfId="0" applyNumberFormat="1" applyBorder="1"/>
    <xf numFmtId="0" fontId="3" fillId="0" borderId="10" xfId="0" applyFont="1" applyBorder="1" applyAlignment="1">
      <alignment horizontal="right"/>
    </xf>
    <xf numFmtId="171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171" fontId="0" fillId="0" borderId="12" xfId="0" applyNumberFormat="1" applyBorder="1" applyAlignment="1">
      <alignment horizontal="center"/>
    </xf>
    <xf numFmtId="172" fontId="0" fillId="0" borderId="0" xfId="0" applyNumberFormat="1" applyFill="1"/>
    <xf numFmtId="4" fontId="0" fillId="0" borderId="13" xfId="0" applyNumberFormat="1" applyBorder="1"/>
    <xf numFmtId="172" fontId="0" fillId="0" borderId="0" xfId="0" applyNumberFormat="1" applyFill="1" applyAlignment="1">
      <alignment horizontal="right"/>
    </xf>
    <xf numFmtId="4" fontId="3" fillId="0" borderId="13" xfId="0" applyNumberFormat="1" applyFont="1" applyBorder="1"/>
    <xf numFmtId="171" fontId="0" fillId="0" borderId="14" xfId="0" applyNumberFormat="1" applyBorder="1" applyAlignment="1">
      <alignment horizontal="center"/>
    </xf>
    <xf numFmtId="172" fontId="3" fillId="0" borderId="15" xfId="0" applyNumberFormat="1" applyFont="1" applyFill="1" applyBorder="1"/>
    <xf numFmtId="4" fontId="3" fillId="0" borderId="15" xfId="0" applyNumberFormat="1" applyFont="1" applyBorder="1"/>
    <xf numFmtId="0" fontId="0" fillId="0" borderId="15" xfId="0" applyBorder="1"/>
    <xf numFmtId="0" fontId="0" fillId="0" borderId="16" xfId="0" applyBorder="1"/>
    <xf numFmtId="171" fontId="0" fillId="0" borderId="0" xfId="0" applyNumberFormat="1" applyAlignment="1">
      <alignment horizontal="center"/>
    </xf>
    <xf numFmtId="172" fontId="3" fillId="0" borderId="0" xfId="0" applyNumberFormat="1" applyFont="1" applyFill="1"/>
    <xf numFmtId="171" fontId="3" fillId="0" borderId="3" xfId="0" applyNumberFormat="1" applyFont="1" applyBorder="1" applyAlignment="1">
      <alignment horizontal="center"/>
    </xf>
    <xf numFmtId="171" fontId="3" fillId="0" borderId="4" xfId="0" applyNumberFormat="1" applyFont="1" applyBorder="1" applyAlignment="1">
      <alignment horizontal="left"/>
    </xf>
    <xf numFmtId="4" fontId="3" fillId="0" borderId="4" xfId="0" applyNumberFormat="1" applyFont="1" applyBorder="1"/>
    <xf numFmtId="171" fontId="3" fillId="0" borderId="6" xfId="0" applyNumberFormat="1" applyFont="1" applyBorder="1" applyAlignment="1">
      <alignment horizontal="center"/>
    </xf>
    <xf numFmtId="171" fontId="3" fillId="0" borderId="0" xfId="0" applyNumberFormat="1" applyFont="1" applyAlignment="1">
      <alignment horizontal="left"/>
    </xf>
    <xf numFmtId="171" fontId="3" fillId="0" borderId="8" xfId="0" applyNumberFormat="1" applyFont="1" applyBorder="1" applyAlignment="1">
      <alignment horizontal="center"/>
    </xf>
    <xf numFmtId="171" fontId="3" fillId="0" borderId="9" xfId="0" applyNumberFormat="1" applyFont="1" applyBorder="1" applyAlignment="1">
      <alignment horizontal="left"/>
    </xf>
    <xf numFmtId="4" fontId="3" fillId="0" borderId="9" xfId="0" applyNumberFormat="1" applyFont="1" applyBorder="1"/>
    <xf numFmtId="171" fontId="0" fillId="0" borderId="17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72" fontId="0" fillId="0" borderId="4" xfId="0" applyNumberFormat="1" applyFill="1" applyBorder="1"/>
    <xf numFmtId="0" fontId="0" fillId="0" borderId="5" xfId="0" applyBorder="1"/>
    <xf numFmtId="171" fontId="0" fillId="0" borderId="6" xfId="0" applyNumberFormat="1" applyBorder="1" applyAlignment="1">
      <alignment horizontal="center"/>
    </xf>
    <xf numFmtId="0" fontId="0" fillId="0" borderId="7" xfId="0" applyBorder="1"/>
    <xf numFmtId="172" fontId="0" fillId="0" borderId="9" xfId="0" applyNumberFormat="1" applyFill="1" applyBorder="1"/>
    <xf numFmtId="0" fontId="0" fillId="0" borderId="10" xfId="0" applyBorder="1"/>
    <xf numFmtId="171" fontId="21" fillId="0" borderId="0" xfId="0" applyNumberFormat="1" applyFont="1" applyAlignment="1">
      <alignment horizontal="left"/>
    </xf>
    <xf numFmtId="0" fontId="3" fillId="0" borderId="4" xfId="0" applyFont="1" applyBorder="1"/>
    <xf numFmtId="4" fontId="3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0" fillId="0" borderId="2" xfId="0" applyBorder="1"/>
    <xf numFmtId="171" fontId="0" fillId="0" borderId="2" xfId="0" applyNumberFormat="1" applyBorder="1" applyAlignment="1">
      <alignment horizontal="center"/>
    </xf>
    <xf numFmtId="4" fontId="0" fillId="0" borderId="2" xfId="0" applyNumberFormat="1" applyBorder="1"/>
    <xf numFmtId="4" fontId="0" fillId="0" borderId="0" xfId="0" applyNumberFormat="1" applyAlignment="1">
      <alignment horizontal="center"/>
    </xf>
    <xf numFmtId="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71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16" fillId="0" borderId="0" xfId="0" applyFont="1" applyAlignment="1">
      <alignment horizontal="right"/>
    </xf>
    <xf numFmtId="4" fontId="16" fillId="0" borderId="0" xfId="0" applyNumberFormat="1" applyFont="1" applyAlignment="1">
      <alignment horizontal="center"/>
    </xf>
    <xf numFmtId="10" fontId="2" fillId="0" borderId="0" xfId="2" applyNumberFormat="1" applyAlignment="1">
      <alignment horizontal="right"/>
    </xf>
    <xf numFmtId="2" fontId="3" fillId="0" borderId="0" xfId="0" applyNumberFormat="1" applyFont="1"/>
    <xf numFmtId="4" fontId="3" fillId="0" borderId="2" xfId="0" applyNumberFormat="1" applyFont="1" applyBorder="1"/>
    <xf numFmtId="180" fontId="2" fillId="0" borderId="0" xfId="1"/>
    <xf numFmtId="171" fontId="0" fillId="0" borderId="0" xfId="0" applyNumberFormat="1" applyFill="1" applyAlignment="1">
      <alignment horizontal="center"/>
    </xf>
    <xf numFmtId="4" fontId="0" fillId="0" borderId="0" xfId="0" applyNumberFormat="1" applyFill="1"/>
    <xf numFmtId="171" fontId="3" fillId="0" borderId="0" xfId="0" applyNumberFormat="1" applyFont="1" applyFill="1" applyAlignment="1">
      <alignment horizontal="center"/>
    </xf>
    <xf numFmtId="4" fontId="18" fillId="0" borderId="0" xfId="0" applyNumberFormat="1" applyFont="1" applyFill="1"/>
    <xf numFmtId="4" fontId="20" fillId="0" borderId="0" xfId="0" applyNumberFormat="1" applyFont="1"/>
    <xf numFmtId="0" fontId="23" fillId="0" borderId="0" xfId="0" applyFont="1"/>
    <xf numFmtId="4" fontId="23" fillId="0" borderId="0" xfId="0" applyNumberFormat="1" applyFont="1"/>
    <xf numFmtId="0" fontId="24" fillId="0" borderId="0" xfId="0" applyFont="1"/>
    <xf numFmtId="164" fontId="23" fillId="0" borderId="0" xfId="0" applyNumberFormat="1" applyFont="1"/>
    <xf numFmtId="0" fontId="25" fillId="4" borderId="0" xfId="0" applyFont="1" applyFill="1" applyAlignment="1">
      <alignment horizontal="right"/>
    </xf>
    <xf numFmtId="0" fontId="23" fillId="4" borderId="0" xfId="0" applyFont="1" applyFill="1"/>
    <xf numFmtId="4" fontId="25" fillId="4" borderId="0" xfId="0" applyNumberFormat="1" applyFont="1" applyFill="1" applyAlignment="1">
      <alignment horizontal="right"/>
    </xf>
    <xf numFmtId="164" fontId="25" fillId="4" borderId="0" xfId="0" applyNumberFormat="1" applyFont="1" applyFill="1" applyAlignment="1">
      <alignment horizontal="right"/>
    </xf>
    <xf numFmtId="4" fontId="26" fillId="0" borderId="0" xfId="0" applyNumberFormat="1" applyFont="1"/>
    <xf numFmtId="166" fontId="23" fillId="0" borderId="0" xfId="0" applyNumberFormat="1" applyFont="1"/>
    <xf numFmtId="4" fontId="24" fillId="0" borderId="0" xfId="0" applyNumberFormat="1" applyFont="1"/>
    <xf numFmtId="0" fontId="24" fillId="0" borderId="0" xfId="0" applyFont="1" applyAlignment="1">
      <alignment horizontal="right"/>
    </xf>
    <xf numFmtId="164" fontId="26" fillId="0" borderId="0" xfId="0" applyNumberFormat="1" applyFont="1"/>
    <xf numFmtId="164" fontId="27" fillId="0" borderId="0" xfId="0" applyNumberFormat="1" applyFont="1" applyAlignment="1">
      <alignment horizontal="right"/>
    </xf>
    <xf numFmtId="166" fontId="23" fillId="9" borderId="0" xfId="0" applyNumberFormat="1" applyFont="1" applyFill="1"/>
    <xf numFmtId="0" fontId="24" fillId="9" borderId="0" xfId="0" applyFont="1" applyFill="1"/>
    <xf numFmtId="4" fontId="24" fillId="9" borderId="0" xfId="0" applyNumberFormat="1" applyFont="1" applyFill="1"/>
    <xf numFmtId="0" fontId="28" fillId="4" borderId="0" xfId="0" applyFont="1" applyFill="1" applyAlignment="1">
      <alignment horizontal="right"/>
    </xf>
    <xf numFmtId="166" fontId="28" fillId="4" borderId="0" xfId="0" applyNumberFormat="1" applyFont="1" applyFill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/>
    <xf numFmtId="4" fontId="24" fillId="0" borderId="0" xfId="0" applyNumberFormat="1" applyFont="1" applyAlignment="1">
      <alignment horizontal="right"/>
    </xf>
    <xf numFmtId="0" fontId="29" fillId="0" borderId="0" xfId="0" applyFont="1" applyAlignment="1">
      <alignment horizontal="right" vertical="center"/>
    </xf>
    <xf numFmtId="4" fontId="30" fillId="0" borderId="0" xfId="0" applyNumberFormat="1" applyFont="1" applyAlignment="1">
      <alignment vertical="center"/>
    </xf>
    <xf numFmtId="164" fontId="29" fillId="0" borderId="0" xfId="0" applyNumberFormat="1" applyFont="1" applyAlignment="1">
      <alignment horizontal="right" vertical="center"/>
    </xf>
    <xf numFmtId="164" fontId="24" fillId="0" borderId="0" xfId="0" applyNumberFormat="1" applyFont="1" applyAlignment="1">
      <alignment horizontal="right"/>
    </xf>
    <xf numFmtId="167" fontId="23" fillId="0" borderId="0" xfId="0" applyNumberFormat="1" applyFont="1"/>
    <xf numFmtId="2" fontId="23" fillId="0" borderId="0" xfId="0" applyNumberFormat="1" applyFont="1"/>
    <xf numFmtId="4" fontId="23" fillId="11" borderId="0" xfId="0" applyNumberFormat="1" applyFont="1" applyFill="1"/>
    <xf numFmtId="167" fontId="23" fillId="9" borderId="0" xfId="0" applyNumberFormat="1" applyFont="1" applyFill="1"/>
    <xf numFmtId="167" fontId="30" fillId="9" borderId="0" xfId="0" applyNumberFormat="1" applyFont="1" applyFill="1"/>
    <xf numFmtId="167" fontId="24" fillId="9" borderId="0" xfId="0" applyNumberFormat="1" applyFont="1" applyFill="1" applyAlignment="1">
      <alignment horizontal="right"/>
    </xf>
    <xf numFmtId="0" fontId="23" fillId="0" borderId="0" xfId="0" applyFont="1" applyFill="1"/>
    <xf numFmtId="169" fontId="24" fillId="0" borderId="0" xfId="9" applyFont="1" applyFill="1" applyAlignment="1"/>
    <xf numFmtId="170" fontId="23" fillId="0" borderId="0" xfId="9" applyNumberFormat="1" applyFont="1" applyFill="1" applyAlignment="1"/>
    <xf numFmtId="168" fontId="3" fillId="0" borderId="0" xfId="0" applyNumberFormat="1" applyFont="1"/>
    <xf numFmtId="169" fontId="23" fillId="0" borderId="0" xfId="9" applyFont="1" applyFill="1" applyAlignment="1"/>
    <xf numFmtId="170" fontId="24" fillId="0" borderId="0" xfId="9" applyNumberFormat="1" applyFont="1" applyFill="1" applyAlignment="1"/>
    <xf numFmtId="4" fontId="23" fillId="0" borderId="0" xfId="0" applyNumberFormat="1" applyFont="1" applyFill="1"/>
    <xf numFmtId="170" fontId="31" fillId="0" borderId="0" xfId="9" applyNumberFormat="1" applyFont="1" applyFill="1" applyAlignment="1"/>
    <xf numFmtId="170" fontId="26" fillId="0" borderId="0" xfId="9" applyNumberFormat="1" applyFont="1" applyFill="1" applyAlignment="1"/>
    <xf numFmtId="0" fontId="23" fillId="0" borderId="0" xfId="0" applyFont="1" applyFill="1" applyAlignment="1">
      <alignment horizontal="right"/>
    </xf>
    <xf numFmtId="170" fontId="32" fillId="0" borderId="0" xfId="9" applyNumberFormat="1" applyFont="1" applyFill="1" applyAlignment="1"/>
    <xf numFmtId="170" fontId="23" fillId="0" borderId="0" xfId="9" applyNumberFormat="1" applyFont="1" applyFill="1" applyAlignment="1">
      <alignment horizontal="right"/>
    </xf>
    <xf numFmtId="170" fontId="24" fillId="11" borderId="0" xfId="9" applyNumberFormat="1" applyFont="1" applyFill="1" applyAlignment="1"/>
    <xf numFmtId="170" fontId="23" fillId="0" borderId="18" xfId="9" applyNumberFormat="1" applyFont="1" applyFill="1" applyBorder="1" applyAlignment="1"/>
    <xf numFmtId="170" fontId="23" fillId="0" borderId="19" xfId="9" applyNumberFormat="1" applyFont="1" applyFill="1" applyBorder="1" applyAlignment="1"/>
    <xf numFmtId="170" fontId="23" fillId="0" borderId="20" xfId="9" applyNumberFormat="1" applyFont="1" applyFill="1" applyBorder="1" applyAlignment="1"/>
    <xf numFmtId="170" fontId="7" fillId="0" borderId="12" xfId="9" applyNumberFormat="1" applyFont="1" applyFill="1" applyBorder="1" applyAlignment="1"/>
    <xf numFmtId="170" fontId="23" fillId="0" borderId="13" xfId="9" applyNumberFormat="1" applyFont="1" applyFill="1" applyBorder="1" applyAlignment="1"/>
    <xf numFmtId="170" fontId="23" fillId="0" borderId="12" xfId="9" applyNumberFormat="1" applyFont="1" applyFill="1" applyBorder="1" applyAlignment="1"/>
    <xf numFmtId="170" fontId="34" fillId="0" borderId="21" xfId="9" applyNumberFormat="1" applyFont="1" applyFill="1" applyBorder="1" applyAlignment="1"/>
    <xf numFmtId="170" fontId="23" fillId="0" borderId="22" xfId="9" applyNumberFormat="1" applyFont="1" applyFill="1" applyBorder="1" applyAlignment="1"/>
    <xf numFmtId="170" fontId="23" fillId="0" borderId="23" xfId="9" applyNumberFormat="1" applyFont="1" applyFill="1" applyBorder="1" applyAlignment="1"/>
    <xf numFmtId="170" fontId="24" fillId="0" borderId="0" xfId="9" applyNumberFormat="1" applyFont="1" applyFill="1" applyAlignment="1">
      <alignment horizontal="right"/>
    </xf>
    <xf numFmtId="49" fontId="23" fillId="0" borderId="0" xfId="9" applyNumberFormat="1" applyFont="1" applyFill="1" applyAlignment="1">
      <alignment horizontal="right"/>
    </xf>
    <xf numFmtId="173" fontId="23" fillId="0" borderId="0" xfId="9" applyNumberFormat="1" applyFont="1" applyFill="1" applyAlignment="1"/>
    <xf numFmtId="174" fontId="23" fillId="0" borderId="0" xfId="0" applyNumberFormat="1" applyFont="1"/>
    <xf numFmtId="169" fontId="24" fillId="0" borderId="0" xfId="9" applyFont="1" applyFill="1" applyAlignment="1">
      <alignment horizontal="right"/>
    </xf>
    <xf numFmtId="0" fontId="23" fillId="9" borderId="0" xfId="0" applyFont="1" applyFill="1"/>
    <xf numFmtId="169" fontId="24" fillId="9" borderId="0" xfId="9" applyFont="1" applyFill="1" applyAlignment="1">
      <alignment horizontal="right"/>
    </xf>
    <xf numFmtId="0" fontId="26" fillId="9" borderId="0" xfId="0" applyFont="1" applyFill="1" applyAlignment="1">
      <alignment horizontal="right"/>
    </xf>
    <xf numFmtId="170" fontId="26" fillId="9" borderId="0" xfId="9" applyNumberFormat="1" applyFont="1" applyFill="1" applyAlignment="1"/>
    <xf numFmtId="169" fontId="24" fillId="0" borderId="18" xfId="9" applyFont="1" applyFill="1" applyBorder="1" applyAlignment="1"/>
    <xf numFmtId="0" fontId="0" fillId="0" borderId="19" xfId="0" applyBorder="1"/>
    <xf numFmtId="169" fontId="23" fillId="0" borderId="12" xfId="9" applyFont="1" applyFill="1" applyBorder="1" applyAlignment="1"/>
    <xf numFmtId="4" fontId="23" fillId="0" borderId="0" xfId="0" applyNumberFormat="1" applyFont="1" applyAlignment="1">
      <alignment horizontal="right"/>
    </xf>
    <xf numFmtId="169" fontId="24" fillId="4" borderId="12" xfId="9" applyFont="1" applyFill="1" applyBorder="1" applyAlignment="1"/>
    <xf numFmtId="170" fontId="35" fillId="4" borderId="13" xfId="9" applyNumberFormat="1" applyFont="1" applyFill="1" applyBorder="1" applyAlignment="1"/>
    <xf numFmtId="169" fontId="24" fillId="0" borderId="12" xfId="9" applyFont="1" applyFill="1" applyBorder="1" applyAlignment="1"/>
    <xf numFmtId="4" fontId="24" fillId="0" borderId="24" xfId="0" applyNumberFormat="1" applyFont="1" applyBorder="1"/>
    <xf numFmtId="0" fontId="0" fillId="0" borderId="25" xfId="0" applyBorder="1"/>
    <xf numFmtId="4" fontId="23" fillId="0" borderId="25" xfId="0" applyNumberFormat="1" applyFont="1" applyBorder="1" applyAlignment="1">
      <alignment horizontal="right"/>
    </xf>
    <xf numFmtId="4" fontId="23" fillId="0" borderId="25" xfId="0" applyNumberFormat="1" applyFont="1" applyBorder="1"/>
    <xf numFmtId="170" fontId="35" fillId="0" borderId="26" xfId="9" applyNumberFormat="1" applyFont="1" applyFill="1" applyBorder="1" applyAlignment="1"/>
    <xf numFmtId="4" fontId="24" fillId="0" borderId="12" xfId="0" applyNumberFormat="1" applyFont="1" applyBorder="1"/>
    <xf numFmtId="4" fontId="24" fillId="0" borderId="14" xfId="0" applyNumberFormat="1" applyFont="1" applyBorder="1"/>
    <xf numFmtId="4" fontId="24" fillId="0" borderId="15" xfId="0" applyNumberFormat="1" applyFont="1" applyBorder="1"/>
    <xf numFmtId="4" fontId="23" fillId="0" borderId="15" xfId="0" applyNumberFormat="1" applyFont="1" applyBorder="1"/>
    <xf numFmtId="170" fontId="35" fillId="0" borderId="16" xfId="9" applyNumberFormat="1" applyFont="1" applyFill="1" applyBorder="1" applyAlignment="1"/>
    <xf numFmtId="0" fontId="36" fillId="0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0" fontId="36" fillId="9" borderId="0" xfId="0" applyFont="1" applyFill="1" applyAlignment="1">
      <alignment vertical="center"/>
    </xf>
    <xf numFmtId="170" fontId="36" fillId="0" borderId="0" xfId="9" applyNumberFormat="1" applyFont="1" applyFill="1" applyAlignment="1">
      <alignment vertical="center"/>
    </xf>
    <xf numFmtId="4" fontId="36" fillId="0" borderId="0" xfId="0" applyNumberFormat="1" applyFont="1" applyAlignment="1">
      <alignment vertical="center"/>
    </xf>
    <xf numFmtId="167" fontId="37" fillId="12" borderId="0" xfId="0" applyNumberFormat="1" applyFont="1" applyFill="1" applyAlignment="1">
      <alignment vertical="center"/>
    </xf>
    <xf numFmtId="167" fontId="0" fillId="0" borderId="0" xfId="0" applyNumberFormat="1"/>
    <xf numFmtId="175" fontId="36" fillId="0" borderId="0" xfId="0" applyNumberFormat="1" applyFont="1" applyAlignment="1">
      <alignment vertical="center"/>
    </xf>
    <xf numFmtId="167" fontId="38" fillId="13" borderId="0" xfId="0" applyNumberFormat="1" applyFont="1" applyFill="1" applyAlignment="1">
      <alignment vertical="center"/>
    </xf>
    <xf numFmtId="176" fontId="0" fillId="0" borderId="0" xfId="0" applyNumberFormat="1"/>
    <xf numFmtId="167" fontId="36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75" fontId="37" fillId="0" borderId="0" xfId="0" applyNumberFormat="1" applyFont="1" applyAlignment="1">
      <alignment vertical="center"/>
    </xf>
    <xf numFmtId="167" fontId="39" fillId="0" borderId="0" xfId="0" applyNumberFormat="1" applyFont="1" applyAlignment="1">
      <alignment vertical="center"/>
    </xf>
    <xf numFmtId="175" fontId="0" fillId="0" borderId="0" xfId="0" applyNumberFormat="1"/>
    <xf numFmtId="167" fontId="40" fillId="0" borderId="0" xfId="0" applyNumberFormat="1" applyFont="1"/>
    <xf numFmtId="167" fontId="40" fillId="14" borderId="0" xfId="0" applyNumberFormat="1" applyFont="1" applyFill="1"/>
    <xf numFmtId="0" fontId="3" fillId="0" borderId="18" xfId="0" applyFont="1" applyBorder="1" applyAlignment="1">
      <alignment vertical="center"/>
    </xf>
    <xf numFmtId="175" fontId="0" fillId="0" borderId="19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176" fontId="0" fillId="0" borderId="20" xfId="0" applyNumberFormat="1" applyBorder="1"/>
    <xf numFmtId="0" fontId="0" fillId="0" borderId="12" xfId="0" applyBorder="1"/>
    <xf numFmtId="170" fontId="36" fillId="0" borderId="0" xfId="9" applyNumberFormat="1" applyFont="1" applyFill="1" applyAlignment="1">
      <alignment horizontal="right" vertical="center"/>
    </xf>
    <xf numFmtId="175" fontId="36" fillId="0" borderId="0" xfId="9" applyNumberFormat="1" applyFont="1" applyFill="1" applyAlignment="1">
      <alignment vertical="center"/>
    </xf>
    <xf numFmtId="167" fontId="36" fillId="0" borderId="13" xfId="0" applyNumberFormat="1" applyFont="1" applyBorder="1" applyAlignment="1">
      <alignment vertical="center"/>
    </xf>
    <xf numFmtId="175" fontId="36" fillId="0" borderId="0" xfId="9" applyNumberFormat="1" applyFont="1" applyFill="1" applyAlignment="1">
      <alignment horizontal="right" vertical="center"/>
    </xf>
    <xf numFmtId="167" fontId="41" fillId="0" borderId="13" xfId="0" applyNumberFormat="1" applyFont="1" applyBorder="1" applyAlignment="1">
      <alignment vertical="center"/>
    </xf>
    <xf numFmtId="0" fontId="0" fillId="0" borderId="14" xfId="0" applyBorder="1"/>
    <xf numFmtId="0" fontId="0" fillId="15" borderId="15" xfId="0" applyFill="1" applyBorder="1" applyAlignment="1">
      <alignment horizontal="right"/>
    </xf>
    <xf numFmtId="0" fontId="0" fillId="15" borderId="15" xfId="0" applyFill="1" applyBorder="1"/>
    <xf numFmtId="0" fontId="3" fillId="15" borderId="15" xfId="0" applyFont="1" applyFill="1" applyBorder="1" applyAlignment="1">
      <alignment horizontal="right"/>
    </xf>
    <xf numFmtId="167" fontId="42" fillId="15" borderId="16" xfId="0" applyNumberFormat="1" applyFont="1" applyFill="1" applyBorder="1"/>
    <xf numFmtId="0" fontId="0" fillId="0" borderId="18" xfId="0" applyBorder="1"/>
    <xf numFmtId="0" fontId="3" fillId="0" borderId="19" xfId="0" applyFont="1" applyBorder="1" applyAlignment="1">
      <alignment horizontal="right"/>
    </xf>
    <xf numFmtId="0" fontId="0" fillId="0" borderId="20" xfId="0" applyBorder="1"/>
    <xf numFmtId="0" fontId="3" fillId="0" borderId="27" xfId="0" applyFont="1" applyBorder="1" applyAlignment="1">
      <alignment horizontal="right"/>
    </xf>
    <xf numFmtId="167" fontId="3" fillId="0" borderId="13" xfId="0" applyNumberFormat="1" applyFont="1" applyBorder="1"/>
    <xf numFmtId="167" fontId="3" fillId="13" borderId="0" xfId="0" applyNumberFormat="1" applyFont="1" applyFill="1"/>
    <xf numFmtId="0" fontId="0" fillId="15" borderId="0" xfId="0" applyFill="1" applyAlignment="1">
      <alignment horizontal="right"/>
    </xf>
    <xf numFmtId="167" fontId="3" fillId="15" borderId="0" xfId="0" applyNumberFormat="1" applyFont="1" applyFill="1"/>
    <xf numFmtId="0" fontId="0" fillId="0" borderId="12" xfId="0" applyBorder="1" applyAlignment="1">
      <alignment horizontal="right"/>
    </xf>
    <xf numFmtId="0" fontId="0" fillId="14" borderId="12" xfId="0" applyFill="1" applyBorder="1"/>
    <xf numFmtId="0" fontId="0" fillId="14" borderId="0" xfId="0" applyFill="1"/>
    <xf numFmtId="0" fontId="0" fillId="14" borderId="0" xfId="0" applyFill="1" applyAlignment="1">
      <alignment horizontal="right"/>
    </xf>
    <xf numFmtId="167" fontId="0" fillId="14" borderId="0" xfId="0" applyNumberFormat="1" applyFill="1"/>
    <xf numFmtId="0" fontId="0" fillId="11" borderId="12" xfId="0" applyFill="1" applyBorder="1"/>
    <xf numFmtId="0" fontId="0" fillId="11" borderId="0" xfId="0" applyFill="1"/>
    <xf numFmtId="0" fontId="3" fillId="11" borderId="0" xfId="0" applyFont="1" applyFill="1" applyAlignment="1">
      <alignment horizontal="right"/>
    </xf>
    <xf numFmtId="0" fontId="3" fillId="11" borderId="0" xfId="0" applyFont="1" applyFill="1"/>
    <xf numFmtId="167" fontId="42" fillId="11" borderId="13" xfId="0" applyNumberFormat="1" applyFont="1" applyFill="1" applyBorder="1"/>
    <xf numFmtId="0" fontId="3" fillId="0" borderId="15" xfId="0" applyFont="1" applyBorder="1" applyAlignment="1">
      <alignment horizontal="right"/>
    </xf>
    <xf numFmtId="177" fontId="3" fillId="0" borderId="28" xfId="0" applyNumberFormat="1" applyFont="1" applyBorder="1"/>
    <xf numFmtId="178" fontId="43" fillId="0" borderId="0" xfId="0" applyNumberFormat="1" applyFont="1" applyAlignment="1">
      <alignment vertical="center"/>
    </xf>
    <xf numFmtId="0" fontId="0" fillId="0" borderId="0" xfId="0" applyAlignment="1"/>
    <xf numFmtId="178" fontId="43" fillId="0" borderId="0" xfId="0" applyNumberFormat="1" applyFont="1" applyAlignment="1">
      <alignment horizontal="center" vertical="center"/>
    </xf>
    <xf numFmtId="178" fontId="44" fillId="0" borderId="0" xfId="0" applyNumberFormat="1" applyFont="1" applyAlignment="1">
      <alignment vertical="center"/>
    </xf>
    <xf numFmtId="0" fontId="45" fillId="0" borderId="0" xfId="0" applyFont="1" applyAlignment="1">
      <alignment horizontal="right" vertical="center"/>
    </xf>
    <xf numFmtId="167" fontId="45" fillId="0" borderId="29" xfId="0" applyNumberFormat="1" applyFont="1" applyBorder="1" applyAlignment="1">
      <alignment vertical="center"/>
    </xf>
    <xf numFmtId="0" fontId="0" fillId="0" borderId="30" xfId="0" applyBorder="1"/>
    <xf numFmtId="0" fontId="45" fillId="0" borderId="31" xfId="0" applyFont="1" applyBorder="1" applyAlignment="1">
      <alignment horizontal="center" vertical="center"/>
    </xf>
    <xf numFmtId="0" fontId="46" fillId="16" borderId="31" xfId="0" applyFont="1" applyFill="1" applyBorder="1" applyAlignment="1">
      <alignment horizontal="center"/>
    </xf>
    <xf numFmtId="0" fontId="46" fillId="9" borderId="32" xfId="0" applyFont="1" applyFill="1" applyBorder="1" applyAlignment="1">
      <alignment horizontal="center"/>
    </xf>
    <xf numFmtId="0" fontId="46" fillId="0" borderId="0" xfId="0" applyFont="1"/>
    <xf numFmtId="0" fontId="45" fillId="0" borderId="19" xfId="0" applyFont="1" applyBorder="1" applyAlignment="1">
      <alignment horizontal="right" vertical="center"/>
    </xf>
    <xf numFmtId="9" fontId="46" fillId="0" borderId="19" xfId="0" applyNumberFormat="1" applyFont="1" applyBorder="1" applyAlignment="1">
      <alignment horizontal="center"/>
    </xf>
    <xf numFmtId="9" fontId="46" fillId="0" borderId="20" xfId="0" applyNumberFormat="1" applyFont="1" applyBorder="1" applyAlignment="1">
      <alignment horizontal="center"/>
    </xf>
    <xf numFmtId="0" fontId="45" fillId="0" borderId="15" xfId="0" applyFont="1" applyBorder="1" applyAlignment="1">
      <alignment horizontal="right" vertical="center"/>
    </xf>
    <xf numFmtId="167" fontId="46" fillId="0" borderId="15" xfId="0" applyNumberFormat="1" applyFont="1" applyBorder="1"/>
    <xf numFmtId="167" fontId="46" fillId="0" borderId="16" xfId="0" applyNumberFormat="1" applyFont="1" applyBorder="1"/>
    <xf numFmtId="167" fontId="46" fillId="0" borderId="0" xfId="0" applyNumberFormat="1" applyFont="1"/>
    <xf numFmtId="0" fontId="0" fillId="0" borderId="33" xfId="0" applyBorder="1"/>
    <xf numFmtId="0" fontId="46" fillId="0" borderId="34" xfId="0" applyFont="1" applyBorder="1" applyAlignment="1">
      <alignment horizontal="right"/>
    </xf>
    <xf numFmtId="167" fontId="46" fillId="0" borderId="34" xfId="0" applyNumberFormat="1" applyFont="1" applyBorder="1"/>
    <xf numFmtId="167" fontId="46" fillId="0" borderId="35" xfId="0" applyNumberFormat="1" applyFont="1" applyBorder="1"/>
    <xf numFmtId="0" fontId="46" fillId="0" borderId="0" xfId="0" applyFont="1" applyAlignment="1">
      <alignment horizontal="right"/>
    </xf>
    <xf numFmtId="167" fontId="12" fillId="0" borderId="0" xfId="0" applyNumberFormat="1" applyFont="1" applyAlignment="1">
      <alignment horizontal="center" wrapText="1"/>
    </xf>
    <xf numFmtId="167" fontId="46" fillId="0" borderId="19" xfId="0" applyNumberFormat="1" applyFont="1" applyBorder="1"/>
    <xf numFmtId="167" fontId="46" fillId="0" borderId="20" xfId="0" applyNumberFormat="1" applyFont="1" applyBorder="1"/>
    <xf numFmtId="0" fontId="47" fillId="0" borderId="15" xfId="0" applyFont="1" applyBorder="1" applyAlignment="1">
      <alignment horizontal="right"/>
    </xf>
    <xf numFmtId="179" fontId="46" fillId="16" borderId="15" xfId="0" applyNumberFormat="1" applyFont="1" applyFill="1" applyBorder="1"/>
    <xf numFmtId="179" fontId="46" fillId="16" borderId="16" xfId="0" applyNumberFormat="1" applyFont="1" applyFill="1" applyBorder="1"/>
    <xf numFmtId="0" fontId="0" fillId="0" borderId="21" xfId="0" applyBorder="1" applyAlignment="1">
      <alignment horizontal="center" vertical="center" wrapText="1"/>
    </xf>
    <xf numFmtId="176" fontId="46" fillId="0" borderId="23" xfId="0" applyNumberFormat="1" applyFont="1" applyBorder="1" applyAlignment="1">
      <alignment horizontal="center" vertical="center"/>
    </xf>
    <xf numFmtId="0" fontId="46" fillId="0" borderId="19" xfId="0" applyFont="1" applyBorder="1" applyAlignment="1">
      <alignment horizontal="right"/>
    </xf>
    <xf numFmtId="0" fontId="46" fillId="0" borderId="15" xfId="0" applyFont="1" applyBorder="1" applyAlignment="1">
      <alignment horizontal="right"/>
    </xf>
    <xf numFmtId="179" fontId="48" fillId="16" borderId="16" xfId="0" applyNumberFormat="1" applyFont="1" applyFill="1" applyBorder="1"/>
    <xf numFmtId="0" fontId="0" fillId="0" borderId="36" xfId="0" applyBorder="1"/>
    <xf numFmtId="167" fontId="46" fillId="0" borderId="29" xfId="0" applyNumberFormat="1" applyFont="1" applyBorder="1"/>
    <xf numFmtId="167" fontId="46" fillId="0" borderId="37" xfId="0" applyNumberFormat="1" applyFont="1" applyBorder="1"/>
    <xf numFmtId="0" fontId="0" fillId="0" borderId="38" xfId="0" applyBorder="1"/>
    <xf numFmtId="0" fontId="47" fillId="0" borderId="2" xfId="0" applyFont="1" applyBorder="1" applyAlignment="1">
      <alignment horizontal="right"/>
    </xf>
    <xf numFmtId="179" fontId="46" fillId="16" borderId="2" xfId="0" applyNumberFormat="1" applyFont="1" applyFill="1" applyBorder="1"/>
    <xf numFmtId="179" fontId="46" fillId="9" borderId="39" xfId="0" applyNumberFormat="1" applyFont="1" applyFill="1" applyBorder="1"/>
    <xf numFmtId="0" fontId="49" fillId="0" borderId="18" xfId="0" applyFont="1" applyBorder="1"/>
    <xf numFmtId="0" fontId="50" fillId="0" borderId="19" xfId="0" applyFont="1" applyBorder="1"/>
    <xf numFmtId="0" fontId="50" fillId="0" borderId="14" xfId="0" applyFont="1" applyBorder="1"/>
    <xf numFmtId="0" fontId="51" fillId="0" borderId="15" xfId="0" applyFont="1" applyBorder="1"/>
    <xf numFmtId="179" fontId="50" fillId="0" borderId="15" xfId="0" applyNumberFormat="1" applyFont="1" applyBorder="1"/>
    <xf numFmtId="179" fontId="50" fillId="0" borderId="16" xfId="0" applyNumberFormat="1" applyFont="1" applyBorder="1"/>
    <xf numFmtId="180" fontId="0" fillId="0" borderId="0" xfId="1" applyFont="1"/>
    <xf numFmtId="166" fontId="3" fillId="17" borderId="0" xfId="0" applyNumberFormat="1" applyFont="1" applyFill="1" applyAlignment="1">
      <alignment horizontal="center"/>
    </xf>
    <xf numFmtId="0" fontId="19" fillId="18" borderId="0" xfId="0" applyFont="1" applyFill="1"/>
    <xf numFmtId="4" fontId="0" fillId="18" borderId="0" xfId="0" applyNumberFormat="1" applyFill="1"/>
    <xf numFmtId="4" fontId="0" fillId="19" borderId="0" xfId="0" applyNumberFormat="1" applyFill="1"/>
    <xf numFmtId="0" fontId="0" fillId="18" borderId="0" xfId="0" applyFill="1"/>
    <xf numFmtId="172" fontId="0" fillId="18" borderId="0" xfId="0" applyNumberFormat="1" applyFill="1"/>
    <xf numFmtId="166" fontId="3" fillId="17" borderId="0" xfId="0" applyNumberFormat="1" applyFont="1" applyFill="1"/>
    <xf numFmtId="166" fontId="0" fillId="17" borderId="0" xfId="0" applyNumberFormat="1" applyFill="1"/>
    <xf numFmtId="0" fontId="33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 applyAlignment="1">
      <alignment horizontal="right"/>
    </xf>
    <xf numFmtId="4" fontId="55" fillId="20" borderId="0" xfId="0" applyNumberFormat="1" applyFont="1" applyFill="1" applyAlignment="1">
      <alignment horizontal="right"/>
    </xf>
    <xf numFmtId="0" fontId="33" fillId="0" borderId="0" xfId="0" applyFont="1" applyAlignment="1">
      <alignment horizontal="right"/>
    </xf>
    <xf numFmtId="4" fontId="33" fillId="0" borderId="0" xfId="0" applyNumberFormat="1" applyFont="1" applyAlignment="1">
      <alignment horizontal="right"/>
    </xf>
    <xf numFmtId="166" fontId="56" fillId="0" borderId="0" xfId="0" applyNumberFormat="1" applyFont="1"/>
    <xf numFmtId="10" fontId="0" fillId="0" borderId="0" xfId="2" applyNumberFormat="1" applyFont="1"/>
    <xf numFmtId="49" fontId="58" fillId="0" borderId="0" xfId="0" applyNumberFormat="1" applyFont="1"/>
    <xf numFmtId="0" fontId="59" fillId="0" borderId="0" xfId="0" applyFont="1"/>
    <xf numFmtId="0" fontId="55" fillId="0" borderId="0" xfId="0" applyFont="1"/>
    <xf numFmtId="0" fontId="57" fillId="0" borderId="0" xfId="0" applyFont="1"/>
    <xf numFmtId="181" fontId="0" fillId="0" borderId="0" xfId="0" applyNumberFormat="1"/>
    <xf numFmtId="0" fontId="42" fillId="0" borderId="0" xfId="0" applyFont="1"/>
    <xf numFmtId="168" fontId="24" fillId="0" borderId="0" xfId="0" applyNumberFormat="1" applyFont="1" applyAlignment="1"/>
    <xf numFmtId="168" fontId="24" fillId="0" borderId="0" xfId="0" applyNumberFormat="1" applyFont="1" applyAlignment="1">
      <alignment horizontal="left"/>
    </xf>
    <xf numFmtId="168" fontId="24" fillId="0" borderId="0" xfId="9" applyNumberFormat="1" applyFont="1" applyFill="1" applyAlignment="1"/>
    <xf numFmtId="168" fontId="3" fillId="0" borderId="0" xfId="0" applyNumberFormat="1" applyFont="1" applyAlignment="1"/>
  </cellXfs>
  <cellStyles count="24">
    <cellStyle name="Accent" xfId="3" xr:uid="{00000000-0005-0000-0000-000000000000}"/>
    <cellStyle name="Accent 1" xfId="4" xr:uid="{00000000-0005-0000-0000-000001000000}"/>
    <cellStyle name="Accent 2" xfId="5" xr:uid="{00000000-0005-0000-0000-000002000000}"/>
    <cellStyle name="Accent 3" xfId="6" xr:uid="{00000000-0005-0000-0000-000003000000}"/>
    <cellStyle name="Bad" xfId="7" xr:uid="{00000000-0005-0000-0000-000004000000}"/>
    <cellStyle name="Error" xfId="8" xr:uid="{00000000-0005-0000-0000-000005000000}"/>
    <cellStyle name="Excel Built-in Normal" xfId="9" xr:uid="{00000000-0005-0000-0000-000006000000}"/>
    <cellStyle name="Footnote" xfId="10" xr:uid="{00000000-0005-0000-0000-000007000000}"/>
    <cellStyle name="Good" xfId="11" xr:uid="{00000000-0005-0000-0000-000008000000}"/>
    <cellStyle name="Heading" xfId="12" xr:uid="{00000000-0005-0000-0000-000009000000}"/>
    <cellStyle name="Heading 1" xfId="13" xr:uid="{00000000-0005-0000-0000-00000A000000}"/>
    <cellStyle name="Heading 2" xfId="14" xr:uid="{00000000-0005-0000-0000-00000B000000}"/>
    <cellStyle name="Hyperlink" xfId="15" xr:uid="{00000000-0005-0000-0000-00000C000000}"/>
    <cellStyle name="Neutral" xfId="16" xr:uid="{00000000-0005-0000-0000-00000D000000}"/>
    <cellStyle name="Normal" xfId="0" builtinId="0" customBuiltin="1"/>
    <cellStyle name="Normal 2" xfId="23" xr:uid="{00000000-0005-0000-0000-00000F000000}"/>
    <cellStyle name="Normal 3" xfId="22" xr:uid="{00000000-0005-0000-0000-000010000000}"/>
    <cellStyle name="Note" xfId="17" xr:uid="{00000000-0005-0000-0000-000011000000}"/>
    <cellStyle name="Result" xfId="18" xr:uid="{00000000-0005-0000-0000-000012000000}"/>
    <cellStyle name="Status" xfId="19" xr:uid="{00000000-0005-0000-0000-000013000000}"/>
    <cellStyle name="Text" xfId="20" xr:uid="{00000000-0005-0000-0000-000014000000}"/>
    <cellStyle name="Virgül" xfId="1" builtinId="3" customBuiltin="1"/>
    <cellStyle name="Warning" xfId="21" xr:uid="{00000000-0005-0000-0000-000016000000}"/>
    <cellStyle name="Yüzde" xfId="2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opLeftCell="A89" zoomScale="190" zoomScaleNormal="190" workbookViewId="0">
      <selection activeCell="C128" sqref="C128"/>
    </sheetView>
  </sheetViews>
  <sheetFormatPr defaultRowHeight="12.75"/>
  <cols>
    <col min="1" max="1" width="12.28515625" customWidth="1"/>
    <col min="2" max="2" width="16.85546875" customWidth="1"/>
    <col min="3" max="3" width="11.140625" customWidth="1"/>
    <col min="4" max="4" width="10.7109375" customWidth="1"/>
    <col min="5" max="5" width="11.42578125" customWidth="1"/>
    <col min="6" max="6" width="10.5703125" customWidth="1"/>
    <col min="7" max="7" width="11.42578125" bestFit="1" customWidth="1"/>
    <col min="8" max="10" width="10.85546875" customWidth="1"/>
    <col min="11" max="11" width="5.5703125" bestFit="1" customWidth="1"/>
    <col min="12" max="12" width="10.28515625" bestFit="1" customWidth="1"/>
    <col min="13" max="13" width="6.7109375" customWidth="1"/>
    <col min="14" max="14" width="9.140625" customWidth="1"/>
  </cols>
  <sheetData>
    <row r="1" spans="1:11">
      <c r="A1" s="1"/>
      <c r="B1" s="2" t="s">
        <v>0</v>
      </c>
      <c r="C1" t="s">
        <v>1</v>
      </c>
      <c r="D1" s="3"/>
      <c r="E1" s="3"/>
      <c r="F1" s="3"/>
      <c r="G1" s="3"/>
      <c r="H1" s="3"/>
      <c r="I1" s="3"/>
      <c r="J1" s="3"/>
      <c r="K1" s="3"/>
    </row>
    <row r="2" spans="1:11" ht="25.5">
      <c r="A2" s="4" t="s">
        <v>2</v>
      </c>
      <c r="C2" s="3"/>
      <c r="D2" s="3"/>
      <c r="E2" s="3"/>
      <c r="F2" s="3"/>
      <c r="G2" s="3" t="s">
        <v>3</v>
      </c>
      <c r="H2" s="3" t="s">
        <v>4</v>
      </c>
      <c r="I2" s="3"/>
    </row>
    <row r="3" spans="1:11">
      <c r="A3" s="5" t="s">
        <v>5</v>
      </c>
      <c r="B3" s="6" t="s">
        <v>6</v>
      </c>
      <c r="C3" s="7" t="s">
        <v>7</v>
      </c>
      <c r="D3" s="7" t="s">
        <v>8</v>
      </c>
      <c r="E3" s="7" t="s">
        <v>9</v>
      </c>
      <c r="F3" s="7" t="s">
        <v>12</v>
      </c>
      <c r="G3" s="7" t="s">
        <v>13</v>
      </c>
      <c r="H3" s="7"/>
      <c r="I3" s="7" t="s">
        <v>14</v>
      </c>
      <c r="J3" s="7" t="s">
        <v>15</v>
      </c>
      <c r="K3" s="7" t="s">
        <v>16</v>
      </c>
    </row>
    <row r="4" spans="1:11">
      <c r="A4" s="5"/>
      <c r="B4" s="6" t="s">
        <v>17</v>
      </c>
      <c r="C4" s="7"/>
      <c r="D4" s="7"/>
      <c r="E4" s="7"/>
      <c r="F4" s="7"/>
      <c r="G4" s="7"/>
      <c r="H4" s="7"/>
      <c r="I4" s="7"/>
      <c r="J4" s="7"/>
      <c r="K4" s="7"/>
    </row>
    <row r="5" spans="1:11">
      <c r="A5" s="8"/>
      <c r="B5" t="s">
        <v>18</v>
      </c>
      <c r="C5" s="9"/>
      <c r="D5" s="9"/>
      <c r="E5" s="3"/>
      <c r="F5" s="9"/>
      <c r="G5" s="9"/>
      <c r="H5" s="9"/>
      <c r="I5" s="9"/>
    </row>
    <row r="6" spans="1:11">
      <c r="A6" s="10">
        <v>44255</v>
      </c>
      <c r="B6" t="s">
        <v>19</v>
      </c>
      <c r="C6" s="9">
        <v>24000</v>
      </c>
      <c r="D6" s="9">
        <v>24000</v>
      </c>
      <c r="E6" s="3">
        <f>C6-D6</f>
        <v>0</v>
      </c>
      <c r="F6" s="9">
        <f>D6/12</f>
        <v>2000</v>
      </c>
      <c r="G6" s="9"/>
      <c r="H6" s="9"/>
      <c r="I6" s="9"/>
      <c r="J6">
        <v>2320</v>
      </c>
      <c r="K6" s="11">
        <f>D6/J6</f>
        <v>10.344827586206897</v>
      </c>
    </row>
    <row r="7" spans="1:11">
      <c r="A7" s="10">
        <v>44407</v>
      </c>
      <c r="B7" t="s">
        <v>20</v>
      </c>
      <c r="C7" s="9">
        <v>36000</v>
      </c>
      <c r="D7" s="9">
        <v>36000</v>
      </c>
      <c r="E7" s="3">
        <f>C7-D7</f>
        <v>0</v>
      </c>
      <c r="F7" s="9">
        <f>D7/12</f>
        <v>3000</v>
      </c>
      <c r="G7" s="9">
        <v>19.25</v>
      </c>
      <c r="H7" s="9">
        <f>F6*(100+G7)/100</f>
        <v>2385</v>
      </c>
      <c r="I7" s="9">
        <f>F7/F6-1</f>
        <v>0.5</v>
      </c>
      <c r="J7">
        <v>2830</v>
      </c>
      <c r="K7" s="11">
        <f>D7/J7</f>
        <v>12.720848056537102</v>
      </c>
    </row>
    <row r="8" spans="1:11">
      <c r="A8" s="12">
        <v>44772</v>
      </c>
      <c r="B8" t="s">
        <v>21</v>
      </c>
      <c r="C8" s="3">
        <v>60000</v>
      </c>
      <c r="D8" s="3">
        <v>60000</v>
      </c>
      <c r="E8" s="3">
        <f>C8-D8</f>
        <v>0</v>
      </c>
      <c r="F8" s="9">
        <f>D8/12</f>
        <v>5000</v>
      </c>
      <c r="G8" s="9">
        <v>80.209999999999994</v>
      </c>
      <c r="H8" s="9">
        <f>F7*(100+G8)/100</f>
        <v>5406.2999999999993</v>
      </c>
      <c r="I8" s="9">
        <f>F8/F7-1</f>
        <v>0.66666666666666674</v>
      </c>
      <c r="J8">
        <v>5500</v>
      </c>
      <c r="K8" s="11">
        <f>D8/J8</f>
        <v>10.909090909090908</v>
      </c>
    </row>
    <row r="9" spans="1:11">
      <c r="A9" s="12">
        <v>45137</v>
      </c>
      <c r="B9" s="13" t="s">
        <v>391</v>
      </c>
      <c r="C9" s="3">
        <v>129000</v>
      </c>
      <c r="D9" s="3">
        <v>120500</v>
      </c>
      <c r="E9" s="3">
        <f>C9-D9</f>
        <v>8500</v>
      </c>
      <c r="F9" s="9">
        <f>C9/12</f>
        <v>10750</v>
      </c>
      <c r="G9" s="9">
        <f>58.94/2</f>
        <v>29.47</v>
      </c>
      <c r="H9" s="9">
        <f>F8*(100+(G9/2))/100</f>
        <v>5736.75</v>
      </c>
      <c r="I9" s="9">
        <f>F9/F8-1</f>
        <v>1.1499999999999999</v>
      </c>
      <c r="J9">
        <v>11400</v>
      </c>
      <c r="K9" s="11">
        <f>D9/J9</f>
        <v>10.570175438596491</v>
      </c>
    </row>
    <row r="10" spans="1:11">
      <c r="A10" s="12">
        <v>45701</v>
      </c>
      <c r="B10" t="s">
        <v>392</v>
      </c>
      <c r="C10" s="3">
        <f>J10*K10+E9</f>
        <v>229540</v>
      </c>
      <c r="D10" s="3">
        <f>D52</f>
        <v>90000</v>
      </c>
      <c r="E10" s="3">
        <f>C10-D10</f>
        <v>139540</v>
      </c>
      <c r="F10">
        <f>ROUND((C10-E9)/10,)</f>
        <v>22104</v>
      </c>
      <c r="G10" s="9">
        <v>75</v>
      </c>
      <c r="H10" s="9">
        <f>F9*(100+(G10/2))/100</f>
        <v>14781.25</v>
      </c>
      <c r="I10" s="9">
        <f>F10/F9-1</f>
        <v>1.0561860465116277</v>
      </c>
      <c r="J10">
        <v>22104</v>
      </c>
      <c r="K10" s="11">
        <v>10</v>
      </c>
    </row>
    <row r="11" spans="1:11">
      <c r="A11" s="12"/>
      <c r="C11" s="3"/>
      <c r="D11" s="3"/>
      <c r="E11" s="3"/>
    </row>
    <row r="12" spans="1:11">
      <c r="A12" s="12"/>
      <c r="E12" s="3"/>
    </row>
    <row r="13" spans="1:11">
      <c r="A13" s="12"/>
      <c r="E13" s="3"/>
    </row>
    <row r="14" spans="1:11">
      <c r="A14" t="s">
        <v>22</v>
      </c>
    </row>
    <row r="15" spans="1:11">
      <c r="A15" t="s">
        <v>23</v>
      </c>
    </row>
    <row r="16" spans="1:11">
      <c r="A16" t="s">
        <v>24</v>
      </c>
    </row>
    <row r="17" spans="1:2">
      <c r="A17" s="13">
        <v>45168</v>
      </c>
      <c r="B17" t="s">
        <v>25</v>
      </c>
    </row>
    <row r="18" spans="1:2">
      <c r="A18" t="s">
        <v>26</v>
      </c>
    </row>
    <row r="19" spans="1:2">
      <c r="A19" t="s">
        <v>27</v>
      </c>
    </row>
    <row r="20" spans="1:2">
      <c r="A20" t="s">
        <v>28</v>
      </c>
    </row>
    <row r="21" spans="1:2">
      <c r="A21" t="s">
        <v>29</v>
      </c>
    </row>
    <row r="22" spans="1:2">
      <c r="A22" t="s">
        <v>30</v>
      </c>
    </row>
    <row r="23" spans="1:2">
      <c r="A23" t="s">
        <v>31</v>
      </c>
    </row>
    <row r="24" spans="1:2">
      <c r="A24" t="s">
        <v>32</v>
      </c>
    </row>
    <row r="25" spans="1:2">
      <c r="A25" t="s">
        <v>33</v>
      </c>
    </row>
    <row r="26" spans="1:2">
      <c r="A26" s="14">
        <v>45350</v>
      </c>
      <c r="B26" t="s">
        <v>34</v>
      </c>
    </row>
    <row r="27" spans="1:2">
      <c r="A27" s="15"/>
      <c r="B27" t="s">
        <v>35</v>
      </c>
    </row>
    <row r="28" spans="1:2">
      <c r="A28" s="15"/>
      <c r="B28" t="s">
        <v>36</v>
      </c>
    </row>
    <row r="29" spans="1:2">
      <c r="A29" s="15"/>
      <c r="B29" t="s">
        <v>37</v>
      </c>
    </row>
    <row r="30" spans="1:2">
      <c r="B30" t="s">
        <v>38</v>
      </c>
    </row>
    <row r="31" spans="1:2">
      <c r="B31" t="s">
        <v>39</v>
      </c>
    </row>
    <row r="33" spans="1:7">
      <c r="A33" t="s">
        <v>390</v>
      </c>
      <c r="C33">
        <v>22104</v>
      </c>
      <c r="D33">
        <v>12</v>
      </c>
      <c r="G33">
        <f>D33*C33</f>
        <v>265248</v>
      </c>
    </row>
    <row r="35" spans="1:7">
      <c r="C35" t="s">
        <v>40</v>
      </c>
      <c r="D35" t="s">
        <v>41</v>
      </c>
      <c r="E35" t="s">
        <v>9</v>
      </c>
    </row>
    <row r="37" spans="1:7">
      <c r="A37" t="s">
        <v>42</v>
      </c>
    </row>
    <row r="38" spans="1:7">
      <c r="G38" s="3">
        <f>G33-D38</f>
        <v>265248</v>
      </c>
    </row>
    <row r="39" spans="1:7">
      <c r="A39" s="13">
        <v>45534</v>
      </c>
      <c r="B39" s="16"/>
      <c r="C39">
        <v>15000</v>
      </c>
      <c r="D39">
        <v>15000</v>
      </c>
      <c r="E39" s="3">
        <f>C39-D39</f>
        <v>0</v>
      </c>
      <c r="F39" s="3"/>
      <c r="G39" s="3">
        <f>G33-D39</f>
        <v>250248</v>
      </c>
    </row>
    <row r="40" spans="1:7">
      <c r="A40" s="15">
        <v>45565</v>
      </c>
      <c r="C40">
        <f>C39</f>
        <v>15000</v>
      </c>
      <c r="D40">
        <v>15000</v>
      </c>
      <c r="E40" s="3">
        <f t="shared" ref="E40:E50" si="0">C40-D40+E39</f>
        <v>0</v>
      </c>
      <c r="G40" s="3">
        <f t="shared" ref="G40:G50" si="1">G39-D40</f>
        <v>235248</v>
      </c>
    </row>
    <row r="41" spans="1:7">
      <c r="A41" s="15">
        <v>45595</v>
      </c>
      <c r="C41">
        <f>C40</f>
        <v>15000</v>
      </c>
      <c r="D41">
        <v>15000</v>
      </c>
      <c r="E41" s="3">
        <f t="shared" si="0"/>
        <v>0</v>
      </c>
      <c r="G41" s="3">
        <f t="shared" si="1"/>
        <v>220248</v>
      </c>
    </row>
    <row r="42" spans="1:7">
      <c r="A42" s="15">
        <v>45626</v>
      </c>
      <c r="C42">
        <f>C41</f>
        <v>15000</v>
      </c>
      <c r="D42">
        <v>15000</v>
      </c>
      <c r="E42" s="3">
        <f t="shared" si="0"/>
        <v>0</v>
      </c>
      <c r="G42" s="3">
        <f t="shared" si="1"/>
        <v>205248</v>
      </c>
    </row>
    <row r="43" spans="1:7">
      <c r="A43" s="15">
        <v>45656</v>
      </c>
      <c r="C43">
        <f>C42</f>
        <v>15000</v>
      </c>
      <c r="D43">
        <v>15000</v>
      </c>
      <c r="E43" s="3">
        <f t="shared" si="0"/>
        <v>0</v>
      </c>
      <c r="G43" s="3">
        <f t="shared" si="1"/>
        <v>190248</v>
      </c>
    </row>
    <row r="44" spans="1:7">
      <c r="A44" s="17">
        <v>45687</v>
      </c>
      <c r="C44">
        <f>C43</f>
        <v>15000</v>
      </c>
      <c r="D44">
        <v>15000</v>
      </c>
      <c r="E44" s="3">
        <f t="shared" si="0"/>
        <v>0</v>
      </c>
      <c r="G44" s="3">
        <f t="shared" si="1"/>
        <v>175248</v>
      </c>
    </row>
    <row r="45" spans="1:7">
      <c r="A45" s="18">
        <v>45716</v>
      </c>
      <c r="B45" s="19"/>
      <c r="C45">
        <f>G50/6</f>
        <v>29208</v>
      </c>
      <c r="D45" s="19"/>
      <c r="E45" s="20">
        <f t="shared" si="0"/>
        <v>29208</v>
      </c>
      <c r="F45" s="19"/>
      <c r="G45" s="3">
        <f t="shared" si="1"/>
        <v>175248</v>
      </c>
    </row>
    <row r="46" spans="1:7">
      <c r="A46" s="17">
        <v>45746</v>
      </c>
      <c r="C46">
        <f>C45</f>
        <v>29208</v>
      </c>
      <c r="E46" s="3">
        <f t="shared" si="0"/>
        <v>58416</v>
      </c>
      <c r="G46" s="3">
        <f t="shared" si="1"/>
        <v>175248</v>
      </c>
    </row>
    <row r="47" spans="1:7">
      <c r="A47" s="17">
        <v>45777</v>
      </c>
      <c r="C47">
        <f>C46</f>
        <v>29208</v>
      </c>
      <c r="E47" s="3">
        <f t="shared" si="0"/>
        <v>87624</v>
      </c>
      <c r="G47" s="3">
        <f t="shared" si="1"/>
        <v>175248</v>
      </c>
    </row>
    <row r="48" spans="1:7">
      <c r="A48" s="17">
        <v>45807</v>
      </c>
      <c r="C48">
        <f>C47</f>
        <v>29208</v>
      </c>
      <c r="E48" s="3">
        <f t="shared" si="0"/>
        <v>116832</v>
      </c>
      <c r="G48" s="3">
        <f t="shared" si="1"/>
        <v>175248</v>
      </c>
    </row>
    <row r="49" spans="1:11">
      <c r="A49" s="17">
        <v>45838</v>
      </c>
      <c r="C49">
        <f>C48</f>
        <v>29208</v>
      </c>
      <c r="E49" s="3">
        <f t="shared" si="0"/>
        <v>146040</v>
      </c>
      <c r="G49" s="3">
        <f t="shared" si="1"/>
        <v>175248</v>
      </c>
    </row>
    <row r="50" spans="1:11">
      <c r="A50" s="17">
        <v>45868</v>
      </c>
      <c r="C50">
        <f>C49</f>
        <v>29208</v>
      </c>
      <c r="E50" s="3">
        <f t="shared" si="0"/>
        <v>175248</v>
      </c>
      <c r="G50" s="3">
        <f t="shared" si="1"/>
        <v>175248</v>
      </c>
    </row>
    <row r="52" spans="1:11">
      <c r="B52" t="s">
        <v>43</v>
      </c>
      <c r="C52">
        <f>SUM(C39:C51)</f>
        <v>265248</v>
      </c>
      <c r="D52">
        <f>SUM(D39:D51)</f>
        <v>90000</v>
      </c>
    </row>
    <row r="53" spans="1:11">
      <c r="B53" t="s">
        <v>44</v>
      </c>
      <c r="C53">
        <f>C52/12</f>
        <v>22104</v>
      </c>
      <c r="D53">
        <f>D52/12</f>
        <v>7500</v>
      </c>
    </row>
    <row r="56" spans="1:11">
      <c r="C56" t="s">
        <v>40</v>
      </c>
      <c r="D56" t="s">
        <v>41</v>
      </c>
      <c r="E56" t="s">
        <v>9</v>
      </c>
    </row>
    <row r="57" spans="1:11">
      <c r="A57" t="s">
        <v>45</v>
      </c>
      <c r="C57">
        <v>78000</v>
      </c>
    </row>
    <row r="58" spans="1:11">
      <c r="A58" t="s">
        <v>46</v>
      </c>
    </row>
    <row r="60" spans="1:11">
      <c r="A60" s="13">
        <v>45168</v>
      </c>
      <c r="B60" s="16" t="s">
        <v>47</v>
      </c>
      <c r="C60">
        <v>6500</v>
      </c>
      <c r="D60">
        <v>6500</v>
      </c>
      <c r="E60" s="3">
        <f>C60-D60</f>
        <v>0</v>
      </c>
      <c r="F60" s="3"/>
      <c r="G60" s="3">
        <f t="shared" ref="G60:G71" si="2">D60-F60</f>
        <v>6500</v>
      </c>
      <c r="H60" s="3"/>
      <c r="I60" s="3"/>
      <c r="J60" s="3"/>
      <c r="K60" s="3"/>
    </row>
    <row r="61" spans="1:11">
      <c r="A61" s="284">
        <v>45199</v>
      </c>
      <c r="B61" s="283" t="s">
        <v>48</v>
      </c>
      <c r="C61" s="283">
        <v>6500</v>
      </c>
      <c r="D61" s="283">
        <v>6500</v>
      </c>
      <c r="E61" s="281">
        <f t="shared" ref="E61:E71" si="3">C61-D61+E60</f>
        <v>0</v>
      </c>
      <c r="F61" s="283"/>
      <c r="G61" s="281">
        <f t="shared" si="2"/>
        <v>6500</v>
      </c>
      <c r="H61" s="3"/>
      <c r="I61" s="3"/>
      <c r="J61" s="3"/>
      <c r="K61" s="3"/>
    </row>
    <row r="62" spans="1:11">
      <c r="A62" s="15">
        <v>45229</v>
      </c>
      <c r="B62" t="s">
        <v>49</v>
      </c>
      <c r="C62">
        <v>6500</v>
      </c>
      <c r="D62">
        <v>6500</v>
      </c>
      <c r="E62" s="3">
        <f t="shared" si="3"/>
        <v>0</v>
      </c>
      <c r="G62" s="3">
        <f t="shared" si="2"/>
        <v>6500</v>
      </c>
      <c r="H62" s="3"/>
      <c r="I62" s="3"/>
      <c r="J62" s="3"/>
      <c r="K62" s="3"/>
    </row>
    <row r="63" spans="1:11">
      <c r="A63" s="15">
        <v>45260</v>
      </c>
      <c r="B63" t="s">
        <v>49</v>
      </c>
      <c r="C63">
        <v>6500</v>
      </c>
      <c r="D63">
        <v>6500</v>
      </c>
      <c r="E63" s="3">
        <f t="shared" si="3"/>
        <v>0</v>
      </c>
      <c r="G63" s="3">
        <f t="shared" si="2"/>
        <v>6500</v>
      </c>
      <c r="H63" s="3"/>
      <c r="I63" s="3"/>
      <c r="J63" s="3"/>
      <c r="K63" s="3"/>
    </row>
    <row r="64" spans="1:11">
      <c r="A64" s="15">
        <v>45290</v>
      </c>
      <c r="B64" t="s">
        <v>49</v>
      </c>
      <c r="C64">
        <v>6500</v>
      </c>
      <c r="D64">
        <v>6500</v>
      </c>
      <c r="E64" s="3">
        <f t="shared" si="3"/>
        <v>0</v>
      </c>
      <c r="G64" s="3">
        <f t="shared" si="2"/>
        <v>6500</v>
      </c>
      <c r="H64" s="3"/>
      <c r="I64" s="3"/>
      <c r="J64" s="3"/>
      <c r="K64" s="3"/>
    </row>
    <row r="65" spans="1:11">
      <c r="A65" s="17">
        <v>45321</v>
      </c>
      <c r="C65">
        <v>6500</v>
      </c>
      <c r="D65">
        <v>6500</v>
      </c>
      <c r="E65" s="3">
        <f t="shared" si="3"/>
        <v>0</v>
      </c>
      <c r="G65" s="3">
        <f t="shared" si="2"/>
        <v>6500</v>
      </c>
      <c r="H65" s="3"/>
      <c r="I65" s="3"/>
      <c r="J65" s="3"/>
      <c r="K65" s="3"/>
    </row>
    <row r="66" spans="1:11">
      <c r="A66" s="18">
        <v>45350</v>
      </c>
      <c r="B66" s="19"/>
      <c r="C66" s="19">
        <v>15000</v>
      </c>
      <c r="D66" s="19">
        <v>6500</v>
      </c>
      <c r="E66" s="20">
        <f t="shared" si="3"/>
        <v>8500</v>
      </c>
      <c r="F66" s="19"/>
      <c r="G66" s="20">
        <f t="shared" si="2"/>
        <v>6500</v>
      </c>
      <c r="H66" s="3"/>
      <c r="I66" s="3"/>
      <c r="J66" s="3"/>
      <c r="K66" s="3"/>
    </row>
    <row r="67" spans="1:11">
      <c r="A67" s="17">
        <v>45381</v>
      </c>
      <c r="C67">
        <v>15000</v>
      </c>
      <c r="D67">
        <v>15000</v>
      </c>
      <c r="E67" s="3">
        <f t="shared" si="3"/>
        <v>8500</v>
      </c>
      <c r="G67" s="3">
        <f t="shared" si="2"/>
        <v>15000</v>
      </c>
      <c r="H67" s="3"/>
      <c r="I67" s="3"/>
      <c r="J67" s="3"/>
      <c r="K67" s="3"/>
    </row>
    <row r="68" spans="1:11">
      <c r="A68" s="17">
        <v>45412</v>
      </c>
      <c r="C68">
        <v>15000</v>
      </c>
      <c r="D68">
        <v>15000</v>
      </c>
      <c r="E68" s="3">
        <f t="shared" si="3"/>
        <v>8500</v>
      </c>
      <c r="G68" s="3">
        <f t="shared" si="2"/>
        <v>15000</v>
      </c>
      <c r="H68" s="3"/>
      <c r="I68" s="3"/>
      <c r="J68" s="3"/>
      <c r="K68" s="3"/>
    </row>
    <row r="69" spans="1:11">
      <c r="A69" s="17">
        <v>45442</v>
      </c>
      <c r="C69">
        <v>15000</v>
      </c>
      <c r="D69">
        <v>15000</v>
      </c>
      <c r="E69" s="3">
        <f t="shared" si="3"/>
        <v>8500</v>
      </c>
      <c r="G69" s="3">
        <f t="shared" si="2"/>
        <v>15000</v>
      </c>
      <c r="H69" s="3"/>
      <c r="I69" s="3"/>
      <c r="J69" s="3"/>
      <c r="K69" s="3"/>
    </row>
    <row r="70" spans="1:11">
      <c r="A70" s="17">
        <v>45473</v>
      </c>
      <c r="C70">
        <v>15000</v>
      </c>
      <c r="D70">
        <v>15000</v>
      </c>
      <c r="E70" s="3">
        <f t="shared" si="3"/>
        <v>8500</v>
      </c>
      <c r="G70" s="3">
        <f t="shared" si="2"/>
        <v>15000</v>
      </c>
      <c r="H70" s="3"/>
      <c r="I70" s="3"/>
      <c r="J70" s="3"/>
      <c r="K70" s="3"/>
    </row>
    <row r="71" spans="1:11">
      <c r="A71" s="17">
        <v>45503</v>
      </c>
      <c r="C71">
        <v>15000</v>
      </c>
      <c r="D71">
        <v>15000</v>
      </c>
      <c r="E71" s="3">
        <f t="shared" si="3"/>
        <v>8500</v>
      </c>
      <c r="G71" s="3">
        <f t="shared" si="2"/>
        <v>15000</v>
      </c>
      <c r="H71" s="3"/>
      <c r="I71" s="3"/>
      <c r="J71" s="3"/>
      <c r="K71" s="3"/>
    </row>
    <row r="73" spans="1:11">
      <c r="B73" t="s">
        <v>43</v>
      </c>
      <c r="C73">
        <f>SUM(C60:C72)</f>
        <v>129000</v>
      </c>
      <c r="D73">
        <f>SUM(D60:D72)</f>
        <v>120500</v>
      </c>
    </row>
    <row r="74" spans="1:11">
      <c r="B74" t="s">
        <v>44</v>
      </c>
      <c r="D74">
        <f>D73/12</f>
        <v>10041.666666666666</v>
      </c>
    </row>
    <row r="83" spans="1:11">
      <c r="A83" s="5" t="s">
        <v>5</v>
      </c>
      <c r="B83" s="6" t="s">
        <v>6</v>
      </c>
      <c r="C83" s="7" t="s">
        <v>50</v>
      </c>
      <c r="D83" s="7" t="s">
        <v>8</v>
      </c>
      <c r="E83" s="7" t="s">
        <v>9</v>
      </c>
      <c r="F83" s="7" t="s">
        <v>10</v>
      </c>
      <c r="G83" s="7" t="s">
        <v>11</v>
      </c>
      <c r="H83" s="7"/>
      <c r="I83" s="7"/>
      <c r="J83" s="7"/>
      <c r="K83" s="7"/>
    </row>
    <row r="84" spans="1:11">
      <c r="A84" s="5">
        <v>2021</v>
      </c>
      <c r="B84" t="s">
        <v>51</v>
      </c>
      <c r="C84" s="3">
        <v>24000</v>
      </c>
      <c r="D84" s="3"/>
      <c r="E84" s="3">
        <f>C84-D84</f>
        <v>24000</v>
      </c>
      <c r="F84" s="3"/>
      <c r="G84" s="3">
        <f>D84-F84</f>
        <v>0</v>
      </c>
      <c r="H84" s="3"/>
      <c r="I84" s="3"/>
      <c r="J84" s="3"/>
      <c r="K84" s="3"/>
    </row>
    <row r="85" spans="1:11">
      <c r="A85" s="12"/>
      <c r="B85" s="13"/>
      <c r="C85" s="3"/>
      <c r="D85" s="3">
        <v>24000</v>
      </c>
      <c r="E85" s="3">
        <f>E84-D85</f>
        <v>0</v>
      </c>
      <c r="F85" s="3"/>
      <c r="G85" s="3">
        <f>D85-F85</f>
        <v>24000</v>
      </c>
      <c r="H85" s="3"/>
      <c r="I85" s="3"/>
      <c r="J85" s="3"/>
      <c r="K85" s="3"/>
    </row>
    <row r="86" spans="1:11">
      <c r="B86" t="s">
        <v>52</v>
      </c>
      <c r="C86" s="3"/>
      <c r="D86" s="3"/>
      <c r="E86" s="3"/>
      <c r="F86" s="3"/>
      <c r="G86" s="3"/>
      <c r="H86" s="3"/>
      <c r="I86" s="3"/>
      <c r="J86" s="3"/>
      <c r="K86" s="3"/>
    </row>
    <row r="90" spans="1:11">
      <c r="A90" s="5" t="s">
        <v>5</v>
      </c>
      <c r="B90" s="6" t="s">
        <v>6</v>
      </c>
      <c r="C90" s="7" t="s">
        <v>50</v>
      </c>
      <c r="D90" s="7" t="s">
        <v>8</v>
      </c>
      <c r="E90" s="7" t="s">
        <v>9</v>
      </c>
      <c r="F90" s="7" t="s">
        <v>10</v>
      </c>
      <c r="G90" s="7" t="s">
        <v>11</v>
      </c>
      <c r="H90" s="7"/>
      <c r="I90" s="7"/>
      <c r="J90" s="7"/>
      <c r="K90" s="7"/>
    </row>
    <row r="91" spans="1:11">
      <c r="A91" s="5">
        <v>2022</v>
      </c>
      <c r="B91" t="s">
        <v>51</v>
      </c>
      <c r="C91" s="3">
        <v>36000</v>
      </c>
      <c r="D91" s="3"/>
      <c r="E91" s="3">
        <f>C91-D91</f>
        <v>36000</v>
      </c>
      <c r="F91" s="3"/>
      <c r="G91" s="3">
        <f t="shared" ref="G91:G100" si="4">D91-F91</f>
        <v>0</v>
      </c>
      <c r="H91" s="3"/>
      <c r="I91" s="3"/>
      <c r="J91" s="3"/>
      <c r="K91" s="3"/>
    </row>
    <row r="92" spans="1:11">
      <c r="A92" s="12"/>
      <c r="B92" s="13"/>
      <c r="C92" s="3"/>
      <c r="D92" s="3"/>
      <c r="E92" s="3">
        <f t="shared" ref="E92:E108" si="5">E91-D92</f>
        <v>36000</v>
      </c>
      <c r="F92" s="3"/>
      <c r="G92" s="3">
        <f t="shared" si="4"/>
        <v>0</v>
      </c>
      <c r="H92" s="3"/>
      <c r="I92" s="3"/>
      <c r="J92" s="3"/>
      <c r="K92" s="3"/>
    </row>
    <row r="93" spans="1:11">
      <c r="B93" t="s">
        <v>53</v>
      </c>
      <c r="C93" s="3"/>
      <c r="D93" s="3"/>
      <c r="E93" s="3">
        <f t="shared" si="5"/>
        <v>36000</v>
      </c>
      <c r="F93" s="3"/>
      <c r="G93" s="3">
        <f t="shared" si="4"/>
        <v>0</v>
      </c>
      <c r="H93" s="3"/>
      <c r="I93" s="3"/>
      <c r="J93" s="3"/>
      <c r="K93" s="3"/>
    </row>
    <row r="94" spans="1:11">
      <c r="A94" s="12"/>
      <c r="B94" s="13"/>
      <c r="C94" s="3"/>
      <c r="D94" s="3"/>
      <c r="E94" s="3">
        <f t="shared" si="5"/>
        <v>36000</v>
      </c>
      <c r="F94" s="3"/>
      <c r="G94" s="3">
        <f t="shared" si="4"/>
        <v>0</v>
      </c>
      <c r="H94" s="3"/>
      <c r="I94" s="3"/>
      <c r="J94" s="3"/>
      <c r="K94" s="3"/>
    </row>
    <row r="95" spans="1:11">
      <c r="A95" s="12">
        <v>44438</v>
      </c>
      <c r="B95" s="13" t="s">
        <v>54</v>
      </c>
      <c r="C95" s="3">
        <v>2000</v>
      </c>
      <c r="D95" s="3">
        <v>0</v>
      </c>
      <c r="E95" s="3">
        <f t="shared" si="5"/>
        <v>36000</v>
      </c>
      <c r="F95" s="3"/>
      <c r="G95" s="3">
        <f t="shared" si="4"/>
        <v>0</v>
      </c>
      <c r="H95" s="3"/>
      <c r="I95" s="3"/>
      <c r="J95" s="3"/>
      <c r="K95" s="3"/>
    </row>
    <row r="96" spans="1:11">
      <c r="A96" s="12">
        <v>44469</v>
      </c>
      <c r="B96" s="13" t="s">
        <v>54</v>
      </c>
      <c r="C96" s="3">
        <v>2000</v>
      </c>
      <c r="D96" s="3">
        <v>4000</v>
      </c>
      <c r="E96" s="3">
        <f t="shared" si="5"/>
        <v>32000</v>
      </c>
      <c r="F96" s="3"/>
      <c r="G96" s="3">
        <f t="shared" si="4"/>
        <v>4000</v>
      </c>
      <c r="H96" s="3"/>
      <c r="I96" s="3"/>
      <c r="J96" s="3"/>
      <c r="K96" s="3"/>
    </row>
    <row r="97" spans="1:12">
      <c r="A97" s="12">
        <v>44499</v>
      </c>
      <c r="B97" t="s">
        <v>54</v>
      </c>
      <c r="C97" s="3">
        <v>2000</v>
      </c>
      <c r="D97" s="3">
        <v>2000</v>
      </c>
      <c r="E97" s="3">
        <f t="shared" si="5"/>
        <v>30000</v>
      </c>
      <c r="F97" s="3"/>
      <c r="G97" s="3">
        <f t="shared" si="4"/>
        <v>2000</v>
      </c>
      <c r="H97" s="3"/>
      <c r="I97" s="3"/>
      <c r="J97" s="3"/>
      <c r="K97" s="3"/>
    </row>
    <row r="98" spans="1:12">
      <c r="A98" s="12">
        <v>44530</v>
      </c>
      <c r="B98" t="s">
        <v>55</v>
      </c>
      <c r="C98" s="3">
        <v>2000</v>
      </c>
      <c r="D98" s="3">
        <v>2000</v>
      </c>
      <c r="E98" s="3">
        <f t="shared" si="5"/>
        <v>28000</v>
      </c>
      <c r="F98" s="3"/>
      <c r="G98" s="3">
        <f t="shared" si="4"/>
        <v>2000</v>
      </c>
      <c r="H98" s="3"/>
      <c r="I98" s="3"/>
      <c r="J98" s="3"/>
      <c r="K98" s="3"/>
    </row>
    <row r="99" spans="1:12">
      <c r="A99" s="12">
        <v>44560</v>
      </c>
      <c r="B99" t="s">
        <v>56</v>
      </c>
      <c r="C99" s="3">
        <v>2000</v>
      </c>
      <c r="D99" s="3">
        <v>2000</v>
      </c>
      <c r="E99" s="3">
        <f t="shared" si="5"/>
        <v>26000</v>
      </c>
      <c r="F99" s="3"/>
      <c r="G99" s="3">
        <f t="shared" si="4"/>
        <v>2000</v>
      </c>
      <c r="H99" s="3"/>
      <c r="I99" s="3"/>
      <c r="J99" s="3"/>
      <c r="K99" s="3"/>
    </row>
    <row r="100" spans="1:12">
      <c r="A100" s="21">
        <v>44591</v>
      </c>
      <c r="B100" s="22" t="s">
        <v>56</v>
      </c>
      <c r="C100" s="3">
        <v>2000</v>
      </c>
      <c r="D100" s="3">
        <v>2000</v>
      </c>
      <c r="E100" s="3">
        <f t="shared" si="5"/>
        <v>24000</v>
      </c>
      <c r="F100" s="3"/>
      <c r="G100" s="3">
        <f t="shared" si="4"/>
        <v>2000</v>
      </c>
      <c r="H100" s="3"/>
      <c r="I100" s="3"/>
      <c r="J100" s="3"/>
      <c r="K100" s="3"/>
      <c r="L100" t="s">
        <v>14</v>
      </c>
    </row>
    <row r="101" spans="1:12">
      <c r="E101" s="3">
        <f t="shared" si="5"/>
        <v>24000</v>
      </c>
    </row>
    <row r="102" spans="1:12">
      <c r="A102" s="21">
        <v>44620</v>
      </c>
      <c r="B102" s="22" t="s">
        <v>57</v>
      </c>
      <c r="C102" s="3">
        <v>3000</v>
      </c>
      <c r="D102" s="3">
        <v>3000</v>
      </c>
      <c r="E102" s="3">
        <f t="shared" si="5"/>
        <v>21000</v>
      </c>
      <c r="F102" s="3"/>
      <c r="G102" s="3">
        <f t="shared" ref="G102:G108" si="6">D102-F102</f>
        <v>3000</v>
      </c>
      <c r="H102" s="3"/>
      <c r="I102" s="3"/>
      <c r="J102" s="3"/>
      <c r="K102" s="3"/>
      <c r="L102" t="s">
        <v>14</v>
      </c>
    </row>
    <row r="103" spans="1:12">
      <c r="A103" s="21">
        <v>44650</v>
      </c>
      <c r="B103" s="22" t="s">
        <v>57</v>
      </c>
      <c r="C103" s="3">
        <v>3000</v>
      </c>
      <c r="D103" s="23">
        <v>3000</v>
      </c>
      <c r="E103" s="3">
        <f t="shared" si="5"/>
        <v>18000</v>
      </c>
      <c r="F103" s="3"/>
      <c r="G103" s="3">
        <f t="shared" si="6"/>
        <v>3000</v>
      </c>
      <c r="H103" s="3"/>
      <c r="I103" s="3"/>
      <c r="J103" s="3"/>
      <c r="K103" s="3"/>
      <c r="L103" t="s">
        <v>14</v>
      </c>
    </row>
    <row r="104" spans="1:12">
      <c r="A104" s="21">
        <v>44681</v>
      </c>
      <c r="B104" t="s">
        <v>58</v>
      </c>
      <c r="C104" s="3">
        <v>3000</v>
      </c>
      <c r="D104" s="24">
        <v>5000</v>
      </c>
      <c r="E104" s="3">
        <f t="shared" si="5"/>
        <v>13000</v>
      </c>
      <c r="F104" s="3"/>
      <c r="G104" s="3">
        <f t="shared" si="6"/>
        <v>5000</v>
      </c>
      <c r="H104" s="3"/>
      <c r="I104" s="3"/>
      <c r="J104" s="3"/>
      <c r="K104" s="3"/>
      <c r="L104" s="13">
        <v>44691</v>
      </c>
    </row>
    <row r="105" spans="1:12">
      <c r="A105" s="21">
        <v>44711</v>
      </c>
      <c r="B105" t="s">
        <v>59</v>
      </c>
      <c r="C105" s="3">
        <v>5000</v>
      </c>
      <c r="D105" s="24">
        <v>3000</v>
      </c>
      <c r="E105" s="3">
        <f t="shared" si="5"/>
        <v>10000</v>
      </c>
      <c r="F105" s="3"/>
      <c r="G105" s="3">
        <f t="shared" si="6"/>
        <v>3000</v>
      </c>
      <c r="H105" s="3"/>
      <c r="I105" s="3"/>
      <c r="J105" s="3"/>
      <c r="K105" s="3"/>
      <c r="L105" s="13">
        <v>44711</v>
      </c>
    </row>
    <row r="106" spans="1:12">
      <c r="A106" s="279">
        <v>44742</v>
      </c>
      <c r="B106" s="280" t="s">
        <v>60</v>
      </c>
      <c r="C106" s="281">
        <v>5000</v>
      </c>
      <c r="D106" s="282">
        <v>4000</v>
      </c>
      <c r="E106" s="281">
        <f t="shared" si="5"/>
        <v>6000</v>
      </c>
      <c r="F106" s="281"/>
      <c r="G106" s="281">
        <f t="shared" si="6"/>
        <v>4000</v>
      </c>
      <c r="H106" s="3"/>
      <c r="I106" s="3"/>
      <c r="J106" s="3"/>
      <c r="K106" s="3"/>
      <c r="L106" s="13">
        <v>44747</v>
      </c>
    </row>
    <row r="107" spans="1:12">
      <c r="A107" s="279">
        <v>44772</v>
      </c>
      <c r="B107" s="283" t="s">
        <v>61</v>
      </c>
      <c r="C107" s="281">
        <v>5000</v>
      </c>
      <c r="D107" s="281">
        <v>5000</v>
      </c>
      <c r="E107" s="281">
        <f t="shared" si="5"/>
        <v>1000</v>
      </c>
      <c r="F107" s="281"/>
      <c r="G107" s="281">
        <f t="shared" si="6"/>
        <v>5000</v>
      </c>
      <c r="H107" s="3"/>
      <c r="I107" s="3"/>
      <c r="J107" s="3"/>
      <c r="K107" s="3"/>
      <c r="L107" s="13">
        <v>44802</v>
      </c>
    </row>
    <row r="108" spans="1:12">
      <c r="A108" s="21">
        <v>44803</v>
      </c>
      <c r="C108" s="3"/>
      <c r="D108" s="3">
        <v>1000</v>
      </c>
      <c r="E108" s="3">
        <f t="shared" si="5"/>
        <v>0</v>
      </c>
      <c r="F108" s="3"/>
      <c r="G108" s="3">
        <f t="shared" si="6"/>
        <v>1000</v>
      </c>
      <c r="H108" s="3"/>
      <c r="I108" s="3"/>
      <c r="J108" s="3"/>
      <c r="K108" s="3"/>
    </row>
    <row r="109" spans="1:12">
      <c r="A109" s="12"/>
      <c r="B109" t="s">
        <v>62</v>
      </c>
      <c r="C109" s="3"/>
      <c r="D109" s="3"/>
      <c r="E109" s="3"/>
      <c r="F109" s="3"/>
      <c r="G109" s="3"/>
      <c r="H109" s="3"/>
      <c r="I109" s="3"/>
      <c r="J109" s="3"/>
      <c r="K109" s="3"/>
    </row>
    <row r="110" spans="1:12">
      <c r="A110" s="1"/>
      <c r="C110" s="3"/>
      <c r="D110" s="3"/>
      <c r="E110" s="3"/>
      <c r="F110" s="3"/>
      <c r="G110" s="3"/>
      <c r="H110" s="3"/>
      <c r="I110" s="3"/>
      <c r="J110" s="3"/>
      <c r="K110" s="3"/>
    </row>
    <row r="111" spans="1:12">
      <c r="A111" s="1"/>
      <c r="B111" s="2" t="s">
        <v>63</v>
      </c>
      <c r="C111" s="25">
        <f>SUM(C95:C110)</f>
        <v>36000</v>
      </c>
      <c r="D111" s="25">
        <f>SUM(D91:D110)</f>
        <v>36000</v>
      </c>
      <c r="E111" s="26">
        <f>C111-D111</f>
        <v>0</v>
      </c>
      <c r="F111" s="25">
        <f>SUM(F91:F110)</f>
        <v>0</v>
      </c>
      <c r="G111" s="25">
        <f>D111-F111</f>
        <v>36000</v>
      </c>
      <c r="H111" s="25"/>
      <c r="I111" s="25"/>
      <c r="J111" s="25"/>
      <c r="K111" s="25"/>
    </row>
    <row r="112" spans="1:12">
      <c r="A112" s="1"/>
      <c r="C112" s="3"/>
      <c r="D112" s="3"/>
      <c r="E112" s="3"/>
      <c r="F112" s="3"/>
    </row>
    <row r="113" spans="1:11">
      <c r="A113" s="1"/>
      <c r="D113" s="3"/>
      <c r="E113" s="27" t="s">
        <v>64</v>
      </c>
      <c r="G113" s="25">
        <f>G111</f>
        <v>36000</v>
      </c>
      <c r="H113" s="25"/>
      <c r="I113" s="25"/>
      <c r="J113" s="25"/>
      <c r="K113" s="25"/>
    </row>
    <row r="114" spans="1:11">
      <c r="A114" s="1"/>
      <c r="E114" s="2" t="s">
        <v>65</v>
      </c>
      <c r="F114" s="28">
        <v>1</v>
      </c>
      <c r="G114" s="25">
        <f>G113</f>
        <v>36000</v>
      </c>
      <c r="H114" s="25"/>
      <c r="I114" s="25"/>
      <c r="J114" s="25"/>
      <c r="K114" s="25"/>
    </row>
    <row r="116" spans="1:11">
      <c r="B116" t="s">
        <v>66</v>
      </c>
    </row>
    <row r="118" spans="1:11">
      <c r="B118">
        <v>2022</v>
      </c>
      <c r="C118">
        <v>36000</v>
      </c>
      <c r="E118">
        <f>C118</f>
        <v>36000</v>
      </c>
    </row>
    <row r="119" spans="1:11">
      <c r="B119" t="s">
        <v>67</v>
      </c>
      <c r="C119" s="28">
        <v>0.73</v>
      </c>
    </row>
    <row r="120" spans="1:11">
      <c r="B120" t="s">
        <v>68</v>
      </c>
      <c r="E120">
        <f>C118*C119</f>
        <v>26280</v>
      </c>
    </row>
    <row r="122" spans="1:11">
      <c r="A122" s="5">
        <v>2023</v>
      </c>
      <c r="B122" t="s">
        <v>69</v>
      </c>
      <c r="C122" s="29"/>
      <c r="E122" s="3">
        <f>E118+E120</f>
        <v>62280</v>
      </c>
    </row>
    <row r="123" spans="1:11">
      <c r="E123" s="3">
        <f t="shared" ref="E123:E137" si="7">E122-D123</f>
        <v>62280</v>
      </c>
    </row>
    <row r="124" spans="1:11">
      <c r="B124" t="s">
        <v>70</v>
      </c>
      <c r="D124">
        <v>2280</v>
      </c>
      <c r="E124" s="3">
        <f t="shared" si="7"/>
        <v>60000</v>
      </c>
    </row>
    <row r="125" spans="1:11">
      <c r="A125" s="30">
        <v>45167</v>
      </c>
      <c r="B125" s="16" t="s">
        <v>57</v>
      </c>
      <c r="D125">
        <v>3000</v>
      </c>
      <c r="E125" s="3">
        <f t="shared" si="7"/>
        <v>57000</v>
      </c>
    </row>
    <row r="126" spans="1:11">
      <c r="A126" s="21">
        <v>44834</v>
      </c>
      <c r="B126" s="16" t="s">
        <v>57</v>
      </c>
      <c r="D126">
        <v>3000</v>
      </c>
      <c r="E126" s="3">
        <f t="shared" si="7"/>
        <v>54000</v>
      </c>
      <c r="F126" s="3"/>
      <c r="G126" s="3">
        <f t="shared" ref="G126:G137" si="8">D126-F126</f>
        <v>3000</v>
      </c>
      <c r="H126" s="3"/>
      <c r="I126" s="3"/>
      <c r="J126" s="3"/>
      <c r="K126" s="3"/>
    </row>
    <row r="127" spans="1:11">
      <c r="A127" s="21">
        <v>44865</v>
      </c>
      <c r="B127" s="16" t="s">
        <v>57</v>
      </c>
      <c r="D127">
        <v>3000</v>
      </c>
      <c r="E127" s="3">
        <f t="shared" si="7"/>
        <v>51000</v>
      </c>
      <c r="F127" s="3"/>
      <c r="G127" s="3">
        <f t="shared" si="8"/>
        <v>3000</v>
      </c>
      <c r="H127" s="3"/>
      <c r="I127" s="3"/>
      <c r="J127" s="3"/>
      <c r="K127" s="3"/>
    </row>
    <row r="128" spans="1:11">
      <c r="A128" s="21">
        <v>44895</v>
      </c>
      <c r="B128" s="16" t="s">
        <v>57</v>
      </c>
      <c r="D128">
        <v>3000</v>
      </c>
      <c r="E128" s="3">
        <f t="shared" si="7"/>
        <v>48000</v>
      </c>
      <c r="F128" s="3"/>
      <c r="G128" s="3">
        <f t="shared" si="8"/>
        <v>3000</v>
      </c>
      <c r="H128" s="3"/>
      <c r="I128" s="3"/>
      <c r="J128" s="3"/>
      <c r="K128" s="3"/>
    </row>
    <row r="129" spans="1:11">
      <c r="A129" s="285">
        <v>44925</v>
      </c>
      <c r="B129" s="283" t="s">
        <v>71</v>
      </c>
      <c r="C129" s="283"/>
      <c r="D129" s="283">
        <v>3000</v>
      </c>
      <c r="E129" s="281">
        <f t="shared" si="7"/>
        <v>45000</v>
      </c>
      <c r="F129" s="281"/>
      <c r="G129" s="281">
        <f t="shared" si="8"/>
        <v>3000</v>
      </c>
      <c r="H129" s="3"/>
      <c r="I129" s="3"/>
      <c r="J129" s="3"/>
      <c r="K129" s="3"/>
    </row>
    <row r="130" spans="1:11">
      <c r="A130" s="286">
        <v>44956</v>
      </c>
      <c r="B130" s="283" t="s">
        <v>72</v>
      </c>
      <c r="C130" s="283"/>
      <c r="D130" s="283">
        <v>6000</v>
      </c>
      <c r="E130" s="281">
        <f t="shared" si="7"/>
        <v>39000</v>
      </c>
      <c r="F130" s="281"/>
      <c r="G130" s="281">
        <f t="shared" si="8"/>
        <v>6000</v>
      </c>
      <c r="H130" s="3"/>
      <c r="I130" s="3"/>
      <c r="J130" s="3"/>
      <c r="K130" s="3"/>
    </row>
    <row r="131" spans="1:11">
      <c r="A131" s="13">
        <v>44985</v>
      </c>
      <c r="B131" s="16" t="s">
        <v>73</v>
      </c>
      <c r="D131">
        <v>6500</v>
      </c>
      <c r="E131" s="3">
        <f t="shared" si="7"/>
        <v>32500</v>
      </c>
      <c r="F131" s="3"/>
      <c r="G131" s="3">
        <f t="shared" si="8"/>
        <v>6500</v>
      </c>
      <c r="H131" s="3"/>
      <c r="I131" s="3"/>
      <c r="J131" s="3"/>
      <c r="K131" s="3"/>
    </row>
    <row r="132" spans="1:11">
      <c r="E132" s="3">
        <f t="shared" si="7"/>
        <v>32500</v>
      </c>
      <c r="F132" s="3"/>
      <c r="G132" s="3">
        <f t="shared" si="8"/>
        <v>0</v>
      </c>
      <c r="H132" s="3"/>
      <c r="I132" s="3"/>
      <c r="J132" s="3"/>
      <c r="K132" s="3"/>
    </row>
    <row r="133" spans="1:11">
      <c r="A133" s="13">
        <v>45015</v>
      </c>
      <c r="B133" s="16" t="s">
        <v>74</v>
      </c>
      <c r="C133">
        <v>6500</v>
      </c>
      <c r="D133">
        <v>6500</v>
      </c>
      <c r="E133" s="3">
        <f t="shared" si="7"/>
        <v>26000</v>
      </c>
      <c r="F133" s="3"/>
      <c r="G133" s="3">
        <f t="shared" si="8"/>
        <v>6500</v>
      </c>
      <c r="H133" s="3"/>
      <c r="I133" s="3"/>
      <c r="J133" s="3"/>
      <c r="K133" s="3"/>
    </row>
    <row r="134" spans="1:11">
      <c r="A134" s="13">
        <v>45046</v>
      </c>
      <c r="B134" s="16" t="s">
        <v>74</v>
      </c>
      <c r="C134">
        <v>6500</v>
      </c>
      <c r="D134">
        <v>6500</v>
      </c>
      <c r="E134" s="3">
        <f t="shared" si="7"/>
        <v>19500</v>
      </c>
      <c r="F134" s="3"/>
      <c r="G134" s="3">
        <f t="shared" si="8"/>
        <v>6500</v>
      </c>
      <c r="H134" s="3"/>
      <c r="I134" s="3"/>
      <c r="J134" s="3"/>
      <c r="K134" s="3"/>
    </row>
    <row r="135" spans="1:11">
      <c r="A135" s="13">
        <v>45076</v>
      </c>
      <c r="B135" s="16" t="s">
        <v>74</v>
      </c>
      <c r="C135">
        <v>6500</v>
      </c>
      <c r="D135">
        <v>6500</v>
      </c>
      <c r="E135" s="3">
        <f t="shared" si="7"/>
        <v>13000</v>
      </c>
      <c r="F135" s="3"/>
      <c r="G135" s="3">
        <f t="shared" si="8"/>
        <v>6500</v>
      </c>
      <c r="H135" s="3"/>
      <c r="I135" s="3"/>
      <c r="J135" s="3"/>
      <c r="K135" s="3"/>
    </row>
    <row r="136" spans="1:11">
      <c r="A136" s="13">
        <v>45107</v>
      </c>
      <c r="B136" s="16" t="s">
        <v>74</v>
      </c>
      <c r="C136">
        <v>6500</v>
      </c>
      <c r="D136">
        <v>6500</v>
      </c>
      <c r="E136" s="3">
        <f t="shared" si="7"/>
        <v>6500</v>
      </c>
      <c r="F136" s="3"/>
      <c r="G136" s="3">
        <f t="shared" si="8"/>
        <v>6500</v>
      </c>
      <c r="H136" s="3"/>
      <c r="I136" s="3"/>
      <c r="J136" s="3"/>
      <c r="K136" s="3"/>
    </row>
    <row r="137" spans="1:11">
      <c r="A137" s="13">
        <v>45137</v>
      </c>
      <c r="B137" s="16" t="s">
        <v>74</v>
      </c>
      <c r="C137">
        <v>6500</v>
      </c>
      <c r="D137">
        <v>6500</v>
      </c>
      <c r="E137" s="3">
        <f t="shared" si="7"/>
        <v>0</v>
      </c>
      <c r="F137" s="3"/>
      <c r="G137" s="3">
        <f t="shared" si="8"/>
        <v>6500</v>
      </c>
      <c r="H137" s="3"/>
      <c r="I137" s="3"/>
      <c r="J137" s="3"/>
      <c r="K137" s="3"/>
    </row>
    <row r="138" spans="1:11">
      <c r="B138" t="s">
        <v>75</v>
      </c>
    </row>
  </sheetData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  <ignoredErrors>
    <ignoredError sqref="E1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7"/>
  <sheetViews>
    <sheetView tabSelected="1" topLeftCell="A125" zoomScale="175" zoomScaleNormal="175" workbookViewId="0">
      <selection activeCell="C111" sqref="C111"/>
    </sheetView>
  </sheetViews>
  <sheetFormatPr defaultRowHeight="12.75"/>
  <cols>
    <col min="1" max="1" width="3" bestFit="1" customWidth="1"/>
    <col min="2" max="2" width="10.5703125" customWidth="1"/>
    <col min="3" max="3" width="37.5703125" bestFit="1" customWidth="1"/>
    <col min="4" max="4" width="7.28515625" bestFit="1" customWidth="1"/>
    <col min="5" max="5" width="7.85546875" bestFit="1" customWidth="1"/>
    <col min="6" max="6" width="10.42578125" bestFit="1" customWidth="1"/>
    <col min="7" max="7" width="11.42578125" bestFit="1" customWidth="1"/>
    <col min="8" max="8" width="12.7109375" style="278" customWidth="1"/>
  </cols>
  <sheetData>
    <row r="1" spans="1:7">
      <c r="C1" s="301">
        <v>45701</v>
      </c>
    </row>
    <row r="2" spans="1:7" ht="15">
      <c r="B2" s="287" t="s">
        <v>393</v>
      </c>
      <c r="G2" s="3"/>
    </row>
    <row r="3" spans="1:7">
      <c r="C3" t="s">
        <v>394</v>
      </c>
      <c r="G3" s="3"/>
    </row>
    <row r="4" spans="1:7" ht="21">
      <c r="C4" s="288" t="s">
        <v>395</v>
      </c>
      <c r="G4" s="289">
        <f>F6/12</f>
        <v>2000</v>
      </c>
    </row>
    <row r="5" spans="1:7" ht="15">
      <c r="C5" s="290" t="s">
        <v>396</v>
      </c>
      <c r="D5" s="290"/>
      <c r="E5" s="290"/>
      <c r="F5" s="291">
        <v>2324</v>
      </c>
      <c r="G5" s="292">
        <f>F8/F5</f>
        <v>10.327022375215146</v>
      </c>
    </row>
    <row r="6" spans="1:7" ht="15">
      <c r="C6" s="287" t="s">
        <v>397</v>
      </c>
      <c r="F6" s="294">
        <f>F8</f>
        <v>24000</v>
      </c>
      <c r="G6" s="294"/>
    </row>
    <row r="7" spans="1:7" ht="15">
      <c r="E7" s="2" t="s">
        <v>435</v>
      </c>
      <c r="F7" s="293" t="s">
        <v>398</v>
      </c>
      <c r="G7" s="294" t="s">
        <v>158</v>
      </c>
    </row>
    <row r="8" spans="1:7">
      <c r="B8" s="295"/>
      <c r="C8" t="s">
        <v>399</v>
      </c>
      <c r="F8" s="3">
        <v>24000</v>
      </c>
      <c r="G8" s="3">
        <f>F8</f>
        <v>24000</v>
      </c>
    </row>
    <row r="9" spans="1:7">
      <c r="B9" s="295"/>
      <c r="F9" s="3"/>
      <c r="G9" s="3">
        <f>G8-F9-E9</f>
        <v>24000</v>
      </c>
    </row>
    <row r="10" spans="1:7">
      <c r="B10" s="13">
        <v>44250</v>
      </c>
      <c r="C10" t="s">
        <v>8</v>
      </c>
      <c r="F10" s="3">
        <v>2000</v>
      </c>
      <c r="G10" s="3">
        <f>G9-F10-E10</f>
        <v>22000</v>
      </c>
    </row>
    <row r="11" spans="1:7">
      <c r="A11">
        <v>1</v>
      </c>
      <c r="B11" s="13">
        <v>44285</v>
      </c>
      <c r="C11" t="s">
        <v>8</v>
      </c>
      <c r="F11" s="3">
        <v>2000</v>
      </c>
      <c r="G11" s="3">
        <f t="shared" ref="G11:G18" si="0">G10-F11-E11</f>
        <v>20000</v>
      </c>
    </row>
    <row r="12" spans="1:7">
      <c r="A12">
        <v>2</v>
      </c>
      <c r="B12" s="13">
        <v>44316</v>
      </c>
      <c r="C12" t="s">
        <v>8</v>
      </c>
      <c r="F12" s="3">
        <v>2000</v>
      </c>
      <c r="G12" s="3">
        <f t="shared" si="0"/>
        <v>18000</v>
      </c>
    </row>
    <row r="13" spans="1:7">
      <c r="A13">
        <v>3</v>
      </c>
      <c r="B13" s="13">
        <v>44346</v>
      </c>
      <c r="C13" t="s">
        <v>8</v>
      </c>
      <c r="F13" s="3">
        <v>1000</v>
      </c>
      <c r="G13" s="3">
        <f t="shared" si="0"/>
        <v>17000</v>
      </c>
    </row>
    <row r="14" spans="1:7">
      <c r="A14">
        <v>4</v>
      </c>
      <c r="B14" s="13">
        <v>44377</v>
      </c>
      <c r="C14" t="s">
        <v>8</v>
      </c>
      <c r="F14" s="3">
        <v>3000</v>
      </c>
      <c r="G14" s="3">
        <f t="shared" si="0"/>
        <v>14000</v>
      </c>
    </row>
    <row r="15" spans="1:7">
      <c r="A15">
        <v>5</v>
      </c>
      <c r="B15" s="13">
        <v>44407</v>
      </c>
      <c r="C15" t="s">
        <v>8</v>
      </c>
      <c r="F15" s="3">
        <v>4000</v>
      </c>
      <c r="G15" s="3">
        <f t="shared" si="0"/>
        <v>10000</v>
      </c>
    </row>
    <row r="16" spans="1:7">
      <c r="A16">
        <v>6</v>
      </c>
      <c r="B16" s="13">
        <v>44788</v>
      </c>
      <c r="C16" t="s">
        <v>8</v>
      </c>
      <c r="F16" s="3">
        <v>10000</v>
      </c>
      <c r="G16" s="3">
        <f t="shared" si="0"/>
        <v>0</v>
      </c>
    </row>
    <row r="17" spans="1:9" ht="15">
      <c r="B17" s="13"/>
      <c r="C17" s="287" t="s">
        <v>400</v>
      </c>
      <c r="F17" s="3"/>
      <c r="G17" s="3">
        <f t="shared" si="0"/>
        <v>0</v>
      </c>
    </row>
    <row r="18" spans="1:9">
      <c r="B18" s="13"/>
      <c r="C18" s="9" t="s">
        <v>401</v>
      </c>
      <c r="D18" s="9"/>
      <c r="E18" s="9"/>
      <c r="G18" s="3">
        <f t="shared" si="0"/>
        <v>0</v>
      </c>
    </row>
    <row r="19" spans="1:9">
      <c r="B19" s="13"/>
      <c r="F19" s="3"/>
      <c r="G19" s="3"/>
    </row>
    <row r="20" spans="1:9" ht="21">
      <c r="C20" s="288" t="s">
        <v>402</v>
      </c>
      <c r="F20" s="3"/>
      <c r="G20" s="289">
        <f>F29/12</f>
        <v>3000</v>
      </c>
    </row>
    <row r="21" spans="1:9" ht="15">
      <c r="C21" s="290" t="s">
        <v>403</v>
      </c>
      <c r="D21" s="290"/>
      <c r="E21" s="290"/>
      <c r="F21" s="291">
        <v>2825</v>
      </c>
      <c r="G21" s="292">
        <f>F29/F21</f>
        <v>12.743362831858407</v>
      </c>
    </row>
    <row r="22" spans="1:9" ht="15">
      <c r="B22" s="295"/>
      <c r="C22" s="287" t="s">
        <v>404</v>
      </c>
      <c r="F22">
        <f>F29</f>
        <v>36000</v>
      </c>
    </row>
    <row r="23" spans="1:9" ht="15">
      <c r="B23" s="295"/>
      <c r="C23" s="287" t="s">
        <v>446</v>
      </c>
      <c r="F23" s="278">
        <f>F8</f>
        <v>24000</v>
      </c>
    </row>
    <row r="24" spans="1:9" ht="15">
      <c r="B24" s="295">
        <v>44407</v>
      </c>
      <c r="C24" s="287" t="s">
        <v>436</v>
      </c>
      <c r="D24" s="296">
        <v>0.25979999999999998</v>
      </c>
      <c r="F24" s="278">
        <f>F23*D24</f>
        <v>6235.2</v>
      </c>
    </row>
    <row r="25" spans="1:9" ht="15">
      <c r="C25" s="287" t="s">
        <v>445</v>
      </c>
      <c r="F25" s="3">
        <f>F23+F24</f>
        <v>30235.200000000001</v>
      </c>
      <c r="I25" s="296"/>
    </row>
    <row r="26" spans="1:9" ht="15">
      <c r="B26" s="295"/>
      <c r="E26" s="2" t="s">
        <v>435</v>
      </c>
      <c r="F26" s="293" t="s">
        <v>398</v>
      </c>
      <c r="G26" s="294" t="s">
        <v>158</v>
      </c>
    </row>
    <row r="27" spans="1:9" ht="15">
      <c r="B27" s="295"/>
      <c r="E27" s="296"/>
      <c r="F27" s="293"/>
      <c r="G27" s="3">
        <f>F27</f>
        <v>0</v>
      </c>
    </row>
    <row r="28" spans="1:9" ht="15">
      <c r="B28" s="295"/>
      <c r="D28" s="296"/>
      <c r="E28" s="296"/>
      <c r="F28" s="293"/>
      <c r="G28" s="3">
        <f>G27+F28</f>
        <v>0</v>
      </c>
    </row>
    <row r="29" spans="1:9" ht="15">
      <c r="B29" s="295"/>
      <c r="C29" t="s">
        <v>405</v>
      </c>
      <c r="F29" s="293">
        <v>36000</v>
      </c>
      <c r="G29" s="3">
        <f>G28+F29</f>
        <v>36000</v>
      </c>
    </row>
    <row r="30" spans="1:9" ht="15">
      <c r="B30" s="295"/>
      <c r="F30" s="293"/>
      <c r="G30" s="3">
        <f>G29-F30-E30</f>
        <v>36000</v>
      </c>
    </row>
    <row r="31" spans="1:9">
      <c r="A31">
        <v>1</v>
      </c>
      <c r="B31" s="13">
        <v>44438</v>
      </c>
      <c r="C31" t="s">
        <v>406</v>
      </c>
      <c r="F31" s="3">
        <v>2000</v>
      </c>
      <c r="G31" s="3">
        <f t="shared" ref="G31:G46" si="1">G30-F31-E31</f>
        <v>34000</v>
      </c>
    </row>
    <row r="32" spans="1:9">
      <c r="A32">
        <v>2</v>
      </c>
      <c r="B32" s="13">
        <v>44469</v>
      </c>
      <c r="C32" t="s">
        <v>406</v>
      </c>
      <c r="F32" s="3">
        <v>2000</v>
      </c>
      <c r="G32" s="3">
        <f t="shared" si="1"/>
        <v>32000</v>
      </c>
    </row>
    <row r="33" spans="1:7">
      <c r="A33">
        <v>3</v>
      </c>
      <c r="B33" s="13">
        <v>44499</v>
      </c>
      <c r="C33" t="s">
        <v>406</v>
      </c>
      <c r="F33" s="3">
        <v>2000</v>
      </c>
      <c r="G33" s="3">
        <f t="shared" si="1"/>
        <v>30000</v>
      </c>
    </row>
    <row r="34" spans="1:7">
      <c r="A34">
        <v>4</v>
      </c>
      <c r="B34" s="13">
        <v>44530</v>
      </c>
      <c r="C34" t="s">
        <v>406</v>
      </c>
      <c r="F34" s="3">
        <v>2000</v>
      </c>
      <c r="G34" s="3">
        <f t="shared" si="1"/>
        <v>28000</v>
      </c>
    </row>
    <row r="35" spans="1:7">
      <c r="A35">
        <v>5</v>
      </c>
      <c r="B35" s="13">
        <v>44560</v>
      </c>
      <c r="C35" t="s">
        <v>406</v>
      </c>
      <c r="F35" s="3">
        <v>2000</v>
      </c>
      <c r="G35" s="3">
        <f t="shared" si="1"/>
        <v>26000</v>
      </c>
    </row>
    <row r="36" spans="1:7">
      <c r="A36">
        <v>6</v>
      </c>
      <c r="B36" s="13">
        <v>44591</v>
      </c>
      <c r="C36" t="s">
        <v>406</v>
      </c>
      <c r="F36" s="3">
        <v>2000</v>
      </c>
      <c r="G36" s="3">
        <f t="shared" si="1"/>
        <v>24000</v>
      </c>
    </row>
    <row r="37" spans="1:7">
      <c r="A37">
        <v>7</v>
      </c>
      <c r="B37" s="13">
        <v>44620</v>
      </c>
      <c r="C37" t="s">
        <v>407</v>
      </c>
      <c r="F37" s="3">
        <v>3000</v>
      </c>
      <c r="G37" s="3">
        <f t="shared" si="1"/>
        <v>21000</v>
      </c>
    </row>
    <row r="38" spans="1:7">
      <c r="A38">
        <v>8</v>
      </c>
      <c r="B38" s="13">
        <v>44650</v>
      </c>
      <c r="C38" t="s">
        <v>408</v>
      </c>
      <c r="F38" s="3">
        <v>3000</v>
      </c>
      <c r="G38" s="3">
        <f t="shared" si="1"/>
        <v>18000</v>
      </c>
    </row>
    <row r="39" spans="1:7" ht="15">
      <c r="A39">
        <v>9</v>
      </c>
      <c r="B39" s="13">
        <v>44681</v>
      </c>
      <c r="C39" s="287" t="s">
        <v>409</v>
      </c>
      <c r="F39" s="3">
        <v>5000</v>
      </c>
      <c r="G39" s="3">
        <f t="shared" si="1"/>
        <v>13000</v>
      </c>
    </row>
    <row r="40" spans="1:7" ht="15">
      <c r="A40">
        <v>10</v>
      </c>
      <c r="B40" s="13">
        <v>44711</v>
      </c>
      <c r="C40" s="287" t="s">
        <v>410</v>
      </c>
      <c r="D40" s="297"/>
      <c r="E40" s="297"/>
      <c r="F40" s="3">
        <v>3000</v>
      </c>
      <c r="G40" s="3">
        <f t="shared" si="1"/>
        <v>10000</v>
      </c>
    </row>
    <row r="41" spans="1:7" ht="15">
      <c r="A41">
        <v>11</v>
      </c>
      <c r="B41" s="13">
        <v>44742</v>
      </c>
      <c r="C41" s="287" t="s">
        <v>411</v>
      </c>
      <c r="E41" s="302">
        <v>4000</v>
      </c>
      <c r="F41" s="3"/>
      <c r="G41" s="3">
        <f t="shared" si="1"/>
        <v>6000</v>
      </c>
    </row>
    <row r="42" spans="1:7" ht="15">
      <c r="A42">
        <v>12</v>
      </c>
      <c r="B42" s="13">
        <v>44772</v>
      </c>
      <c r="C42" s="287" t="s">
        <v>451</v>
      </c>
      <c r="E42" s="302">
        <v>5000</v>
      </c>
      <c r="F42" s="3"/>
      <c r="G42" s="3">
        <f t="shared" si="1"/>
        <v>1000</v>
      </c>
    </row>
    <row r="43" spans="1:7" ht="15">
      <c r="A43">
        <v>13</v>
      </c>
      <c r="B43" s="13"/>
      <c r="C43" s="287" t="s">
        <v>450</v>
      </c>
      <c r="F43" s="3"/>
      <c r="G43" s="3">
        <f t="shared" si="1"/>
        <v>1000</v>
      </c>
    </row>
    <row r="44" spans="1:7" ht="15">
      <c r="A44">
        <v>14</v>
      </c>
      <c r="B44" s="13"/>
      <c r="C44" s="287" t="s">
        <v>412</v>
      </c>
      <c r="F44" s="3">
        <v>1000</v>
      </c>
      <c r="G44" s="3">
        <f t="shared" si="1"/>
        <v>0</v>
      </c>
    </row>
    <row r="45" spans="1:7">
      <c r="B45" s="13"/>
      <c r="F45" s="3"/>
      <c r="G45" s="3">
        <f t="shared" si="1"/>
        <v>0</v>
      </c>
    </row>
    <row r="46" spans="1:7">
      <c r="B46" s="13"/>
      <c r="C46" s="9" t="s">
        <v>401</v>
      </c>
      <c r="G46" s="3">
        <f t="shared" si="1"/>
        <v>0</v>
      </c>
    </row>
    <row r="47" spans="1:7">
      <c r="B47" s="13"/>
      <c r="F47" s="9"/>
      <c r="G47" s="3"/>
    </row>
    <row r="48" spans="1:7">
      <c r="B48" s="13"/>
      <c r="F48" s="9"/>
      <c r="G48" s="3"/>
    </row>
    <row r="49" spans="1:7">
      <c r="B49" s="13"/>
      <c r="F49" s="9"/>
      <c r="G49" s="3"/>
    </row>
    <row r="50" spans="1:7">
      <c r="B50" s="13"/>
      <c r="F50" s="9"/>
      <c r="G50" s="3"/>
    </row>
    <row r="51" spans="1:7">
      <c r="B51" s="13"/>
      <c r="F51" s="9"/>
      <c r="G51" s="3"/>
    </row>
    <row r="52" spans="1:7">
      <c r="B52" s="13"/>
      <c r="F52" s="9"/>
      <c r="G52" s="3"/>
    </row>
    <row r="53" spans="1:7">
      <c r="B53" s="13"/>
      <c r="F53" s="9"/>
      <c r="G53" s="3"/>
    </row>
    <row r="54" spans="1:7" ht="21">
      <c r="C54" s="288" t="s">
        <v>413</v>
      </c>
      <c r="F54" s="9"/>
      <c r="G54" s="289">
        <f>F56/12</f>
        <v>5000</v>
      </c>
    </row>
    <row r="55" spans="1:7" ht="15">
      <c r="C55" s="290" t="s">
        <v>403</v>
      </c>
      <c r="D55" s="290"/>
      <c r="E55" s="290"/>
      <c r="F55" s="291">
        <v>4253</v>
      </c>
      <c r="G55" s="292">
        <f>F61/F55</f>
        <v>14.107688690336234</v>
      </c>
    </row>
    <row r="56" spans="1:7" ht="15">
      <c r="C56" s="287" t="s">
        <v>414</v>
      </c>
      <c r="E56" s="2"/>
      <c r="F56">
        <f>F61</f>
        <v>60000</v>
      </c>
      <c r="G56" s="3"/>
    </row>
    <row r="57" spans="1:7" ht="15">
      <c r="C57" s="287" t="s">
        <v>446</v>
      </c>
      <c r="E57" s="2"/>
      <c r="F57" s="278">
        <f>F23+F24</f>
        <v>30235.200000000001</v>
      </c>
      <c r="G57" s="3"/>
    </row>
    <row r="58" spans="1:7" ht="15">
      <c r="B58" s="295">
        <v>44772</v>
      </c>
      <c r="C58" s="287" t="s">
        <v>437</v>
      </c>
      <c r="D58" s="296">
        <v>0.71830000000000005</v>
      </c>
      <c r="F58" s="278">
        <f>F57*D58</f>
        <v>21717.944160000003</v>
      </c>
      <c r="G58" s="3"/>
    </row>
    <row r="59" spans="1:7" ht="15">
      <c r="C59" s="287" t="s">
        <v>445</v>
      </c>
      <c r="E59" s="2"/>
      <c r="F59" s="3">
        <f>F57+F58</f>
        <v>51953.144160000003</v>
      </c>
    </row>
    <row r="60" spans="1:7" ht="15">
      <c r="E60" s="2" t="s">
        <v>435</v>
      </c>
      <c r="F60" s="293" t="s">
        <v>398</v>
      </c>
      <c r="G60" s="294" t="s">
        <v>158</v>
      </c>
    </row>
    <row r="61" spans="1:7" ht="15">
      <c r="C61" s="287" t="s">
        <v>452</v>
      </c>
      <c r="F61" s="293">
        <v>60000</v>
      </c>
      <c r="G61" s="3">
        <f>F61</f>
        <v>60000</v>
      </c>
    </row>
    <row r="62" spans="1:7" ht="15">
      <c r="C62" s="287"/>
      <c r="F62" s="293"/>
      <c r="G62" s="3">
        <f>G61-F62-E62</f>
        <v>60000</v>
      </c>
    </row>
    <row r="63" spans="1:7">
      <c r="A63">
        <v>1</v>
      </c>
      <c r="B63" s="13">
        <v>44803</v>
      </c>
      <c r="C63" t="s">
        <v>408</v>
      </c>
      <c r="F63">
        <v>3000</v>
      </c>
      <c r="G63" s="3">
        <f t="shared" ref="G63:G76" si="2">G62-F63-E63</f>
        <v>57000</v>
      </c>
    </row>
    <row r="64" spans="1:7" ht="15">
      <c r="A64">
        <v>2</v>
      </c>
      <c r="B64" s="13">
        <v>44834</v>
      </c>
      <c r="C64" t="s">
        <v>416</v>
      </c>
      <c r="F64">
        <v>3000</v>
      </c>
      <c r="G64" s="3">
        <f t="shared" si="2"/>
        <v>54000</v>
      </c>
    </row>
    <row r="65" spans="1:7">
      <c r="A65">
        <v>3</v>
      </c>
      <c r="B65" s="13">
        <v>44864</v>
      </c>
      <c r="C65" t="s">
        <v>408</v>
      </c>
      <c r="F65">
        <v>3000</v>
      </c>
      <c r="G65" s="3">
        <f t="shared" si="2"/>
        <v>51000</v>
      </c>
    </row>
    <row r="66" spans="1:7" ht="15">
      <c r="A66">
        <v>4</v>
      </c>
      <c r="B66" s="13">
        <v>44895</v>
      </c>
      <c r="C66" t="s">
        <v>417</v>
      </c>
      <c r="F66">
        <v>3000</v>
      </c>
      <c r="G66" s="3">
        <f t="shared" si="2"/>
        <v>48000</v>
      </c>
    </row>
    <row r="67" spans="1:7">
      <c r="A67">
        <v>5</v>
      </c>
      <c r="B67" s="13">
        <v>44925</v>
      </c>
      <c r="C67" t="s">
        <v>408</v>
      </c>
      <c r="E67" s="302">
        <v>3000</v>
      </c>
      <c r="G67" s="3">
        <f t="shared" si="2"/>
        <v>45000</v>
      </c>
    </row>
    <row r="68" spans="1:7" ht="15">
      <c r="A68">
        <v>6</v>
      </c>
      <c r="B68" s="13">
        <v>44956</v>
      </c>
      <c r="C68" t="s">
        <v>418</v>
      </c>
      <c r="E68" s="302">
        <v>6000</v>
      </c>
      <c r="G68" s="3">
        <f t="shared" si="2"/>
        <v>39000</v>
      </c>
    </row>
    <row r="69" spans="1:7" ht="15">
      <c r="A69">
        <v>7</v>
      </c>
      <c r="B69" s="13">
        <v>44985</v>
      </c>
      <c r="C69" t="s">
        <v>419</v>
      </c>
      <c r="F69">
        <v>6500</v>
      </c>
      <c r="G69" s="3">
        <f t="shared" si="2"/>
        <v>32500</v>
      </c>
    </row>
    <row r="70" spans="1:7">
      <c r="A70">
        <v>8</v>
      </c>
      <c r="B70" s="13">
        <v>45015</v>
      </c>
      <c r="C70" t="s">
        <v>420</v>
      </c>
      <c r="F70">
        <v>6500</v>
      </c>
      <c r="G70" s="3">
        <f t="shared" si="2"/>
        <v>26000</v>
      </c>
    </row>
    <row r="71" spans="1:7">
      <c r="A71">
        <v>9</v>
      </c>
      <c r="B71" s="13">
        <v>45046</v>
      </c>
      <c r="C71" t="s">
        <v>420</v>
      </c>
      <c r="F71">
        <v>6500</v>
      </c>
      <c r="G71" s="3">
        <f t="shared" si="2"/>
        <v>19500</v>
      </c>
    </row>
    <row r="72" spans="1:7" ht="15">
      <c r="A72">
        <v>10</v>
      </c>
      <c r="B72" s="13">
        <v>45076</v>
      </c>
      <c r="C72" t="s">
        <v>421</v>
      </c>
      <c r="F72">
        <v>6500</v>
      </c>
      <c r="G72" s="3">
        <f t="shared" si="2"/>
        <v>13000</v>
      </c>
    </row>
    <row r="73" spans="1:7">
      <c r="A73">
        <v>11</v>
      </c>
      <c r="B73" s="13">
        <v>45107</v>
      </c>
      <c r="C73" t="s">
        <v>420</v>
      </c>
      <c r="F73">
        <v>6500</v>
      </c>
      <c r="G73" s="3">
        <f t="shared" si="2"/>
        <v>6500</v>
      </c>
    </row>
    <row r="74" spans="1:7">
      <c r="A74">
        <v>12</v>
      </c>
      <c r="B74" s="13">
        <v>45137</v>
      </c>
      <c r="C74" t="s">
        <v>420</v>
      </c>
      <c r="F74">
        <v>6500</v>
      </c>
      <c r="G74" s="3">
        <f t="shared" si="2"/>
        <v>0</v>
      </c>
    </row>
    <row r="75" spans="1:7">
      <c r="G75" s="3">
        <f t="shared" si="2"/>
        <v>0</v>
      </c>
    </row>
    <row r="76" spans="1:7">
      <c r="C76" s="9" t="s">
        <v>401</v>
      </c>
      <c r="G76" s="3">
        <f t="shared" si="2"/>
        <v>0</v>
      </c>
    </row>
    <row r="77" spans="1:7">
      <c r="G77" s="3"/>
    </row>
    <row r="78" spans="1:7" ht="21">
      <c r="C78" s="288" t="s">
        <v>422</v>
      </c>
      <c r="G78" s="298">
        <f>(F80)/12</f>
        <v>12600</v>
      </c>
    </row>
    <row r="79" spans="1:7" ht="15">
      <c r="C79" s="290" t="s">
        <v>403</v>
      </c>
      <c r="D79" s="290"/>
      <c r="E79" s="290"/>
      <c r="F79" s="291">
        <v>17002</v>
      </c>
      <c r="G79" s="292">
        <f>(F86+F87+F88)/F79</f>
        <v>8.8930714033643099</v>
      </c>
    </row>
    <row r="80" spans="1:7" ht="15">
      <c r="C80" s="287" t="s">
        <v>423</v>
      </c>
      <c r="F80" s="293">
        <f>SUM(F86:F88)</f>
        <v>151200</v>
      </c>
      <c r="G80" s="3"/>
    </row>
    <row r="81" spans="1:7" ht="15">
      <c r="C81" s="287" t="s">
        <v>446</v>
      </c>
      <c r="F81" s="278">
        <f>F57+F58</f>
        <v>51953.144160000003</v>
      </c>
      <c r="G81" s="3"/>
    </row>
    <row r="82" spans="1:7" ht="15">
      <c r="B82" s="295">
        <v>45137</v>
      </c>
      <c r="C82" s="287" t="s">
        <v>438</v>
      </c>
      <c r="D82" s="296">
        <v>0.55910000000000004</v>
      </c>
      <c r="F82" s="278">
        <f>F81*D82</f>
        <v>29047.002899856005</v>
      </c>
      <c r="G82" s="3"/>
    </row>
    <row r="83" spans="1:7" ht="15">
      <c r="C83" s="287" t="s">
        <v>445</v>
      </c>
      <c r="F83" s="3">
        <f>F81+F82</f>
        <v>81000.147059856012</v>
      </c>
    </row>
    <row r="84" spans="1:7" ht="15">
      <c r="E84" s="2" t="s">
        <v>435</v>
      </c>
      <c r="F84" s="293" t="s">
        <v>398</v>
      </c>
      <c r="G84" s="294" t="s">
        <v>158</v>
      </c>
    </row>
    <row r="85" spans="1:7" ht="15">
      <c r="C85" t="s">
        <v>424</v>
      </c>
      <c r="F85" s="293"/>
      <c r="G85" s="3">
        <f>F85</f>
        <v>0</v>
      </c>
    </row>
    <row r="86" spans="1:7" ht="15">
      <c r="C86">
        <v>6500</v>
      </c>
      <c r="D86">
        <v>6</v>
      </c>
      <c r="F86" s="293">
        <f>D86*C86</f>
        <v>39000</v>
      </c>
      <c r="G86" s="3">
        <f>G85+F86</f>
        <v>39000</v>
      </c>
    </row>
    <row r="87" spans="1:7" ht="15">
      <c r="C87">
        <v>17000</v>
      </c>
      <c r="D87">
        <v>4</v>
      </c>
      <c r="F87" s="293">
        <f>D87*C87</f>
        <v>68000</v>
      </c>
      <c r="G87" s="3">
        <f>G86+F87</f>
        <v>107000</v>
      </c>
    </row>
    <row r="88" spans="1:7" ht="15">
      <c r="C88">
        <v>22100</v>
      </c>
      <c r="D88">
        <v>2</v>
      </c>
      <c r="F88" s="293">
        <f>D88*C88</f>
        <v>44200</v>
      </c>
      <c r="G88" s="3">
        <f t="shared" ref="G88:G90" si="3">G87+F88</f>
        <v>151200</v>
      </c>
    </row>
    <row r="89" spans="1:7">
      <c r="G89" s="3">
        <f t="shared" si="3"/>
        <v>151200</v>
      </c>
    </row>
    <row r="90" spans="1:7" ht="15">
      <c r="C90" s="299" t="s">
        <v>415</v>
      </c>
      <c r="D90" s="290"/>
      <c r="E90" s="290"/>
      <c r="F90" s="291"/>
      <c r="G90" s="3">
        <f t="shared" si="3"/>
        <v>151200</v>
      </c>
    </row>
    <row r="91" spans="1:7" ht="15">
      <c r="C91" s="299"/>
      <c r="D91" s="290"/>
      <c r="E91" s="290"/>
      <c r="F91" s="291"/>
      <c r="G91" s="3">
        <f>G90-F91-E91</f>
        <v>151200</v>
      </c>
    </row>
    <row r="92" spans="1:7">
      <c r="A92">
        <v>1</v>
      </c>
      <c r="B92" s="13">
        <v>45168</v>
      </c>
      <c r="C92" t="s">
        <v>420</v>
      </c>
      <c r="F92">
        <v>6500</v>
      </c>
      <c r="G92" s="3">
        <f t="shared" ref="G92:G105" si="4">G91-F92-E92</f>
        <v>144700</v>
      </c>
    </row>
    <row r="93" spans="1:7" ht="15">
      <c r="A93">
        <v>2</v>
      </c>
      <c r="B93" s="13">
        <v>45199</v>
      </c>
      <c r="C93" t="s">
        <v>425</v>
      </c>
      <c r="E93" s="302">
        <v>6500</v>
      </c>
      <c r="G93" s="3">
        <f t="shared" si="4"/>
        <v>138200</v>
      </c>
    </row>
    <row r="94" spans="1:7">
      <c r="A94">
        <v>3</v>
      </c>
      <c r="B94" s="13">
        <v>45229</v>
      </c>
      <c r="C94" t="s">
        <v>420</v>
      </c>
      <c r="F94">
        <v>6500</v>
      </c>
      <c r="G94" s="3">
        <f t="shared" si="4"/>
        <v>131700</v>
      </c>
    </row>
    <row r="95" spans="1:7">
      <c r="A95">
        <v>4</v>
      </c>
      <c r="B95" s="13">
        <v>45260</v>
      </c>
      <c r="C95" t="s">
        <v>420</v>
      </c>
      <c r="F95">
        <v>6500</v>
      </c>
      <c r="G95" s="3">
        <f t="shared" si="4"/>
        <v>125200</v>
      </c>
    </row>
    <row r="96" spans="1:7">
      <c r="A96">
        <v>5</v>
      </c>
      <c r="B96" s="13">
        <v>45290</v>
      </c>
      <c r="C96" t="s">
        <v>420</v>
      </c>
      <c r="F96">
        <v>6500</v>
      </c>
      <c r="G96" s="3">
        <f t="shared" si="4"/>
        <v>118700</v>
      </c>
    </row>
    <row r="97" spans="1:7" ht="15">
      <c r="A97">
        <v>6</v>
      </c>
      <c r="B97" s="13">
        <v>45321</v>
      </c>
      <c r="C97" t="s">
        <v>426</v>
      </c>
      <c r="F97">
        <v>6500</v>
      </c>
      <c r="G97" s="3">
        <f t="shared" si="4"/>
        <v>112200</v>
      </c>
    </row>
    <row r="98" spans="1:7" ht="15">
      <c r="A98">
        <v>7</v>
      </c>
      <c r="B98" s="13">
        <v>45350</v>
      </c>
      <c r="C98" t="s">
        <v>427</v>
      </c>
      <c r="F98" s="300">
        <v>6500</v>
      </c>
      <c r="G98" s="3">
        <f t="shared" si="4"/>
        <v>105700</v>
      </c>
    </row>
    <row r="99" spans="1:7" ht="15">
      <c r="A99">
        <v>8</v>
      </c>
      <c r="B99" s="13">
        <v>45381</v>
      </c>
      <c r="C99" t="s">
        <v>428</v>
      </c>
      <c r="F99">
        <v>15000</v>
      </c>
      <c r="G99" s="3">
        <f t="shared" si="4"/>
        <v>90700</v>
      </c>
    </row>
    <row r="100" spans="1:7">
      <c r="A100">
        <v>9</v>
      </c>
      <c r="B100" s="13">
        <v>45412</v>
      </c>
      <c r="C100" t="s">
        <v>429</v>
      </c>
      <c r="F100">
        <v>15000</v>
      </c>
      <c r="G100" s="3">
        <f t="shared" si="4"/>
        <v>75700</v>
      </c>
    </row>
    <row r="101" spans="1:7">
      <c r="A101">
        <v>10</v>
      </c>
      <c r="B101" s="13">
        <v>45442</v>
      </c>
      <c r="C101" t="s">
        <v>429</v>
      </c>
      <c r="F101">
        <v>15000</v>
      </c>
      <c r="G101" s="3">
        <f t="shared" si="4"/>
        <v>60700</v>
      </c>
    </row>
    <row r="102" spans="1:7" ht="15">
      <c r="A102">
        <v>11</v>
      </c>
      <c r="B102" s="13">
        <v>45473</v>
      </c>
      <c r="C102" t="s">
        <v>430</v>
      </c>
      <c r="E102" s="302">
        <v>15000</v>
      </c>
      <c r="G102" s="3">
        <f t="shared" si="4"/>
        <v>45700</v>
      </c>
    </row>
    <row r="103" spans="1:7">
      <c r="A103">
        <v>12</v>
      </c>
      <c r="B103" s="13">
        <v>45503</v>
      </c>
      <c r="C103" t="s">
        <v>429</v>
      </c>
      <c r="F103">
        <v>15000</v>
      </c>
      <c r="G103" s="3">
        <f t="shared" si="4"/>
        <v>30700</v>
      </c>
    </row>
    <row r="104" spans="1:7">
      <c r="G104" s="3">
        <f t="shared" si="4"/>
        <v>30700</v>
      </c>
    </row>
    <row r="105" spans="1:7">
      <c r="C105" s="9" t="s">
        <v>401</v>
      </c>
      <c r="G105" s="3">
        <f t="shared" si="4"/>
        <v>30700</v>
      </c>
    </row>
    <row r="106" spans="1:7">
      <c r="G106" s="3"/>
    </row>
    <row r="107" spans="1:7">
      <c r="G107" s="3"/>
    </row>
    <row r="108" spans="1:7" ht="21">
      <c r="C108" s="288" t="s">
        <v>431</v>
      </c>
      <c r="G108" s="298">
        <f>F110/10</f>
        <v>22100</v>
      </c>
    </row>
    <row r="109" spans="1:7" ht="15">
      <c r="C109" s="290" t="s">
        <v>403</v>
      </c>
      <c r="D109" s="290"/>
      <c r="E109" s="290"/>
      <c r="F109" s="291">
        <v>22104</v>
      </c>
      <c r="G109" s="292">
        <f>F116/F109</f>
        <v>9.9981903727832062</v>
      </c>
    </row>
    <row r="110" spans="1:7" ht="15">
      <c r="C110" s="287" t="s">
        <v>453</v>
      </c>
      <c r="F110">
        <f>F116</f>
        <v>221000</v>
      </c>
      <c r="G110" s="3"/>
    </row>
    <row r="111" spans="1:7" ht="15">
      <c r="C111" s="287" t="s">
        <v>446</v>
      </c>
      <c r="F111" s="278">
        <f>F81+F82</f>
        <v>81000.147059856012</v>
      </c>
      <c r="G111" s="3"/>
    </row>
    <row r="112" spans="1:7" ht="15">
      <c r="B112" s="295">
        <v>45503</v>
      </c>
      <c r="C112" s="287" t="s">
        <v>439</v>
      </c>
      <c r="D112" s="296">
        <v>0.55910000000000004</v>
      </c>
      <c r="F112" s="278">
        <f>F111*D112</f>
        <v>45287.182221165502</v>
      </c>
      <c r="G112" s="3"/>
    </row>
    <row r="113" spans="1:7" ht="15">
      <c r="C113" s="287" t="s">
        <v>445</v>
      </c>
      <c r="F113" s="3">
        <f>F111+F112</f>
        <v>126287.32928102152</v>
      </c>
    </row>
    <row r="114" spans="1:7" ht="15">
      <c r="E114" s="2" t="s">
        <v>435</v>
      </c>
      <c r="F114" s="293" t="s">
        <v>398</v>
      </c>
      <c r="G114" s="294" t="s">
        <v>158</v>
      </c>
    </row>
    <row r="115" spans="1:7" ht="15">
      <c r="C115" s="287" t="s">
        <v>432</v>
      </c>
      <c r="F115" s="293"/>
      <c r="G115" s="3">
        <f>G105</f>
        <v>30700</v>
      </c>
    </row>
    <row r="116" spans="1:7" ht="15">
      <c r="C116">
        <v>22100</v>
      </c>
      <c r="D116">
        <v>10</v>
      </c>
      <c r="F116" s="293">
        <f>D116*C116</f>
        <v>221000</v>
      </c>
      <c r="G116" s="3">
        <f>G115+F116</f>
        <v>251700</v>
      </c>
    </row>
    <row r="117" spans="1:7" ht="15">
      <c r="F117" s="293"/>
      <c r="G117" s="3">
        <f>G116+F117</f>
        <v>251700</v>
      </c>
    </row>
    <row r="118" spans="1:7" ht="15">
      <c r="F118" s="293"/>
      <c r="G118" s="3">
        <f t="shared" ref="G118:G120" si="5">G117+F118</f>
        <v>251700</v>
      </c>
    </row>
    <row r="119" spans="1:7" ht="15">
      <c r="F119" s="293"/>
      <c r="G119" s="3">
        <f t="shared" si="5"/>
        <v>251700</v>
      </c>
    </row>
    <row r="120" spans="1:7" ht="15">
      <c r="C120" s="299"/>
      <c r="D120" s="290"/>
      <c r="E120" s="290"/>
      <c r="F120" s="291"/>
      <c r="G120" s="3">
        <f t="shared" si="5"/>
        <v>251700</v>
      </c>
    </row>
    <row r="121" spans="1:7" ht="15">
      <c r="C121" s="299"/>
      <c r="D121" s="290"/>
      <c r="E121" s="290"/>
      <c r="F121" s="291"/>
      <c r="G121" s="3">
        <f>G120-F121-E121</f>
        <v>251700</v>
      </c>
    </row>
    <row r="122" spans="1:7">
      <c r="A122">
        <v>1</v>
      </c>
      <c r="B122" s="13">
        <v>45534</v>
      </c>
      <c r="C122" t="s">
        <v>443</v>
      </c>
      <c r="E122" s="302">
        <v>15000</v>
      </c>
      <c r="G122" s="3">
        <f t="shared" ref="G122:G135" si="6">G121-F122-E122</f>
        <v>236700</v>
      </c>
    </row>
    <row r="123" spans="1:7">
      <c r="A123">
        <v>2</v>
      </c>
      <c r="B123" s="13">
        <v>45565</v>
      </c>
      <c r="C123" t="s">
        <v>442</v>
      </c>
      <c r="E123" s="302">
        <v>15000</v>
      </c>
      <c r="G123" s="3">
        <f t="shared" si="6"/>
        <v>221700</v>
      </c>
    </row>
    <row r="124" spans="1:7">
      <c r="A124">
        <v>3</v>
      </c>
      <c r="B124" s="13">
        <v>45595</v>
      </c>
      <c r="C124" t="s">
        <v>441</v>
      </c>
      <c r="E124" s="302">
        <v>15000</v>
      </c>
      <c r="G124" s="3">
        <f t="shared" si="6"/>
        <v>206700</v>
      </c>
    </row>
    <row r="125" spans="1:7">
      <c r="A125">
        <v>4</v>
      </c>
      <c r="B125" s="13">
        <v>45626</v>
      </c>
      <c r="C125" t="s">
        <v>440</v>
      </c>
      <c r="E125" s="302">
        <v>15000</v>
      </c>
      <c r="G125" s="3">
        <f t="shared" si="6"/>
        <v>191700</v>
      </c>
    </row>
    <row r="126" spans="1:7">
      <c r="A126">
        <v>5</v>
      </c>
      <c r="B126" s="13">
        <v>45656</v>
      </c>
      <c r="C126" t="s">
        <v>444</v>
      </c>
      <c r="E126" s="302">
        <v>15000</v>
      </c>
      <c r="G126" s="3">
        <f t="shared" si="6"/>
        <v>176700</v>
      </c>
    </row>
    <row r="127" spans="1:7">
      <c r="A127">
        <v>6</v>
      </c>
      <c r="B127" s="13">
        <v>45687</v>
      </c>
      <c r="C127" t="s">
        <v>433</v>
      </c>
      <c r="G127" s="3">
        <f t="shared" si="6"/>
        <v>176700</v>
      </c>
    </row>
    <row r="128" spans="1:7" ht="15">
      <c r="A128">
        <v>7</v>
      </c>
      <c r="B128" s="13">
        <v>45716</v>
      </c>
      <c r="C128" t="s">
        <v>433</v>
      </c>
      <c r="F128" s="300"/>
      <c r="G128" s="3">
        <f t="shared" si="6"/>
        <v>176700</v>
      </c>
    </row>
    <row r="129" spans="1:7">
      <c r="A129">
        <v>8</v>
      </c>
      <c r="B129" s="13">
        <v>45746</v>
      </c>
      <c r="C129" t="s">
        <v>433</v>
      </c>
      <c r="G129" s="3">
        <f t="shared" si="6"/>
        <v>176700</v>
      </c>
    </row>
    <row r="130" spans="1:7">
      <c r="A130">
        <v>9</v>
      </c>
      <c r="B130" s="13" t="s">
        <v>434</v>
      </c>
      <c r="C130" t="s">
        <v>433</v>
      </c>
      <c r="G130" s="3">
        <f t="shared" si="6"/>
        <v>176700</v>
      </c>
    </row>
    <row r="131" spans="1:7">
      <c r="A131">
        <v>10</v>
      </c>
      <c r="B131" s="13">
        <v>45807</v>
      </c>
      <c r="C131" t="s">
        <v>433</v>
      </c>
      <c r="G131" s="3">
        <f t="shared" si="6"/>
        <v>176700</v>
      </c>
    </row>
    <row r="132" spans="1:7">
      <c r="A132">
        <v>11</v>
      </c>
      <c r="B132" s="13">
        <v>45838</v>
      </c>
      <c r="C132" t="s">
        <v>433</v>
      </c>
      <c r="G132" s="3">
        <f t="shared" si="6"/>
        <v>176700</v>
      </c>
    </row>
    <row r="133" spans="1:7">
      <c r="A133">
        <v>12</v>
      </c>
      <c r="B133" s="13">
        <v>45868</v>
      </c>
      <c r="C133" t="s">
        <v>433</v>
      </c>
      <c r="G133" s="3">
        <f t="shared" si="6"/>
        <v>176700</v>
      </c>
    </row>
    <row r="134" spans="1:7">
      <c r="G134" s="3">
        <f t="shared" si="6"/>
        <v>176700</v>
      </c>
    </row>
    <row r="135" spans="1:7">
      <c r="C135" s="9" t="s">
        <v>401</v>
      </c>
      <c r="G135" s="3">
        <f t="shared" si="6"/>
        <v>176700</v>
      </c>
    </row>
    <row r="137" spans="1:7">
      <c r="C137" t="s">
        <v>447</v>
      </c>
      <c r="G137" s="278">
        <f>SUM(E8:E135)</f>
        <v>114500</v>
      </c>
    </row>
    <row r="138" spans="1:7">
      <c r="C138" t="s">
        <v>448</v>
      </c>
      <c r="G138" s="278">
        <f>SUM(F8)+F25+F59+F83+F113</f>
        <v>313475.82050087757</v>
      </c>
    </row>
    <row r="139" spans="1:7">
      <c r="C139" t="s">
        <v>449</v>
      </c>
      <c r="G139" s="278">
        <f>G138-G137</f>
        <v>198975.82050087757</v>
      </c>
    </row>
    <row r="140" spans="1:7">
      <c r="G140" s="3"/>
    </row>
    <row r="141" spans="1:7">
      <c r="G141" s="3"/>
    </row>
    <row r="142" spans="1:7">
      <c r="G142" s="3"/>
    </row>
    <row r="143" spans="1:7">
      <c r="G143" s="3"/>
    </row>
    <row r="144" spans="1:7">
      <c r="G144" s="3"/>
    </row>
    <row r="145" spans="7:7">
      <c r="G145" s="3"/>
    </row>
    <row r="146" spans="7:7">
      <c r="G146" s="3"/>
    </row>
    <row r="147" spans="7:7">
      <c r="G147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9"/>
  <sheetViews>
    <sheetView topLeftCell="A9" zoomScale="205" zoomScaleNormal="205" workbookViewId="0">
      <selection activeCell="D20" sqref="D20"/>
    </sheetView>
  </sheetViews>
  <sheetFormatPr defaultRowHeight="12.75"/>
  <cols>
    <col min="1" max="1" width="4.140625" customWidth="1"/>
    <col min="2" max="2" width="20.5703125" style="56" customWidth="1"/>
    <col min="3" max="3" width="28.42578125" bestFit="1" customWidth="1"/>
    <col min="4" max="4" width="13" style="3" customWidth="1"/>
    <col min="5" max="5" width="9.7109375" customWidth="1"/>
    <col min="6" max="6" width="10.42578125" customWidth="1"/>
    <col min="7" max="7" width="8.85546875" customWidth="1"/>
    <col min="8" max="8" width="10.85546875" customWidth="1"/>
    <col min="9" max="9" width="7.7109375" bestFit="1" customWidth="1"/>
    <col min="10" max="10" width="10.85546875" customWidth="1"/>
    <col min="11" max="11" width="5.28515625" bestFit="1" customWidth="1"/>
    <col min="12" max="12" width="7.42578125" bestFit="1" customWidth="1"/>
    <col min="13" max="13" width="6.140625" customWidth="1"/>
    <col min="14" max="14" width="6.7109375" customWidth="1"/>
    <col min="15" max="15" width="9.140625" customWidth="1"/>
  </cols>
  <sheetData>
    <row r="1" spans="2:7" ht="13.5" thickBot="1">
      <c r="B1" s="31" t="s">
        <v>76</v>
      </c>
    </row>
    <row r="2" spans="2:7" ht="13.5" thickTop="1">
      <c r="B2" s="32"/>
      <c r="C2" s="33"/>
      <c r="D2" s="34"/>
      <c r="E2" s="33"/>
      <c r="F2" s="35"/>
    </row>
    <row r="3" spans="2:7">
      <c r="B3" s="36" t="s">
        <v>77</v>
      </c>
      <c r="F3" s="37" t="s">
        <v>78</v>
      </c>
    </row>
    <row r="4" spans="2:7" ht="13.5" thickBot="1">
      <c r="B4" s="38" t="s">
        <v>79</v>
      </c>
      <c r="C4" s="39"/>
      <c r="D4" s="40"/>
      <c r="E4" s="39"/>
      <c r="F4" s="41"/>
    </row>
    <row r="5" spans="2:7" ht="14.25" thickTop="1" thickBot="1">
      <c r="B5" s="42" t="s">
        <v>80</v>
      </c>
      <c r="C5" s="39" t="s">
        <v>6</v>
      </c>
      <c r="D5" s="43" t="s">
        <v>40</v>
      </c>
      <c r="E5" s="44" t="s">
        <v>41</v>
      </c>
      <c r="F5" s="45" t="s">
        <v>9</v>
      </c>
    </row>
    <row r="6" spans="2:7" ht="13.5" thickTop="1">
      <c r="B6" s="46">
        <v>45168</v>
      </c>
      <c r="C6" s="47" t="s">
        <v>81</v>
      </c>
      <c r="D6" s="3">
        <v>6500</v>
      </c>
      <c r="E6">
        <v>6500</v>
      </c>
      <c r="F6" s="48">
        <f>D6-E6</f>
        <v>0</v>
      </c>
      <c r="G6" s="3"/>
    </row>
    <row r="7" spans="2:7">
      <c r="B7" s="46">
        <v>45199</v>
      </c>
      <c r="C7" s="47" t="s">
        <v>82</v>
      </c>
      <c r="D7" s="3">
        <v>6500</v>
      </c>
      <c r="E7">
        <v>6500</v>
      </c>
      <c r="F7" s="48">
        <f t="shared" ref="F7:F18" si="0">D7-E7+F6</f>
        <v>0</v>
      </c>
    </row>
    <row r="8" spans="2:7">
      <c r="B8" s="46">
        <v>45229</v>
      </c>
      <c r="C8" s="47" t="s">
        <v>83</v>
      </c>
      <c r="D8" s="3">
        <v>6500</v>
      </c>
      <c r="E8">
        <v>6500</v>
      </c>
      <c r="F8" s="48">
        <f t="shared" si="0"/>
        <v>0</v>
      </c>
    </row>
    <row r="9" spans="2:7">
      <c r="B9" s="46">
        <v>45260</v>
      </c>
      <c r="C9" s="47" t="s">
        <v>84</v>
      </c>
      <c r="D9" s="3">
        <v>6500</v>
      </c>
      <c r="E9">
        <v>6500</v>
      </c>
      <c r="F9" s="48">
        <f t="shared" si="0"/>
        <v>0</v>
      </c>
    </row>
    <row r="10" spans="2:7">
      <c r="B10" s="46">
        <v>45290</v>
      </c>
      <c r="C10" s="47" t="s">
        <v>85</v>
      </c>
      <c r="D10" s="3">
        <v>6500</v>
      </c>
      <c r="E10">
        <v>6500</v>
      </c>
      <c r="F10" s="48">
        <f t="shared" si="0"/>
        <v>0</v>
      </c>
    </row>
    <row r="11" spans="2:7">
      <c r="B11" s="46">
        <v>45321</v>
      </c>
      <c r="C11" s="47" t="s">
        <v>86</v>
      </c>
      <c r="D11" s="3">
        <v>6500</v>
      </c>
      <c r="E11">
        <v>6500</v>
      </c>
      <c r="F11" s="48">
        <f t="shared" si="0"/>
        <v>0</v>
      </c>
    </row>
    <row r="12" spans="2:7">
      <c r="B12" s="46">
        <v>45351</v>
      </c>
      <c r="C12" s="47" t="s">
        <v>87</v>
      </c>
      <c r="D12" s="3">
        <v>15000</v>
      </c>
      <c r="E12">
        <v>6500</v>
      </c>
      <c r="F12" s="48">
        <f t="shared" si="0"/>
        <v>8500</v>
      </c>
    </row>
    <row r="13" spans="2:7">
      <c r="B13" s="46">
        <v>45381</v>
      </c>
      <c r="C13" s="47" t="s">
        <v>88</v>
      </c>
      <c r="D13" s="3">
        <v>15000</v>
      </c>
      <c r="E13">
        <v>15000</v>
      </c>
      <c r="F13" s="48">
        <f t="shared" si="0"/>
        <v>8500</v>
      </c>
    </row>
    <row r="14" spans="2:7">
      <c r="B14" s="46">
        <v>45412</v>
      </c>
      <c r="C14" s="47" t="s">
        <v>89</v>
      </c>
      <c r="D14" s="3">
        <v>15000</v>
      </c>
      <c r="E14">
        <v>15000</v>
      </c>
      <c r="F14" s="48">
        <f t="shared" si="0"/>
        <v>8500</v>
      </c>
    </row>
    <row r="15" spans="2:7">
      <c r="B15" s="46">
        <v>45442</v>
      </c>
      <c r="C15" s="47" t="s">
        <v>90</v>
      </c>
      <c r="D15" s="3">
        <v>15000</v>
      </c>
      <c r="F15" s="48">
        <f t="shared" si="0"/>
        <v>23500</v>
      </c>
    </row>
    <row r="16" spans="2:7">
      <c r="B16" s="46">
        <v>45473</v>
      </c>
      <c r="C16" s="47" t="s">
        <v>91</v>
      </c>
      <c r="D16" s="3">
        <v>15000</v>
      </c>
      <c r="F16" s="48">
        <f t="shared" si="0"/>
        <v>38500</v>
      </c>
    </row>
    <row r="17" spans="2:6">
      <c r="B17" s="46">
        <v>45503</v>
      </c>
      <c r="C17" s="47" t="s">
        <v>92</v>
      </c>
      <c r="D17" s="3">
        <v>15000</v>
      </c>
      <c r="F17" s="48">
        <f t="shared" si="0"/>
        <v>53500</v>
      </c>
    </row>
    <row r="18" spans="2:6">
      <c r="B18" s="46"/>
      <c r="F18" s="48">
        <f t="shared" si="0"/>
        <v>53500</v>
      </c>
    </row>
    <row r="19" spans="2:6">
      <c r="B19" s="46"/>
      <c r="C19" s="49" t="s">
        <v>93</v>
      </c>
      <c r="D19" s="3">
        <f>SUM(D6:D18)</f>
        <v>129000</v>
      </c>
      <c r="E19">
        <f>SUM(E6:E18)</f>
        <v>75500</v>
      </c>
      <c r="F19" s="50">
        <f>F18</f>
        <v>53500</v>
      </c>
    </row>
    <row r="20" spans="2:6" ht="13.5" thickBot="1">
      <c r="B20" s="51"/>
      <c r="C20" s="52" t="s">
        <v>94</v>
      </c>
      <c r="D20" s="53">
        <f>D19/12</f>
        <v>10750</v>
      </c>
      <c r="E20" s="54"/>
      <c r="F20" s="55"/>
    </row>
    <row r="21" spans="2:6">
      <c r="C21" s="57"/>
      <c r="D21" s="25"/>
    </row>
    <row r="22" spans="2:6" ht="13.5" thickBot="1">
      <c r="C22" s="47"/>
      <c r="D22" s="25"/>
    </row>
    <row r="23" spans="2:6" ht="13.5" thickTop="1">
      <c r="B23" s="58"/>
      <c r="C23" s="59"/>
      <c r="D23" s="60"/>
      <c r="E23" s="33"/>
      <c r="F23" s="35"/>
    </row>
    <row r="24" spans="2:6">
      <c r="B24" s="61" t="s">
        <v>95</v>
      </c>
      <c r="C24" s="62" t="s">
        <v>96</v>
      </c>
      <c r="D24" s="25"/>
      <c r="F24" s="37" t="s">
        <v>97</v>
      </c>
    </row>
    <row r="25" spans="2:6" ht="13.5" thickBot="1">
      <c r="B25" s="63"/>
      <c r="C25" s="64"/>
      <c r="D25" s="65"/>
      <c r="E25" s="39"/>
      <c r="F25" s="41"/>
    </row>
    <row r="26" spans="2:6" ht="14.25" thickTop="1" thickBot="1">
      <c r="B26" s="66" t="s">
        <v>80</v>
      </c>
      <c r="C26" s="39" t="s">
        <v>6</v>
      </c>
      <c r="D26" s="43" t="s">
        <v>40</v>
      </c>
      <c r="E26" s="44" t="s">
        <v>41</v>
      </c>
      <c r="F26" s="45" t="s">
        <v>9</v>
      </c>
    </row>
    <row r="27" spans="2:6" ht="13.5" thickTop="1">
      <c r="B27" s="67">
        <v>45534</v>
      </c>
      <c r="C27" s="68" t="s">
        <v>98</v>
      </c>
      <c r="D27" s="34"/>
      <c r="E27" s="33"/>
      <c r="F27" s="69"/>
    </row>
    <row r="28" spans="2:6">
      <c r="B28" s="70">
        <v>45565</v>
      </c>
      <c r="C28" s="47" t="s">
        <v>99</v>
      </c>
      <c r="F28" s="71"/>
    </row>
    <row r="29" spans="2:6">
      <c r="B29" s="70">
        <v>45595</v>
      </c>
      <c r="C29" s="47" t="s">
        <v>100</v>
      </c>
      <c r="F29" s="71"/>
    </row>
    <row r="30" spans="2:6">
      <c r="B30" s="70">
        <v>45626</v>
      </c>
      <c r="C30" s="47" t="s">
        <v>101</v>
      </c>
      <c r="F30" s="71"/>
    </row>
    <row r="31" spans="2:6">
      <c r="B31" s="70">
        <v>45656</v>
      </c>
      <c r="C31" s="47" t="s">
        <v>102</v>
      </c>
      <c r="F31" s="71"/>
    </row>
    <row r="32" spans="2:6">
      <c r="B32" s="70">
        <v>45687</v>
      </c>
      <c r="C32" s="47" t="s">
        <v>103</v>
      </c>
      <c r="F32" s="71"/>
    </row>
    <row r="33" spans="2:6">
      <c r="B33" s="70">
        <v>45716</v>
      </c>
      <c r="C33" s="47" t="s">
        <v>104</v>
      </c>
      <c r="F33" s="71"/>
    </row>
    <row r="34" spans="2:6">
      <c r="B34" s="70">
        <v>45746</v>
      </c>
      <c r="C34" s="47" t="s">
        <v>105</v>
      </c>
      <c r="F34" s="71"/>
    </row>
    <row r="35" spans="2:6">
      <c r="B35" s="70">
        <v>45777</v>
      </c>
      <c r="C35" s="47" t="s">
        <v>106</v>
      </c>
      <c r="F35" s="71"/>
    </row>
    <row r="36" spans="2:6">
      <c r="B36" s="70">
        <v>45807</v>
      </c>
      <c r="C36" s="47" t="s">
        <v>107</v>
      </c>
      <c r="F36" s="71"/>
    </row>
    <row r="37" spans="2:6">
      <c r="B37" s="70">
        <v>45838</v>
      </c>
      <c r="C37" s="47" t="s">
        <v>108</v>
      </c>
      <c r="F37" s="71"/>
    </row>
    <row r="38" spans="2:6" ht="13.5" thickBot="1">
      <c r="B38" s="42">
        <v>45868</v>
      </c>
      <c r="C38" s="72" t="s">
        <v>109</v>
      </c>
      <c r="D38" s="40"/>
      <c r="E38" s="39"/>
      <c r="F38" s="73"/>
    </row>
    <row r="39" spans="2:6" ht="13.5" thickTop="1">
      <c r="C39" s="47"/>
    </row>
    <row r="40" spans="2:6">
      <c r="C40" s="47"/>
    </row>
    <row r="41" spans="2:6" ht="13.5" thickBot="1">
      <c r="C41" s="47"/>
    </row>
    <row r="42" spans="2:6" ht="13.5" thickTop="1">
      <c r="B42" s="58"/>
      <c r="C42" s="59"/>
      <c r="D42" s="60"/>
      <c r="E42" s="33"/>
      <c r="F42" s="35"/>
    </row>
    <row r="43" spans="2:6" ht="13.5">
      <c r="B43" s="61" t="s">
        <v>110</v>
      </c>
      <c r="C43" s="74" t="s">
        <v>111</v>
      </c>
      <c r="F43" s="37" t="s">
        <v>97</v>
      </c>
    </row>
    <row r="44" spans="2:6" ht="13.5" thickBot="1">
      <c r="B44" s="63"/>
      <c r="C44" s="64"/>
      <c r="D44" s="40"/>
      <c r="E44" s="39"/>
      <c r="F44" s="41"/>
    </row>
    <row r="45" spans="2:6" ht="14.25" thickTop="1" thickBot="1">
      <c r="B45" s="66" t="s">
        <v>80</v>
      </c>
      <c r="C45" s="39" t="s">
        <v>6</v>
      </c>
      <c r="D45" s="43" t="s">
        <v>40</v>
      </c>
      <c r="E45" s="44" t="s">
        <v>41</v>
      </c>
      <c r="F45" s="45" t="s">
        <v>9</v>
      </c>
    </row>
    <row r="46" spans="2:6" ht="13.5" thickTop="1">
      <c r="B46" s="58"/>
      <c r="C46" s="75"/>
      <c r="D46" s="76"/>
      <c r="E46" s="77"/>
      <c r="F46" s="35"/>
    </row>
    <row r="47" spans="2:6">
      <c r="B47" s="61">
        <v>45534</v>
      </c>
      <c r="C47" s="2" t="s">
        <v>112</v>
      </c>
      <c r="D47" s="25">
        <v>204024</v>
      </c>
      <c r="F47" s="71"/>
    </row>
    <row r="48" spans="2:6" ht="13.5" thickBot="1">
      <c r="B48" s="42"/>
      <c r="C48" s="39"/>
      <c r="D48" s="40"/>
      <c r="E48" s="39"/>
      <c r="F48" s="73"/>
    </row>
    <row r="49" spans="2:6" ht="13.5" thickTop="1"/>
    <row r="51" spans="2:6" ht="13.5" thickBot="1">
      <c r="C51" s="2"/>
    </row>
    <row r="52" spans="2:6" ht="13.5" thickTop="1">
      <c r="B52" s="58"/>
      <c r="C52" s="59"/>
      <c r="D52" s="60"/>
      <c r="E52" s="33"/>
      <c r="F52" s="35"/>
    </row>
    <row r="53" spans="2:6" ht="13.5">
      <c r="B53" s="61" t="s">
        <v>113</v>
      </c>
      <c r="C53" s="74" t="s">
        <v>114</v>
      </c>
      <c r="F53" s="37" t="s">
        <v>97</v>
      </c>
    </row>
    <row r="54" spans="2:6" ht="13.5" thickBot="1">
      <c r="B54" s="63"/>
      <c r="C54" s="64"/>
      <c r="D54" s="40"/>
      <c r="E54" s="39"/>
      <c r="F54" s="41"/>
    </row>
    <row r="55" spans="2:6" ht="14.25" thickTop="1" thickBot="1">
      <c r="B55" s="66" t="s">
        <v>80</v>
      </c>
      <c r="C55" s="39" t="s">
        <v>6</v>
      </c>
      <c r="D55" s="43" t="s">
        <v>40</v>
      </c>
      <c r="E55" s="44" t="s">
        <v>41</v>
      </c>
      <c r="F55" s="45" t="s">
        <v>9</v>
      </c>
    </row>
    <row r="56" spans="2:6" ht="13.5" thickTop="1">
      <c r="B56" s="58"/>
      <c r="C56" s="75"/>
      <c r="D56" s="76"/>
      <c r="E56" s="77"/>
      <c r="F56" s="35"/>
    </row>
    <row r="57" spans="2:6">
      <c r="B57" s="61">
        <v>45716</v>
      </c>
      <c r="C57" s="2" t="s">
        <v>115</v>
      </c>
      <c r="D57" s="25"/>
      <c r="F57" s="71"/>
    </row>
    <row r="58" spans="2:6" ht="13.5" thickBot="1">
      <c r="B58" s="42"/>
      <c r="C58" s="39"/>
      <c r="D58" s="40"/>
      <c r="E58" s="39"/>
      <c r="F58" s="73"/>
    </row>
    <row r="59" spans="2:6" ht="13.5" thickTop="1"/>
  </sheetData>
  <pageMargins left="0.25" right="0.25" top="0.75" bottom="0.75" header="0.30000000000000004" footer="0.30000000000000004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6"/>
  <sheetViews>
    <sheetView workbookViewId="0"/>
  </sheetViews>
  <sheetFormatPr defaultRowHeight="12.75"/>
  <cols>
    <col min="1" max="1" width="9.140625" customWidth="1"/>
    <col min="2" max="2" width="10.5703125" style="56" bestFit="1" customWidth="1"/>
    <col min="3" max="3" width="28.42578125" bestFit="1" customWidth="1"/>
    <col min="4" max="4" width="11.140625" style="3" customWidth="1"/>
    <col min="5" max="5" width="11.28515625" customWidth="1"/>
    <col min="6" max="6" width="10.42578125" customWidth="1"/>
    <col min="7" max="7" width="8.85546875" customWidth="1"/>
    <col min="8" max="9" width="10.85546875" customWidth="1"/>
    <col min="10" max="10" width="6.28515625" bestFit="1" customWidth="1"/>
    <col min="11" max="11" width="5.140625" customWidth="1"/>
    <col min="12" max="12" width="10.85546875" customWidth="1"/>
    <col min="13" max="13" width="1.85546875" customWidth="1"/>
    <col min="14" max="14" width="8.85546875" bestFit="1" customWidth="1"/>
    <col min="15" max="15" width="11.7109375" bestFit="1" customWidth="1"/>
    <col min="16" max="16" width="3.28515625" customWidth="1"/>
    <col min="17" max="17" width="6.7109375" customWidth="1"/>
    <col min="18" max="18" width="5.42578125" customWidth="1"/>
    <col min="19" max="19" width="9.140625" customWidth="1"/>
  </cols>
  <sheetData>
    <row r="1" spans="1:18">
      <c r="A1" s="78"/>
      <c r="B1" s="79"/>
      <c r="C1" s="78"/>
      <c r="D1" s="80"/>
      <c r="E1" s="78"/>
      <c r="F1" s="78"/>
      <c r="G1" s="78"/>
    </row>
    <row r="2" spans="1:18">
      <c r="B2" s="56">
        <v>44255</v>
      </c>
      <c r="C2" t="s">
        <v>116</v>
      </c>
      <c r="G2" s="27" t="s">
        <v>117</v>
      </c>
      <c r="K2" s="81"/>
      <c r="L2" s="3"/>
      <c r="N2" s="82" t="s">
        <v>118</v>
      </c>
      <c r="O2" s="3"/>
      <c r="R2" s="83" t="s">
        <v>119</v>
      </c>
    </row>
    <row r="3" spans="1:18">
      <c r="B3" s="84" t="s">
        <v>5</v>
      </c>
      <c r="C3" s="85" t="s">
        <v>6</v>
      </c>
      <c r="D3" s="86" t="s">
        <v>40</v>
      </c>
      <c r="E3" s="87" t="s">
        <v>41</v>
      </c>
      <c r="F3" s="87" t="s">
        <v>9</v>
      </c>
      <c r="J3" s="88" t="s">
        <v>12</v>
      </c>
      <c r="K3" s="89" t="s">
        <v>14</v>
      </c>
      <c r="L3" s="7" t="s">
        <v>120</v>
      </c>
      <c r="N3" s="7" t="s">
        <v>121</v>
      </c>
      <c r="O3" s="7" t="s">
        <v>122</v>
      </c>
      <c r="Q3" s="7" t="s">
        <v>123</v>
      </c>
      <c r="R3" s="7" t="s">
        <v>16</v>
      </c>
    </row>
    <row r="4" spans="1:18">
      <c r="B4" s="56">
        <v>44255</v>
      </c>
      <c r="C4" t="s">
        <v>49</v>
      </c>
      <c r="D4" s="3">
        <v>2000</v>
      </c>
      <c r="E4" s="3">
        <v>2000</v>
      </c>
      <c r="F4" s="3">
        <f>D4-E4</f>
        <v>0</v>
      </c>
      <c r="I4">
        <v>2021</v>
      </c>
      <c r="J4">
        <f>L4/12</f>
        <v>2000</v>
      </c>
      <c r="K4" s="81"/>
      <c r="L4" s="9">
        <f>E11</f>
        <v>24000</v>
      </c>
      <c r="N4" s="9"/>
      <c r="O4" s="9">
        <v>24000</v>
      </c>
      <c r="Q4">
        <v>2320</v>
      </c>
      <c r="R4" s="11">
        <f>L4/Q4</f>
        <v>10.344827586206897</v>
      </c>
    </row>
    <row r="5" spans="1:18">
      <c r="B5" s="56">
        <v>44285</v>
      </c>
      <c r="C5" t="s">
        <v>54</v>
      </c>
      <c r="D5" s="3">
        <v>2000</v>
      </c>
      <c r="E5" s="3">
        <v>2000</v>
      </c>
      <c r="F5" s="3">
        <f t="shared" ref="F5:F10" si="0">F4+D5-E5</f>
        <v>0</v>
      </c>
      <c r="I5">
        <v>2022</v>
      </c>
      <c r="J5">
        <f>L5/12</f>
        <v>3000</v>
      </c>
      <c r="K5" s="81">
        <f>L5/L4-1</f>
        <v>0.5</v>
      </c>
      <c r="L5" s="9">
        <f>$E$27</f>
        <v>36000</v>
      </c>
      <c r="N5" s="90">
        <v>0.25979999999999998</v>
      </c>
      <c r="O5" s="9">
        <f>(O4+(L4*N5))</f>
        <v>30235.200000000001</v>
      </c>
      <c r="Q5">
        <v>2830</v>
      </c>
      <c r="R5" s="11">
        <f>L5/Q5</f>
        <v>12.720848056537102</v>
      </c>
    </row>
    <row r="6" spans="1:18">
      <c r="B6" s="56">
        <v>44316</v>
      </c>
      <c r="C6" t="s">
        <v>54</v>
      </c>
      <c r="D6" s="3">
        <v>2000</v>
      </c>
      <c r="E6" s="3">
        <v>2000</v>
      </c>
      <c r="F6" s="3">
        <f t="shared" si="0"/>
        <v>0</v>
      </c>
      <c r="I6">
        <v>2023</v>
      </c>
      <c r="J6">
        <f>L6/12</f>
        <v>5000</v>
      </c>
      <c r="K6" s="81">
        <f>L6/L5-1</f>
        <v>0.66666666666666674</v>
      </c>
      <c r="L6" s="9">
        <f>E43</f>
        <v>60000</v>
      </c>
      <c r="N6" s="90">
        <v>0.71830000000000005</v>
      </c>
      <c r="O6" s="9">
        <f>(O5+(L5*N6))</f>
        <v>56094</v>
      </c>
      <c r="Q6">
        <v>5500</v>
      </c>
      <c r="R6" s="11">
        <f>L6/Q6</f>
        <v>10.909090909090908</v>
      </c>
    </row>
    <row r="7" spans="1:18">
      <c r="B7" s="56">
        <v>44346</v>
      </c>
      <c r="C7" t="s">
        <v>54</v>
      </c>
      <c r="D7" s="3">
        <v>2000</v>
      </c>
      <c r="E7" s="3">
        <v>1000</v>
      </c>
      <c r="F7" s="3">
        <f t="shared" si="0"/>
        <v>1000</v>
      </c>
      <c r="I7">
        <v>2024</v>
      </c>
      <c r="J7">
        <f>L7/12</f>
        <v>10041.666666666666</v>
      </c>
      <c r="K7" s="81">
        <f>L7/L6-1</f>
        <v>1.0083333333333333</v>
      </c>
      <c r="L7" s="9">
        <f>E59</f>
        <v>120500</v>
      </c>
      <c r="N7" s="90">
        <v>0.55910000000000004</v>
      </c>
      <c r="O7" s="9">
        <f>(O6+(L6*N7))</f>
        <v>89640</v>
      </c>
      <c r="Q7">
        <v>11400</v>
      </c>
      <c r="R7" s="11">
        <f>L7/Q7*2</f>
        <v>21.140350877192983</v>
      </c>
    </row>
    <row r="8" spans="1:18">
      <c r="B8" s="56">
        <v>44377</v>
      </c>
      <c r="C8" t="s">
        <v>54</v>
      </c>
      <c r="D8" s="3">
        <v>2000</v>
      </c>
      <c r="E8" s="3">
        <v>3000</v>
      </c>
      <c r="F8" s="3">
        <f t="shared" si="0"/>
        <v>0</v>
      </c>
      <c r="I8">
        <v>2025</v>
      </c>
      <c r="J8">
        <f>L8/12</f>
        <v>7500</v>
      </c>
      <c r="K8" s="81">
        <f>L8/L7-1</f>
        <v>-0.25311203319502074</v>
      </c>
      <c r="L8" s="82">
        <f>E76</f>
        <v>90000</v>
      </c>
      <c r="N8" s="90">
        <v>0.5</v>
      </c>
      <c r="O8" s="9">
        <f>(O7+(L7*N8))</f>
        <v>149890</v>
      </c>
      <c r="Q8">
        <v>22104</v>
      </c>
      <c r="R8" s="91">
        <v>12</v>
      </c>
    </row>
    <row r="9" spans="1:18">
      <c r="B9" s="56">
        <v>44407</v>
      </c>
      <c r="C9" t="s">
        <v>124</v>
      </c>
      <c r="D9" s="3">
        <v>14000</v>
      </c>
      <c r="E9" s="3">
        <v>9000</v>
      </c>
      <c r="F9" s="3">
        <f t="shared" si="0"/>
        <v>5000</v>
      </c>
    </row>
    <row r="10" spans="1:18">
      <c r="B10" s="56">
        <v>44446</v>
      </c>
      <c r="C10" t="s">
        <v>47</v>
      </c>
      <c r="E10" s="3">
        <v>5000</v>
      </c>
      <c r="F10" s="3">
        <f t="shared" si="0"/>
        <v>0</v>
      </c>
      <c r="L10" s="3">
        <f>SUM(L4:L7)</f>
        <v>240500</v>
      </c>
      <c r="O10" s="3">
        <f>SUM(O4:O7)</f>
        <v>199969.2</v>
      </c>
    </row>
    <row r="11" spans="1:18">
      <c r="A11" s="78"/>
      <c r="B11" s="79"/>
      <c r="C11" s="78"/>
      <c r="D11" s="86" t="s">
        <v>125</v>
      </c>
      <c r="E11" s="92">
        <f>SUM(E4:E10)</f>
        <v>24000</v>
      </c>
      <c r="F11" s="78"/>
      <c r="G11" s="78"/>
    </row>
    <row r="12" spans="1:18">
      <c r="C12" t="s">
        <v>53</v>
      </c>
      <c r="G12" s="27" t="s">
        <v>126</v>
      </c>
      <c r="L12" t="s">
        <v>127</v>
      </c>
      <c r="O12" s="93">
        <f>H76</f>
        <v>99500</v>
      </c>
    </row>
    <row r="13" spans="1:18">
      <c r="B13" s="84" t="s">
        <v>5</v>
      </c>
      <c r="C13" s="85" t="s">
        <v>6</v>
      </c>
      <c r="D13" s="86" t="s">
        <v>40</v>
      </c>
      <c r="E13" s="87" t="s">
        <v>41</v>
      </c>
      <c r="F13" s="87" t="s">
        <v>9</v>
      </c>
    </row>
    <row r="14" spans="1:18">
      <c r="B14" s="56">
        <v>44438</v>
      </c>
      <c r="C14" s="13" t="s">
        <v>54</v>
      </c>
      <c r="D14" s="3">
        <v>2000</v>
      </c>
      <c r="E14" s="3">
        <v>0</v>
      </c>
      <c r="F14" s="3">
        <f>D14-E14</f>
        <v>2000</v>
      </c>
    </row>
    <row r="15" spans="1:18">
      <c r="B15" s="56">
        <v>44469</v>
      </c>
      <c r="C15" s="13" t="s">
        <v>54</v>
      </c>
      <c r="D15" s="3">
        <v>2000</v>
      </c>
      <c r="E15" s="3">
        <v>4000</v>
      </c>
      <c r="F15" s="3">
        <f t="shared" ref="F15:F26" si="1">F14+D15-E15</f>
        <v>0</v>
      </c>
    </row>
    <row r="16" spans="1:18">
      <c r="B16" s="56">
        <v>44499</v>
      </c>
      <c r="C16" t="s">
        <v>54</v>
      </c>
      <c r="D16" s="3">
        <v>2000</v>
      </c>
      <c r="E16" s="3">
        <v>2000</v>
      </c>
      <c r="F16" s="3">
        <f t="shared" si="1"/>
        <v>0</v>
      </c>
    </row>
    <row r="17" spans="1:9">
      <c r="B17" s="56">
        <v>44530</v>
      </c>
      <c r="C17" t="s">
        <v>55</v>
      </c>
      <c r="D17" s="3">
        <v>2000</v>
      </c>
      <c r="E17" s="3">
        <v>2000</v>
      </c>
      <c r="F17" s="3">
        <f t="shared" si="1"/>
        <v>0</v>
      </c>
    </row>
    <row r="18" spans="1:9">
      <c r="B18" s="94">
        <v>44560</v>
      </c>
      <c r="C18" s="16" t="s">
        <v>56</v>
      </c>
      <c r="D18" s="95">
        <v>2000</v>
      </c>
      <c r="E18" s="95">
        <v>2000</v>
      </c>
      <c r="F18" s="3">
        <f t="shared" si="1"/>
        <v>0</v>
      </c>
    </row>
    <row r="19" spans="1:9">
      <c r="B19" s="96">
        <v>44591</v>
      </c>
      <c r="C19" s="16" t="s">
        <v>56</v>
      </c>
      <c r="D19" s="95">
        <v>2000</v>
      </c>
      <c r="E19" s="95">
        <v>2000</v>
      </c>
      <c r="F19" s="3">
        <f t="shared" si="1"/>
        <v>0</v>
      </c>
    </row>
    <row r="20" spans="1:9">
      <c r="B20" s="96">
        <v>44620</v>
      </c>
      <c r="C20" s="16" t="s">
        <v>57</v>
      </c>
      <c r="D20" s="95">
        <v>3000</v>
      </c>
      <c r="E20" s="95">
        <v>3000</v>
      </c>
      <c r="F20" s="3">
        <f t="shared" si="1"/>
        <v>0</v>
      </c>
    </row>
    <row r="21" spans="1:9">
      <c r="B21" s="96">
        <v>44650</v>
      </c>
      <c r="C21" s="16" t="s">
        <v>57</v>
      </c>
      <c r="D21" s="95">
        <v>3000</v>
      </c>
      <c r="E21" s="97">
        <v>3000</v>
      </c>
      <c r="F21" s="3">
        <f t="shared" si="1"/>
        <v>0</v>
      </c>
    </row>
    <row r="22" spans="1:9">
      <c r="B22" s="96">
        <v>44681</v>
      </c>
      <c r="C22" s="16" t="s">
        <v>58</v>
      </c>
      <c r="D22" s="95">
        <v>3000</v>
      </c>
      <c r="E22" s="95">
        <v>5000</v>
      </c>
      <c r="F22" s="3">
        <f t="shared" si="1"/>
        <v>-2000</v>
      </c>
    </row>
    <row r="23" spans="1:9">
      <c r="B23" s="96">
        <v>44711</v>
      </c>
      <c r="C23" s="16" t="s">
        <v>59</v>
      </c>
      <c r="D23" s="95">
        <v>5000</v>
      </c>
      <c r="E23" s="95">
        <v>3000</v>
      </c>
      <c r="F23" s="3">
        <f t="shared" si="1"/>
        <v>0</v>
      </c>
    </row>
    <row r="24" spans="1:9">
      <c r="B24" s="96">
        <v>44742</v>
      </c>
      <c r="C24" s="16" t="s">
        <v>60</v>
      </c>
      <c r="D24" s="95">
        <v>5000</v>
      </c>
      <c r="E24" s="95">
        <v>4000</v>
      </c>
      <c r="F24" s="3">
        <f t="shared" si="1"/>
        <v>1000</v>
      </c>
      <c r="H24">
        <v>4000</v>
      </c>
    </row>
    <row r="25" spans="1:9">
      <c r="B25" s="96">
        <v>44772</v>
      </c>
      <c r="C25" s="16" t="s">
        <v>61</v>
      </c>
      <c r="D25" s="95">
        <v>5000</v>
      </c>
      <c r="E25" s="95">
        <v>5000</v>
      </c>
      <c r="F25" s="3">
        <f t="shared" si="1"/>
        <v>1000</v>
      </c>
      <c r="H25">
        <v>5000</v>
      </c>
    </row>
    <row r="26" spans="1:9">
      <c r="B26" s="96">
        <v>44803</v>
      </c>
      <c r="C26" s="16" t="s">
        <v>47</v>
      </c>
      <c r="D26" s="95"/>
      <c r="E26" s="95">
        <v>1000</v>
      </c>
      <c r="F26" s="3">
        <f t="shared" si="1"/>
        <v>0</v>
      </c>
    </row>
    <row r="27" spans="1:9">
      <c r="A27" s="78"/>
      <c r="B27" s="79"/>
      <c r="C27" s="78"/>
      <c r="D27" s="86" t="s">
        <v>125</v>
      </c>
      <c r="E27" s="92">
        <f>SUM(E14:E26)</f>
        <v>36000</v>
      </c>
      <c r="F27" s="78"/>
      <c r="G27" s="78"/>
    </row>
    <row r="28" spans="1:9">
      <c r="C28" t="s">
        <v>128</v>
      </c>
      <c r="D28" s="98"/>
      <c r="G28" s="27" t="s">
        <v>129</v>
      </c>
    </row>
    <row r="29" spans="1:9">
      <c r="C29" t="s">
        <v>70</v>
      </c>
      <c r="E29">
        <v>2280</v>
      </c>
      <c r="F29" s="3"/>
    </row>
    <row r="30" spans="1:9">
      <c r="B30" s="84" t="s">
        <v>5</v>
      </c>
      <c r="C30" s="85" t="s">
        <v>6</v>
      </c>
      <c r="D30" s="86" t="s">
        <v>40</v>
      </c>
      <c r="E30" s="87" t="s">
        <v>41</v>
      </c>
      <c r="F30" s="87" t="s">
        <v>9</v>
      </c>
    </row>
    <row r="31" spans="1:9">
      <c r="B31" s="94">
        <v>45167</v>
      </c>
      <c r="C31" s="16" t="s">
        <v>57</v>
      </c>
      <c r="D31" s="3">
        <v>3000</v>
      </c>
      <c r="E31">
        <v>3000</v>
      </c>
      <c r="F31" s="3">
        <f>D31-E31</f>
        <v>0</v>
      </c>
    </row>
    <row r="32" spans="1:9">
      <c r="B32" s="96">
        <v>44834</v>
      </c>
      <c r="C32" s="16" t="s">
        <v>57</v>
      </c>
      <c r="D32" s="3">
        <v>3000</v>
      </c>
      <c r="E32">
        <v>3000</v>
      </c>
      <c r="F32" s="3">
        <f t="shared" ref="F32:F42" si="2">F31+D32-E32</f>
        <v>0</v>
      </c>
      <c r="G32" s="3"/>
      <c r="H32" s="3"/>
      <c r="I32" s="3"/>
    </row>
    <row r="33" spans="1:9">
      <c r="B33" s="96">
        <v>44865</v>
      </c>
      <c r="C33" s="16" t="s">
        <v>57</v>
      </c>
      <c r="D33" s="3">
        <v>3000</v>
      </c>
      <c r="E33">
        <v>3000</v>
      </c>
      <c r="F33" s="3">
        <f t="shared" si="2"/>
        <v>0</v>
      </c>
      <c r="G33" s="3"/>
      <c r="H33" s="3"/>
      <c r="I33" s="3"/>
    </row>
    <row r="34" spans="1:9">
      <c r="B34" s="96">
        <v>44895</v>
      </c>
      <c r="C34" s="16" t="s">
        <v>57</v>
      </c>
      <c r="D34" s="3">
        <v>3000</v>
      </c>
      <c r="E34">
        <v>3000</v>
      </c>
      <c r="F34" s="3">
        <f t="shared" si="2"/>
        <v>0</v>
      </c>
      <c r="G34" s="3"/>
      <c r="H34" s="3"/>
      <c r="I34" s="3"/>
    </row>
    <row r="35" spans="1:9">
      <c r="B35" s="96">
        <v>44925</v>
      </c>
      <c r="C35" s="16" t="s">
        <v>71</v>
      </c>
      <c r="D35" s="3">
        <v>3000</v>
      </c>
      <c r="E35">
        <v>3000</v>
      </c>
      <c r="F35" s="3">
        <f t="shared" si="2"/>
        <v>0</v>
      </c>
      <c r="G35" s="3"/>
      <c r="H35" s="3">
        <v>3000</v>
      </c>
      <c r="I35" s="3"/>
    </row>
    <row r="36" spans="1:9">
      <c r="B36" s="94">
        <v>44956</v>
      </c>
      <c r="C36" s="16" t="s">
        <v>72</v>
      </c>
      <c r="D36" s="3">
        <v>6000</v>
      </c>
      <c r="E36">
        <v>6000</v>
      </c>
      <c r="F36" s="3">
        <f t="shared" si="2"/>
        <v>0</v>
      </c>
      <c r="G36" s="3"/>
      <c r="H36" s="3">
        <v>6000</v>
      </c>
      <c r="I36" s="3"/>
    </row>
    <row r="37" spans="1:9">
      <c r="B37" s="94">
        <v>44985</v>
      </c>
      <c r="C37" s="16" t="s">
        <v>73</v>
      </c>
      <c r="D37" s="3">
        <v>6500</v>
      </c>
      <c r="E37">
        <v>6500</v>
      </c>
      <c r="F37" s="3">
        <f t="shared" si="2"/>
        <v>0</v>
      </c>
      <c r="G37" s="3"/>
      <c r="H37" s="3"/>
      <c r="I37" s="3"/>
    </row>
    <row r="38" spans="1:9">
      <c r="B38" s="56">
        <v>45015</v>
      </c>
      <c r="C38" s="16" t="s">
        <v>74</v>
      </c>
      <c r="D38" s="3">
        <v>6500</v>
      </c>
      <c r="E38">
        <v>6500</v>
      </c>
      <c r="F38" s="3">
        <f t="shared" si="2"/>
        <v>0</v>
      </c>
      <c r="G38" s="3"/>
      <c r="H38" s="3"/>
      <c r="I38" s="3"/>
    </row>
    <row r="39" spans="1:9">
      <c r="B39" s="56">
        <v>45046</v>
      </c>
      <c r="C39" s="16" t="s">
        <v>74</v>
      </c>
      <c r="D39" s="3">
        <v>6500</v>
      </c>
      <c r="E39">
        <v>6500</v>
      </c>
      <c r="F39" s="3">
        <f t="shared" si="2"/>
        <v>0</v>
      </c>
      <c r="G39" s="3"/>
      <c r="H39" s="3"/>
      <c r="I39" s="3"/>
    </row>
    <row r="40" spans="1:9">
      <c r="B40" s="56">
        <v>45076</v>
      </c>
      <c r="C40" s="16" t="s">
        <v>74</v>
      </c>
      <c r="D40" s="3">
        <v>6500</v>
      </c>
      <c r="E40">
        <v>6500</v>
      </c>
      <c r="F40" s="3">
        <f t="shared" si="2"/>
        <v>0</v>
      </c>
      <c r="G40" s="3"/>
      <c r="H40" s="3"/>
      <c r="I40" s="3"/>
    </row>
    <row r="41" spans="1:9">
      <c r="B41" s="56">
        <v>45107</v>
      </c>
      <c r="C41" s="16" t="s">
        <v>74</v>
      </c>
      <c r="D41" s="3">
        <v>6500</v>
      </c>
      <c r="E41">
        <v>6500</v>
      </c>
      <c r="F41" s="3">
        <f t="shared" si="2"/>
        <v>0</v>
      </c>
      <c r="G41" s="3"/>
      <c r="H41" s="3"/>
      <c r="I41" s="3"/>
    </row>
    <row r="42" spans="1:9">
      <c r="B42" s="56">
        <v>45137</v>
      </c>
      <c r="C42" s="16" t="s">
        <v>74</v>
      </c>
      <c r="D42" s="3">
        <v>6500</v>
      </c>
      <c r="E42">
        <v>6500</v>
      </c>
      <c r="F42" s="3">
        <f t="shared" si="2"/>
        <v>0</v>
      </c>
      <c r="G42" s="3"/>
      <c r="H42" s="3"/>
      <c r="I42" s="3"/>
    </row>
    <row r="43" spans="1:9">
      <c r="A43" s="78"/>
      <c r="B43" s="79"/>
      <c r="C43" s="78"/>
      <c r="D43" s="86" t="s">
        <v>125</v>
      </c>
      <c r="E43" s="92">
        <f>SUM(E31:E42)</f>
        <v>60000</v>
      </c>
      <c r="F43" s="78"/>
      <c r="G43" s="78"/>
    </row>
    <row r="44" spans="1:9">
      <c r="C44" t="s">
        <v>130</v>
      </c>
      <c r="G44" s="27" t="s">
        <v>131</v>
      </c>
    </row>
    <row r="45" spans="1:9">
      <c r="B45" s="84" t="s">
        <v>5</v>
      </c>
      <c r="C45" s="85" t="s">
        <v>6</v>
      </c>
      <c r="D45" s="86" t="s">
        <v>40</v>
      </c>
      <c r="E45" s="87" t="s">
        <v>41</v>
      </c>
      <c r="F45" s="87" t="s">
        <v>9</v>
      </c>
    </row>
    <row r="46" spans="1:9">
      <c r="B46" s="56">
        <v>45168</v>
      </c>
      <c r="C46" s="16" t="s">
        <v>47</v>
      </c>
      <c r="D46" s="3">
        <v>6500</v>
      </c>
      <c r="E46">
        <v>6500</v>
      </c>
      <c r="F46" s="3">
        <f>D46-E46</f>
        <v>0</v>
      </c>
      <c r="G46" s="3"/>
      <c r="H46" s="3"/>
      <c r="I46" s="3"/>
    </row>
    <row r="47" spans="1:9">
      <c r="B47" s="56">
        <v>45199</v>
      </c>
      <c r="C47" t="s">
        <v>48</v>
      </c>
      <c r="D47" s="3">
        <v>6500</v>
      </c>
      <c r="E47">
        <v>6500</v>
      </c>
      <c r="F47" s="3">
        <f t="shared" ref="F47:F57" si="3">D47-E47+F46</f>
        <v>0</v>
      </c>
      <c r="H47" s="3">
        <v>6500</v>
      </c>
      <c r="I47" s="3"/>
    </row>
    <row r="48" spans="1:9">
      <c r="B48" s="56">
        <v>45229</v>
      </c>
      <c r="C48" t="s">
        <v>49</v>
      </c>
      <c r="D48" s="3">
        <v>6500</v>
      </c>
      <c r="E48">
        <v>6500</v>
      </c>
      <c r="F48" s="3">
        <f t="shared" si="3"/>
        <v>0</v>
      </c>
      <c r="H48" s="3"/>
      <c r="I48" s="3"/>
    </row>
    <row r="49" spans="1:9">
      <c r="B49" s="56">
        <v>45260</v>
      </c>
      <c r="C49" t="s">
        <v>49</v>
      </c>
      <c r="D49" s="3">
        <v>6500</v>
      </c>
      <c r="E49">
        <v>6500</v>
      </c>
      <c r="F49" s="3">
        <f t="shared" si="3"/>
        <v>0</v>
      </c>
      <c r="H49" s="3"/>
      <c r="I49" s="3"/>
    </row>
    <row r="50" spans="1:9">
      <c r="B50" s="56">
        <v>45290</v>
      </c>
      <c r="C50" t="s">
        <v>49</v>
      </c>
      <c r="D50" s="3">
        <v>6500</v>
      </c>
      <c r="E50">
        <v>6500</v>
      </c>
      <c r="F50" s="3">
        <f t="shared" si="3"/>
        <v>0</v>
      </c>
      <c r="H50" s="3"/>
      <c r="I50" s="3"/>
    </row>
    <row r="51" spans="1:9">
      <c r="B51" s="56">
        <v>45321</v>
      </c>
      <c r="C51" t="s">
        <v>47</v>
      </c>
      <c r="D51" s="3">
        <v>6500</v>
      </c>
      <c r="E51">
        <v>6500</v>
      </c>
      <c r="F51" s="3">
        <f t="shared" si="3"/>
        <v>0</v>
      </c>
      <c r="H51" s="3"/>
      <c r="I51" s="3"/>
    </row>
    <row r="52" spans="1:9">
      <c r="B52" s="56">
        <v>45351</v>
      </c>
      <c r="C52" t="s">
        <v>47</v>
      </c>
      <c r="D52" s="3">
        <v>15000</v>
      </c>
      <c r="E52">
        <v>6500</v>
      </c>
      <c r="F52" s="3">
        <f t="shared" si="3"/>
        <v>8500</v>
      </c>
      <c r="H52" s="3"/>
      <c r="I52" s="3"/>
    </row>
    <row r="53" spans="1:9">
      <c r="B53" s="56">
        <v>45381</v>
      </c>
      <c r="C53" t="s">
        <v>47</v>
      </c>
      <c r="D53" s="3">
        <v>15000</v>
      </c>
      <c r="E53">
        <v>15000</v>
      </c>
      <c r="F53" s="3">
        <f t="shared" si="3"/>
        <v>8500</v>
      </c>
      <c r="H53" s="3"/>
      <c r="I53" s="3"/>
    </row>
    <row r="54" spans="1:9">
      <c r="B54" s="56">
        <v>45411</v>
      </c>
      <c r="D54" s="3">
        <v>15000</v>
      </c>
      <c r="E54">
        <v>15000</v>
      </c>
      <c r="F54" s="3">
        <f t="shared" si="3"/>
        <v>8500</v>
      </c>
      <c r="H54" s="3"/>
      <c r="I54" s="3"/>
    </row>
    <row r="55" spans="1:9">
      <c r="B55" s="56">
        <v>45441</v>
      </c>
      <c r="D55" s="3">
        <v>15000</v>
      </c>
      <c r="E55">
        <v>15000</v>
      </c>
      <c r="F55" s="3">
        <f t="shared" si="3"/>
        <v>8500</v>
      </c>
      <c r="H55" s="3"/>
      <c r="I55" s="3"/>
    </row>
    <row r="56" spans="1:9">
      <c r="B56" s="56">
        <v>45471</v>
      </c>
      <c r="C56" t="s">
        <v>132</v>
      </c>
      <c r="D56" s="3">
        <v>15000</v>
      </c>
      <c r="E56">
        <v>15000</v>
      </c>
      <c r="F56" s="3">
        <f t="shared" si="3"/>
        <v>8500</v>
      </c>
      <c r="H56" s="3">
        <v>15000</v>
      </c>
      <c r="I56" s="3"/>
    </row>
    <row r="57" spans="1:9">
      <c r="B57" s="56">
        <v>45501</v>
      </c>
      <c r="D57" s="3">
        <v>15000</v>
      </c>
      <c r="E57">
        <v>15000</v>
      </c>
      <c r="F57" s="3">
        <f t="shared" si="3"/>
        <v>8500</v>
      </c>
      <c r="H57" s="3"/>
      <c r="I57" s="3"/>
    </row>
    <row r="58" spans="1:9">
      <c r="F58" s="3"/>
      <c r="H58" s="3"/>
      <c r="I58" s="3"/>
    </row>
    <row r="59" spans="1:9">
      <c r="A59" s="78"/>
      <c r="B59" s="79"/>
      <c r="C59" s="78"/>
      <c r="D59" s="86" t="s">
        <v>125</v>
      </c>
      <c r="E59" s="92">
        <f>SUM(E46:E57)</f>
        <v>120500</v>
      </c>
      <c r="F59" s="78"/>
      <c r="G59" s="78"/>
    </row>
    <row r="61" spans="1:9">
      <c r="C61" t="s">
        <v>133</v>
      </c>
      <c r="G61" s="27" t="s">
        <v>134</v>
      </c>
    </row>
    <row r="62" spans="1:9">
      <c r="B62" s="84" t="s">
        <v>5</v>
      </c>
      <c r="C62" s="85" t="s">
        <v>6</v>
      </c>
      <c r="D62" s="86" t="s">
        <v>40</v>
      </c>
      <c r="E62" s="87" t="s">
        <v>41</v>
      </c>
      <c r="F62" s="87" t="s">
        <v>9</v>
      </c>
    </row>
    <row r="63" spans="1:9">
      <c r="B63" s="56">
        <v>45534</v>
      </c>
      <c r="C63" s="16" t="s">
        <v>135</v>
      </c>
      <c r="D63" s="3">
        <v>22104</v>
      </c>
      <c r="E63">
        <v>15000</v>
      </c>
      <c r="F63" s="3">
        <f>D63-E63</f>
        <v>7104</v>
      </c>
      <c r="G63" s="3"/>
      <c r="H63" s="3">
        <v>15000</v>
      </c>
    </row>
    <row r="64" spans="1:9">
      <c r="B64" s="56">
        <v>45565</v>
      </c>
      <c r="C64" t="s">
        <v>136</v>
      </c>
      <c r="D64" s="3">
        <f t="shared" ref="D64:D74" si="4">D63</f>
        <v>22104</v>
      </c>
      <c r="E64">
        <v>15000</v>
      </c>
      <c r="F64" s="3">
        <f t="shared" ref="F64:F74" si="5">D64-E64+F63</f>
        <v>14208</v>
      </c>
      <c r="H64" s="3">
        <v>15000</v>
      </c>
    </row>
    <row r="65" spans="1:8">
      <c r="B65" s="56">
        <v>45595</v>
      </c>
      <c r="C65" t="s">
        <v>137</v>
      </c>
      <c r="D65" s="3">
        <f t="shared" si="4"/>
        <v>22104</v>
      </c>
      <c r="E65">
        <v>15000</v>
      </c>
      <c r="F65" s="3">
        <f t="shared" si="5"/>
        <v>21312</v>
      </c>
      <c r="H65" s="3">
        <v>15000</v>
      </c>
    </row>
    <row r="66" spans="1:8">
      <c r="B66" s="56">
        <v>45626</v>
      </c>
      <c r="C66" t="s">
        <v>138</v>
      </c>
      <c r="D66" s="3">
        <f t="shared" si="4"/>
        <v>22104</v>
      </c>
      <c r="E66">
        <v>15000</v>
      </c>
      <c r="F66" s="3">
        <f t="shared" si="5"/>
        <v>28416</v>
      </c>
      <c r="H66" s="3">
        <v>15000</v>
      </c>
    </row>
    <row r="67" spans="1:8">
      <c r="B67" s="56">
        <v>45656</v>
      </c>
      <c r="D67" s="3">
        <f t="shared" si="4"/>
        <v>22104</v>
      </c>
      <c r="E67">
        <v>15000</v>
      </c>
      <c r="F67" s="3">
        <f t="shared" si="5"/>
        <v>35520</v>
      </c>
    </row>
    <row r="68" spans="1:8">
      <c r="B68" s="56">
        <v>45687</v>
      </c>
      <c r="D68" s="3">
        <f t="shared" si="4"/>
        <v>22104</v>
      </c>
      <c r="E68">
        <v>15000</v>
      </c>
      <c r="F68" s="3">
        <f t="shared" si="5"/>
        <v>42624</v>
      </c>
    </row>
    <row r="69" spans="1:8">
      <c r="B69" s="56" t="s">
        <v>139</v>
      </c>
      <c r="D69" s="3">
        <f t="shared" si="4"/>
        <v>22104</v>
      </c>
      <c r="F69" s="3">
        <f t="shared" si="5"/>
        <v>64728</v>
      </c>
    </row>
    <row r="70" spans="1:8">
      <c r="B70" s="56">
        <v>45746</v>
      </c>
      <c r="D70" s="3">
        <f t="shared" si="4"/>
        <v>22104</v>
      </c>
      <c r="F70" s="3">
        <f t="shared" si="5"/>
        <v>86832</v>
      </c>
    </row>
    <row r="71" spans="1:8">
      <c r="B71" s="56">
        <v>45776</v>
      </c>
      <c r="D71" s="3">
        <f t="shared" si="4"/>
        <v>22104</v>
      </c>
      <c r="F71" s="3">
        <f t="shared" si="5"/>
        <v>108936</v>
      </c>
    </row>
    <row r="72" spans="1:8">
      <c r="B72" s="56">
        <v>45806</v>
      </c>
      <c r="D72" s="3">
        <f t="shared" si="4"/>
        <v>22104</v>
      </c>
      <c r="F72" s="3">
        <f t="shared" si="5"/>
        <v>131040</v>
      </c>
    </row>
    <row r="73" spans="1:8">
      <c r="B73" s="56">
        <v>45836</v>
      </c>
      <c r="D73" s="3">
        <f t="shared" si="4"/>
        <v>22104</v>
      </c>
      <c r="F73" s="3">
        <f t="shared" si="5"/>
        <v>153144</v>
      </c>
    </row>
    <row r="74" spans="1:8">
      <c r="B74" s="56">
        <v>45866</v>
      </c>
      <c r="D74" s="3">
        <f t="shared" si="4"/>
        <v>22104</v>
      </c>
      <c r="F74" s="3">
        <f t="shared" si="5"/>
        <v>175248</v>
      </c>
    </row>
    <row r="75" spans="1:8">
      <c r="F75" s="3"/>
    </row>
    <row r="76" spans="1:8">
      <c r="A76" s="78"/>
      <c r="B76" s="79"/>
      <c r="C76" s="78"/>
      <c r="D76" s="86" t="s">
        <v>125</v>
      </c>
      <c r="E76" s="92">
        <f>SUM(E61:E74)</f>
        <v>90000</v>
      </c>
      <c r="F76" s="78"/>
      <c r="G76" s="78"/>
      <c r="H76">
        <f>SUM(H4:H75)</f>
        <v>99500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workbookViewId="0"/>
  </sheetViews>
  <sheetFormatPr defaultRowHeight="12.75"/>
  <cols>
    <col min="1" max="1" width="10.7109375" customWidth="1"/>
    <col min="2" max="2" width="20.7109375" customWidth="1"/>
    <col min="3" max="3" width="11.140625" customWidth="1"/>
    <col min="4" max="4" width="11.7109375" customWidth="1"/>
    <col min="5" max="5" width="10.42578125" customWidth="1"/>
    <col min="6" max="6" width="8.85546875" customWidth="1"/>
    <col min="7" max="7" width="10.85546875" customWidth="1"/>
    <col min="8" max="8" width="9.140625" customWidth="1"/>
  </cols>
  <sheetData>
    <row r="1" spans="1:7">
      <c r="A1" s="1"/>
      <c r="B1" s="2"/>
      <c r="C1" s="3"/>
      <c r="D1" s="3"/>
      <c r="E1" s="3"/>
      <c r="F1" s="3"/>
      <c r="G1" s="3"/>
    </row>
    <row r="2" spans="1:7">
      <c r="A2" s="1"/>
      <c r="B2" s="2"/>
      <c r="C2" s="3"/>
      <c r="D2" s="3"/>
      <c r="E2" s="3"/>
      <c r="F2" s="3"/>
      <c r="G2" s="3"/>
    </row>
    <row r="3" spans="1:7">
      <c r="A3" s="1"/>
      <c r="B3" s="2" t="s">
        <v>140</v>
      </c>
      <c r="C3" s="3"/>
      <c r="D3" s="3"/>
      <c r="E3" s="3"/>
      <c r="F3" s="3"/>
      <c r="G3" s="3"/>
    </row>
    <row r="4" spans="1:7">
      <c r="A4" s="1"/>
      <c r="C4" s="3"/>
      <c r="D4" s="3"/>
      <c r="E4" s="3"/>
      <c r="F4" s="3"/>
      <c r="G4" s="3"/>
    </row>
    <row r="5" spans="1:7">
      <c r="A5" s="1"/>
      <c r="C5" s="3"/>
      <c r="D5" s="3"/>
      <c r="E5" s="3"/>
      <c r="F5" s="3"/>
      <c r="G5" s="3"/>
    </row>
    <row r="6" spans="1:7">
      <c r="A6" s="5" t="s">
        <v>5</v>
      </c>
      <c r="B6" s="6" t="s">
        <v>6</v>
      </c>
      <c r="C6" s="7" t="s">
        <v>50</v>
      </c>
      <c r="D6" s="7" t="s">
        <v>8</v>
      </c>
      <c r="E6" s="7" t="s">
        <v>9</v>
      </c>
      <c r="F6" s="7" t="s">
        <v>10</v>
      </c>
      <c r="G6" s="7" t="s">
        <v>141</v>
      </c>
    </row>
    <row r="7" spans="1:7">
      <c r="A7" s="5"/>
      <c r="B7" s="6"/>
      <c r="C7" s="7"/>
      <c r="D7" s="7"/>
      <c r="E7" s="7"/>
      <c r="F7" s="7"/>
      <c r="G7" s="7"/>
    </row>
    <row r="8" spans="1:7">
      <c r="A8" s="12">
        <v>44946</v>
      </c>
      <c r="B8" t="s">
        <v>142</v>
      </c>
      <c r="C8" s="3">
        <v>1650</v>
      </c>
      <c r="D8" s="3">
        <v>1650</v>
      </c>
      <c r="E8" s="3">
        <f>C8-D8</f>
        <v>0</v>
      </c>
      <c r="F8" s="3"/>
      <c r="G8" s="3">
        <f t="shared" ref="G8:G25" si="0">D8-F8</f>
        <v>1650</v>
      </c>
    </row>
    <row r="9" spans="1:7">
      <c r="A9" s="12">
        <v>44977</v>
      </c>
      <c r="B9" t="s">
        <v>142</v>
      </c>
      <c r="C9" s="3">
        <v>1650</v>
      </c>
      <c r="D9" s="3">
        <v>1650</v>
      </c>
      <c r="E9" s="3">
        <f t="shared" ref="E9:E25" si="1">E8-D9+C9</f>
        <v>0</v>
      </c>
      <c r="F9" s="3"/>
      <c r="G9" s="3">
        <f t="shared" si="0"/>
        <v>1650</v>
      </c>
    </row>
    <row r="10" spans="1:7">
      <c r="A10" s="12">
        <v>45005</v>
      </c>
      <c r="B10" s="13"/>
      <c r="C10" s="3">
        <v>1650</v>
      </c>
      <c r="D10" s="3">
        <v>1650</v>
      </c>
      <c r="E10" s="3">
        <f t="shared" si="1"/>
        <v>0</v>
      </c>
      <c r="F10" s="3"/>
      <c r="G10" s="3">
        <f t="shared" si="0"/>
        <v>1650</v>
      </c>
    </row>
    <row r="11" spans="1:7">
      <c r="A11" s="1"/>
      <c r="B11" t="s">
        <v>143</v>
      </c>
      <c r="C11" s="3"/>
      <c r="D11" s="3"/>
      <c r="E11" s="3">
        <f t="shared" si="1"/>
        <v>0</v>
      </c>
      <c r="F11" s="3"/>
      <c r="G11" s="3">
        <f t="shared" si="0"/>
        <v>0</v>
      </c>
    </row>
    <row r="12" spans="1:7">
      <c r="A12" s="12">
        <v>44671</v>
      </c>
      <c r="B12" t="s">
        <v>144</v>
      </c>
      <c r="C12" s="3"/>
      <c r="D12" s="3"/>
      <c r="E12" s="3">
        <f t="shared" si="1"/>
        <v>0</v>
      </c>
      <c r="F12" s="3"/>
      <c r="G12" s="3">
        <f t="shared" si="0"/>
        <v>0</v>
      </c>
    </row>
    <row r="13" spans="1:7">
      <c r="A13" s="12"/>
      <c r="B13" t="s">
        <v>145</v>
      </c>
      <c r="C13" s="3"/>
      <c r="D13" s="3"/>
      <c r="E13" s="3">
        <f t="shared" si="1"/>
        <v>0</v>
      </c>
      <c r="F13" s="3"/>
      <c r="G13" s="3">
        <f t="shared" si="0"/>
        <v>0</v>
      </c>
    </row>
    <row r="14" spans="1:7">
      <c r="A14" s="12">
        <v>45036</v>
      </c>
      <c r="B14" s="13"/>
      <c r="C14" s="3">
        <v>2800</v>
      </c>
      <c r="D14" s="3">
        <v>2800</v>
      </c>
      <c r="E14" s="3">
        <f t="shared" si="1"/>
        <v>0</v>
      </c>
      <c r="F14" s="3"/>
      <c r="G14" s="3">
        <f t="shared" si="0"/>
        <v>2800</v>
      </c>
    </row>
    <row r="15" spans="1:7">
      <c r="A15" s="12">
        <v>45066</v>
      </c>
      <c r="C15" s="3">
        <v>2800</v>
      </c>
      <c r="D15" s="3">
        <v>2800</v>
      </c>
      <c r="E15" s="3">
        <f t="shared" si="1"/>
        <v>0</v>
      </c>
      <c r="F15" s="3"/>
      <c r="G15" s="3">
        <f t="shared" si="0"/>
        <v>2800</v>
      </c>
    </row>
    <row r="16" spans="1:7">
      <c r="A16" s="12">
        <v>45097</v>
      </c>
      <c r="B16" s="13"/>
      <c r="C16" s="3">
        <v>2800</v>
      </c>
      <c r="D16" s="3">
        <v>2800</v>
      </c>
      <c r="E16" s="3">
        <f t="shared" si="1"/>
        <v>0</v>
      </c>
      <c r="F16" s="3"/>
      <c r="G16" s="3">
        <f t="shared" si="0"/>
        <v>2800</v>
      </c>
    </row>
    <row r="17" spans="1:7">
      <c r="A17" s="12">
        <v>45127</v>
      </c>
      <c r="B17" s="13"/>
      <c r="C17" s="3">
        <v>2800</v>
      </c>
      <c r="D17" s="3">
        <v>2800</v>
      </c>
      <c r="E17" s="3">
        <f t="shared" si="1"/>
        <v>0</v>
      </c>
      <c r="F17" s="3"/>
      <c r="G17" s="3">
        <f t="shared" si="0"/>
        <v>2800</v>
      </c>
    </row>
    <row r="18" spans="1:7">
      <c r="A18" s="12">
        <v>45158</v>
      </c>
      <c r="B18" s="13"/>
      <c r="C18" s="3">
        <v>2800</v>
      </c>
      <c r="D18" s="3">
        <v>2800</v>
      </c>
      <c r="E18" s="3">
        <f t="shared" si="1"/>
        <v>0</v>
      </c>
      <c r="F18" s="3"/>
      <c r="G18" s="3">
        <f t="shared" si="0"/>
        <v>2800</v>
      </c>
    </row>
    <row r="19" spans="1:7">
      <c r="A19" s="12">
        <v>45189</v>
      </c>
      <c r="B19" s="13"/>
      <c r="C19" s="3">
        <v>2800</v>
      </c>
      <c r="D19" s="3">
        <v>2800</v>
      </c>
      <c r="E19" s="3">
        <f t="shared" si="1"/>
        <v>0</v>
      </c>
      <c r="F19" s="3"/>
      <c r="G19" s="3">
        <f t="shared" si="0"/>
        <v>2800</v>
      </c>
    </row>
    <row r="20" spans="1:7">
      <c r="A20" s="12">
        <v>45232</v>
      </c>
      <c r="B20" s="13" t="s">
        <v>146</v>
      </c>
      <c r="C20" s="3">
        <v>2800</v>
      </c>
      <c r="D20" s="3">
        <v>2800</v>
      </c>
      <c r="E20" s="3">
        <f t="shared" si="1"/>
        <v>0</v>
      </c>
      <c r="F20" s="3"/>
      <c r="G20" s="3">
        <f t="shared" si="0"/>
        <v>2800</v>
      </c>
    </row>
    <row r="21" spans="1:7">
      <c r="A21" s="12">
        <v>45250</v>
      </c>
      <c r="B21" s="13" t="s">
        <v>147</v>
      </c>
      <c r="C21" s="3">
        <v>2800</v>
      </c>
      <c r="D21" s="3">
        <v>2800</v>
      </c>
      <c r="E21" s="3">
        <f t="shared" si="1"/>
        <v>0</v>
      </c>
      <c r="F21" s="3"/>
      <c r="G21" s="3">
        <f t="shared" si="0"/>
        <v>2800</v>
      </c>
    </row>
    <row r="22" spans="1:7">
      <c r="A22" s="12">
        <v>45280</v>
      </c>
      <c r="B22" s="13"/>
      <c r="C22" s="3">
        <v>2800</v>
      </c>
      <c r="D22" s="3">
        <v>2800</v>
      </c>
      <c r="E22" s="3">
        <f t="shared" si="1"/>
        <v>0</v>
      </c>
      <c r="F22" s="3"/>
      <c r="G22" s="3">
        <f t="shared" si="0"/>
        <v>2800</v>
      </c>
    </row>
    <row r="23" spans="1:7">
      <c r="A23" s="13">
        <v>45311</v>
      </c>
      <c r="C23" s="3">
        <v>2800</v>
      </c>
      <c r="D23" s="3">
        <v>2800</v>
      </c>
      <c r="E23" s="3">
        <f t="shared" si="1"/>
        <v>0</v>
      </c>
      <c r="G23" s="3">
        <f t="shared" si="0"/>
        <v>2800</v>
      </c>
    </row>
    <row r="24" spans="1:7">
      <c r="A24" s="13">
        <v>45342</v>
      </c>
      <c r="C24" s="3">
        <v>2800</v>
      </c>
      <c r="D24" s="3">
        <v>2800</v>
      </c>
      <c r="E24" s="3">
        <f t="shared" si="1"/>
        <v>0</v>
      </c>
      <c r="G24" s="3">
        <f t="shared" si="0"/>
        <v>2800</v>
      </c>
    </row>
    <row r="25" spans="1:7">
      <c r="A25" s="13">
        <v>45371</v>
      </c>
      <c r="C25" s="3">
        <v>2800</v>
      </c>
      <c r="D25" s="3">
        <v>2800</v>
      </c>
      <c r="E25" s="3">
        <f t="shared" si="1"/>
        <v>0</v>
      </c>
      <c r="G25" s="3">
        <f t="shared" si="0"/>
        <v>2800</v>
      </c>
    </row>
    <row r="26" spans="1:7">
      <c r="A26" s="1"/>
      <c r="C26" s="3"/>
      <c r="D26" s="3"/>
      <c r="E26" s="3"/>
      <c r="F26" s="3"/>
      <c r="G26" s="3"/>
    </row>
    <row r="27" spans="1:7">
      <c r="A27" s="1"/>
      <c r="B27" s="2" t="s">
        <v>63</v>
      </c>
      <c r="C27" s="25">
        <f>SUM(C8:C26)</f>
        <v>38550</v>
      </c>
      <c r="D27" s="25">
        <f>SUM(D8:D26)</f>
        <v>38550</v>
      </c>
      <c r="E27" s="3">
        <f>E22</f>
        <v>0</v>
      </c>
      <c r="F27" s="25">
        <f>SUM(F12:F26)</f>
        <v>0</v>
      </c>
      <c r="G27" s="25">
        <f>D27-F27</f>
        <v>38550</v>
      </c>
    </row>
    <row r="28" spans="1:7">
      <c r="A28" s="1"/>
      <c r="C28" s="3"/>
      <c r="D28" s="3"/>
      <c r="E28" s="3"/>
      <c r="F28" s="3"/>
    </row>
    <row r="29" spans="1:7">
      <c r="A29" s="1"/>
      <c r="D29" s="3"/>
      <c r="E29" s="27" t="s">
        <v>148</v>
      </c>
      <c r="G29" s="25">
        <f>G27</f>
        <v>38550</v>
      </c>
    </row>
    <row r="30" spans="1:7">
      <c r="A30" s="1"/>
      <c r="D30" s="3"/>
      <c r="E30" s="2"/>
      <c r="G30" s="25"/>
    </row>
    <row r="31" spans="1:7">
      <c r="A31" s="1"/>
      <c r="E31" s="2" t="s">
        <v>65</v>
      </c>
      <c r="F31" s="28">
        <v>1</v>
      </c>
      <c r="G31" s="25">
        <f>G29*$F$31</f>
        <v>38550</v>
      </c>
    </row>
    <row r="37" spans="1:7">
      <c r="B37" s="2">
        <v>2022</v>
      </c>
    </row>
    <row r="39" spans="1:7">
      <c r="A39" s="1"/>
      <c r="B39" s="2" t="s">
        <v>140</v>
      </c>
      <c r="C39" s="3"/>
      <c r="D39" s="3"/>
      <c r="E39" s="3"/>
      <c r="F39" s="3"/>
      <c r="G39" s="3"/>
    </row>
    <row r="40" spans="1:7">
      <c r="A40" s="1"/>
      <c r="C40" s="3"/>
      <c r="D40" s="3"/>
      <c r="E40" s="3"/>
      <c r="F40" s="3"/>
      <c r="G40" s="3"/>
    </row>
    <row r="41" spans="1:7">
      <c r="A41" s="1"/>
      <c r="C41" s="3"/>
      <c r="D41" s="3"/>
      <c r="E41" s="3"/>
      <c r="F41" s="3"/>
      <c r="G41" s="3"/>
    </row>
    <row r="42" spans="1:7">
      <c r="A42" s="5" t="s">
        <v>5</v>
      </c>
      <c r="B42" s="6" t="s">
        <v>6</v>
      </c>
      <c r="C42" s="7" t="s">
        <v>50</v>
      </c>
      <c r="D42" s="7" t="s">
        <v>8</v>
      </c>
      <c r="E42" s="7" t="s">
        <v>9</v>
      </c>
      <c r="F42" s="7" t="s">
        <v>10</v>
      </c>
      <c r="G42" s="7" t="s">
        <v>141</v>
      </c>
    </row>
    <row r="43" spans="1:7">
      <c r="A43" s="5"/>
      <c r="B43" s="6"/>
      <c r="C43" s="7"/>
      <c r="D43" s="7"/>
      <c r="E43" s="7"/>
      <c r="F43" s="7"/>
      <c r="G43" s="7"/>
    </row>
    <row r="44" spans="1:7">
      <c r="A44" s="12">
        <v>44581</v>
      </c>
      <c r="B44" s="13" t="s">
        <v>149</v>
      </c>
      <c r="C44" s="3">
        <v>3000</v>
      </c>
      <c r="D44" s="3"/>
      <c r="E44" s="3">
        <f>C44-D44</f>
        <v>3000</v>
      </c>
      <c r="F44" s="3"/>
      <c r="G44" s="3">
        <f t="shared" ref="G44:G61" si="2">D44-F44</f>
        <v>0</v>
      </c>
    </row>
    <row r="45" spans="1:7">
      <c r="A45" s="12">
        <v>44612</v>
      </c>
      <c r="B45" s="13"/>
      <c r="C45" s="3"/>
      <c r="D45" s="3">
        <v>3000</v>
      </c>
      <c r="E45" s="3">
        <f>E44-D45</f>
        <v>0</v>
      </c>
      <c r="F45" s="3"/>
      <c r="G45" s="3">
        <f t="shared" si="2"/>
        <v>3000</v>
      </c>
    </row>
    <row r="46" spans="1:7">
      <c r="A46" s="12">
        <v>44640</v>
      </c>
      <c r="B46" s="13"/>
      <c r="C46" s="3"/>
      <c r="D46" s="3"/>
      <c r="E46" s="3">
        <f>E45-D46</f>
        <v>0</v>
      </c>
      <c r="F46" s="3"/>
      <c r="G46" s="3">
        <f t="shared" si="2"/>
        <v>0</v>
      </c>
    </row>
    <row r="47" spans="1:7">
      <c r="A47" s="1"/>
      <c r="B47" t="s">
        <v>150</v>
      </c>
      <c r="C47" s="3"/>
      <c r="D47" s="3"/>
      <c r="E47" s="3">
        <f>E46-D47</f>
        <v>0</v>
      </c>
      <c r="F47" s="3"/>
      <c r="G47" s="3">
        <f t="shared" si="2"/>
        <v>0</v>
      </c>
    </row>
    <row r="48" spans="1:7">
      <c r="A48" s="12">
        <v>44671</v>
      </c>
      <c r="B48" t="s">
        <v>144</v>
      </c>
      <c r="C48" s="3"/>
      <c r="D48" s="3"/>
      <c r="E48" s="3">
        <f>E47-D48</f>
        <v>0</v>
      </c>
      <c r="F48" s="3"/>
      <c r="G48" s="3">
        <f t="shared" si="2"/>
        <v>0</v>
      </c>
    </row>
    <row r="49" spans="1:7">
      <c r="A49" s="12"/>
      <c r="B49" t="s">
        <v>151</v>
      </c>
      <c r="C49" s="3"/>
      <c r="D49" s="3"/>
      <c r="E49" s="3">
        <f>E48-D49</f>
        <v>0</v>
      </c>
      <c r="F49" s="3"/>
      <c r="G49" s="3">
        <f t="shared" si="2"/>
        <v>0</v>
      </c>
    </row>
    <row r="50" spans="1:7">
      <c r="A50" s="12">
        <v>44671</v>
      </c>
      <c r="B50" s="13" t="s">
        <v>152</v>
      </c>
      <c r="C50" s="3">
        <v>1650</v>
      </c>
      <c r="D50" s="3">
        <v>1600</v>
      </c>
      <c r="E50" s="3">
        <f>C50-D50+E49</f>
        <v>50</v>
      </c>
      <c r="F50" s="3"/>
      <c r="G50" s="3">
        <f t="shared" si="2"/>
        <v>1600</v>
      </c>
    </row>
    <row r="51" spans="1:7">
      <c r="A51" s="12">
        <v>44701</v>
      </c>
      <c r="C51" s="3">
        <v>1650</v>
      </c>
      <c r="D51" s="3">
        <v>1650</v>
      </c>
      <c r="E51" s="3">
        <f t="shared" ref="E51:E61" si="3">E50+C51-D51</f>
        <v>50</v>
      </c>
      <c r="F51" s="3"/>
      <c r="G51" s="3">
        <f t="shared" si="2"/>
        <v>1650</v>
      </c>
    </row>
    <row r="52" spans="1:7">
      <c r="A52" s="12">
        <v>44732</v>
      </c>
      <c r="B52" s="13"/>
      <c r="C52" s="3">
        <v>1650</v>
      </c>
      <c r="D52" s="3">
        <v>1650</v>
      </c>
      <c r="E52" s="3">
        <f t="shared" si="3"/>
        <v>50</v>
      </c>
      <c r="F52" s="3"/>
      <c r="G52" s="3">
        <f t="shared" si="2"/>
        <v>1650</v>
      </c>
    </row>
    <row r="53" spans="1:7">
      <c r="A53" s="12">
        <v>44762</v>
      </c>
      <c r="B53" s="13"/>
      <c r="C53" s="3">
        <v>1650</v>
      </c>
      <c r="D53" s="3">
        <v>1650</v>
      </c>
      <c r="E53" s="3">
        <f t="shared" si="3"/>
        <v>50</v>
      </c>
      <c r="F53" s="3"/>
      <c r="G53" s="3">
        <f t="shared" si="2"/>
        <v>1650</v>
      </c>
    </row>
    <row r="54" spans="1:7">
      <c r="A54" s="12">
        <v>44793</v>
      </c>
      <c r="B54" s="13"/>
      <c r="C54" s="3">
        <v>1650</v>
      </c>
      <c r="D54" s="3">
        <v>1650</v>
      </c>
      <c r="E54" s="3">
        <f t="shared" si="3"/>
        <v>50</v>
      </c>
      <c r="F54" s="3"/>
      <c r="G54" s="3">
        <f t="shared" si="2"/>
        <v>1650</v>
      </c>
    </row>
    <row r="55" spans="1:7">
      <c r="A55" s="12">
        <v>44824</v>
      </c>
      <c r="B55" s="13"/>
      <c r="C55" s="3">
        <v>1650</v>
      </c>
      <c r="D55" s="3">
        <v>1650</v>
      </c>
      <c r="E55" s="3">
        <f t="shared" si="3"/>
        <v>50</v>
      </c>
      <c r="F55" s="3"/>
      <c r="G55" s="3">
        <f t="shared" si="2"/>
        <v>1650</v>
      </c>
    </row>
    <row r="56" spans="1:7">
      <c r="A56" s="12">
        <v>44854</v>
      </c>
      <c r="B56" s="13"/>
      <c r="C56" s="3">
        <v>1650</v>
      </c>
      <c r="D56" s="3">
        <v>1650</v>
      </c>
      <c r="E56" s="3">
        <f t="shared" si="3"/>
        <v>50</v>
      </c>
      <c r="F56" s="3"/>
      <c r="G56" s="3">
        <f t="shared" si="2"/>
        <v>1650</v>
      </c>
    </row>
    <row r="57" spans="1:7">
      <c r="A57" s="12">
        <v>44885</v>
      </c>
      <c r="B57" s="13"/>
      <c r="C57" s="3">
        <v>1650</v>
      </c>
      <c r="D57" s="3">
        <v>1650</v>
      </c>
      <c r="E57" s="3">
        <f t="shared" si="3"/>
        <v>50</v>
      </c>
      <c r="F57" s="3"/>
      <c r="G57" s="3">
        <f t="shared" si="2"/>
        <v>1650</v>
      </c>
    </row>
    <row r="58" spans="1:7">
      <c r="A58" s="12">
        <v>44915</v>
      </c>
      <c r="B58" s="13">
        <v>44912</v>
      </c>
      <c r="C58" s="3">
        <v>1650</v>
      </c>
      <c r="D58" s="3">
        <v>1650</v>
      </c>
      <c r="E58" s="3">
        <f t="shared" si="3"/>
        <v>50</v>
      </c>
      <c r="F58" s="3"/>
      <c r="G58" s="3">
        <f t="shared" si="2"/>
        <v>1650</v>
      </c>
    </row>
    <row r="59" spans="1:7">
      <c r="A59" s="13">
        <v>44946</v>
      </c>
      <c r="B59" t="s">
        <v>142</v>
      </c>
      <c r="C59" s="3">
        <v>1650</v>
      </c>
      <c r="D59">
        <v>1650</v>
      </c>
      <c r="E59" s="3">
        <f t="shared" si="3"/>
        <v>50</v>
      </c>
      <c r="G59" s="3">
        <f t="shared" si="2"/>
        <v>1650</v>
      </c>
    </row>
    <row r="60" spans="1:7">
      <c r="A60" s="13">
        <v>44612</v>
      </c>
      <c r="B60" t="s">
        <v>142</v>
      </c>
      <c r="C60" s="3">
        <v>1650</v>
      </c>
      <c r="D60">
        <v>1650</v>
      </c>
      <c r="E60" s="3">
        <f t="shared" si="3"/>
        <v>50</v>
      </c>
      <c r="G60" s="3">
        <f t="shared" si="2"/>
        <v>1650</v>
      </c>
    </row>
    <row r="61" spans="1:7">
      <c r="A61" s="13">
        <v>44640</v>
      </c>
      <c r="C61" s="3">
        <v>1650</v>
      </c>
      <c r="E61" s="3">
        <f t="shared" si="3"/>
        <v>1700</v>
      </c>
      <c r="G61" s="3">
        <f t="shared" si="2"/>
        <v>0</v>
      </c>
    </row>
    <row r="62" spans="1:7">
      <c r="A62" s="1"/>
      <c r="C62" s="3"/>
      <c r="D62" s="3"/>
      <c r="E62" s="3"/>
      <c r="F62" s="3"/>
      <c r="G62" s="3"/>
    </row>
    <row r="63" spans="1:7">
      <c r="A63" s="1"/>
      <c r="B63" s="2" t="s">
        <v>63</v>
      </c>
      <c r="C63" s="25">
        <f>SUM(C44:C62)</f>
        <v>22800</v>
      </c>
      <c r="D63" s="25">
        <f>SUM(D44:D62)</f>
        <v>21100</v>
      </c>
      <c r="E63" s="3">
        <f>E58</f>
        <v>50</v>
      </c>
      <c r="F63" s="25">
        <f>SUM(F48:F62)</f>
        <v>0</v>
      </c>
      <c r="G63" s="25">
        <f>D63-F63</f>
        <v>21100</v>
      </c>
    </row>
    <row r="64" spans="1:7">
      <c r="A64" s="1"/>
      <c r="C64" s="3"/>
      <c r="D64" s="3"/>
      <c r="E64" s="3"/>
      <c r="F64" s="3"/>
    </row>
    <row r="65" spans="1:7">
      <c r="A65" s="1"/>
      <c r="D65" s="3"/>
      <c r="E65" s="27" t="s">
        <v>148</v>
      </c>
      <c r="G65" s="25">
        <f>G63</f>
        <v>21100</v>
      </c>
    </row>
    <row r="66" spans="1:7">
      <c r="A66" s="1"/>
      <c r="D66" s="3"/>
      <c r="E66" s="2"/>
      <c r="G66" s="25"/>
    </row>
    <row r="67" spans="1:7">
      <c r="A67" s="1"/>
      <c r="E67" s="2" t="s">
        <v>65</v>
      </c>
      <c r="F67" s="28">
        <v>1</v>
      </c>
      <c r="G67" s="25">
        <f>G65*$F$31</f>
        <v>21100</v>
      </c>
    </row>
  </sheetData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83"/>
  <sheetViews>
    <sheetView workbookViewId="0"/>
  </sheetViews>
  <sheetFormatPr defaultRowHeight="11.25" customHeight="1"/>
  <cols>
    <col min="1" max="1" width="10.5703125" style="99" customWidth="1"/>
    <col min="2" max="2" width="21.7109375" style="99" customWidth="1"/>
    <col min="3" max="3" width="13.85546875" style="99" customWidth="1"/>
    <col min="4" max="4" width="12.5703125" style="99" customWidth="1"/>
    <col min="5" max="6" width="16.28515625" style="99" customWidth="1"/>
    <col min="7" max="1023" width="12.28515625" style="99" customWidth="1"/>
    <col min="1024" max="1024" width="9.140625" style="99" customWidth="1"/>
    <col min="1025" max="1025" width="9.140625" customWidth="1"/>
  </cols>
  <sheetData>
    <row r="1" spans="1:6" ht="11.25" customHeight="1">
      <c r="D1" s="100"/>
      <c r="E1" s="303">
        <v>45233</v>
      </c>
      <c r="F1" s="303"/>
    </row>
    <row r="2" spans="1:6" ht="11.25" customHeight="1">
      <c r="B2" s="101" t="s">
        <v>153</v>
      </c>
      <c r="D2" s="100"/>
      <c r="E2" s="102"/>
      <c r="F2" s="100"/>
    </row>
    <row r="3" spans="1:6" ht="11.25" customHeight="1">
      <c r="A3" s="103" t="s">
        <v>154</v>
      </c>
      <c r="B3" s="104"/>
      <c r="C3" s="103" t="s">
        <v>155</v>
      </c>
      <c r="D3" s="105" t="s">
        <v>156</v>
      </c>
      <c r="E3" s="106" t="s">
        <v>157</v>
      </c>
      <c r="F3" s="105" t="s">
        <v>158</v>
      </c>
    </row>
    <row r="4" spans="1:6" ht="11.25" customHeight="1">
      <c r="B4" s="101" t="s">
        <v>159</v>
      </c>
      <c r="D4" s="107">
        <v>17075.75</v>
      </c>
      <c r="E4" s="102"/>
      <c r="F4" s="107">
        <f>D4+E4</f>
        <v>17075.75</v>
      </c>
    </row>
    <row r="5" spans="1:6" ht="11.25" customHeight="1">
      <c r="A5" s="108">
        <v>38253</v>
      </c>
      <c r="B5" s="99" t="s">
        <v>160</v>
      </c>
      <c r="D5" s="100">
        <v>90</v>
      </c>
      <c r="E5" s="102"/>
      <c r="F5" s="100">
        <f t="shared" ref="F5:F24" si="0">F4+D5+E5</f>
        <v>17165.75</v>
      </c>
    </row>
    <row r="6" spans="1:6" ht="11.25" customHeight="1">
      <c r="B6" s="99" t="s">
        <v>160</v>
      </c>
      <c r="D6" s="100">
        <v>45</v>
      </c>
      <c r="E6" s="102"/>
      <c r="F6" s="100">
        <f t="shared" si="0"/>
        <v>17210.75</v>
      </c>
    </row>
    <row r="7" spans="1:6" ht="11.25" customHeight="1">
      <c r="B7" s="99" t="s">
        <v>161</v>
      </c>
      <c r="D7" s="100">
        <v>5</v>
      </c>
      <c r="E7" s="102"/>
      <c r="F7" s="100">
        <f t="shared" si="0"/>
        <v>17215.75</v>
      </c>
    </row>
    <row r="8" spans="1:6" ht="11.25" customHeight="1">
      <c r="B8" s="99" t="s">
        <v>160</v>
      </c>
      <c r="D8" s="100">
        <v>36</v>
      </c>
      <c r="E8" s="102"/>
      <c r="F8" s="100">
        <f t="shared" si="0"/>
        <v>17251.75</v>
      </c>
    </row>
    <row r="9" spans="1:6" ht="11.25" customHeight="1">
      <c r="B9" s="101" t="s">
        <v>162</v>
      </c>
      <c r="C9" s="101"/>
      <c r="D9" s="109">
        <v>725</v>
      </c>
      <c r="E9" s="102"/>
      <c r="F9" s="100">
        <f t="shared" si="0"/>
        <v>17976.75</v>
      </c>
    </row>
    <row r="10" spans="1:6" ht="11.25" customHeight="1">
      <c r="B10" s="101" t="s">
        <v>163</v>
      </c>
      <c r="C10" s="101"/>
      <c r="D10" s="109">
        <v>725</v>
      </c>
      <c r="E10" s="102"/>
      <c r="F10" s="100">
        <f t="shared" si="0"/>
        <v>18701.75</v>
      </c>
    </row>
    <row r="11" spans="1:6" ht="11.25" customHeight="1">
      <c r="B11" s="101" t="s">
        <v>164</v>
      </c>
      <c r="C11" s="101"/>
      <c r="D11" s="109">
        <v>725</v>
      </c>
      <c r="E11" s="102"/>
      <c r="F11" s="100">
        <f t="shared" si="0"/>
        <v>19426.75</v>
      </c>
    </row>
    <row r="12" spans="1:6" ht="11.25" customHeight="1">
      <c r="B12" s="101" t="s">
        <v>165</v>
      </c>
      <c r="C12" s="101"/>
      <c r="D12" s="109">
        <v>1200</v>
      </c>
      <c r="E12" s="102"/>
      <c r="F12" s="100">
        <f t="shared" si="0"/>
        <v>20626.75</v>
      </c>
    </row>
    <row r="13" spans="1:6" ht="11.25" customHeight="1">
      <c r="B13" s="101" t="s">
        <v>166</v>
      </c>
      <c r="C13" s="101"/>
      <c r="D13" s="109">
        <v>725</v>
      </c>
      <c r="E13" s="102"/>
      <c r="F13" s="100">
        <f t="shared" si="0"/>
        <v>21351.75</v>
      </c>
    </row>
    <row r="14" spans="1:6" ht="11.25" customHeight="1">
      <c r="B14" s="99" t="s">
        <v>167</v>
      </c>
      <c r="D14" s="100">
        <v>65</v>
      </c>
      <c r="E14" s="102"/>
      <c r="F14" s="100">
        <f t="shared" si="0"/>
        <v>21416.75</v>
      </c>
    </row>
    <row r="15" spans="1:6" ht="11.25" customHeight="1">
      <c r="B15" s="99" t="s">
        <v>168</v>
      </c>
      <c r="D15" s="100">
        <v>400</v>
      </c>
      <c r="E15" s="102"/>
      <c r="F15" s="100">
        <f t="shared" si="0"/>
        <v>21816.75</v>
      </c>
    </row>
    <row r="16" spans="1:6" ht="11.25" customHeight="1">
      <c r="B16" s="101" t="s">
        <v>169</v>
      </c>
      <c r="C16" s="101"/>
      <c r="D16" s="109">
        <v>725</v>
      </c>
      <c r="E16" s="102"/>
      <c r="F16" s="100">
        <f t="shared" si="0"/>
        <v>22541.75</v>
      </c>
    </row>
    <row r="17" spans="1:6" ht="11.25" customHeight="1">
      <c r="B17" s="101" t="s">
        <v>170</v>
      </c>
      <c r="C17" s="101"/>
      <c r="D17" s="109">
        <v>725</v>
      </c>
      <c r="E17" s="102"/>
      <c r="F17" s="100">
        <f t="shared" si="0"/>
        <v>23266.75</v>
      </c>
    </row>
    <row r="18" spans="1:6" ht="11.25" customHeight="1">
      <c r="B18" s="101" t="s">
        <v>165</v>
      </c>
      <c r="C18" s="101"/>
      <c r="D18" s="109">
        <v>4500</v>
      </c>
      <c r="E18" s="102"/>
      <c r="F18" s="100">
        <f t="shared" si="0"/>
        <v>27766.75</v>
      </c>
    </row>
    <row r="19" spans="1:6" ht="11.25" customHeight="1">
      <c r="A19" s="108">
        <v>38328</v>
      </c>
      <c r="B19" s="101" t="s">
        <v>171</v>
      </c>
      <c r="C19" s="101">
        <v>1</v>
      </c>
      <c r="D19" s="109">
        <v>2426</v>
      </c>
      <c r="E19" s="102"/>
      <c r="F19" s="100">
        <f t="shared" si="0"/>
        <v>30192.75</v>
      </c>
    </row>
    <row r="20" spans="1:6" ht="11.25" customHeight="1">
      <c r="B20" s="101" t="s">
        <v>172</v>
      </c>
      <c r="C20" s="101"/>
      <c r="D20" s="109">
        <v>1520</v>
      </c>
      <c r="E20" s="102"/>
      <c r="F20" s="100">
        <f t="shared" si="0"/>
        <v>31712.75</v>
      </c>
    </row>
    <row r="21" spans="1:6" ht="11.25" customHeight="1">
      <c r="B21" s="99" t="s">
        <v>173</v>
      </c>
      <c r="D21" s="100"/>
      <c r="E21" s="102">
        <v>-2000</v>
      </c>
      <c r="F21" s="100">
        <f t="shared" si="0"/>
        <v>29712.75</v>
      </c>
    </row>
    <row r="22" spans="1:6" ht="11.25" customHeight="1">
      <c r="B22" s="99" t="s">
        <v>174</v>
      </c>
      <c r="D22" s="100"/>
      <c r="E22" s="102">
        <v>-3000</v>
      </c>
      <c r="F22" s="100">
        <f t="shared" si="0"/>
        <v>26712.75</v>
      </c>
    </row>
    <row r="23" spans="1:6" ht="11.25" customHeight="1">
      <c r="B23" s="99" t="s">
        <v>175</v>
      </c>
      <c r="D23" s="100"/>
      <c r="E23" s="102">
        <v>-3750</v>
      </c>
      <c r="F23" s="100">
        <f t="shared" si="0"/>
        <v>22962.75</v>
      </c>
    </row>
    <row r="24" spans="1:6" ht="11.25" customHeight="1">
      <c r="A24" s="108">
        <v>38352</v>
      </c>
      <c r="B24" s="99" t="s">
        <v>176</v>
      </c>
      <c r="D24" s="100"/>
      <c r="E24" s="102">
        <v>-1960</v>
      </c>
      <c r="F24" s="100">
        <f t="shared" si="0"/>
        <v>21002.75</v>
      </c>
    </row>
    <row r="25" spans="1:6" ht="11.25" customHeight="1">
      <c r="A25" s="108"/>
      <c r="C25" s="110" t="s">
        <v>177</v>
      </c>
      <c r="D25" s="107">
        <f>SUM(D5:D24)</f>
        <v>14637</v>
      </c>
      <c r="E25" s="111">
        <f>SUM(E5:E24)</f>
        <v>-10710</v>
      </c>
      <c r="F25" s="100"/>
    </row>
    <row r="26" spans="1:6" ht="11.25" customHeight="1">
      <c r="A26" s="108"/>
      <c r="D26" s="100"/>
      <c r="E26" s="102"/>
      <c r="F26" s="100"/>
    </row>
    <row r="27" spans="1:6" ht="11.25" customHeight="1">
      <c r="A27" s="108"/>
      <c r="D27" s="100"/>
      <c r="E27" s="102"/>
      <c r="F27" s="100"/>
    </row>
    <row r="28" spans="1:6" ht="11.25" customHeight="1">
      <c r="A28" s="103">
        <v>2005</v>
      </c>
      <c r="B28" s="104"/>
      <c r="C28" s="103" t="s">
        <v>155</v>
      </c>
      <c r="D28" s="105" t="s">
        <v>156</v>
      </c>
      <c r="E28" s="106" t="s">
        <v>157</v>
      </c>
      <c r="F28" s="105" t="s">
        <v>158</v>
      </c>
    </row>
    <row r="29" spans="1:6" ht="11.25" customHeight="1">
      <c r="A29" s="108"/>
      <c r="D29" s="100"/>
      <c r="E29" s="112" t="s">
        <v>178</v>
      </c>
      <c r="F29" s="100">
        <f>F24</f>
        <v>21002.75</v>
      </c>
    </row>
    <row r="30" spans="1:6" ht="11.25" customHeight="1">
      <c r="A30" s="108">
        <v>38366</v>
      </c>
      <c r="B30" s="101" t="s">
        <v>179</v>
      </c>
      <c r="C30" s="101">
        <v>2</v>
      </c>
      <c r="D30" s="109">
        <v>677</v>
      </c>
      <c r="E30" s="102"/>
      <c r="F30" s="100">
        <f t="shared" ref="F30:F66" si="1">F29+D30+E30</f>
        <v>21679.75</v>
      </c>
    </row>
    <row r="31" spans="1:6" ht="11.25" customHeight="1">
      <c r="A31" s="108">
        <v>38369</v>
      </c>
      <c r="B31" s="101" t="s">
        <v>171</v>
      </c>
      <c r="C31" s="101">
        <v>3</v>
      </c>
      <c r="D31" s="109">
        <v>2466.3200000000002</v>
      </c>
      <c r="E31" s="102"/>
      <c r="F31" s="100">
        <f t="shared" si="1"/>
        <v>24146.07</v>
      </c>
    </row>
    <row r="32" spans="1:6" ht="11.25" customHeight="1">
      <c r="A32" s="108">
        <v>38378</v>
      </c>
      <c r="B32" s="99" t="s">
        <v>180</v>
      </c>
      <c r="D32" s="100">
        <v>200</v>
      </c>
      <c r="E32" s="102"/>
      <c r="F32" s="100">
        <f t="shared" si="1"/>
        <v>24346.07</v>
      </c>
    </row>
    <row r="33" spans="1:6" ht="11.25" customHeight="1">
      <c r="A33" s="108"/>
      <c r="B33" s="99" t="s">
        <v>167</v>
      </c>
      <c r="D33" s="100">
        <v>140</v>
      </c>
      <c r="E33" s="102"/>
      <c r="F33" s="100">
        <f t="shared" si="1"/>
        <v>24486.07</v>
      </c>
    </row>
    <row r="34" spans="1:6" ht="11.25" customHeight="1">
      <c r="A34" s="108"/>
      <c r="B34" s="99" t="s">
        <v>181</v>
      </c>
      <c r="D34" s="100">
        <v>1000</v>
      </c>
      <c r="E34" s="102"/>
      <c r="F34" s="100">
        <f t="shared" si="1"/>
        <v>25486.07</v>
      </c>
    </row>
    <row r="35" spans="1:6" ht="11.25" customHeight="1">
      <c r="A35" s="108">
        <v>38383</v>
      </c>
      <c r="B35" s="101" t="s">
        <v>182</v>
      </c>
      <c r="C35" s="101"/>
      <c r="D35" s="109">
        <v>760</v>
      </c>
      <c r="E35" s="102"/>
      <c r="F35" s="100">
        <f t="shared" si="1"/>
        <v>26246.07</v>
      </c>
    </row>
    <row r="36" spans="1:6" ht="11.25" customHeight="1">
      <c r="A36" s="108">
        <v>38411</v>
      </c>
      <c r="B36" s="101" t="s">
        <v>183</v>
      </c>
      <c r="C36" s="101"/>
      <c r="D36" s="109">
        <v>760</v>
      </c>
      <c r="E36" s="102"/>
      <c r="F36" s="100">
        <f t="shared" si="1"/>
        <v>27006.07</v>
      </c>
    </row>
    <row r="37" spans="1:6" ht="11.25" customHeight="1">
      <c r="A37" s="108">
        <v>38421</v>
      </c>
      <c r="B37" s="101" t="s">
        <v>184</v>
      </c>
      <c r="C37" s="101">
        <v>4</v>
      </c>
      <c r="D37" s="109">
        <v>2568.86</v>
      </c>
      <c r="E37" s="102"/>
      <c r="F37" s="100">
        <f t="shared" si="1"/>
        <v>29574.93</v>
      </c>
    </row>
    <row r="38" spans="1:6" ht="11.25" customHeight="1">
      <c r="A38" s="108">
        <v>38422</v>
      </c>
      <c r="B38" s="101" t="s">
        <v>185</v>
      </c>
      <c r="C38" s="101">
        <v>5</v>
      </c>
      <c r="D38" s="109">
        <v>2414.08</v>
      </c>
      <c r="E38" s="102"/>
      <c r="F38" s="100">
        <f t="shared" si="1"/>
        <v>31989.010000000002</v>
      </c>
    </row>
    <row r="39" spans="1:6" ht="11.25" customHeight="1">
      <c r="A39" s="108">
        <v>38422</v>
      </c>
      <c r="B39" s="101" t="s">
        <v>186</v>
      </c>
      <c r="C39" s="101">
        <v>6</v>
      </c>
      <c r="D39" s="109">
        <v>2279.2399999999998</v>
      </c>
      <c r="E39" s="102"/>
      <c r="F39" s="100">
        <f t="shared" si="1"/>
        <v>34268.25</v>
      </c>
    </row>
    <row r="40" spans="1:6" ht="11.25" customHeight="1">
      <c r="A40" s="108">
        <v>38442</v>
      </c>
      <c r="B40" s="101" t="s">
        <v>187</v>
      </c>
      <c r="C40" s="101"/>
      <c r="D40" s="109">
        <v>742</v>
      </c>
      <c r="E40" s="102"/>
      <c r="F40" s="100">
        <f t="shared" si="1"/>
        <v>35010.25</v>
      </c>
    </row>
    <row r="41" spans="1:6" ht="11.25" customHeight="1">
      <c r="A41" s="108"/>
      <c r="B41" s="99" t="s">
        <v>167</v>
      </c>
      <c r="D41" s="100">
        <v>65</v>
      </c>
      <c r="E41" s="102"/>
      <c r="F41" s="100">
        <f t="shared" si="1"/>
        <v>35075.25</v>
      </c>
    </row>
    <row r="42" spans="1:6" ht="11.25" customHeight="1">
      <c r="A42" s="108"/>
      <c r="B42" s="99" t="s">
        <v>188</v>
      </c>
      <c r="D42" s="100">
        <v>5</v>
      </c>
      <c r="E42" s="102"/>
      <c r="F42" s="100">
        <f t="shared" si="1"/>
        <v>35080.25</v>
      </c>
    </row>
    <row r="43" spans="1:6" ht="11.25" customHeight="1">
      <c r="A43" s="108">
        <v>38472</v>
      </c>
      <c r="B43" s="101" t="s">
        <v>189</v>
      </c>
      <c r="C43" s="101"/>
      <c r="D43" s="109">
        <v>742</v>
      </c>
      <c r="E43" s="102"/>
      <c r="F43" s="100">
        <f t="shared" si="1"/>
        <v>35822.25</v>
      </c>
    </row>
    <row r="44" spans="1:6" ht="11.25" customHeight="1">
      <c r="A44" s="108"/>
      <c r="B44" s="99" t="s">
        <v>190</v>
      </c>
      <c r="D44" s="100">
        <v>10</v>
      </c>
      <c r="E44" s="102"/>
      <c r="F44" s="100">
        <f t="shared" si="1"/>
        <v>35832.25</v>
      </c>
    </row>
    <row r="45" spans="1:6" ht="11.25" customHeight="1">
      <c r="A45" s="108"/>
      <c r="B45" s="99" t="s">
        <v>191</v>
      </c>
      <c r="D45" s="100">
        <v>3</v>
      </c>
      <c r="E45" s="102"/>
      <c r="F45" s="100">
        <f t="shared" si="1"/>
        <v>35835.25</v>
      </c>
    </row>
    <row r="46" spans="1:6" ht="11.25" customHeight="1">
      <c r="A46" s="108">
        <v>38503</v>
      </c>
      <c r="B46" s="101" t="s">
        <v>192</v>
      </c>
      <c r="C46" s="101"/>
      <c r="D46" s="109">
        <v>750</v>
      </c>
      <c r="E46" s="102"/>
      <c r="F46" s="100">
        <f t="shared" si="1"/>
        <v>36585.25</v>
      </c>
    </row>
    <row r="47" spans="1:6" ht="11.25" customHeight="1">
      <c r="A47" s="108">
        <v>38506</v>
      </c>
      <c r="B47" s="101" t="s">
        <v>193</v>
      </c>
      <c r="C47" s="101">
        <v>7</v>
      </c>
      <c r="D47" s="109">
        <v>2547.8000000000002</v>
      </c>
      <c r="E47" s="102"/>
      <c r="F47" s="100">
        <f t="shared" si="1"/>
        <v>39133.050000000003</v>
      </c>
    </row>
    <row r="48" spans="1:6" ht="11.25" customHeight="1">
      <c r="A48" s="108">
        <v>38506</v>
      </c>
      <c r="B48" s="101" t="s">
        <v>194</v>
      </c>
      <c r="C48" s="101">
        <v>8</v>
      </c>
      <c r="D48" s="109">
        <v>2392.65</v>
      </c>
      <c r="E48" s="102"/>
      <c r="F48" s="100">
        <f t="shared" si="1"/>
        <v>41525.700000000004</v>
      </c>
    </row>
    <row r="49" spans="1:6" ht="11.25" customHeight="1">
      <c r="A49" s="108"/>
      <c r="B49" s="99" t="s">
        <v>195</v>
      </c>
      <c r="D49" s="100">
        <v>116</v>
      </c>
      <c r="E49" s="102"/>
      <c r="F49" s="100">
        <f t="shared" si="1"/>
        <v>41641.700000000004</v>
      </c>
    </row>
    <row r="50" spans="1:6" ht="11.25" customHeight="1">
      <c r="A50" s="108">
        <v>38582</v>
      </c>
      <c r="B50" s="101" t="s">
        <v>196</v>
      </c>
      <c r="C50" s="101">
        <v>10</v>
      </c>
      <c r="D50" s="109">
        <v>7455.35</v>
      </c>
      <c r="E50" s="102"/>
      <c r="F50" s="100">
        <f t="shared" si="1"/>
        <v>49097.05</v>
      </c>
    </row>
    <row r="51" spans="1:6" ht="11.25" customHeight="1">
      <c r="A51" s="108">
        <v>38582</v>
      </c>
      <c r="B51" s="101" t="s">
        <v>196</v>
      </c>
      <c r="C51" s="101">
        <v>11</v>
      </c>
      <c r="D51" s="109">
        <v>80.73</v>
      </c>
      <c r="E51" s="102"/>
      <c r="F51" s="100">
        <f t="shared" si="1"/>
        <v>49177.780000000006</v>
      </c>
    </row>
    <row r="52" spans="1:6" ht="11.25" customHeight="1">
      <c r="A52" s="113">
        <v>38582</v>
      </c>
      <c r="B52" s="114" t="s">
        <v>197</v>
      </c>
      <c r="C52" s="114">
        <v>9</v>
      </c>
      <c r="D52" s="115">
        <v>10861.5</v>
      </c>
      <c r="E52" s="102"/>
      <c r="F52" s="100">
        <f t="shared" si="1"/>
        <v>60039.280000000006</v>
      </c>
    </row>
    <row r="53" spans="1:6" ht="11.25" customHeight="1">
      <c r="A53" s="108">
        <v>38477</v>
      </c>
      <c r="B53" s="99" t="s">
        <v>198</v>
      </c>
      <c r="C53" s="99">
        <v>12</v>
      </c>
      <c r="D53" s="100">
        <v>1500</v>
      </c>
      <c r="E53" s="102"/>
      <c r="F53" s="100">
        <f t="shared" si="1"/>
        <v>61539.280000000006</v>
      </c>
    </row>
    <row r="54" spans="1:6" ht="11.25" customHeight="1">
      <c r="A54" s="108">
        <v>38603</v>
      </c>
      <c r="B54" s="101" t="s">
        <v>199</v>
      </c>
      <c r="C54" s="101">
        <v>13</v>
      </c>
      <c r="D54" s="109">
        <v>2494.27</v>
      </c>
      <c r="E54" s="102"/>
      <c r="F54" s="100">
        <f t="shared" si="1"/>
        <v>64033.55</v>
      </c>
    </row>
    <row r="55" spans="1:6" ht="11.25" customHeight="1">
      <c r="A55" s="108">
        <v>38603</v>
      </c>
      <c r="B55" s="101" t="s">
        <v>200</v>
      </c>
      <c r="C55" s="101">
        <v>14</v>
      </c>
      <c r="D55" s="109">
        <v>2379.15</v>
      </c>
      <c r="E55" s="102"/>
      <c r="F55" s="100">
        <f t="shared" si="1"/>
        <v>66412.7</v>
      </c>
    </row>
    <row r="56" spans="1:6" ht="11.25" customHeight="1">
      <c r="A56" s="108">
        <v>38603</v>
      </c>
      <c r="B56" s="101" t="s">
        <v>201</v>
      </c>
      <c r="C56" s="101">
        <v>15</v>
      </c>
      <c r="D56" s="109">
        <v>2623.01</v>
      </c>
      <c r="E56" s="102"/>
      <c r="F56" s="100">
        <f t="shared" si="1"/>
        <v>69035.709999999992</v>
      </c>
    </row>
    <row r="57" spans="1:6" ht="11.25" customHeight="1">
      <c r="A57" s="108"/>
      <c r="B57" s="99" t="s">
        <v>202</v>
      </c>
      <c r="D57" s="100">
        <v>3900</v>
      </c>
      <c r="E57" s="102"/>
      <c r="F57" s="100">
        <f t="shared" si="1"/>
        <v>72935.709999999992</v>
      </c>
    </row>
    <row r="58" spans="1:6" ht="11.25" customHeight="1">
      <c r="A58" s="108"/>
      <c r="B58" s="99" t="s">
        <v>203</v>
      </c>
      <c r="D58" s="100">
        <v>3540</v>
      </c>
      <c r="E58" s="102"/>
      <c r="F58" s="100">
        <f t="shared" si="1"/>
        <v>76475.709999999992</v>
      </c>
    </row>
    <row r="59" spans="1:6" ht="11.25" customHeight="1">
      <c r="A59" s="108"/>
      <c r="B59" s="99" t="s">
        <v>204</v>
      </c>
      <c r="D59" s="100"/>
      <c r="E59" s="102">
        <v>-7040</v>
      </c>
      <c r="F59" s="100">
        <f t="shared" si="1"/>
        <v>69435.709999999992</v>
      </c>
    </row>
    <row r="60" spans="1:6" ht="11.25" customHeight="1">
      <c r="A60" s="108">
        <v>38643</v>
      </c>
      <c r="B60" s="101" t="s">
        <v>205</v>
      </c>
      <c r="C60" s="101">
        <v>16</v>
      </c>
      <c r="D60" s="109">
        <v>2421.46</v>
      </c>
      <c r="E60" s="102"/>
      <c r="F60" s="100">
        <f t="shared" si="1"/>
        <v>71857.17</v>
      </c>
    </row>
    <row r="61" spans="1:6" ht="11.25" customHeight="1">
      <c r="A61" s="108">
        <v>38643</v>
      </c>
      <c r="B61" s="101" t="s">
        <v>206</v>
      </c>
      <c r="C61" s="101">
        <v>17</v>
      </c>
      <c r="D61" s="109">
        <v>2309.5</v>
      </c>
      <c r="E61" s="102"/>
      <c r="F61" s="100">
        <f t="shared" si="1"/>
        <v>74166.67</v>
      </c>
    </row>
    <row r="62" spans="1:6" ht="11.25" customHeight="1">
      <c r="A62" s="108">
        <v>38643</v>
      </c>
      <c r="B62" s="99" t="s">
        <v>207</v>
      </c>
      <c r="C62" s="99">
        <v>18</v>
      </c>
      <c r="D62" s="100">
        <v>10165</v>
      </c>
      <c r="E62" s="102"/>
      <c r="F62" s="100">
        <f t="shared" si="1"/>
        <v>84331.67</v>
      </c>
    </row>
    <row r="63" spans="1:6" ht="11.25" customHeight="1">
      <c r="A63" s="108"/>
      <c r="B63" s="101" t="s">
        <v>208</v>
      </c>
      <c r="C63" s="101"/>
      <c r="D63" s="109">
        <v>500</v>
      </c>
      <c r="E63" s="102"/>
      <c r="F63" s="100">
        <f t="shared" si="1"/>
        <v>84831.67</v>
      </c>
    </row>
    <row r="64" spans="1:6" ht="11.25" customHeight="1">
      <c r="A64" s="108"/>
      <c r="B64" s="99" t="s">
        <v>209</v>
      </c>
      <c r="D64" s="100">
        <v>30</v>
      </c>
      <c r="E64" s="102"/>
      <c r="F64" s="100">
        <f t="shared" si="1"/>
        <v>84861.67</v>
      </c>
    </row>
    <row r="65" spans="1:6" ht="11.25" customHeight="1">
      <c r="A65" s="108"/>
      <c r="B65" s="101" t="s">
        <v>208</v>
      </c>
      <c r="C65" s="101"/>
      <c r="D65" s="109">
        <v>105</v>
      </c>
      <c r="E65" s="102"/>
      <c r="F65" s="100">
        <f t="shared" si="1"/>
        <v>84966.67</v>
      </c>
    </row>
    <row r="66" spans="1:6" ht="11.25" customHeight="1">
      <c r="A66" s="108"/>
      <c r="B66" s="99" t="s">
        <v>210</v>
      </c>
      <c r="D66" s="100">
        <v>1000</v>
      </c>
      <c r="E66" s="102"/>
      <c r="F66" s="100">
        <f t="shared" si="1"/>
        <v>85966.67</v>
      </c>
    </row>
    <row r="67" spans="1:6" ht="11.25" customHeight="1">
      <c r="A67" s="108"/>
      <c r="C67" s="110" t="s">
        <v>211</v>
      </c>
      <c r="D67" s="107">
        <f>SUM(D30:D66)</f>
        <v>72003.92</v>
      </c>
      <c r="E67" s="111">
        <f>SUM(E30:E66)</f>
        <v>-7040</v>
      </c>
      <c r="F67" s="100"/>
    </row>
    <row r="68" spans="1:6" ht="11.25" customHeight="1">
      <c r="A68" s="108"/>
      <c r="D68" s="100"/>
      <c r="E68" s="102"/>
      <c r="F68" s="100"/>
    </row>
    <row r="69" spans="1:6" ht="11.25" customHeight="1">
      <c r="A69" s="108"/>
      <c r="D69" s="100"/>
      <c r="E69" s="102"/>
      <c r="F69" s="100"/>
    </row>
    <row r="70" spans="1:6" ht="11.25" customHeight="1">
      <c r="A70" s="108"/>
      <c r="D70" s="100"/>
      <c r="E70" s="102"/>
      <c r="F70" s="100"/>
    </row>
    <row r="71" spans="1:6" ht="11.25" customHeight="1">
      <c r="A71" s="103">
        <v>2006</v>
      </c>
      <c r="B71" s="104"/>
      <c r="C71" s="103" t="s">
        <v>155</v>
      </c>
      <c r="D71" s="105" t="s">
        <v>156</v>
      </c>
      <c r="E71" s="106" t="s">
        <v>157</v>
      </c>
      <c r="F71" s="105" t="s">
        <v>158</v>
      </c>
    </row>
    <row r="72" spans="1:6" ht="11.25" customHeight="1">
      <c r="A72" s="108"/>
      <c r="D72" s="100"/>
      <c r="E72" s="112" t="s">
        <v>212</v>
      </c>
      <c r="F72" s="109">
        <f>F66</f>
        <v>85966.67</v>
      </c>
    </row>
    <row r="73" spans="1:6" ht="11.25" customHeight="1">
      <c r="A73" s="99">
        <v>2006</v>
      </c>
      <c r="B73" s="99" t="s">
        <v>213</v>
      </c>
      <c r="D73" s="100">
        <v>3150</v>
      </c>
      <c r="E73" s="102"/>
      <c r="F73" s="100">
        <f t="shared" ref="F73:F104" si="2">F72+D73+E73</f>
        <v>89116.67</v>
      </c>
    </row>
    <row r="74" spans="1:6" ht="11.25" customHeight="1">
      <c r="A74" s="108"/>
      <c r="B74" s="99" t="s">
        <v>214</v>
      </c>
      <c r="D74" s="100">
        <v>200</v>
      </c>
      <c r="E74" s="102"/>
      <c r="F74" s="100">
        <f t="shared" si="2"/>
        <v>89316.67</v>
      </c>
    </row>
    <row r="75" spans="1:6" ht="11.25" customHeight="1">
      <c r="A75" s="108"/>
      <c r="B75" s="99" t="s">
        <v>215</v>
      </c>
      <c r="D75" s="100">
        <v>49</v>
      </c>
      <c r="E75" s="102"/>
      <c r="F75" s="100">
        <f t="shared" si="2"/>
        <v>89365.67</v>
      </c>
    </row>
    <row r="76" spans="1:6" ht="11.25" customHeight="1">
      <c r="A76" s="108"/>
      <c r="B76" s="99" t="s">
        <v>216</v>
      </c>
      <c r="D76" s="100">
        <v>115</v>
      </c>
      <c r="E76" s="102"/>
      <c r="F76" s="100">
        <f t="shared" si="2"/>
        <v>89480.67</v>
      </c>
    </row>
    <row r="77" spans="1:6" ht="11.25" customHeight="1">
      <c r="A77" s="108">
        <v>38762</v>
      </c>
      <c r="B77" s="101" t="s">
        <v>217</v>
      </c>
      <c r="C77" s="101">
        <v>19</v>
      </c>
      <c r="D77" s="109">
        <v>2755</v>
      </c>
      <c r="E77" s="102"/>
      <c r="F77" s="100">
        <f t="shared" si="2"/>
        <v>92235.67</v>
      </c>
    </row>
    <row r="78" spans="1:6" ht="11.25" customHeight="1">
      <c r="A78" s="108">
        <v>38762</v>
      </c>
      <c r="B78" s="101" t="s">
        <v>218</v>
      </c>
      <c r="C78" s="101">
        <v>20</v>
      </c>
      <c r="D78" s="109">
        <v>2399.2399999999998</v>
      </c>
      <c r="E78" s="102"/>
      <c r="F78" s="100">
        <f t="shared" si="2"/>
        <v>94634.91</v>
      </c>
    </row>
    <row r="79" spans="1:6" ht="11.25" customHeight="1">
      <c r="A79" s="108">
        <v>38762</v>
      </c>
      <c r="B79" s="101" t="s">
        <v>219</v>
      </c>
      <c r="C79" s="101">
        <v>21</v>
      </c>
      <c r="D79" s="109">
        <v>2298.65</v>
      </c>
      <c r="E79" s="102"/>
      <c r="F79" s="100">
        <f t="shared" si="2"/>
        <v>96933.56</v>
      </c>
    </row>
    <row r="80" spans="1:6" ht="11.25" customHeight="1">
      <c r="A80" s="108">
        <v>38762</v>
      </c>
      <c r="B80" s="101" t="s">
        <v>220</v>
      </c>
      <c r="C80" s="101">
        <v>22</v>
      </c>
      <c r="D80" s="109">
        <v>2489.14</v>
      </c>
      <c r="E80" s="102"/>
      <c r="F80" s="100">
        <f t="shared" si="2"/>
        <v>99422.7</v>
      </c>
    </row>
    <row r="81" spans="1:6" ht="11.25" customHeight="1">
      <c r="A81" s="108">
        <v>38762</v>
      </c>
      <c r="B81" s="101" t="s">
        <v>221</v>
      </c>
      <c r="C81" s="101">
        <v>23</v>
      </c>
      <c r="D81" s="109">
        <v>2580.3000000000002</v>
      </c>
      <c r="E81" s="102"/>
      <c r="F81" s="100">
        <f t="shared" si="2"/>
        <v>102003</v>
      </c>
    </row>
    <row r="82" spans="1:6" ht="11.25" customHeight="1">
      <c r="A82" s="108">
        <v>38762</v>
      </c>
      <c r="B82" s="101" t="s">
        <v>222</v>
      </c>
      <c r="C82" s="101">
        <v>24</v>
      </c>
      <c r="D82" s="109">
        <v>30724.12</v>
      </c>
      <c r="E82" s="102"/>
      <c r="F82" s="100">
        <f t="shared" si="2"/>
        <v>132727.12</v>
      </c>
    </row>
    <row r="83" spans="1:6" ht="11.25" customHeight="1">
      <c r="A83" s="108"/>
      <c r="B83" s="99" t="s">
        <v>223</v>
      </c>
      <c r="D83" s="100"/>
      <c r="E83" s="102">
        <v>-250</v>
      </c>
      <c r="F83" s="100">
        <f t="shared" si="2"/>
        <v>132477.12</v>
      </c>
    </row>
    <row r="84" spans="1:6" ht="11.25" customHeight="1">
      <c r="A84" s="108"/>
      <c r="B84" s="99" t="s">
        <v>224</v>
      </c>
      <c r="D84" s="100"/>
      <c r="E84" s="102">
        <v>-30</v>
      </c>
      <c r="F84" s="100">
        <f t="shared" si="2"/>
        <v>132447.12</v>
      </c>
    </row>
    <row r="85" spans="1:6" ht="11.25" customHeight="1">
      <c r="A85" s="108"/>
      <c r="B85" s="99" t="s">
        <v>225</v>
      </c>
      <c r="D85" s="100"/>
      <c r="E85" s="102">
        <v>-603</v>
      </c>
      <c r="F85" s="100">
        <f t="shared" si="2"/>
        <v>131844.12</v>
      </c>
    </row>
    <row r="86" spans="1:6" ht="11.25" customHeight="1">
      <c r="A86" s="108"/>
      <c r="B86" s="99" t="s">
        <v>226</v>
      </c>
      <c r="D86" s="100">
        <v>208</v>
      </c>
      <c r="E86" s="102"/>
      <c r="F86" s="100">
        <f t="shared" si="2"/>
        <v>132052.12</v>
      </c>
    </row>
    <row r="87" spans="1:6" ht="11.25" customHeight="1">
      <c r="A87" s="108"/>
      <c r="B87" s="99" t="s">
        <v>167</v>
      </c>
      <c r="D87" s="100">
        <v>216</v>
      </c>
      <c r="E87" s="102"/>
      <c r="F87" s="100">
        <f t="shared" si="2"/>
        <v>132268.12</v>
      </c>
    </row>
    <row r="88" spans="1:6" ht="11.25" customHeight="1">
      <c r="A88" s="108"/>
      <c r="B88" s="99" t="s">
        <v>160</v>
      </c>
      <c r="D88" s="100">
        <v>164</v>
      </c>
      <c r="E88" s="102"/>
      <c r="F88" s="100">
        <f t="shared" si="2"/>
        <v>132432.12</v>
      </c>
    </row>
    <row r="89" spans="1:6" ht="11.25" customHeight="1">
      <c r="A89" s="108"/>
      <c r="B89" s="99" t="s">
        <v>227</v>
      </c>
      <c r="D89" s="100">
        <v>40</v>
      </c>
      <c r="E89" s="102"/>
      <c r="F89" s="100">
        <f t="shared" si="2"/>
        <v>132472.12</v>
      </c>
    </row>
    <row r="90" spans="1:6" ht="11.25" customHeight="1">
      <c r="A90" s="108"/>
      <c r="B90" s="99" t="s">
        <v>167</v>
      </c>
      <c r="D90" s="100">
        <v>108</v>
      </c>
      <c r="E90" s="102"/>
      <c r="F90" s="100">
        <f t="shared" si="2"/>
        <v>132580.12</v>
      </c>
    </row>
    <row r="91" spans="1:6" ht="11.25" customHeight="1">
      <c r="A91" s="108"/>
      <c r="B91" s="99" t="s">
        <v>204</v>
      </c>
      <c r="D91" s="100"/>
      <c r="E91" s="102">
        <v>-8908</v>
      </c>
      <c r="F91" s="100">
        <f t="shared" si="2"/>
        <v>123672.12</v>
      </c>
    </row>
    <row r="92" spans="1:6" ht="11.25" customHeight="1">
      <c r="A92" s="108"/>
      <c r="B92" s="101" t="s">
        <v>228</v>
      </c>
      <c r="C92" s="101"/>
      <c r="D92" s="109">
        <v>28</v>
      </c>
      <c r="E92" s="102"/>
      <c r="F92" s="100">
        <f t="shared" si="2"/>
        <v>123700.12</v>
      </c>
    </row>
    <row r="93" spans="1:6" ht="11.25" customHeight="1">
      <c r="A93" s="108"/>
      <c r="B93" s="99" t="s">
        <v>229</v>
      </c>
      <c r="D93" s="100">
        <v>5000</v>
      </c>
      <c r="E93" s="102"/>
      <c r="F93" s="100">
        <f t="shared" si="2"/>
        <v>128700.12</v>
      </c>
    </row>
    <row r="94" spans="1:6" ht="11.25" customHeight="1">
      <c r="A94" s="108"/>
      <c r="B94" s="99" t="s">
        <v>230</v>
      </c>
      <c r="D94" s="100">
        <v>500</v>
      </c>
      <c r="E94" s="102"/>
      <c r="F94" s="100">
        <f t="shared" si="2"/>
        <v>129200.12</v>
      </c>
    </row>
    <row r="95" spans="1:6" ht="11.25" customHeight="1">
      <c r="A95" s="108"/>
      <c r="B95" s="99" t="s">
        <v>231</v>
      </c>
      <c r="D95" s="100"/>
      <c r="E95" s="102">
        <v>-2500</v>
      </c>
      <c r="F95" s="100">
        <f t="shared" si="2"/>
        <v>126700.12</v>
      </c>
    </row>
    <row r="96" spans="1:6" ht="11.25" customHeight="1">
      <c r="A96" s="108"/>
      <c r="B96" s="99" t="s">
        <v>232</v>
      </c>
      <c r="D96" s="100">
        <v>2500</v>
      </c>
      <c r="E96" s="102"/>
      <c r="F96" s="100">
        <f t="shared" si="2"/>
        <v>129200.12</v>
      </c>
    </row>
    <row r="97" spans="1:6" ht="11.25" customHeight="1">
      <c r="A97" s="108"/>
      <c r="B97" s="99" t="s">
        <v>233</v>
      </c>
      <c r="D97" s="100">
        <v>60</v>
      </c>
      <c r="E97" s="102"/>
      <c r="F97" s="100">
        <f t="shared" si="2"/>
        <v>129260.12</v>
      </c>
    </row>
    <row r="98" spans="1:6" ht="11.25" customHeight="1">
      <c r="A98" s="108"/>
      <c r="B98" s="99" t="s">
        <v>233</v>
      </c>
      <c r="D98" s="100">
        <v>72</v>
      </c>
      <c r="E98" s="102"/>
      <c r="F98" s="100">
        <f t="shared" si="2"/>
        <v>129332.12</v>
      </c>
    </row>
    <row r="99" spans="1:6" ht="11.25" customHeight="1">
      <c r="A99" s="108"/>
      <c r="B99" s="99" t="s">
        <v>234</v>
      </c>
      <c r="D99" s="100">
        <v>7708</v>
      </c>
      <c r="E99" s="102"/>
      <c r="F99" s="100">
        <f t="shared" si="2"/>
        <v>137040.12</v>
      </c>
    </row>
    <row r="100" spans="1:6" ht="11.25" customHeight="1">
      <c r="A100" s="108">
        <v>39007</v>
      </c>
      <c r="B100" s="101" t="s">
        <v>235</v>
      </c>
      <c r="C100" s="101"/>
      <c r="D100" s="109">
        <v>172</v>
      </c>
      <c r="E100" s="102"/>
      <c r="F100" s="100">
        <f t="shared" si="2"/>
        <v>137212.12</v>
      </c>
    </row>
    <row r="101" spans="1:6" ht="11.25" customHeight="1">
      <c r="A101" s="108">
        <v>39007</v>
      </c>
      <c r="B101" s="101" t="s">
        <v>235</v>
      </c>
      <c r="C101" s="101"/>
      <c r="D101" s="109">
        <v>210</v>
      </c>
      <c r="E101" s="102"/>
      <c r="F101" s="100">
        <f t="shared" si="2"/>
        <v>137422.12</v>
      </c>
    </row>
    <row r="102" spans="1:6" ht="11.25" customHeight="1">
      <c r="A102" s="108"/>
      <c r="B102" s="99" t="s">
        <v>236</v>
      </c>
      <c r="D102" s="100"/>
      <c r="E102" s="102">
        <v>-25</v>
      </c>
      <c r="F102" s="100">
        <f t="shared" si="2"/>
        <v>137397.12</v>
      </c>
    </row>
    <row r="103" spans="1:6" ht="11.25" customHeight="1">
      <c r="A103" s="108"/>
      <c r="B103" s="99" t="s">
        <v>236</v>
      </c>
      <c r="D103" s="100"/>
      <c r="E103" s="102">
        <v>-13</v>
      </c>
      <c r="F103" s="100">
        <f t="shared" si="2"/>
        <v>137384.12</v>
      </c>
    </row>
    <row r="104" spans="1:6" ht="11.25" customHeight="1">
      <c r="A104" s="108"/>
      <c r="B104" s="99" t="s">
        <v>237</v>
      </c>
      <c r="D104" s="100"/>
      <c r="E104" s="102">
        <v>-1000</v>
      </c>
      <c r="F104" s="100">
        <f t="shared" si="2"/>
        <v>136384.12</v>
      </c>
    </row>
    <row r="105" spans="1:6" ht="11.25" customHeight="1">
      <c r="A105" s="108">
        <v>39001</v>
      </c>
      <c r="B105" s="99" t="s">
        <v>204</v>
      </c>
      <c r="D105" s="100"/>
      <c r="E105" s="102">
        <v>-1274</v>
      </c>
      <c r="F105" s="100">
        <f t="shared" ref="F105:F121" si="3">F104+D105+E105</f>
        <v>135110.12</v>
      </c>
    </row>
    <row r="106" spans="1:6" ht="11.25" customHeight="1">
      <c r="A106" s="108"/>
      <c r="B106" s="99" t="s">
        <v>237</v>
      </c>
      <c r="D106" s="100"/>
      <c r="E106" s="102">
        <v>-1000</v>
      </c>
      <c r="F106" s="100">
        <f t="shared" si="3"/>
        <v>134110.12</v>
      </c>
    </row>
    <row r="107" spans="1:6" ht="11.25" customHeight="1">
      <c r="A107" s="108"/>
      <c r="B107" s="99" t="s">
        <v>224</v>
      </c>
      <c r="D107" s="100"/>
      <c r="E107" s="102">
        <v>-80</v>
      </c>
      <c r="F107" s="100">
        <f t="shared" si="3"/>
        <v>134030.12</v>
      </c>
    </row>
    <row r="108" spans="1:6" ht="11.25" customHeight="1">
      <c r="A108" s="108"/>
      <c r="B108" s="99" t="s">
        <v>224</v>
      </c>
      <c r="D108" s="100">
        <v>70</v>
      </c>
      <c r="E108" s="102"/>
      <c r="F108" s="100">
        <f t="shared" si="3"/>
        <v>134100.12</v>
      </c>
    </row>
    <row r="109" spans="1:6" ht="11.25" customHeight="1">
      <c r="A109" s="108"/>
      <c r="B109" s="99" t="s">
        <v>238</v>
      </c>
      <c r="D109" s="100">
        <v>60</v>
      </c>
      <c r="E109" s="102"/>
      <c r="F109" s="100">
        <f t="shared" si="3"/>
        <v>134160.12</v>
      </c>
    </row>
    <row r="110" spans="1:6" ht="11.25" customHeight="1">
      <c r="A110" s="108"/>
      <c r="B110" s="99" t="s">
        <v>239</v>
      </c>
      <c r="D110" s="100"/>
      <c r="E110" s="102">
        <v>-34</v>
      </c>
      <c r="F110" s="100">
        <f t="shared" si="3"/>
        <v>134126.12</v>
      </c>
    </row>
    <row r="111" spans="1:6" ht="11.25" customHeight="1">
      <c r="A111" s="108"/>
      <c r="B111" s="99" t="s">
        <v>239</v>
      </c>
      <c r="D111" s="100"/>
      <c r="E111" s="102">
        <v>-16</v>
      </c>
      <c r="F111" s="100">
        <f t="shared" si="3"/>
        <v>134110.12</v>
      </c>
    </row>
    <row r="112" spans="1:6" ht="11.25" customHeight="1">
      <c r="A112" s="108"/>
      <c r="B112" s="99" t="s">
        <v>236</v>
      </c>
      <c r="D112" s="100"/>
      <c r="E112" s="102">
        <v>-50</v>
      </c>
      <c r="F112" s="100">
        <f t="shared" si="3"/>
        <v>134060.12</v>
      </c>
    </row>
    <row r="113" spans="1:6" ht="11.25" customHeight="1">
      <c r="A113" s="108"/>
      <c r="B113" s="99" t="s">
        <v>240</v>
      </c>
      <c r="D113" s="100"/>
      <c r="E113" s="102">
        <v>-218</v>
      </c>
      <c r="F113" s="100">
        <f t="shared" si="3"/>
        <v>133842.12</v>
      </c>
    </row>
    <row r="114" spans="1:6" ht="11.25" customHeight="1">
      <c r="A114" s="108"/>
      <c r="B114" s="101" t="s">
        <v>241</v>
      </c>
      <c r="C114" s="101"/>
      <c r="D114" s="109">
        <v>405</v>
      </c>
      <c r="E114" s="102"/>
      <c r="F114" s="100">
        <f t="shared" si="3"/>
        <v>134247.12</v>
      </c>
    </row>
    <row r="115" spans="1:6" ht="11.25" customHeight="1">
      <c r="A115" s="108"/>
      <c r="B115" s="101" t="s">
        <v>242</v>
      </c>
      <c r="C115" s="101"/>
      <c r="D115" s="109">
        <v>900</v>
      </c>
      <c r="E115" s="102"/>
      <c r="F115" s="100">
        <f t="shared" si="3"/>
        <v>135147.12</v>
      </c>
    </row>
    <row r="116" spans="1:6" ht="11.25" customHeight="1">
      <c r="A116" s="108"/>
      <c r="B116" s="101" t="s">
        <v>243</v>
      </c>
      <c r="C116" s="101"/>
      <c r="D116" s="109">
        <v>1050</v>
      </c>
      <c r="E116" s="102"/>
      <c r="F116" s="100">
        <f t="shared" si="3"/>
        <v>136197.12</v>
      </c>
    </row>
    <row r="117" spans="1:6" ht="11.25" customHeight="1">
      <c r="A117" s="108"/>
      <c r="B117" s="101" t="s">
        <v>244</v>
      </c>
      <c r="C117" s="101"/>
      <c r="D117" s="109">
        <v>1200</v>
      </c>
      <c r="E117" s="102"/>
      <c r="F117" s="100">
        <f t="shared" si="3"/>
        <v>137397.12</v>
      </c>
    </row>
    <row r="118" spans="1:6" ht="11.25" customHeight="1">
      <c r="A118" s="108"/>
      <c r="B118" s="101" t="s">
        <v>245</v>
      </c>
      <c r="C118" s="101"/>
      <c r="D118" s="109">
        <v>3365</v>
      </c>
      <c r="E118" s="102"/>
      <c r="F118" s="100">
        <f t="shared" si="3"/>
        <v>140762.12</v>
      </c>
    </row>
    <row r="119" spans="1:6" ht="11.25" customHeight="1">
      <c r="A119" s="108"/>
      <c r="B119" s="101" t="s">
        <v>246</v>
      </c>
      <c r="C119" s="101"/>
      <c r="D119" s="109">
        <v>3000</v>
      </c>
      <c r="E119" s="102"/>
      <c r="F119" s="100">
        <f t="shared" si="3"/>
        <v>143762.12</v>
      </c>
    </row>
    <row r="120" spans="1:6" ht="11.25" customHeight="1">
      <c r="A120" s="108"/>
      <c r="B120" s="99" t="s">
        <v>239</v>
      </c>
      <c r="D120" s="100"/>
      <c r="E120" s="102">
        <v>-204</v>
      </c>
      <c r="F120" s="100">
        <f t="shared" si="3"/>
        <v>143558.12</v>
      </c>
    </row>
    <row r="121" spans="1:6" ht="11.25" customHeight="1">
      <c r="A121" s="108"/>
      <c r="B121" s="99" t="s">
        <v>247</v>
      </c>
      <c r="D121" s="100"/>
      <c r="E121" s="102">
        <v>-25</v>
      </c>
      <c r="F121" s="100">
        <f t="shared" si="3"/>
        <v>143533.12</v>
      </c>
    </row>
    <row r="122" spans="1:6" ht="11.25" customHeight="1">
      <c r="A122" s="108"/>
      <c r="C122" s="110" t="s">
        <v>248</v>
      </c>
      <c r="D122" s="107">
        <f>SUM(D73:D121)</f>
        <v>73796.45</v>
      </c>
      <c r="E122" s="111">
        <f>SUM(E73:E121)</f>
        <v>-16230</v>
      </c>
      <c r="F122" s="100"/>
    </row>
    <row r="123" spans="1:6" ht="11.25" customHeight="1">
      <c r="A123" s="108"/>
      <c r="C123" s="101"/>
      <c r="D123" s="107"/>
      <c r="E123" s="111"/>
      <c r="F123" s="100"/>
    </row>
    <row r="124" spans="1:6" ht="11.25" customHeight="1">
      <c r="A124" s="116">
        <v>2007</v>
      </c>
      <c r="B124" s="104"/>
      <c r="C124" s="103" t="s">
        <v>155</v>
      </c>
      <c r="D124" s="105" t="s">
        <v>156</v>
      </c>
      <c r="E124" s="106" t="s">
        <v>157</v>
      </c>
      <c r="F124" s="105" t="s">
        <v>158</v>
      </c>
    </row>
    <row r="125" spans="1:6" ht="11.25" customHeight="1">
      <c r="A125" s="108"/>
      <c r="D125" s="100"/>
      <c r="E125" s="102"/>
      <c r="F125" s="100">
        <f>F121</f>
        <v>143533.12</v>
      </c>
    </row>
    <row r="126" spans="1:6" ht="11.25" customHeight="1">
      <c r="A126" s="108">
        <v>39092</v>
      </c>
      <c r="B126" s="99" t="s">
        <v>49</v>
      </c>
      <c r="D126" s="100"/>
      <c r="E126" s="102">
        <v>-500</v>
      </c>
      <c r="F126" s="100">
        <f t="shared" ref="F126:F132" si="4">F125+D126+E126</f>
        <v>143033.12</v>
      </c>
    </row>
    <row r="127" spans="1:6" ht="11.25" customHeight="1">
      <c r="A127" s="108"/>
      <c r="B127" s="99" t="s">
        <v>249</v>
      </c>
      <c r="D127" s="100">
        <v>60</v>
      </c>
      <c r="E127" s="102"/>
      <c r="F127" s="100">
        <f t="shared" si="4"/>
        <v>143093.12</v>
      </c>
    </row>
    <row r="128" spans="1:6" ht="11.25" customHeight="1">
      <c r="A128" s="108"/>
      <c r="B128" s="99" t="s">
        <v>250</v>
      </c>
      <c r="D128" s="100">
        <v>68</v>
      </c>
      <c r="E128" s="102"/>
      <c r="F128" s="100">
        <f t="shared" si="4"/>
        <v>143161.12</v>
      </c>
    </row>
    <row r="129" spans="1:6" ht="11.25" customHeight="1">
      <c r="A129" s="108"/>
      <c r="B129" s="99" t="s">
        <v>251</v>
      </c>
      <c r="D129" s="100">
        <v>8</v>
      </c>
      <c r="E129" s="102"/>
      <c r="F129" s="100">
        <f t="shared" si="4"/>
        <v>143169.12</v>
      </c>
    </row>
    <row r="130" spans="1:6" ht="11.25" customHeight="1">
      <c r="A130" s="108"/>
      <c r="B130" s="99" t="s">
        <v>252</v>
      </c>
      <c r="D130" s="100"/>
      <c r="E130" s="102">
        <v>-20</v>
      </c>
      <c r="F130" s="100">
        <f t="shared" si="4"/>
        <v>143149.12</v>
      </c>
    </row>
    <row r="131" spans="1:6" ht="11.25" customHeight="1">
      <c r="A131" s="108"/>
      <c r="B131" s="99" t="s">
        <v>209</v>
      </c>
      <c r="D131" s="100">
        <v>8</v>
      </c>
      <c r="E131" s="102"/>
      <c r="F131" s="100">
        <f t="shared" si="4"/>
        <v>143157.12</v>
      </c>
    </row>
    <row r="132" spans="1:6" ht="11.25" customHeight="1">
      <c r="A132" s="108"/>
      <c r="B132" s="99" t="s">
        <v>253</v>
      </c>
      <c r="D132" s="100">
        <v>251</v>
      </c>
      <c r="E132" s="102"/>
      <c r="F132" s="109">
        <f t="shared" si="4"/>
        <v>143408.12</v>
      </c>
    </row>
    <row r="133" spans="1:6" ht="11.25" customHeight="1">
      <c r="A133" s="108"/>
      <c r="C133" s="110" t="s">
        <v>254</v>
      </c>
      <c r="D133" s="107">
        <f>SUM(D126:D132)</f>
        <v>395</v>
      </c>
      <c r="E133" s="111">
        <f>SUM(E126:E132)</f>
        <v>-520</v>
      </c>
      <c r="F133" s="100"/>
    </row>
    <row r="134" spans="1:6" ht="11.25" customHeight="1">
      <c r="A134" s="108"/>
      <c r="C134" s="110"/>
      <c r="D134" s="107"/>
      <c r="E134" s="111"/>
      <c r="F134" s="100"/>
    </row>
    <row r="135" spans="1:6" ht="11.25" customHeight="1">
      <c r="A135" s="108"/>
      <c r="C135" s="110"/>
      <c r="D135" s="107"/>
      <c r="E135" s="111"/>
      <c r="F135" s="100"/>
    </row>
    <row r="136" spans="1:6" ht="11.25" customHeight="1">
      <c r="A136" s="108"/>
      <c r="C136" s="110"/>
      <c r="D136" s="107"/>
      <c r="E136" s="111"/>
      <c r="F136" s="100"/>
    </row>
    <row r="137" spans="1:6" ht="11.25" customHeight="1">
      <c r="A137" s="108"/>
      <c r="D137" s="100"/>
      <c r="E137" s="102"/>
      <c r="F137" s="100"/>
    </row>
    <row r="138" spans="1:6" ht="11.25" customHeight="1">
      <c r="A138" s="108"/>
      <c r="D138" s="100"/>
      <c r="E138" s="102"/>
      <c r="F138" s="100"/>
    </row>
    <row r="139" spans="1:6" ht="11.25" customHeight="1">
      <c r="A139" s="108"/>
      <c r="D139" s="100"/>
      <c r="E139" s="102"/>
      <c r="F139" s="100"/>
    </row>
    <row r="140" spans="1:6" ht="11.25" customHeight="1">
      <c r="A140" s="117" t="s">
        <v>255</v>
      </c>
      <c r="B140" s="104"/>
      <c r="C140" s="103" t="s">
        <v>155</v>
      </c>
      <c r="D140" s="105" t="s">
        <v>156</v>
      </c>
      <c r="E140" s="106" t="s">
        <v>157</v>
      </c>
      <c r="F140" s="105" t="s">
        <v>158</v>
      </c>
    </row>
    <row r="141" spans="1:6" ht="11.25" customHeight="1">
      <c r="A141" s="108"/>
      <c r="D141" s="100"/>
      <c r="E141" s="112" t="s">
        <v>256</v>
      </c>
      <c r="F141" s="109">
        <f>F132</f>
        <v>143408.12</v>
      </c>
    </row>
    <row r="142" spans="1:6" ht="11.25" customHeight="1">
      <c r="A142" s="99">
        <v>2008</v>
      </c>
      <c r="B142" s="99" t="s">
        <v>257</v>
      </c>
      <c r="D142" s="100"/>
      <c r="E142" s="102">
        <v>-20</v>
      </c>
      <c r="F142" s="100">
        <f t="shared" ref="F142:F151" si="5">F141+D142+E142</f>
        <v>143388.12</v>
      </c>
    </row>
    <row r="143" spans="1:6" ht="11.25" customHeight="1">
      <c r="A143" s="108"/>
      <c r="B143" s="99" t="s">
        <v>258</v>
      </c>
      <c r="D143" s="100"/>
      <c r="E143" s="102">
        <v>-180</v>
      </c>
      <c r="F143" s="100">
        <f t="shared" si="5"/>
        <v>143208.12</v>
      </c>
    </row>
    <row r="144" spans="1:6" ht="11.25" customHeight="1">
      <c r="A144" s="108"/>
      <c r="B144" s="99" t="s">
        <v>259</v>
      </c>
      <c r="E144" s="102">
        <v>-25</v>
      </c>
      <c r="F144" s="100">
        <f t="shared" si="5"/>
        <v>143183.12</v>
      </c>
    </row>
    <row r="145" spans="1:6" ht="11.25" customHeight="1">
      <c r="A145" s="108"/>
      <c r="B145" s="99" t="s">
        <v>260</v>
      </c>
      <c r="D145" s="100"/>
      <c r="E145" s="102">
        <v>-320</v>
      </c>
      <c r="F145" s="100">
        <f t="shared" si="5"/>
        <v>142863.12</v>
      </c>
    </row>
    <row r="146" spans="1:6" ht="11.25" customHeight="1">
      <c r="A146" s="108"/>
      <c r="B146" s="99" t="s">
        <v>261</v>
      </c>
      <c r="D146" s="100"/>
      <c r="E146" s="102">
        <v>-25</v>
      </c>
      <c r="F146" s="100">
        <f t="shared" si="5"/>
        <v>142838.12</v>
      </c>
    </row>
    <row r="147" spans="1:6" ht="11.25" customHeight="1">
      <c r="A147" s="108"/>
      <c r="B147" s="99" t="s">
        <v>262</v>
      </c>
      <c r="D147" s="100"/>
      <c r="E147" s="102">
        <v>-135</v>
      </c>
      <c r="F147" s="100">
        <f t="shared" si="5"/>
        <v>142703.12</v>
      </c>
    </row>
    <row r="148" spans="1:6" ht="11.25" customHeight="1">
      <c r="A148" s="108"/>
      <c r="B148" s="99" t="s">
        <v>263</v>
      </c>
      <c r="D148" s="100"/>
      <c r="E148" s="102">
        <v>-35</v>
      </c>
      <c r="F148" s="100">
        <f t="shared" si="5"/>
        <v>142668.12</v>
      </c>
    </row>
    <row r="149" spans="1:6" ht="11.25" customHeight="1">
      <c r="A149" s="108"/>
      <c r="B149" s="99" t="s">
        <v>264</v>
      </c>
      <c r="D149" s="100">
        <v>48</v>
      </c>
      <c r="E149" s="102"/>
      <c r="F149" s="100">
        <f t="shared" si="5"/>
        <v>142716.12</v>
      </c>
    </row>
    <row r="150" spans="1:6" ht="11.25" customHeight="1">
      <c r="A150" s="108"/>
      <c r="B150" s="99" t="s">
        <v>265</v>
      </c>
      <c r="D150" s="100"/>
      <c r="E150" s="102">
        <v>-182</v>
      </c>
      <c r="F150" s="100">
        <f t="shared" si="5"/>
        <v>142534.12</v>
      </c>
    </row>
    <row r="151" spans="1:6" ht="11.25" customHeight="1">
      <c r="E151" s="102"/>
      <c r="F151" s="100">
        <f t="shared" si="5"/>
        <v>142534.12</v>
      </c>
    </row>
    <row r="152" spans="1:6" ht="11.25" customHeight="1">
      <c r="A152" s="108"/>
      <c r="C152" s="118" t="s">
        <v>266</v>
      </c>
      <c r="D152" s="107">
        <f ca="1">SUM(D142:D154)</f>
        <v>1048</v>
      </c>
      <c r="E152" s="111">
        <f>SUM(E142:E150)</f>
        <v>-922</v>
      </c>
      <c r="F152" s="100"/>
    </row>
    <row r="153" spans="1:6" ht="11.25" customHeight="1">
      <c r="A153" s="108"/>
      <c r="C153" s="119"/>
      <c r="D153" s="107"/>
      <c r="E153" s="111"/>
      <c r="F153" s="100">
        <f>F151+D153+E153</f>
        <v>142534.12</v>
      </c>
    </row>
    <row r="154" spans="1:6" ht="11.25" customHeight="1">
      <c r="A154" s="99">
        <v>2012</v>
      </c>
      <c r="B154" s="99" t="s">
        <v>267</v>
      </c>
      <c r="D154" s="100">
        <v>1000</v>
      </c>
      <c r="E154" s="111"/>
      <c r="F154" s="100">
        <f>F153+D154+E154</f>
        <v>143534.12</v>
      </c>
    </row>
    <row r="155" spans="1:6" ht="11.25" customHeight="1">
      <c r="A155" s="108"/>
      <c r="C155" s="119"/>
      <c r="D155" s="107"/>
      <c r="E155" s="111"/>
      <c r="F155" s="120" t="s">
        <v>123</v>
      </c>
    </row>
    <row r="156" spans="1:6" ht="13.7" customHeight="1">
      <c r="A156" s="108"/>
      <c r="D156"/>
      <c r="E156"/>
      <c r="F156"/>
    </row>
    <row r="157" spans="1:6" ht="16.7" customHeight="1">
      <c r="A157" s="108"/>
      <c r="B157" s="304">
        <v>45233</v>
      </c>
      <c r="C157" s="304"/>
      <c r="D157" s="100"/>
      <c r="E157" s="121" t="s">
        <v>268</v>
      </c>
      <c r="F157" s="122">
        <v>119619.37</v>
      </c>
    </row>
    <row r="158" spans="1:6" ht="11.25" customHeight="1">
      <c r="A158" s="108"/>
      <c r="D158" s="100"/>
      <c r="E158" s="123" t="s">
        <v>269</v>
      </c>
      <c r="F158" s="122">
        <f>F159-F157</f>
        <v>23914.75</v>
      </c>
    </row>
    <row r="159" spans="1:6" ht="17.25" customHeight="1">
      <c r="A159" s="108"/>
      <c r="D159" s="100"/>
      <c r="E159" s="123" t="s">
        <v>270</v>
      </c>
      <c r="F159" s="122">
        <f>F154</f>
        <v>143534.12</v>
      </c>
    </row>
    <row r="160" spans="1:6" ht="17.25" customHeight="1">
      <c r="A160" s="108"/>
      <c r="D160" s="100"/>
      <c r="E160" s="123"/>
      <c r="F160" s="122"/>
    </row>
    <row r="161" spans="1:6" ht="17.25" customHeight="1">
      <c r="A161" s="108"/>
      <c r="D161" s="100"/>
      <c r="E161" s="123"/>
      <c r="F161" s="122"/>
    </row>
    <row r="162" spans="1:6" ht="17.25" customHeight="1">
      <c r="A162" s="108"/>
      <c r="D162" s="100"/>
      <c r="E162" s="123"/>
      <c r="F162" s="122"/>
    </row>
    <row r="163" spans="1:6" ht="17.25" customHeight="1">
      <c r="A163" s="108"/>
      <c r="D163" s="100"/>
      <c r="E163" s="123"/>
      <c r="F163" s="122"/>
    </row>
    <row r="164" spans="1:6" ht="17.25" customHeight="1">
      <c r="A164" s="108"/>
      <c r="D164" s="100"/>
      <c r="E164" s="123"/>
      <c r="F164" s="122"/>
    </row>
    <row r="165" spans="1:6" ht="17.25" customHeight="1">
      <c r="A165" s="108"/>
      <c r="D165" s="100"/>
      <c r="E165" s="123"/>
      <c r="F165" s="122"/>
    </row>
    <row r="166" spans="1:6" ht="17.25" customHeight="1">
      <c r="A166" s="108"/>
      <c r="D166" s="100"/>
      <c r="E166" s="123"/>
      <c r="F166" s="122"/>
    </row>
    <row r="167" spans="1:6" ht="17.25" customHeight="1">
      <c r="A167" s="108"/>
      <c r="D167" s="100"/>
      <c r="E167" s="123"/>
      <c r="F167" s="122"/>
    </row>
    <row r="168" spans="1:6" ht="17.25" customHeight="1">
      <c r="A168" s="108"/>
      <c r="D168" s="100"/>
      <c r="E168" s="123"/>
      <c r="F168" s="122"/>
    </row>
    <row r="169" spans="1:6" ht="11.25" customHeight="1">
      <c r="A169" s="108"/>
      <c r="D169" s="100"/>
      <c r="E169" s="124"/>
      <c r="F169" s="109"/>
    </row>
    <row r="170" spans="1:6" ht="11.25" customHeight="1">
      <c r="A170" s="108"/>
      <c r="B170" s="101" t="s">
        <v>271</v>
      </c>
      <c r="D170" s="100"/>
      <c r="E170" s="102"/>
      <c r="F170" s="100"/>
    </row>
    <row r="171" spans="1:6" ht="11.25" customHeight="1">
      <c r="A171" s="108"/>
      <c r="B171" s="110" t="s">
        <v>272</v>
      </c>
      <c r="C171" s="110" t="s">
        <v>272</v>
      </c>
      <c r="D171" s="100"/>
      <c r="E171" s="102"/>
      <c r="F171" s="100"/>
    </row>
    <row r="172" spans="1:6" ht="11.25" customHeight="1">
      <c r="A172" s="108"/>
      <c r="B172" s="110" t="s">
        <v>273</v>
      </c>
      <c r="C172" s="110" t="s">
        <v>274</v>
      </c>
      <c r="D172" s="120" t="s">
        <v>158</v>
      </c>
      <c r="E172" s="124" t="s">
        <v>275</v>
      </c>
      <c r="F172" s="120" t="s">
        <v>276</v>
      </c>
    </row>
    <row r="173" spans="1:6" ht="11.25" customHeight="1">
      <c r="A173" s="99">
        <v>2003</v>
      </c>
      <c r="B173" s="100">
        <f>D4</f>
        <v>17075.75</v>
      </c>
      <c r="C173" s="125">
        <f>E4</f>
        <v>0</v>
      </c>
      <c r="D173" s="100">
        <f>B173+C173</f>
        <v>17075.75</v>
      </c>
      <c r="E173" s="126">
        <v>1.41</v>
      </c>
      <c r="F173" s="125">
        <f t="shared" ref="F173:F179" si="6">(B173+C173)/E173</f>
        <v>12110.460992907801</v>
      </c>
    </row>
    <row r="174" spans="1:6" ht="11.25" customHeight="1">
      <c r="A174" s="99">
        <v>2004</v>
      </c>
      <c r="B174" s="100">
        <f>D25</f>
        <v>14637</v>
      </c>
      <c r="C174" s="125">
        <f>E25</f>
        <v>-10710</v>
      </c>
      <c r="D174" s="100">
        <f t="shared" ref="D174:D179" si="7">D173+B174+C174</f>
        <v>21002.75</v>
      </c>
      <c r="E174" s="126">
        <v>1.49</v>
      </c>
      <c r="F174" s="125">
        <f t="shared" si="6"/>
        <v>2635.5704697986575</v>
      </c>
    </row>
    <row r="175" spans="1:6" ht="11.25" customHeight="1">
      <c r="A175" s="99">
        <v>2005</v>
      </c>
      <c r="B175" s="100">
        <f>D67</f>
        <v>72003.92</v>
      </c>
      <c r="C175" s="125">
        <f>E67</f>
        <v>-7040</v>
      </c>
      <c r="D175" s="100">
        <f t="shared" si="7"/>
        <v>85966.67</v>
      </c>
      <c r="E175" s="126">
        <v>1.35</v>
      </c>
      <c r="F175" s="125">
        <f t="shared" si="6"/>
        <v>48121.422222222216</v>
      </c>
    </row>
    <row r="176" spans="1:6" ht="11.25" customHeight="1">
      <c r="A176" s="99">
        <v>2006</v>
      </c>
      <c r="B176" s="100">
        <f>D122</f>
        <v>73796.45</v>
      </c>
      <c r="C176" s="125">
        <f>E122</f>
        <v>-16230</v>
      </c>
      <c r="D176" s="100">
        <f t="shared" si="7"/>
        <v>143533.12</v>
      </c>
      <c r="E176" s="126">
        <v>1.56</v>
      </c>
      <c r="F176" s="125">
        <f t="shared" si="6"/>
        <v>36901.570512820508</v>
      </c>
    </row>
    <row r="177" spans="1:6" ht="11.25" customHeight="1">
      <c r="A177" s="99">
        <v>2007</v>
      </c>
      <c r="B177" s="100">
        <f>D133</f>
        <v>395</v>
      </c>
      <c r="C177" s="125">
        <f>E133</f>
        <v>-520</v>
      </c>
      <c r="D177" s="100">
        <f t="shared" si="7"/>
        <v>143408.12</v>
      </c>
      <c r="E177" s="126">
        <v>1.31</v>
      </c>
      <c r="F177" s="125">
        <f t="shared" si="6"/>
        <v>-95.419847328244273</v>
      </c>
    </row>
    <row r="178" spans="1:6" ht="11.25" customHeight="1">
      <c r="A178" s="99">
        <v>2008</v>
      </c>
      <c r="B178" s="100">
        <f>D149</f>
        <v>48</v>
      </c>
      <c r="C178" s="125">
        <f>E152</f>
        <v>-922</v>
      </c>
      <c r="D178" s="100">
        <f t="shared" si="7"/>
        <v>142534.12</v>
      </c>
      <c r="E178" s="126">
        <v>1.2</v>
      </c>
      <c r="F178" s="125">
        <f t="shared" si="6"/>
        <v>-728.33333333333337</v>
      </c>
    </row>
    <row r="179" spans="1:6" ht="11.25" customHeight="1">
      <c r="A179" s="99">
        <v>2012</v>
      </c>
      <c r="B179" s="100">
        <v>1000</v>
      </c>
      <c r="C179" s="125">
        <f>E151</f>
        <v>0</v>
      </c>
      <c r="D179" s="127">
        <f t="shared" si="7"/>
        <v>143534.12</v>
      </c>
      <c r="E179" s="126">
        <v>1.84</v>
      </c>
      <c r="F179" s="125">
        <f t="shared" si="6"/>
        <v>543.47826086956525</v>
      </c>
    </row>
    <row r="180" spans="1:6" ht="11.25" customHeight="1">
      <c r="B180" s="100"/>
      <c r="D180" s="100"/>
      <c r="E180" s="102"/>
      <c r="F180" s="128"/>
    </row>
    <row r="181" spans="1:6" ht="16.5" customHeight="1">
      <c r="B181" s="100"/>
      <c r="D181" s="100"/>
      <c r="E181" s="124" t="s">
        <v>277</v>
      </c>
      <c r="F181" s="129">
        <f>SUM(F173:F179)</f>
        <v>99488.749277957177</v>
      </c>
    </row>
    <row r="182" spans="1:6" ht="11.25" customHeight="1">
      <c r="B182" s="100"/>
      <c r="D182" s="100"/>
      <c r="E182" s="102"/>
      <c r="F182" s="130" t="s">
        <v>278</v>
      </c>
    </row>
    <row r="183" spans="1:6" ht="16.149999999999999" customHeight="1">
      <c r="A183" s="108"/>
      <c r="D183" s="100"/>
      <c r="E183"/>
      <c r="F183"/>
    </row>
  </sheetData>
  <mergeCells count="2">
    <mergeCell ref="E1:F1"/>
    <mergeCell ref="B157:C157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                           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048576"/>
  <sheetViews>
    <sheetView workbookViewId="0"/>
  </sheetViews>
  <sheetFormatPr defaultRowHeight="11.25" customHeight="1"/>
  <cols>
    <col min="1" max="1" width="5.85546875" style="131" customWidth="1"/>
    <col min="2" max="2" width="30.42578125" style="135" customWidth="1"/>
    <col min="3" max="3" width="10.140625" style="135" customWidth="1"/>
    <col min="4" max="4" width="13" style="135" customWidth="1"/>
    <col min="5" max="5" width="12.28515625" style="135" customWidth="1"/>
    <col min="6" max="6" width="11" style="135" customWidth="1"/>
    <col min="7" max="7" width="12.42578125" style="133" customWidth="1"/>
    <col min="8" max="8" width="8.85546875" style="133" customWidth="1"/>
    <col min="9" max="64" width="7.42578125" style="135" customWidth="1"/>
    <col min="65" max="1023" width="12.28515625" style="99" customWidth="1"/>
    <col min="1024" max="1024" width="9.140625" style="99" customWidth="1"/>
    <col min="1025" max="1025" width="9.140625" customWidth="1"/>
  </cols>
  <sheetData>
    <row r="1" spans="1:7" ht="11.25" customHeight="1">
      <c r="B1" s="132" t="s">
        <v>279</v>
      </c>
      <c r="C1" s="133"/>
      <c r="D1" s="133"/>
      <c r="E1" s="133"/>
      <c r="F1" s="134"/>
    </row>
    <row r="2" spans="1:7" ht="11.25" customHeight="1">
      <c r="B2" s="132" t="s">
        <v>280</v>
      </c>
      <c r="C2" s="133"/>
      <c r="D2" s="133"/>
      <c r="E2" s="133"/>
      <c r="F2" s="133"/>
    </row>
    <row r="3" spans="1:7" ht="11.25" customHeight="1">
      <c r="B3" s="132" t="s">
        <v>281</v>
      </c>
      <c r="C3" s="133"/>
      <c r="D3" s="133"/>
      <c r="E3" s="305">
        <v>45233</v>
      </c>
      <c r="F3" s="305"/>
    </row>
    <row r="4" spans="1:7" ht="11.25" customHeight="1">
      <c r="B4" s="132"/>
      <c r="C4" s="136" t="s">
        <v>282</v>
      </c>
      <c r="D4" s="136" t="s">
        <v>283</v>
      </c>
      <c r="E4" s="136" t="s">
        <v>284</v>
      </c>
      <c r="F4" s="136" t="s">
        <v>285</v>
      </c>
    </row>
    <row r="5" spans="1:7" ht="11.25" customHeight="1">
      <c r="B5" s="133" t="s">
        <v>286</v>
      </c>
      <c r="C5" s="133">
        <v>80000</v>
      </c>
      <c r="D5" s="133" t="s">
        <v>287</v>
      </c>
      <c r="E5" s="131" t="s">
        <v>288</v>
      </c>
      <c r="F5" s="131" t="s">
        <v>288</v>
      </c>
    </row>
    <row r="6" spans="1:7" ht="11.25" customHeight="1">
      <c r="B6" s="133" t="s">
        <v>289</v>
      </c>
      <c r="C6" s="133">
        <v>80000</v>
      </c>
      <c r="D6" s="133" t="s">
        <v>290</v>
      </c>
      <c r="E6" s="131" t="s">
        <v>291</v>
      </c>
      <c r="F6" s="131" t="s">
        <v>288</v>
      </c>
    </row>
    <row r="7" spans="1:7" ht="11.25" customHeight="1">
      <c r="B7" s="133" t="s">
        <v>292</v>
      </c>
      <c r="C7" s="133">
        <v>80000</v>
      </c>
      <c r="D7" s="133" t="s">
        <v>290</v>
      </c>
      <c r="E7" s="131" t="s">
        <v>291</v>
      </c>
      <c r="F7" s="131" t="s">
        <v>288</v>
      </c>
    </row>
    <row r="8" spans="1:7" ht="11.25" customHeight="1">
      <c r="B8" s="133" t="s">
        <v>293</v>
      </c>
      <c r="C8" s="136">
        <v>80000</v>
      </c>
      <c r="D8" s="133" t="s">
        <v>290</v>
      </c>
      <c r="E8" s="133" t="s">
        <v>65</v>
      </c>
      <c r="F8" s="136" t="s">
        <v>294</v>
      </c>
      <c r="G8" s="136"/>
    </row>
    <row r="9" spans="1:7" ht="11.25" customHeight="1">
      <c r="B9" s="133" t="s">
        <v>295</v>
      </c>
      <c r="C9" s="133">
        <v>80000</v>
      </c>
      <c r="D9" s="133" t="s">
        <v>290</v>
      </c>
      <c r="E9" s="133" t="s">
        <v>65</v>
      </c>
      <c r="F9" s="136" t="s">
        <v>294</v>
      </c>
      <c r="G9" s="137"/>
    </row>
    <row r="10" spans="1:7" ht="11.25" customHeight="1">
      <c r="B10" s="138" t="s">
        <v>296</v>
      </c>
      <c r="C10" s="139">
        <v>30000</v>
      </c>
      <c r="D10" s="133" t="s">
        <v>290</v>
      </c>
      <c r="E10" s="138" t="s">
        <v>297</v>
      </c>
      <c r="F10" s="139" t="s">
        <v>294</v>
      </c>
    </row>
    <row r="11" spans="1:7" ht="11.25" customHeight="1">
      <c r="B11" s="138"/>
      <c r="C11" s="139"/>
      <c r="D11" s="133"/>
      <c r="E11" s="138"/>
      <c r="F11" s="139"/>
    </row>
    <row r="12" spans="1:7" ht="11.25" customHeight="1">
      <c r="B12" s="138"/>
      <c r="C12" s="139"/>
      <c r="D12" s="133"/>
      <c r="E12" s="138"/>
      <c r="F12" s="139"/>
    </row>
    <row r="13" spans="1:7" ht="11.25" customHeight="1">
      <c r="A13" s="140" t="s">
        <v>298</v>
      </c>
      <c r="B13" s="141" t="s">
        <v>299</v>
      </c>
      <c r="C13" s="133"/>
      <c r="D13" s="133"/>
      <c r="E13" s="133"/>
      <c r="F13" s="133"/>
    </row>
    <row r="14" spans="1:7" ht="11.25" customHeight="1">
      <c r="A14" s="140"/>
      <c r="B14" s="133" t="s">
        <v>300</v>
      </c>
      <c r="C14" s="133"/>
      <c r="D14" s="133"/>
      <c r="E14" s="133"/>
      <c r="F14" s="133"/>
    </row>
    <row r="15" spans="1:7" ht="11.25" customHeight="1">
      <c r="A15" s="140"/>
      <c r="B15" s="133" t="s">
        <v>301</v>
      </c>
      <c r="C15" s="133"/>
      <c r="D15" s="142"/>
      <c r="E15" s="99"/>
      <c r="F15" s="136">
        <v>80000</v>
      </c>
    </row>
    <row r="16" spans="1:7" ht="11.25" customHeight="1">
      <c r="A16" s="140" t="s">
        <v>298</v>
      </c>
      <c r="B16" s="133" t="s">
        <v>302</v>
      </c>
      <c r="C16" s="133"/>
      <c r="D16" s="142"/>
      <c r="E16" s="99"/>
      <c r="F16" s="136">
        <v>-30000</v>
      </c>
    </row>
    <row r="17" spans="1:9" ht="11.25" customHeight="1">
      <c r="A17" s="140" t="s">
        <v>298</v>
      </c>
      <c r="B17" s="133" t="s">
        <v>303</v>
      </c>
      <c r="C17" s="99"/>
      <c r="D17" s="142"/>
      <c r="E17" s="99"/>
      <c r="F17" s="143">
        <f>'01-03-HAKAN'!D179</f>
        <v>143534.12</v>
      </c>
    </row>
    <row r="18" spans="1:9" ht="11.25" customHeight="1">
      <c r="A18" s="140" t="s">
        <v>298</v>
      </c>
      <c r="B18" s="133" t="s">
        <v>304</v>
      </c>
      <c r="C18" s="133"/>
      <c r="D18" s="133"/>
      <c r="E18" s="133"/>
      <c r="F18" s="136">
        <v>50000</v>
      </c>
    </row>
    <row r="19" spans="1:9" ht="11.25" customHeight="1" thickBot="1">
      <c r="B19" s="133"/>
      <c r="C19" s="133"/>
      <c r="D19" s="133"/>
      <c r="E19" s="133"/>
      <c r="F19" s="136"/>
    </row>
    <row r="20" spans="1:9" ht="11.25" customHeight="1">
      <c r="B20" s="144" t="s">
        <v>305</v>
      </c>
      <c r="C20" s="145"/>
      <c r="D20" s="145"/>
      <c r="E20" s="145"/>
      <c r="F20" s="146"/>
    </row>
    <row r="21" spans="1:9" ht="11.25" customHeight="1">
      <c r="B21" s="147" t="s">
        <v>306</v>
      </c>
      <c r="C21" s="133"/>
      <c r="D21" s="133"/>
      <c r="E21" s="133"/>
      <c r="F21" s="148"/>
    </row>
    <row r="22" spans="1:9" ht="11.25" customHeight="1">
      <c r="B22" s="149" t="s">
        <v>307</v>
      </c>
      <c r="C22" s="133"/>
      <c r="D22" s="133"/>
      <c r="E22" s="133"/>
      <c r="F22" s="148"/>
    </row>
    <row r="23" spans="1:9" ht="11.25" customHeight="1" thickBot="1">
      <c r="B23" s="149" t="s">
        <v>308</v>
      </c>
      <c r="C23" s="133"/>
      <c r="D23" s="133"/>
      <c r="E23" s="133"/>
      <c r="F23" s="148"/>
    </row>
    <row r="24" spans="1:9" ht="11.25" customHeight="1" thickBot="1">
      <c r="B24" s="150" t="s">
        <v>309</v>
      </c>
      <c r="C24" s="151"/>
      <c r="D24" s="151"/>
      <c r="E24" s="151"/>
      <c r="F24" s="152"/>
    </row>
    <row r="25" spans="1:9" ht="11.25" customHeight="1">
      <c r="B25" s="133"/>
      <c r="C25" s="133"/>
      <c r="D25" s="133"/>
      <c r="E25" s="133"/>
      <c r="F25" s="133"/>
    </row>
    <row r="26" spans="1:9" ht="11.25" customHeight="1">
      <c r="B26" s="133"/>
      <c r="C26" s="133"/>
      <c r="D26" s="133"/>
      <c r="E26" s="133"/>
      <c r="F26" s="133"/>
    </row>
    <row r="27" spans="1:9" ht="11.25" customHeight="1">
      <c r="B27" s="133"/>
      <c r="C27" s="133"/>
      <c r="D27" s="133"/>
      <c r="E27" s="133"/>
      <c r="F27" s="133"/>
    </row>
    <row r="28" spans="1:9" ht="11.25" customHeight="1">
      <c r="B28" s="133"/>
      <c r="C28" s="153" t="s">
        <v>310</v>
      </c>
      <c r="D28" s="153" t="s">
        <v>9</v>
      </c>
      <c r="E28" s="153" t="s">
        <v>311</v>
      </c>
      <c r="F28" s="153" t="s">
        <v>312</v>
      </c>
      <c r="G28" s="100"/>
      <c r="H28" s="99"/>
      <c r="I28" s="99"/>
    </row>
    <row r="29" spans="1:9" ht="11.25" customHeight="1">
      <c r="B29" s="133"/>
      <c r="C29" s="153" t="s">
        <v>123</v>
      </c>
      <c r="D29" s="153" t="s">
        <v>123</v>
      </c>
      <c r="E29" s="153"/>
      <c r="F29" s="153" t="s">
        <v>278</v>
      </c>
      <c r="G29" s="100"/>
      <c r="H29" s="99"/>
      <c r="I29" s="99"/>
    </row>
    <row r="30" spans="1:9" ht="11.25" customHeight="1">
      <c r="A30" s="131">
        <v>2005</v>
      </c>
      <c r="B30" s="133" t="s">
        <v>313</v>
      </c>
      <c r="C30" s="133">
        <f>F15/2</f>
        <v>40000</v>
      </c>
      <c r="D30" s="133">
        <f>C30</f>
        <v>40000</v>
      </c>
      <c r="E30" s="133">
        <v>1.4</v>
      </c>
      <c r="F30" s="133">
        <f>C30/E30</f>
        <v>28571.428571428572</v>
      </c>
      <c r="G30" s="100"/>
      <c r="H30" s="99"/>
      <c r="I30" s="99"/>
    </row>
    <row r="31" spans="1:9" ht="11.25" customHeight="1">
      <c r="A31" s="154" t="s">
        <v>314</v>
      </c>
      <c r="B31" s="133" t="s">
        <v>315</v>
      </c>
      <c r="C31" s="133">
        <f>F17/2</f>
        <v>71767.06</v>
      </c>
      <c r="D31" s="133">
        <f>D30+C31</f>
        <v>111767.06</v>
      </c>
      <c r="E31" s="133">
        <f>C31/F31</f>
        <v>1.4427171015989599</v>
      </c>
      <c r="F31" s="100">
        <f>'01-03-HAKAN'!F181/2</f>
        <v>49744.374638978588</v>
      </c>
      <c r="H31" s="155"/>
      <c r="I31" s="99"/>
    </row>
    <row r="32" spans="1:9" ht="11.25" customHeight="1">
      <c r="A32" s="131">
        <v>2008</v>
      </c>
      <c r="B32" s="133" t="s">
        <v>316</v>
      </c>
      <c r="C32" s="133">
        <f>F18/2</f>
        <v>25000</v>
      </c>
      <c r="D32" s="133">
        <f>D31+C32</f>
        <v>136767.06</v>
      </c>
      <c r="E32" s="133">
        <v>1.31</v>
      </c>
      <c r="F32" s="133">
        <f>C32/E32</f>
        <v>19083.969465648854</v>
      </c>
      <c r="G32" s="100"/>
      <c r="H32" s="99"/>
      <c r="I32" s="99"/>
    </row>
    <row r="33" spans="1:9" ht="11.25" customHeight="1">
      <c r="A33" s="131">
        <v>2017</v>
      </c>
      <c r="B33" s="135" t="s">
        <v>317</v>
      </c>
      <c r="C33" s="100">
        <f>F59*-1</f>
        <v>141563.54999999999</v>
      </c>
      <c r="D33" s="133">
        <f>D32+C33</f>
        <v>278330.61</v>
      </c>
      <c r="E33" s="99">
        <v>3.55</v>
      </c>
      <c r="F33" s="133">
        <f>C33/E33</f>
        <v>39877.056338028167</v>
      </c>
      <c r="G33" s="156"/>
      <c r="I33" s="99"/>
    </row>
    <row r="34" spans="1:9" ht="11.25" customHeight="1">
      <c r="B34" s="132" t="s">
        <v>318</v>
      </c>
      <c r="C34" s="99"/>
      <c r="D34" s="133"/>
      <c r="E34" s="157" t="s">
        <v>319</v>
      </c>
      <c r="F34" s="136">
        <f>SUM(F30:F33)</f>
        <v>137276.82901408419</v>
      </c>
      <c r="G34" s="100"/>
      <c r="I34" s="99"/>
    </row>
    <row r="35" spans="1:9" ht="11.25" customHeight="1">
      <c r="C35" s="153" t="s">
        <v>320</v>
      </c>
      <c r="D35" s="133"/>
      <c r="E35" s="99"/>
      <c r="F35" s="133"/>
      <c r="G35" s="100"/>
      <c r="I35" s="99"/>
    </row>
    <row r="36" spans="1:9" ht="11.25" customHeight="1">
      <c r="B36" s="133" t="s">
        <v>321</v>
      </c>
      <c r="C36" s="136">
        <v>-15000</v>
      </c>
      <c r="D36" s="133">
        <f>C36</f>
        <v>-15000</v>
      </c>
      <c r="E36" s="133">
        <v>1.4</v>
      </c>
      <c r="F36" s="136">
        <f>C36/E36</f>
        <v>-10714.285714285716</v>
      </c>
      <c r="G36" s="109"/>
      <c r="H36" s="155"/>
      <c r="I36" s="99"/>
    </row>
    <row r="37" spans="1:9" s="99" customFormat="1" ht="11.25" customHeight="1">
      <c r="A37" s="154"/>
      <c r="B37" s="135"/>
      <c r="C37" s="109"/>
      <c r="D37" s="133">
        <f>D36+C37</f>
        <v>-15000</v>
      </c>
      <c r="F37" s="133"/>
      <c r="G37" s="109"/>
      <c r="H37" s="155"/>
    </row>
    <row r="38" spans="1:9" s="99" customFormat="1" ht="11.25" customHeight="1">
      <c r="A38" s="154"/>
      <c r="B38" s="135"/>
      <c r="C38" s="109"/>
      <c r="D38" s="133"/>
      <c r="E38" s="157" t="s">
        <v>322</v>
      </c>
      <c r="F38" s="136">
        <f>SUM(F36:F37)</f>
        <v>-10714.285714285716</v>
      </c>
      <c r="G38" s="109"/>
      <c r="H38" s="155"/>
    </row>
    <row r="39" spans="1:9" ht="11.25" customHeight="1">
      <c r="B39" t="s">
        <v>323</v>
      </c>
      <c r="C39" s="99">
        <f>SUM(C30:C38)</f>
        <v>263330.61</v>
      </c>
      <c r="D39" s="133"/>
      <c r="E39" s="99"/>
      <c r="F39" s="158"/>
      <c r="G39" s="109"/>
      <c r="H39" s="155"/>
      <c r="I39" s="99"/>
    </row>
    <row r="40" spans="1:9" ht="11.25" customHeight="1">
      <c r="A40" s="158"/>
      <c r="B40" s="159" t="s">
        <v>318</v>
      </c>
      <c r="C40" s="158"/>
      <c r="D40" s="158"/>
      <c r="E40" s="160" t="s">
        <v>324</v>
      </c>
      <c r="F40" s="161">
        <f>F34+F38</f>
        <v>126562.54329979848</v>
      </c>
      <c r="G40" s="153"/>
      <c r="I40" s="99"/>
    </row>
    <row r="41" spans="1:9" ht="11.25" customHeight="1">
      <c r="C41" s="99"/>
      <c r="D41" s="153"/>
      <c r="E41" s="153"/>
      <c r="F41" s="158"/>
    </row>
    <row r="42" spans="1:9" ht="11.25" customHeight="1">
      <c r="C42" s="99"/>
      <c r="D42" s="153"/>
      <c r="E42" s="153"/>
      <c r="F42" s="99"/>
    </row>
    <row r="43" spans="1:9" ht="11.25" customHeight="1" thickBot="1">
      <c r="B43" s="132"/>
      <c r="C43" s="133"/>
      <c r="D43" s="133"/>
      <c r="E43" s="133"/>
      <c r="F43" s="99"/>
    </row>
    <row r="44" spans="1:9" ht="11.25" customHeight="1">
      <c r="B44" s="162" t="s">
        <v>325</v>
      </c>
      <c r="C44" s="163"/>
      <c r="D44" s="145"/>
      <c r="E44" s="145"/>
      <c r="F44" s="146" t="s">
        <v>123</v>
      </c>
    </row>
    <row r="45" spans="1:9" ht="11.25" customHeight="1">
      <c r="B45" s="164" t="s">
        <v>326</v>
      </c>
      <c r="C45"/>
      <c r="D45" s="165" t="s">
        <v>123</v>
      </c>
      <c r="E45" s="133">
        <v>-20000</v>
      </c>
      <c r="F45" s="148">
        <f>E45</f>
        <v>-20000</v>
      </c>
    </row>
    <row r="46" spans="1:9" ht="11.25" customHeight="1">
      <c r="B46" s="164" t="s">
        <v>327</v>
      </c>
      <c r="C46"/>
      <c r="D46" s="165" t="s">
        <v>123</v>
      </c>
      <c r="E46" s="133">
        <v>-24710</v>
      </c>
      <c r="F46" s="148">
        <f t="shared" ref="F46:F51" si="0">F45+E46</f>
        <v>-44710</v>
      </c>
    </row>
    <row r="47" spans="1:9" ht="11.25" customHeight="1">
      <c r="B47" s="164" t="s">
        <v>328</v>
      </c>
      <c r="C47"/>
      <c r="D47" s="165" t="s">
        <v>123</v>
      </c>
      <c r="E47" s="133">
        <v>-13750</v>
      </c>
      <c r="F47" s="148">
        <f t="shared" si="0"/>
        <v>-58460</v>
      </c>
    </row>
    <row r="48" spans="1:9" ht="11.25" customHeight="1">
      <c r="B48" s="164" t="s">
        <v>329</v>
      </c>
      <c r="C48"/>
      <c r="D48" s="165" t="s">
        <v>123</v>
      </c>
      <c r="E48" s="133">
        <v>-7000</v>
      </c>
      <c r="F48" s="148">
        <f t="shared" si="0"/>
        <v>-65460</v>
      </c>
    </row>
    <row r="49" spans="2:6" ht="11.25" customHeight="1">
      <c r="B49" s="164" t="s">
        <v>330</v>
      </c>
      <c r="C49"/>
      <c r="D49" s="165" t="s">
        <v>123</v>
      </c>
      <c r="E49" s="133">
        <v>-180984.36</v>
      </c>
      <c r="F49" s="148">
        <f t="shared" si="0"/>
        <v>-246444.36</v>
      </c>
    </row>
    <row r="50" spans="2:6" ht="11.25" customHeight="1">
      <c r="B50" s="164" t="s">
        <v>331</v>
      </c>
      <c r="C50"/>
      <c r="D50" s="165" t="s">
        <v>123</v>
      </c>
      <c r="E50" s="133">
        <v>-16268.74</v>
      </c>
      <c r="F50" s="148">
        <f t="shared" si="0"/>
        <v>-262713.09999999998</v>
      </c>
    </row>
    <row r="51" spans="2:6" ht="11.25" customHeight="1">
      <c r="B51" s="166" t="s">
        <v>332</v>
      </c>
      <c r="C51"/>
      <c r="D51" s="142"/>
      <c r="E51" s="133"/>
      <c r="F51" s="167">
        <f t="shared" si="0"/>
        <v>-262713.09999999998</v>
      </c>
    </row>
    <row r="52" spans="2:6" ht="11.25" customHeight="1">
      <c r="B52" s="164"/>
      <c r="C52"/>
      <c r="D52" s="142"/>
      <c r="E52" s="133"/>
      <c r="F52" s="148"/>
    </row>
    <row r="53" spans="2:6" ht="11.25" customHeight="1">
      <c r="B53" s="168" t="s">
        <v>333</v>
      </c>
      <c r="C53"/>
      <c r="D53" s="142"/>
      <c r="E53" s="133"/>
      <c r="F53" s="148"/>
    </row>
    <row r="54" spans="2:6" ht="11.25" customHeight="1">
      <c r="B54" s="164" t="s">
        <v>334</v>
      </c>
      <c r="C54"/>
      <c r="D54" s="142" t="s">
        <v>123</v>
      </c>
      <c r="E54" s="136">
        <f>F51/2</f>
        <v>-131356.54999999999</v>
      </c>
      <c r="F54" s="148">
        <f t="shared" ref="F54:F59" si="1">F53+E54</f>
        <v>-131356.54999999999</v>
      </c>
    </row>
    <row r="55" spans="2:6" ht="11.25" customHeight="1">
      <c r="B55" s="164" t="s">
        <v>335</v>
      </c>
      <c r="C55"/>
      <c r="D55" s="142" t="s">
        <v>123</v>
      </c>
      <c r="E55" s="133">
        <v>-1862</v>
      </c>
      <c r="F55" s="148">
        <f t="shared" si="1"/>
        <v>-133218.54999999999</v>
      </c>
    </row>
    <row r="56" spans="2:6" ht="11.25" customHeight="1">
      <c r="B56" s="164" t="s">
        <v>336</v>
      </c>
      <c r="C56"/>
      <c r="D56" s="165" t="s">
        <v>123</v>
      </c>
      <c r="E56" s="100">
        <v>-650</v>
      </c>
      <c r="F56" s="148">
        <f t="shared" si="1"/>
        <v>-133868.54999999999</v>
      </c>
    </row>
    <row r="57" spans="2:6" ht="11.25" customHeight="1">
      <c r="B57" s="164" t="s">
        <v>337</v>
      </c>
      <c r="C57"/>
      <c r="D57" s="165" t="s">
        <v>123</v>
      </c>
      <c r="E57" s="100">
        <v>-1695</v>
      </c>
      <c r="F57" s="148">
        <f t="shared" si="1"/>
        <v>-135563.54999999999</v>
      </c>
    </row>
    <row r="58" spans="2:6" ht="11.25" customHeight="1">
      <c r="B58" s="164" t="s">
        <v>338</v>
      </c>
      <c r="C58"/>
      <c r="D58" s="165" t="s">
        <v>123</v>
      </c>
      <c r="E58" s="100">
        <v>-6000</v>
      </c>
      <c r="F58" s="148">
        <f t="shared" si="1"/>
        <v>-141563.54999999999</v>
      </c>
    </row>
    <row r="59" spans="2:6" ht="11.25" customHeight="1">
      <c r="B59" s="169" t="s">
        <v>339</v>
      </c>
      <c r="C59" s="170"/>
      <c r="D59" s="171" t="s">
        <v>123</v>
      </c>
      <c r="E59" s="172"/>
      <c r="F59" s="173">
        <f t="shared" si="1"/>
        <v>-141563.54999999999</v>
      </c>
    </row>
    <row r="60" spans="2:6" ht="11.25" customHeight="1">
      <c r="B60" s="164"/>
      <c r="C60"/>
      <c r="D60" s="142"/>
      <c r="E60" s="133"/>
      <c r="F60" s="148"/>
    </row>
    <row r="61" spans="2:6" ht="11.25" customHeight="1">
      <c r="B61" s="174" t="s">
        <v>340</v>
      </c>
      <c r="C61"/>
      <c r="D61" s="142" t="s">
        <v>123</v>
      </c>
      <c r="E61" s="109">
        <f>F51/2</f>
        <v>-131356.54999999999</v>
      </c>
      <c r="F61" s="148">
        <f>F60+E61</f>
        <v>-131356.54999999999</v>
      </c>
    </row>
    <row r="62" spans="2:6" ht="11.25" customHeight="1">
      <c r="B62" s="164"/>
      <c r="C62"/>
      <c r="D62" s="133"/>
      <c r="E62" s="100"/>
      <c r="F62" s="148">
        <f>F61+E62</f>
        <v>-131356.54999999999</v>
      </c>
    </row>
    <row r="63" spans="2:6" ht="11.25" customHeight="1">
      <c r="B63" s="174"/>
      <c r="C63"/>
      <c r="D63" s="133"/>
      <c r="E63" s="109"/>
      <c r="F63" s="148"/>
    </row>
    <row r="64" spans="2:6" ht="11.25" customHeight="1" thickBot="1">
      <c r="B64" s="175" t="s">
        <v>341</v>
      </c>
      <c r="C64" s="54"/>
      <c r="D64" s="176"/>
      <c r="E64" s="177"/>
      <c r="F64" s="178">
        <f>F59+F62</f>
        <v>-272920.09999999998</v>
      </c>
    </row>
    <row r="65" spans="2:6" ht="11.25" customHeight="1">
      <c r="B65" s="131"/>
      <c r="C65" s="131"/>
      <c r="D65" s="133"/>
      <c r="E65" s="131"/>
      <c r="F65" s="131"/>
    </row>
    <row r="66" spans="2:6" ht="11.25" customHeight="1">
      <c r="B66" s="133"/>
      <c r="C66" s="133"/>
      <c r="D66" s="133"/>
      <c r="E66" s="131"/>
      <c r="F66" s="133"/>
    </row>
    <row r="67" spans="2:6" ht="11.25" customHeight="1">
      <c r="B67" s="133"/>
      <c r="C67" s="142"/>
      <c r="D67" s="142"/>
      <c r="E67" s="142"/>
      <c r="F67" s="142"/>
    </row>
    <row r="68" spans="2:6" ht="11.25" customHeight="1">
      <c r="B68" s="153"/>
      <c r="C68" s="136"/>
      <c r="D68" s="136"/>
      <c r="E68" s="153"/>
      <c r="F68" s="136"/>
    </row>
    <row r="69" spans="2:6" ht="11.25" customHeight="1">
      <c r="B69" s="133"/>
      <c r="C69" s="133"/>
      <c r="D69" s="133"/>
      <c r="E69" s="133"/>
      <c r="F69" s="133"/>
    </row>
    <row r="70" spans="2:6" ht="11.25" customHeight="1">
      <c r="B70" s="133"/>
      <c r="C70" s="133"/>
      <c r="D70" s="133"/>
      <c r="E70" s="133"/>
      <c r="F70" s="133"/>
    </row>
    <row r="71" spans="2:6" ht="11.25" customHeight="1">
      <c r="B71" s="133"/>
      <c r="C71" s="131"/>
      <c r="D71" s="131"/>
    </row>
    <row r="72" spans="2:6" ht="11.25" customHeight="1">
      <c r="B72" s="133"/>
      <c r="C72" s="133"/>
      <c r="D72" s="133"/>
      <c r="E72" s="133"/>
      <c r="F72" s="133"/>
    </row>
    <row r="73" spans="2:6" ht="11.25" customHeight="1">
      <c r="C73" s="133"/>
      <c r="D73" s="133"/>
      <c r="E73" s="133"/>
      <c r="F73" s="133"/>
    </row>
    <row r="74" spans="2:6" ht="11.25" customHeight="1">
      <c r="C74" s="133"/>
      <c r="D74" s="133"/>
      <c r="E74" s="133"/>
      <c r="F74" s="133"/>
    </row>
    <row r="75" spans="2:6" ht="11.25" customHeight="1">
      <c r="C75" s="133"/>
      <c r="D75" s="133"/>
      <c r="E75" s="133"/>
      <c r="F75" s="133"/>
    </row>
    <row r="76" spans="2:6" ht="11.25" customHeight="1">
      <c r="C76" s="133"/>
      <c r="D76" s="133"/>
      <c r="E76" s="133"/>
      <c r="F76" s="133"/>
    </row>
    <row r="77" spans="2:6" ht="11.25" customHeight="1">
      <c r="C77" s="133"/>
      <c r="D77" s="133"/>
      <c r="E77" s="133"/>
      <c r="F77" s="133"/>
    </row>
    <row r="78" spans="2:6" ht="11.25" customHeight="1">
      <c r="C78" s="133"/>
      <c r="D78" s="133"/>
      <c r="E78" s="133"/>
      <c r="F78" s="133"/>
    </row>
    <row r="79" spans="2:6" ht="11.25" customHeight="1">
      <c r="C79" s="133"/>
      <c r="D79" s="133"/>
      <c r="E79" s="133"/>
      <c r="F79" s="133"/>
    </row>
    <row r="80" spans="2:6" ht="11.25" customHeight="1">
      <c r="C80" s="133"/>
      <c r="D80" s="133"/>
      <c r="E80" s="133"/>
      <c r="F80" s="133"/>
    </row>
    <row r="81" spans="2:6" ht="11.25" customHeight="1">
      <c r="C81" s="133"/>
      <c r="D81" s="133"/>
      <c r="E81" s="133"/>
      <c r="F81" s="133"/>
    </row>
    <row r="82" spans="2:6" ht="11.25" customHeight="1">
      <c r="C82" s="133"/>
      <c r="D82" s="133"/>
      <c r="E82" s="133"/>
      <c r="F82" s="133"/>
    </row>
    <row r="83" spans="2:6" ht="11.25" customHeight="1">
      <c r="C83" s="133"/>
      <c r="D83" s="133"/>
      <c r="E83" s="133"/>
      <c r="F83" s="133"/>
    </row>
    <row r="84" spans="2:6" ht="11.25" customHeight="1">
      <c r="C84" s="133"/>
      <c r="D84" s="133"/>
      <c r="E84" s="133"/>
      <c r="F84" s="133"/>
    </row>
    <row r="85" spans="2:6" ht="11.25" customHeight="1">
      <c r="C85" s="133"/>
      <c r="D85" s="133"/>
      <c r="E85" s="133"/>
      <c r="F85" s="133"/>
    </row>
    <row r="86" spans="2:6" ht="11.25" customHeight="1">
      <c r="C86" s="133"/>
      <c r="D86" s="133"/>
      <c r="E86" s="133"/>
      <c r="F86" s="133"/>
    </row>
    <row r="87" spans="2:6" ht="11.25" customHeight="1">
      <c r="C87" s="133"/>
      <c r="D87" s="133"/>
      <c r="E87" s="133"/>
      <c r="F87" s="133"/>
    </row>
    <row r="88" spans="2:6" ht="11.25" customHeight="1">
      <c r="C88" s="133"/>
      <c r="D88" s="133"/>
      <c r="E88" s="133"/>
      <c r="F88" s="133"/>
    </row>
    <row r="89" spans="2:6" ht="11.25" customHeight="1">
      <c r="B89" s="136"/>
      <c r="C89" s="133"/>
      <c r="D89" s="133"/>
      <c r="E89" s="133"/>
      <c r="F89" s="133"/>
    </row>
    <row r="90" spans="2:6" ht="11.25" customHeight="1">
      <c r="B90" s="133"/>
      <c r="C90" s="133"/>
      <c r="D90" s="133"/>
      <c r="E90" s="133"/>
      <c r="F90" s="133"/>
    </row>
    <row r="91" spans="2:6" ht="11.25" customHeight="1">
      <c r="B91" s="133"/>
      <c r="C91" s="133"/>
      <c r="D91" s="133"/>
      <c r="E91" s="133"/>
      <c r="F91" s="133"/>
    </row>
    <row r="92" spans="2:6" ht="11.25" customHeight="1">
      <c r="B92" s="133"/>
      <c r="C92" s="133"/>
      <c r="D92" s="133"/>
      <c r="E92" s="133"/>
      <c r="F92" s="133"/>
    </row>
    <row r="93" spans="2:6" ht="11.25" customHeight="1">
      <c r="B93" s="153"/>
      <c r="C93" s="136"/>
      <c r="D93" s="136"/>
      <c r="E93" s="153"/>
      <c r="F93" s="136"/>
    </row>
    <row r="94" spans="2:6" ht="11.25" customHeight="1">
      <c r="C94" s="133"/>
      <c r="D94" s="133"/>
      <c r="E94" s="133"/>
      <c r="F94" s="133"/>
    </row>
    <row r="95" spans="2:6" ht="11.25" customHeight="1">
      <c r="C95" s="133"/>
      <c r="D95" s="133"/>
      <c r="E95" s="133"/>
      <c r="F95" s="133"/>
    </row>
    <row r="1048573" ht="12.75" customHeight="1"/>
    <row r="1048574" ht="12.75" customHeight="1"/>
    <row r="1048575" ht="12.75" customHeight="1"/>
    <row r="1048576" ht="12.75" customHeight="1"/>
  </sheetData>
  <mergeCells count="1">
    <mergeCell ref="E3:F3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workbookViewId="0"/>
  </sheetViews>
  <sheetFormatPr defaultRowHeight="12.75"/>
  <cols>
    <col min="1" max="1" width="43.140625" customWidth="1"/>
    <col min="2" max="2" width="12.140625" customWidth="1"/>
    <col min="3" max="3" width="10.5703125" customWidth="1"/>
    <col min="4" max="4" width="14.140625" customWidth="1"/>
    <col min="5" max="5" width="12.28515625" bestFit="1" customWidth="1"/>
    <col min="6" max="6" width="9.140625" customWidth="1"/>
  </cols>
  <sheetData>
    <row r="1" spans="1:5">
      <c r="A1" s="179"/>
      <c r="B1" s="180"/>
      <c r="C1" s="180"/>
      <c r="D1" s="306">
        <v>45233</v>
      </c>
      <c r="E1" s="306"/>
    </row>
    <row r="2" spans="1:5">
      <c r="A2" s="179"/>
      <c r="B2" s="180"/>
      <c r="C2" s="180"/>
      <c r="D2" s="180"/>
    </row>
    <row r="3" spans="1:5">
      <c r="A3" s="181" t="s">
        <v>342</v>
      </c>
      <c r="B3" s="180"/>
      <c r="C3" s="180"/>
      <c r="D3" s="180"/>
      <c r="E3" s="27" t="s">
        <v>343</v>
      </c>
    </row>
    <row r="4" spans="1:5">
      <c r="A4" s="182" t="s">
        <v>344</v>
      </c>
      <c r="B4" s="182">
        <f>'01-03-HAKAN'!F159</f>
        <v>143534.12</v>
      </c>
      <c r="C4" s="183">
        <f>B4/D4</f>
        <v>1.4427171015989599</v>
      </c>
      <c r="D4" s="184">
        <f>'01-03-HAKAN'!F181</f>
        <v>99488.749277957177</v>
      </c>
      <c r="E4" s="185">
        <f>D4</f>
        <v>99488.749277957177</v>
      </c>
    </row>
    <row r="5" spans="1:5">
      <c r="A5" s="180" t="s">
        <v>345</v>
      </c>
      <c r="B5" s="186">
        <f>'01-01-DGS'!F59*-1</f>
        <v>141563.54999999999</v>
      </c>
      <c r="C5" s="183">
        <v>3.55</v>
      </c>
      <c r="D5" s="187">
        <f>B5/C5</f>
        <v>39877.056338028167</v>
      </c>
      <c r="E5" s="188">
        <f>E4+D5</f>
        <v>139365.80561598536</v>
      </c>
    </row>
    <row r="6" spans="1:5">
      <c r="A6" s="180" t="s">
        <v>346</v>
      </c>
      <c r="B6" s="186">
        <f>'01-01-DGS'!F61*-1</f>
        <v>131356.54999999999</v>
      </c>
      <c r="C6" s="183">
        <v>3.55</v>
      </c>
      <c r="D6" s="189">
        <f>B6/C6</f>
        <v>37001.845070422532</v>
      </c>
      <c r="E6" s="188">
        <f>E5+D6</f>
        <v>176367.6506864079</v>
      </c>
    </row>
    <row r="7" spans="1:5" ht="15.75">
      <c r="A7" s="190" t="s">
        <v>347</v>
      </c>
      <c r="B7" s="191">
        <f>SUM(B4:B6)</f>
        <v>416454.22</v>
      </c>
      <c r="C7" s="183"/>
      <c r="D7" s="192">
        <f>SUM(D4:D6)</f>
        <v>176367.6506864079</v>
      </c>
      <c r="E7" s="188"/>
    </row>
    <row r="8" spans="1:5" ht="15.75">
      <c r="A8" s="180"/>
      <c r="B8" s="191"/>
      <c r="C8" s="183"/>
      <c r="D8" s="192"/>
      <c r="E8" s="188"/>
    </row>
    <row r="9" spans="1:5">
      <c r="A9" s="181" t="s">
        <v>348</v>
      </c>
      <c r="B9" s="186"/>
      <c r="C9" s="183"/>
      <c r="D9" s="180"/>
      <c r="E9" s="188"/>
    </row>
    <row r="10" spans="1:5">
      <c r="A10" s="180" t="s">
        <v>349</v>
      </c>
      <c r="B10" s="186">
        <v>50000</v>
      </c>
      <c r="C10" s="183">
        <v>1.31</v>
      </c>
      <c r="D10" s="189">
        <f>B10/C10</f>
        <v>38167.938931297707</v>
      </c>
      <c r="E10" s="188">
        <f>E6+D10*-1</f>
        <v>138199.71175511018</v>
      </c>
    </row>
    <row r="11" spans="1:5">
      <c r="A11" s="180" t="s">
        <v>350</v>
      </c>
      <c r="B11" s="186">
        <f>'01-01-DGS'!F64*-1</f>
        <v>272920.09999999998</v>
      </c>
      <c r="C11" s="183">
        <v>3.55</v>
      </c>
      <c r="D11" s="189">
        <f>B11/C11</f>
        <v>76878.901408450707</v>
      </c>
      <c r="E11" s="188">
        <f>E10+D11*-1</f>
        <v>61320.810346659477</v>
      </c>
    </row>
    <row r="12" spans="1:5" ht="15.75">
      <c r="A12" s="190" t="s">
        <v>351</v>
      </c>
      <c r="B12" s="191">
        <f>SUM(B10:B11)</f>
        <v>322920.09999999998</v>
      </c>
      <c r="C12" s="183"/>
      <c r="D12" s="192">
        <f>SUM(D10:D11)</f>
        <v>115046.84033974842</v>
      </c>
      <c r="E12" s="188">
        <f>E11</f>
        <v>61320.810346659477</v>
      </c>
    </row>
    <row r="13" spans="1:5">
      <c r="A13" s="180"/>
      <c r="B13" s="186"/>
      <c r="C13" s="183"/>
      <c r="E13" s="188">
        <f>E12</f>
        <v>61320.810346659477</v>
      </c>
    </row>
    <row r="14" spans="1:5">
      <c r="A14" s="180"/>
      <c r="B14" s="186"/>
      <c r="D14" s="27" t="s">
        <v>352</v>
      </c>
      <c r="E14" s="188">
        <f>E13</f>
        <v>61320.810346659477</v>
      </c>
    </row>
    <row r="15" spans="1:5" ht="15.75">
      <c r="B15" s="193"/>
      <c r="D15" s="192"/>
      <c r="E15" s="188"/>
    </row>
    <row r="16" spans="1:5" ht="15">
      <c r="A16" t="s">
        <v>353</v>
      </c>
      <c r="D16" s="194">
        <f>E14/2</f>
        <v>30660.405173329738</v>
      </c>
      <c r="E16" s="188"/>
    </row>
    <row r="17" spans="1:5" ht="15">
      <c r="A17" t="s">
        <v>354</v>
      </c>
      <c r="D17" s="195">
        <f>D16</f>
        <v>30660.405173329738</v>
      </c>
      <c r="E17" s="188"/>
    </row>
    <row r="18" spans="1:5">
      <c r="D18" s="185"/>
      <c r="E18" s="188"/>
    </row>
    <row r="19" spans="1:5" ht="13.5" thickBot="1">
      <c r="D19" s="185"/>
      <c r="E19" s="188"/>
    </row>
    <row r="20" spans="1:5">
      <c r="A20" s="196" t="s">
        <v>355</v>
      </c>
      <c r="B20" s="197"/>
      <c r="C20" s="198"/>
      <c r="D20" s="198"/>
      <c r="E20" s="199"/>
    </row>
    <row r="21" spans="1:5">
      <c r="A21" s="200"/>
      <c r="B21" s="201" t="s">
        <v>356</v>
      </c>
      <c r="C21" s="202">
        <v>40000</v>
      </c>
      <c r="D21" s="182">
        <v>1.4</v>
      </c>
      <c r="E21" s="203">
        <f>C21/D21</f>
        <v>28571.428571428572</v>
      </c>
    </row>
    <row r="22" spans="1:5">
      <c r="A22" s="200"/>
      <c r="B22" s="201" t="s">
        <v>357</v>
      </c>
      <c r="C22" s="204">
        <v>15000</v>
      </c>
      <c r="D22" s="182">
        <v>1.4</v>
      </c>
      <c r="E22" s="205">
        <f>C22/D22*-1</f>
        <v>-10714.285714285716</v>
      </c>
    </row>
    <row r="23" spans="1:5" ht="13.5" thickBot="1">
      <c r="A23" s="206"/>
      <c r="B23" s="207"/>
      <c r="C23" s="208"/>
      <c r="D23" s="209" t="s">
        <v>358</v>
      </c>
      <c r="E23" s="210">
        <f>SUM(E21:E22)</f>
        <v>17857.142857142855</v>
      </c>
    </row>
    <row r="25" spans="1:5" ht="13.5" thickBot="1"/>
    <row r="26" spans="1:5" ht="13.5" thickBot="1">
      <c r="A26" s="211"/>
      <c r="B26" s="163"/>
      <c r="C26" s="212"/>
      <c r="D26" s="163"/>
      <c r="E26" s="213"/>
    </row>
    <row r="27" spans="1:5" ht="13.5" thickBot="1">
      <c r="A27" s="214" t="s">
        <v>359</v>
      </c>
      <c r="C27" s="83" t="s">
        <v>360</v>
      </c>
      <c r="D27" s="184">
        <f>D4*-1</f>
        <v>-99488.749277957177</v>
      </c>
      <c r="E27" s="215">
        <f>D27</f>
        <v>-99488.749277957177</v>
      </c>
    </row>
    <row r="28" spans="1:5">
      <c r="A28" s="200"/>
      <c r="C28" s="83" t="s">
        <v>361</v>
      </c>
      <c r="D28" s="216">
        <f>D5*-1</f>
        <v>-39877.056338028167</v>
      </c>
      <c r="E28" s="215">
        <f t="shared" ref="E28:E33" si="0">E27+D28</f>
        <v>-139365.80561598536</v>
      </c>
    </row>
    <row r="29" spans="1:5">
      <c r="A29" s="200"/>
      <c r="C29" s="217" t="s">
        <v>362</v>
      </c>
      <c r="D29" s="218">
        <f>E23*-1</f>
        <v>-17857.142857142855</v>
      </c>
      <c r="E29" s="215">
        <f t="shared" si="0"/>
        <v>-157222.9484731282</v>
      </c>
    </row>
    <row r="30" spans="1:5">
      <c r="A30" s="219"/>
      <c r="D30" s="2"/>
      <c r="E30" s="215">
        <f t="shared" si="0"/>
        <v>-157222.9484731282</v>
      </c>
    </row>
    <row r="31" spans="1:5">
      <c r="A31" s="220"/>
      <c r="B31" s="221"/>
      <c r="C31" s="222" t="s">
        <v>363</v>
      </c>
      <c r="D31" s="223">
        <f>D16</f>
        <v>30660.405173329738</v>
      </c>
      <c r="E31" s="215">
        <f t="shared" si="0"/>
        <v>-126562.54329979846</v>
      </c>
    </row>
    <row r="32" spans="1:5">
      <c r="A32" s="200"/>
      <c r="C32" s="83"/>
      <c r="D32" s="185"/>
      <c r="E32" s="215">
        <f t="shared" si="0"/>
        <v>-126562.54329979846</v>
      </c>
    </row>
    <row r="33" spans="1:5">
      <c r="A33" s="224"/>
      <c r="B33" s="225"/>
      <c r="C33" s="226" t="s">
        <v>364</v>
      </c>
      <c r="D33" s="227"/>
      <c r="E33" s="228">
        <f t="shared" si="0"/>
        <v>-126562.54329979846</v>
      </c>
    </row>
    <row r="34" spans="1:5" ht="13.5" thickBot="1">
      <c r="A34" s="206"/>
      <c r="B34" s="54"/>
      <c r="C34" s="229" t="s">
        <v>365</v>
      </c>
      <c r="D34" s="230">
        <f>D4/E33</f>
        <v>-0.7860836759758415</v>
      </c>
      <c r="E34" s="55"/>
    </row>
    <row r="36" spans="1:5">
      <c r="A36" s="231"/>
    </row>
  </sheetData>
  <mergeCells count="1">
    <mergeCell ref="D1:E1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"/>
  <sheetViews>
    <sheetView workbookViewId="0"/>
  </sheetViews>
  <sheetFormatPr defaultRowHeight="12.75"/>
  <cols>
    <col min="1" max="1" width="8.7109375" customWidth="1"/>
    <col min="2" max="2" width="15" customWidth="1"/>
    <col min="3" max="3" width="31.5703125" customWidth="1"/>
    <col min="4" max="4" width="20" customWidth="1"/>
    <col min="5" max="5" width="25" bestFit="1" customWidth="1"/>
    <col min="6" max="6" width="9.140625" customWidth="1"/>
  </cols>
  <sheetData>
    <row r="1" spans="1:5">
      <c r="A1" s="232"/>
      <c r="D1" s="233"/>
      <c r="E1" s="134">
        <v>45234</v>
      </c>
    </row>
    <row r="3" spans="1:5" ht="18.75" thickBot="1">
      <c r="C3" s="234"/>
      <c r="D3" s="235" t="s">
        <v>366</v>
      </c>
      <c r="E3" s="236">
        <v>450000</v>
      </c>
    </row>
    <row r="4" spans="1:5" ht="19.5" thickTop="1" thickBot="1">
      <c r="B4" s="237"/>
      <c r="C4" s="238"/>
      <c r="D4" s="239" t="s">
        <v>367</v>
      </c>
      <c r="E4" s="240" t="s">
        <v>65</v>
      </c>
    </row>
    <row r="5" spans="1:5" ht="19.5" thickTop="1" thickBot="1">
      <c r="C5" s="235"/>
      <c r="D5" s="241"/>
      <c r="E5" s="241"/>
    </row>
    <row r="6" spans="1:5" ht="18">
      <c r="B6" s="211"/>
      <c r="C6" s="242" t="s">
        <v>368</v>
      </c>
      <c r="D6" s="243">
        <v>0.5</v>
      </c>
      <c r="E6" s="244">
        <v>0.5</v>
      </c>
    </row>
    <row r="7" spans="1:5" ht="18.75" thickBot="1">
      <c r="B7" s="206"/>
      <c r="C7" s="245" t="s">
        <v>369</v>
      </c>
      <c r="D7" s="246">
        <f>E3*0.5</f>
        <v>225000</v>
      </c>
      <c r="E7" s="247">
        <f>E3*0.5</f>
        <v>225000</v>
      </c>
    </row>
    <row r="8" spans="1:5" ht="18">
      <c r="C8" s="235"/>
      <c r="D8" s="248"/>
      <c r="E8" s="248"/>
    </row>
    <row r="9" spans="1:5" ht="18">
      <c r="B9" s="249"/>
      <c r="C9" s="250" t="s">
        <v>370</v>
      </c>
      <c r="D9" s="251">
        <f>'01-02-DGS'!E33</f>
        <v>-126562.54329979846</v>
      </c>
      <c r="E9" s="252">
        <f>D9*-1</f>
        <v>126562.54329979846</v>
      </c>
    </row>
    <row r="10" spans="1:5" ht="80.25" customHeight="1" thickBot="1">
      <c r="C10" s="253"/>
      <c r="D10" s="254" t="s">
        <v>371</v>
      </c>
      <c r="E10" s="254" t="s">
        <v>372</v>
      </c>
    </row>
    <row r="11" spans="1:5" ht="18">
      <c r="B11" s="211"/>
      <c r="C11" s="242" t="s">
        <v>373</v>
      </c>
      <c r="D11" s="255">
        <f>SUM(D7:D9)</f>
        <v>98437.456700201539</v>
      </c>
      <c r="E11" s="256">
        <f>SUM(E7:E9)</f>
        <v>351562.54329979845</v>
      </c>
    </row>
    <row r="12" spans="1:5" ht="18.75" thickBot="1">
      <c r="B12" s="206"/>
      <c r="C12" s="257" t="s">
        <v>374</v>
      </c>
      <c r="D12" s="258">
        <f>D11/E3</f>
        <v>0.21874990377822565</v>
      </c>
      <c r="E12" s="259">
        <f>E11/E3</f>
        <v>0.78125009622177433</v>
      </c>
    </row>
    <row r="13" spans="1:5" ht="61.5" thickBot="1">
      <c r="B13" s="260"/>
      <c r="C13" s="261"/>
      <c r="D13" s="253" t="s">
        <v>375</v>
      </c>
      <c r="E13" s="254" t="s">
        <v>376</v>
      </c>
    </row>
    <row r="14" spans="1:5" ht="18">
      <c r="B14" s="211"/>
      <c r="C14" s="262" t="s">
        <v>377</v>
      </c>
      <c r="D14" s="255">
        <v>7485.3</v>
      </c>
      <c r="E14" s="256">
        <f>D14*-1</f>
        <v>-7485.3</v>
      </c>
    </row>
    <row r="15" spans="1:5" ht="18.75" thickBot="1">
      <c r="B15" s="206"/>
      <c r="C15" s="263" t="s">
        <v>378</v>
      </c>
      <c r="D15" s="258">
        <f>D18-D12</f>
        <v>1.663400000000001E-2</v>
      </c>
      <c r="E15" s="264">
        <f>E18-E12</f>
        <v>-1.6633999999999927E-2</v>
      </c>
    </row>
    <row r="16" spans="1:5" ht="123.75" customHeight="1" thickBot="1">
      <c r="B16" s="260"/>
      <c r="C16" s="261"/>
      <c r="D16" s="254" t="s">
        <v>379</v>
      </c>
      <c r="E16" s="254" t="s">
        <v>380</v>
      </c>
    </row>
    <row r="17" spans="2:5" ht="18">
      <c r="B17" s="265"/>
      <c r="C17" s="235" t="s">
        <v>381</v>
      </c>
      <c r="D17" s="266">
        <f>D11+D14</f>
        <v>105922.75670020154</v>
      </c>
      <c r="E17" s="267">
        <f>E11+E14</f>
        <v>344077.24329979846</v>
      </c>
    </row>
    <row r="18" spans="2:5" ht="18">
      <c r="B18" s="268"/>
      <c r="C18" s="269" t="s">
        <v>382</v>
      </c>
      <c r="D18" s="270">
        <f>D17/E3</f>
        <v>0.23538390377822566</v>
      </c>
      <c r="E18" s="271">
        <f>E17/E3</f>
        <v>0.7646160962217744</v>
      </c>
    </row>
    <row r="19" spans="2:5" ht="13.5" thickBot="1"/>
    <row r="20" spans="2:5" ht="23.25">
      <c r="B20" s="272" t="s">
        <v>383</v>
      </c>
      <c r="C20" s="273"/>
      <c r="D20" s="163"/>
      <c r="E20" s="213"/>
    </row>
    <row r="21" spans="2:5" ht="24" thickBot="1">
      <c r="B21" s="274" t="s">
        <v>384</v>
      </c>
      <c r="C21" s="275"/>
      <c r="D21" s="276">
        <f>D18</f>
        <v>0.23538390377822566</v>
      </c>
      <c r="E21" s="277">
        <f>E18</f>
        <v>0.7646160962217744</v>
      </c>
    </row>
    <row r="23" spans="2:5">
      <c r="B23" t="s">
        <v>385</v>
      </c>
    </row>
    <row r="24" spans="2:5">
      <c r="B24" t="s">
        <v>386</v>
      </c>
    </row>
    <row r="26" spans="2:5">
      <c r="B26" t="s">
        <v>387</v>
      </c>
    </row>
    <row r="27" spans="2:5">
      <c r="B27" t="s">
        <v>388</v>
      </c>
    </row>
    <row r="28" spans="2:5">
      <c r="B28" t="s">
        <v>389</v>
      </c>
    </row>
  </sheetData>
  <pageMargins left="0.25" right="0.25" top="0.75" bottom="0.75" header="0.30000000000000004" footer="0.30000000000000004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01-DgsOLD</vt:lpstr>
      <vt:lpstr>01-Dgs</vt:lpstr>
      <vt:lpstr>DGS_31-05-24</vt:lpstr>
      <vt:lpstr>2024</vt:lpstr>
      <vt:lpstr>02--_Tzgmrg</vt:lpstr>
      <vt:lpstr>01-03-HAKAN</vt:lpstr>
      <vt:lpstr>01-01-DGS</vt:lpstr>
      <vt:lpstr>01-02-DGS</vt:lpstr>
      <vt:lpstr>1203-YZD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230</cp:revision>
  <cp:lastPrinted>2025-02-13T09:51:12Z</cp:lastPrinted>
  <dcterms:created xsi:type="dcterms:W3CDTF">2019-12-25T12:06:09Z</dcterms:created>
  <dcterms:modified xsi:type="dcterms:W3CDTF">2025-02-13T10:07:25Z</dcterms:modified>
</cp:coreProperties>
</file>