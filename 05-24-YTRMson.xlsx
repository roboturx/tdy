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9A70245-6305-4039-95F6-4EC0C798F56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U11" i="2" l="1"/>
  <c r="S11" i="2"/>
  <c r="E54" i="1"/>
  <c r="I54" i="1"/>
  <c r="J54" i="1"/>
  <c r="K54" i="1"/>
  <c r="L54" i="1"/>
  <c r="M54" i="1"/>
  <c r="N54" i="1"/>
  <c r="J47" i="1"/>
  <c r="K47" i="1" s="1"/>
  <c r="G47" i="1"/>
  <c r="I47" i="1" s="1"/>
  <c r="F47" i="1"/>
  <c r="L47" i="1" s="1"/>
  <c r="E47" i="1"/>
  <c r="J45" i="1"/>
  <c r="K45" i="1" s="1"/>
  <c r="G45" i="1"/>
  <c r="F45" i="1"/>
  <c r="L45" i="1" s="1"/>
  <c r="E45" i="1"/>
  <c r="I74" i="1"/>
  <c r="F74" i="1"/>
  <c r="L74" i="1" s="1"/>
  <c r="E74" i="1"/>
  <c r="T12" i="2"/>
  <c r="R12" i="2"/>
  <c r="J75" i="1"/>
  <c r="K75" i="1" s="1"/>
  <c r="F75" i="1"/>
  <c r="L75" i="1" s="1"/>
  <c r="E75" i="1"/>
  <c r="T13" i="2"/>
  <c r="R13" i="2"/>
  <c r="T14" i="2"/>
  <c r="R14" i="2"/>
  <c r="G19" i="1"/>
  <c r="F19" i="1"/>
  <c r="L19" i="1" s="1"/>
  <c r="E19" i="1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10" i="2"/>
  <c r="T15" i="2"/>
  <c r="T16" i="2"/>
  <c r="T17" i="2"/>
  <c r="T18" i="2"/>
  <c r="T19" i="2"/>
  <c r="T20" i="2"/>
  <c r="R30" i="2"/>
  <c r="R31" i="2"/>
  <c r="T21" i="2"/>
  <c r="F20" i="1"/>
  <c r="L20" i="1" s="1"/>
  <c r="E20" i="1"/>
  <c r="T22" i="2"/>
  <c r="N60" i="2"/>
  <c r="N61" i="2"/>
  <c r="N63" i="2"/>
  <c r="N64" i="2"/>
  <c r="G22" i="1"/>
  <c r="F22" i="1"/>
  <c r="L22" i="1" s="1"/>
  <c r="E22" i="1"/>
  <c r="AA23" i="2"/>
  <c r="Y23" i="2"/>
  <c r="Y5" i="2"/>
  <c r="H16" i="1" s="1"/>
  <c r="J16" i="1" s="1"/>
  <c r="K16" i="1" s="1"/>
  <c r="AA5" i="2"/>
  <c r="H15" i="1" s="1"/>
  <c r="J15" i="1" s="1"/>
  <c r="K15" i="1" s="1"/>
  <c r="AA28" i="2"/>
  <c r="AA27" i="2"/>
  <c r="Y28" i="2"/>
  <c r="Y27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76" i="1"/>
  <c r="L76" i="1"/>
  <c r="E76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1" i="2"/>
  <c r="AI67" i="2"/>
  <c r="AK66" i="2"/>
  <c r="AI65" i="2"/>
  <c r="AK64" i="2"/>
  <c r="R63" i="2"/>
  <c r="R62" i="2"/>
  <c r="L62" i="2"/>
  <c r="N62" i="2" s="1"/>
  <c r="AI61" i="2"/>
  <c r="R61" i="2"/>
  <c r="AK60" i="2"/>
  <c r="AD60" i="2"/>
  <c r="AD59" i="2" s="1"/>
  <c r="R60" i="2"/>
  <c r="AM59" i="2"/>
  <c r="AH59" i="2"/>
  <c r="AH56" i="2" s="1"/>
  <c r="AF59" i="2"/>
  <c r="AF56" i="2" s="1"/>
  <c r="R59" i="2"/>
  <c r="D59" i="2"/>
  <c r="D39" i="2" s="1"/>
  <c r="B59" i="2"/>
  <c r="B49" i="2" s="1"/>
  <c r="AJ58" i="2"/>
  <c r="R58" i="2"/>
  <c r="AJ57" i="2"/>
  <c r="R57" i="2"/>
  <c r="AJ56" i="2"/>
  <c r="R56" i="2"/>
  <c r="AJ55" i="2"/>
  <c r="R55" i="2"/>
  <c r="AJ54" i="2"/>
  <c r="R54" i="2"/>
  <c r="AJ53" i="2"/>
  <c r="R53" i="2"/>
  <c r="AJ52" i="2"/>
  <c r="T52" i="2"/>
  <c r="R52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T43" i="2"/>
  <c r="R43" i="2"/>
  <c r="T42" i="2"/>
  <c r="R42" i="2"/>
  <c r="T41" i="2"/>
  <c r="R41" i="2"/>
  <c r="D41" i="2"/>
  <c r="B41" i="2"/>
  <c r="T40" i="2"/>
  <c r="R40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AC32" i="2"/>
  <c r="T32" i="2"/>
  <c r="R32" i="2"/>
  <c r="AC31" i="2"/>
  <c r="T31" i="2"/>
  <c r="T30" i="2"/>
  <c r="T29" i="2"/>
  <c r="T28" i="2"/>
  <c r="T27" i="2"/>
  <c r="T26" i="2"/>
  <c r="T25" i="2"/>
  <c r="T24" i="2"/>
  <c r="T23" i="2"/>
  <c r="T10" i="2"/>
  <c r="H18" i="3"/>
  <c r="AM5" i="2"/>
  <c r="AM62" i="2" s="1"/>
  <c r="AM65" i="2" s="1"/>
  <c r="AK5" i="2"/>
  <c r="AI5" i="2"/>
  <c r="AG5" i="2"/>
  <c r="AE5" i="2"/>
  <c r="AC5" i="2"/>
  <c r="AC33" i="2" s="1"/>
  <c r="M5" i="2"/>
  <c r="H28" i="1" s="1"/>
  <c r="I5" i="2"/>
  <c r="H24" i="1" s="1"/>
  <c r="G5" i="2"/>
  <c r="E5" i="2"/>
  <c r="C5" i="2"/>
  <c r="H37" i="1" s="1"/>
  <c r="A5" i="2"/>
  <c r="L96" i="1"/>
  <c r="J96" i="1"/>
  <c r="K96" i="1" s="1"/>
  <c r="I96" i="1"/>
  <c r="E96" i="1"/>
  <c r="L95" i="1"/>
  <c r="H95" i="1"/>
  <c r="I95" i="1" s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0" i="1"/>
  <c r="J70" i="1"/>
  <c r="K70" i="1" s="1"/>
  <c r="I70" i="1"/>
  <c r="E70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K66" i="1"/>
  <c r="I66" i="1"/>
  <c r="E66" i="1"/>
  <c r="L65" i="1"/>
  <c r="J65" i="1"/>
  <c r="K65" i="1" s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0" i="1"/>
  <c r="J60" i="1"/>
  <c r="K60" i="1" s="1"/>
  <c r="I60" i="1"/>
  <c r="E60" i="1"/>
  <c r="L58" i="1"/>
  <c r="J58" i="1"/>
  <c r="K58" i="1" s="1"/>
  <c r="I58" i="1"/>
  <c r="E58" i="1"/>
  <c r="L56" i="1"/>
  <c r="J56" i="1"/>
  <c r="K56" i="1" s="1"/>
  <c r="I56" i="1"/>
  <c r="E56" i="1"/>
  <c r="L50" i="1"/>
  <c r="J50" i="1"/>
  <c r="K50" i="1" s="1"/>
  <c r="I50" i="1"/>
  <c r="E50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46" i="1"/>
  <c r="F46" i="1"/>
  <c r="L46" i="1" s="1"/>
  <c r="E46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F33" i="1"/>
  <c r="L33" i="1" s="1"/>
  <c r="E33" i="1"/>
  <c r="F32" i="1"/>
  <c r="L32" i="1" s="1"/>
  <c r="E32" i="1"/>
  <c r="H31" i="1"/>
  <c r="J31" i="1" s="1"/>
  <c r="K31" i="1" s="1"/>
  <c r="F31" i="1"/>
  <c r="L31" i="1" s="1"/>
  <c r="E31" i="1"/>
  <c r="G29" i="1"/>
  <c r="F29" i="1"/>
  <c r="L29" i="1" s="1"/>
  <c r="E29" i="1"/>
  <c r="G28" i="1"/>
  <c r="F28" i="1"/>
  <c r="L28" i="1" s="1"/>
  <c r="E28" i="1"/>
  <c r="G17" i="1"/>
  <c r="F17" i="1"/>
  <c r="L17" i="1" s="1"/>
  <c r="E17" i="1"/>
  <c r="G26" i="1"/>
  <c r="F26" i="1"/>
  <c r="L26" i="1" s="1"/>
  <c r="E26" i="1"/>
  <c r="G24" i="1"/>
  <c r="F24" i="1"/>
  <c r="L24" i="1" s="1"/>
  <c r="E24" i="1"/>
  <c r="C3" i="1"/>
  <c r="B14" i="2" l="1"/>
  <c r="D14" i="2"/>
  <c r="D12" i="2"/>
  <c r="D15" i="2"/>
  <c r="B13" i="2"/>
  <c r="D13" i="2"/>
  <c r="B12" i="2"/>
  <c r="M47" i="1"/>
  <c r="N47" i="1" s="1"/>
  <c r="M45" i="1"/>
  <c r="N45" i="1" s="1"/>
  <c r="I45" i="1"/>
  <c r="J74" i="1"/>
  <c r="K74" i="1" s="1"/>
  <c r="M74" i="1" s="1"/>
  <c r="N74" i="1" s="1"/>
  <c r="M75" i="1"/>
  <c r="N75" i="1" s="1"/>
  <c r="I75" i="1"/>
  <c r="B15" i="2"/>
  <c r="H19" i="1"/>
  <c r="J19" i="1" s="1"/>
  <c r="K19" i="1" s="1"/>
  <c r="M19" i="1" s="1"/>
  <c r="N19" i="1" s="1"/>
  <c r="B17" i="2"/>
  <c r="B16" i="2"/>
  <c r="D16" i="2"/>
  <c r="D21" i="2"/>
  <c r="B18" i="2"/>
  <c r="D18" i="2"/>
  <c r="B21" i="2"/>
  <c r="D17" i="2"/>
  <c r="B19" i="2"/>
  <c r="D19" i="2"/>
  <c r="B20" i="2"/>
  <c r="D20" i="2"/>
  <c r="I20" i="1"/>
  <c r="M60" i="1"/>
  <c r="AE69" i="2" s="1"/>
  <c r="M84" i="1"/>
  <c r="N84" i="1" s="1"/>
  <c r="M67" i="1"/>
  <c r="N67" i="1" s="1"/>
  <c r="M20" i="1"/>
  <c r="N20" i="1" s="1"/>
  <c r="M70" i="1"/>
  <c r="N70" i="1" s="1"/>
  <c r="M50" i="1"/>
  <c r="N50" i="1" s="1"/>
  <c r="M56" i="1"/>
  <c r="N56" i="1" s="1"/>
  <c r="M78" i="1"/>
  <c r="N78" i="1" s="1"/>
  <c r="N90" i="1"/>
  <c r="M96" i="1"/>
  <c r="N96" i="1" s="1"/>
  <c r="M93" i="1"/>
  <c r="N93" i="1" s="1"/>
  <c r="M79" i="1"/>
  <c r="N79" i="1" s="1"/>
  <c r="M89" i="1"/>
  <c r="N89" i="1" s="1"/>
  <c r="M91" i="1"/>
  <c r="N91" i="1" s="1"/>
  <c r="M44" i="1"/>
  <c r="N44" i="1" s="1"/>
  <c r="B22" i="2"/>
  <c r="D22" i="2"/>
  <c r="Y29" i="2"/>
  <c r="AA29" i="2"/>
  <c r="H22" i="1"/>
  <c r="J22" i="1" s="1"/>
  <c r="K22" i="1" s="1"/>
  <c r="M22" i="1" s="1"/>
  <c r="N22" i="1" s="1"/>
  <c r="J76" i="1"/>
  <c r="K76" i="1" s="1"/>
  <c r="M76" i="1" s="1"/>
  <c r="N76" i="1" s="1"/>
  <c r="I76" i="1"/>
  <c r="D53" i="2"/>
  <c r="B28" i="2"/>
  <c r="R66" i="2"/>
  <c r="B47" i="2"/>
  <c r="B24" i="2"/>
  <c r="D36" i="2"/>
  <c r="D35" i="2"/>
  <c r="B30" i="2"/>
  <c r="B42" i="2"/>
  <c r="AF57" i="2"/>
  <c r="D29" i="2"/>
  <c r="AH57" i="2"/>
  <c r="B53" i="2"/>
  <c r="B40" i="2"/>
  <c r="D25" i="2"/>
  <c r="B31" i="2"/>
  <c r="B35" i="2"/>
  <c r="AF55" i="2"/>
  <c r="B37" i="2"/>
  <c r="B58" i="2"/>
  <c r="B45" i="2"/>
  <c r="D40" i="2"/>
  <c r="D24" i="2"/>
  <c r="B43" i="2"/>
  <c r="D58" i="2"/>
  <c r="D10" i="2" s="1"/>
  <c r="D45" i="2"/>
  <c r="D30" i="2"/>
  <c r="B26" i="2"/>
  <c r="B52" i="2"/>
  <c r="AF58" i="2"/>
  <c r="B36" i="2"/>
  <c r="D26" i="2"/>
  <c r="B38" i="2"/>
  <c r="D52" i="2"/>
  <c r="AH58" i="2"/>
  <c r="M15" i="1"/>
  <c r="N15" i="1" s="1"/>
  <c r="I15" i="1"/>
  <c r="M16" i="1"/>
  <c r="N16" i="1" s="1"/>
  <c r="I16" i="1"/>
  <c r="D31" i="2"/>
  <c r="D47" i="2"/>
  <c r="D42" i="2"/>
  <c r="D37" i="2"/>
  <c r="B48" i="2"/>
  <c r="B55" i="2"/>
  <c r="D48" i="2"/>
  <c r="D55" i="2"/>
  <c r="D49" i="2"/>
  <c r="D28" i="2"/>
  <c r="B33" i="2"/>
  <c r="D38" i="2"/>
  <c r="B56" i="2"/>
  <c r="D33" i="2"/>
  <c r="D56" i="2"/>
  <c r="D43" i="2"/>
  <c r="B23" i="2"/>
  <c r="B50" i="2"/>
  <c r="H26" i="1"/>
  <c r="J26" i="1" s="1"/>
  <c r="K26" i="1" s="1"/>
  <c r="M26" i="1" s="1"/>
  <c r="N26" i="1" s="1"/>
  <c r="D23" i="2"/>
  <c r="D44" i="2"/>
  <c r="D50" i="2"/>
  <c r="B29" i="2"/>
  <c r="M62" i="1"/>
  <c r="N62" i="1"/>
  <c r="M69" i="1"/>
  <c r="M81" i="1"/>
  <c r="N81" i="1" s="1"/>
  <c r="M82" i="1"/>
  <c r="N82" i="1" s="1"/>
  <c r="M65" i="1"/>
  <c r="N65" i="1" s="1"/>
  <c r="M88" i="1"/>
  <c r="N88" i="1" s="1"/>
  <c r="M85" i="1"/>
  <c r="N85" i="1" s="1"/>
  <c r="M92" i="1"/>
  <c r="N92" i="1" s="1"/>
  <c r="M58" i="1"/>
  <c r="N58" i="1" s="1"/>
  <c r="M68" i="1"/>
  <c r="N68" i="1" s="1"/>
  <c r="H32" i="1"/>
  <c r="I32" i="1" s="1"/>
  <c r="P32" i="1" s="1"/>
  <c r="R32" i="1" s="1"/>
  <c r="M83" i="1"/>
  <c r="N83" i="1" s="1"/>
  <c r="E6" i="1"/>
  <c r="M87" i="1"/>
  <c r="N87" i="1" s="1"/>
  <c r="M94" i="1"/>
  <c r="N94" i="1" s="1"/>
  <c r="M86" i="1"/>
  <c r="N86" i="1" s="1"/>
  <c r="M80" i="1"/>
  <c r="N80" i="1" s="1"/>
  <c r="E5" i="1"/>
  <c r="AD57" i="2"/>
  <c r="AD58" i="2"/>
  <c r="AD56" i="2"/>
  <c r="J9" i="3"/>
  <c r="L9" i="3"/>
  <c r="N9" i="3" s="1"/>
  <c r="I37" i="1"/>
  <c r="J37" i="1"/>
  <c r="K37" i="1" s="1"/>
  <c r="M37" i="1" s="1"/>
  <c r="N37" i="1" s="1"/>
  <c r="I46" i="1"/>
  <c r="J46" i="1"/>
  <c r="K46" i="1" s="1"/>
  <c r="M46" i="1" s="1"/>
  <c r="N46" i="1" s="1"/>
  <c r="N64" i="1"/>
  <c r="M64" i="1"/>
  <c r="J24" i="1"/>
  <c r="K24" i="1" s="1"/>
  <c r="I24" i="1"/>
  <c r="M31" i="1"/>
  <c r="N31" i="1" s="1"/>
  <c r="M77" i="1"/>
  <c r="N77" i="1" s="1"/>
  <c r="O70" i="1"/>
  <c r="J28" i="1"/>
  <c r="K28" i="1" s="1"/>
  <c r="M28" i="1" s="1"/>
  <c r="N28" i="1" s="1"/>
  <c r="H29" i="1"/>
  <c r="I28" i="1"/>
  <c r="O44" i="1"/>
  <c r="M43" i="1"/>
  <c r="N43" i="1" s="1"/>
  <c r="M16" i="3"/>
  <c r="N63" i="1"/>
  <c r="M63" i="1"/>
  <c r="E7" i="3"/>
  <c r="J18" i="3"/>
  <c r="K18" i="3" s="1"/>
  <c r="M18" i="3" s="1"/>
  <c r="N18" i="3" s="1"/>
  <c r="I18" i="3"/>
  <c r="I8" i="3" s="1"/>
  <c r="N17" i="3"/>
  <c r="M90" i="1"/>
  <c r="M27" i="3"/>
  <c r="N27" i="3" s="1"/>
  <c r="O29" i="3"/>
  <c r="O21" i="3" s="1"/>
  <c r="O50" i="1"/>
  <c r="J95" i="1"/>
  <c r="K95" i="1" s="1"/>
  <c r="M95" i="1" s="1"/>
  <c r="N95" i="1" s="1"/>
  <c r="H17" i="1"/>
  <c r="B51" i="2"/>
  <c r="AM63" i="2"/>
  <c r="B27" i="2"/>
  <c r="D51" i="2"/>
  <c r="B54" i="2"/>
  <c r="D27" i="2"/>
  <c r="B34" i="2"/>
  <c r="B46" i="2"/>
  <c r="D54" i="2"/>
  <c r="B57" i="2"/>
  <c r="I31" i="1"/>
  <c r="P31" i="1" s="1"/>
  <c r="D34" i="2"/>
  <c r="D46" i="2"/>
  <c r="D57" i="2"/>
  <c r="D32" i="2"/>
  <c r="B32" i="2"/>
  <c r="B39" i="2"/>
  <c r="B25" i="2"/>
  <c r="B44" i="2"/>
  <c r="I6" i="1" l="1"/>
  <c r="N60" i="1"/>
  <c r="I19" i="1"/>
  <c r="B10" i="2"/>
  <c r="I22" i="1"/>
  <c r="K8" i="3"/>
  <c r="K7" i="3" s="1"/>
  <c r="L7" i="3" s="1"/>
  <c r="O18" i="3"/>
  <c r="O14" i="3" s="1"/>
  <c r="I26" i="1"/>
  <c r="H33" i="1"/>
  <c r="J32" i="1"/>
  <c r="K32" i="1" s="1"/>
  <c r="M32" i="1" s="1"/>
  <c r="N32" i="1" s="1"/>
  <c r="J29" i="1"/>
  <c r="K29" i="1" s="1"/>
  <c r="M29" i="1" s="1"/>
  <c r="N29" i="1" s="1"/>
  <c r="I29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1" i="1"/>
  <c r="O96" i="1"/>
  <c r="O41" i="1" s="1"/>
  <c r="M24" i="1"/>
  <c r="L8" i="3" l="1"/>
  <c r="K5" i="3"/>
  <c r="B8" i="3" s="1"/>
  <c r="O29" i="1"/>
  <c r="H34" i="1"/>
  <c r="J33" i="1"/>
  <c r="K33" i="1" s="1"/>
  <c r="M33" i="1" s="1"/>
  <c r="N33" i="1" s="1"/>
  <c r="I33" i="1"/>
  <c r="P33" i="1" s="1"/>
  <c r="N24" i="1"/>
  <c r="N5" i="1" s="1"/>
  <c r="M5" i="1"/>
  <c r="L41" i="2"/>
  <c r="N41" i="2" s="1"/>
  <c r="L59" i="2"/>
  <c r="L13" i="2" l="1"/>
  <c r="N13" i="2" s="1"/>
  <c r="L12" i="2"/>
  <c r="N12" i="2" s="1"/>
  <c r="L15" i="2"/>
  <c r="N15" i="2" s="1"/>
  <c r="L14" i="2"/>
  <c r="N14" i="2" s="1"/>
  <c r="L17" i="2"/>
  <c r="N17" i="2" s="1"/>
  <c r="L16" i="2"/>
  <c r="N16" i="2" s="1"/>
  <c r="L19" i="2"/>
  <c r="N19" i="2" s="1"/>
  <c r="L18" i="2"/>
  <c r="N18" i="2" s="1"/>
  <c r="L21" i="2"/>
  <c r="N21" i="2" s="1"/>
  <c r="L20" i="2"/>
  <c r="N20" i="2" s="1"/>
  <c r="N59" i="2"/>
  <c r="L22" i="2"/>
  <c r="N22" i="2" s="1"/>
  <c r="R33" i="1"/>
  <c r="R34" i="1" s="1"/>
  <c r="P36" i="1"/>
  <c r="J34" i="1"/>
  <c r="K34" i="1" s="1"/>
  <c r="M34" i="1" s="1"/>
  <c r="N34" i="1" s="1"/>
  <c r="H35" i="1"/>
  <c r="I34" i="1"/>
  <c r="L42" i="2"/>
  <c r="N42" i="2" s="1"/>
  <c r="L23" i="2"/>
  <c r="N23" i="2" s="1"/>
  <c r="L30" i="2"/>
  <c r="N30" i="2" s="1"/>
  <c r="L55" i="2"/>
  <c r="N55" i="2" s="1"/>
  <c r="L37" i="2"/>
  <c r="N37" i="2" s="1"/>
  <c r="L49" i="2"/>
  <c r="N49" i="2" s="1"/>
  <c r="L44" i="2"/>
  <c r="N44" i="2" s="1"/>
  <c r="L25" i="2"/>
  <c r="N25" i="2" s="1"/>
  <c r="L39" i="2"/>
  <c r="N39" i="2" s="1"/>
  <c r="L32" i="2"/>
  <c r="N32" i="2" s="1"/>
  <c r="L57" i="2"/>
  <c r="N57" i="2" s="1"/>
  <c r="L46" i="2"/>
  <c r="N46" i="2" s="1"/>
  <c r="L34" i="2"/>
  <c r="N34" i="2" s="1"/>
  <c r="L43" i="2"/>
  <c r="N43" i="2" s="1"/>
  <c r="L24" i="2"/>
  <c r="N24" i="2" s="1"/>
  <c r="L54" i="2"/>
  <c r="N54" i="2" s="1"/>
  <c r="L27" i="2"/>
  <c r="N27" i="2" s="1"/>
  <c r="L51" i="2"/>
  <c r="N51" i="2" s="1"/>
  <c r="L36" i="2"/>
  <c r="N36" i="2" s="1"/>
  <c r="L48" i="2"/>
  <c r="N48" i="2" s="1"/>
  <c r="L29" i="2"/>
  <c r="N29" i="2" s="1"/>
  <c r="L26" i="2"/>
  <c r="N26" i="2" s="1"/>
  <c r="L50" i="2"/>
  <c r="N50" i="2" s="1"/>
  <c r="L31" i="2"/>
  <c r="N31" i="2" s="1"/>
  <c r="L45" i="2"/>
  <c r="N45" i="2" s="1"/>
  <c r="L53" i="2"/>
  <c r="N53" i="2" s="1"/>
  <c r="L38" i="2"/>
  <c r="N38" i="2" s="1"/>
  <c r="L33" i="2"/>
  <c r="N33" i="2" s="1"/>
  <c r="L40" i="2"/>
  <c r="N40" i="2" s="1"/>
  <c r="L56" i="2"/>
  <c r="N56" i="2" s="1"/>
  <c r="L58" i="2"/>
  <c r="N58" i="2" s="1"/>
  <c r="L47" i="2"/>
  <c r="N47" i="2" s="1"/>
  <c r="L35" i="2"/>
  <c r="N35" i="2" s="1"/>
  <c r="L28" i="2"/>
  <c r="N28" i="2" s="1"/>
  <c r="L52" i="2"/>
  <c r="N52" i="2" l="1"/>
  <c r="S12" i="2" s="1"/>
  <c r="H36" i="1"/>
  <c r="J35" i="1"/>
  <c r="K35" i="1" s="1"/>
  <c r="M35" i="1" s="1"/>
  <c r="N35" i="1" s="1"/>
  <c r="I35" i="1"/>
  <c r="R36" i="1"/>
  <c r="P37" i="1"/>
  <c r="R37" i="1" s="1"/>
  <c r="T37" i="1"/>
  <c r="S50" i="2"/>
  <c r="U50" i="2"/>
  <c r="U24" i="2"/>
  <c r="S24" i="2"/>
  <c r="U35" i="2"/>
  <c r="S35" i="2"/>
  <c r="S47" i="2"/>
  <c r="U47" i="2"/>
  <c r="S49" i="2"/>
  <c r="U49" i="2"/>
  <c r="U30" i="2"/>
  <c r="S30" i="2"/>
  <c r="U31" i="2"/>
  <c r="U51" i="2"/>
  <c r="S51" i="2"/>
  <c r="S23" i="2"/>
  <c r="U23" i="2"/>
  <c r="U48" i="2"/>
  <c r="S48" i="2"/>
  <c r="U36" i="2"/>
  <c r="S46" i="2"/>
  <c r="U46" i="2"/>
  <c r="U32" i="2"/>
  <c r="S25" i="2"/>
  <c r="L10" i="2"/>
  <c r="N10" i="2" s="1"/>
  <c r="S40" i="2"/>
  <c r="U40" i="2"/>
  <c r="S38" i="2"/>
  <c r="U45" i="2"/>
  <c r="S45" i="2"/>
  <c r="U12" i="2" l="1"/>
  <c r="S37" i="2"/>
  <c r="U37" i="2"/>
  <c r="U14" i="2"/>
  <c r="U13" i="2"/>
  <c r="S13" i="2"/>
  <c r="S44" i="2"/>
  <c r="U44" i="2"/>
  <c r="S39" i="2"/>
  <c r="S14" i="2"/>
  <c r="U39" i="2"/>
  <c r="U16" i="2"/>
  <c r="U15" i="2"/>
  <c r="S15" i="2"/>
  <c r="S16" i="2"/>
  <c r="U28" i="2"/>
  <c r="U18" i="2"/>
  <c r="S17" i="2"/>
  <c r="U17" i="2"/>
  <c r="U42" i="2"/>
  <c r="S28" i="2"/>
  <c r="S18" i="2"/>
  <c r="S42" i="2"/>
  <c r="S43" i="2"/>
  <c r="U20" i="2"/>
  <c r="U19" i="2"/>
  <c r="S19" i="2"/>
  <c r="S20" i="2"/>
  <c r="U38" i="2"/>
  <c r="U43" i="2"/>
  <c r="U33" i="2"/>
  <c r="S27" i="2"/>
  <c r="S33" i="2"/>
  <c r="U27" i="2"/>
  <c r="S52" i="2"/>
  <c r="U21" i="2"/>
  <c r="S21" i="2"/>
  <c r="U41" i="2"/>
  <c r="U22" i="2"/>
  <c r="U25" i="2"/>
  <c r="S29" i="2"/>
  <c r="S32" i="2"/>
  <c r="U29" i="2"/>
  <c r="S22" i="2"/>
  <c r="U34" i="2"/>
  <c r="U26" i="2"/>
  <c r="S41" i="2"/>
  <c r="S34" i="2"/>
  <c r="S26" i="2"/>
  <c r="S36" i="2"/>
  <c r="S31" i="2"/>
  <c r="R40" i="1"/>
  <c r="R38" i="1"/>
  <c r="J36" i="1"/>
  <c r="K36" i="1" s="1"/>
  <c r="I36" i="1"/>
  <c r="I5" i="1" s="1"/>
  <c r="S10" i="2"/>
  <c r="U10" i="2"/>
  <c r="M36" i="1" l="1"/>
  <c r="N36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<sst xmlns="http://schemas.openxmlformats.org/spreadsheetml/2006/main" count="498" uniqueCount="247">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</sst>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9" totalsRowShown="0">
  <autoFilter ref="A9:M99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7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45448</v>
      </c>
      <c r="K2" s="14">
        <f>SUM(K5:K6)</f>
        <v>243565.64917799996</v>
      </c>
    </row>
    <row r="3" spans="1:15">
      <c r="B3" s="2">
        <v>43803</v>
      </c>
      <c r="C3" s="3">
        <f>B2-B3</f>
        <v>1645</v>
      </c>
      <c r="D3" s="3">
        <f>K2/C3</f>
        <v>148.06422442431608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582611.86042399984</v>
      </c>
      <c r="F5" s="26"/>
      <c r="G5" s="27"/>
      <c r="H5" s="28"/>
      <c r="I5" s="29">
        <f>SUM(I11:I37)</f>
        <v>813657.57844199997</v>
      </c>
      <c r="J5" s="27"/>
      <c r="K5" s="25">
        <f>SUBTOTAL(109,K10:K38)</f>
        <v>218998.67801799995</v>
      </c>
      <c r="L5" s="30">
        <f>K5/E5</f>
        <v>0.37589121144671195</v>
      </c>
      <c r="M5" s="31">
        <f>SUBTOTAL(101,M10:M29)</f>
        <v>-0.10350887942462519</v>
      </c>
      <c r="N5" s="31">
        <f>SUBTOTAL(101,N10:N29)</f>
        <v>-5.6207851273756451E-2</v>
      </c>
      <c r="O5" s="32"/>
    </row>
    <row r="6" spans="1:15">
      <c r="B6" s="3"/>
      <c r="D6" s="33" t="s">
        <v>4</v>
      </c>
      <c r="E6" s="34">
        <f>SUBTOTAL(109,E41:E98)</f>
        <v>541638.71070100006</v>
      </c>
      <c r="F6" s="35"/>
      <c r="G6" s="36"/>
      <c r="H6" s="37"/>
      <c r="I6" s="34">
        <f>SUBTOTAL(109,I41:I98)</f>
        <v>559253.57088500005</v>
      </c>
      <c r="J6" s="36"/>
      <c r="K6" s="38">
        <f>SUBTOTAL(109,K41:K97)</f>
        <v>24566.971160000016</v>
      </c>
      <c r="L6" s="39">
        <f>K6/E6</f>
        <v>4.5356749203181827E-2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218998.67801799995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45448</v>
      </c>
      <c r="G15" s="63">
        <f>Tablo2[[#This Row],[adet]]</f>
        <v>40</v>
      </c>
      <c r="H15" s="64">
        <f>Sayfa4!AA5</f>
        <v>24.48</v>
      </c>
      <c r="I15" s="51">
        <f>Sayfa2!$H15*Sayfa2!$G15</f>
        <v>979.2</v>
      </c>
      <c r="J15" s="46">
        <f>H15-D15</f>
        <v>-6.02</v>
      </c>
      <c r="K15" s="65">
        <f>Sayfa2!$J15*Sayfa2!$C15</f>
        <v>-240.79999999999998</v>
      </c>
      <c r="L15" s="66">
        <f>F15-B15</f>
        <v>36</v>
      </c>
      <c r="M15" s="116">
        <f>K15/E15</f>
        <v>-0.19737704918032786</v>
      </c>
      <c r="N15" s="116">
        <f>M15/L15*30</f>
        <v>-0.16448087431693989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45448</v>
      </c>
      <c r="G16" s="63">
        <f>Tablo2[[#This Row],[adet]]</f>
        <v>35</v>
      </c>
      <c r="H16" s="64">
        <f>Sayfa4!Y5</f>
        <v>29.06</v>
      </c>
      <c r="I16" s="51">
        <f>Sayfa2!$H16*Sayfa2!$G16</f>
        <v>1017.0999999999999</v>
      </c>
      <c r="J16" s="46">
        <f>H16-D16</f>
        <v>-8.3300000000000018</v>
      </c>
      <c r="K16" s="65">
        <f>Sayfa2!$J16*Sayfa2!$C16</f>
        <v>-291.55000000000007</v>
      </c>
      <c r="L16" s="66">
        <f>F16-B16</f>
        <v>36</v>
      </c>
      <c r="M16" s="116">
        <f>K16/E16</f>
        <v>-0.22278684140144428</v>
      </c>
      <c r="N16" s="116">
        <f>M16/L16*30</f>
        <v>-0.18565570116787022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45448</v>
      </c>
      <c r="G17" s="63">
        <f>Tablo2[[#This Row],[adet]]</f>
        <v>10</v>
      </c>
      <c r="H17" s="64">
        <f>Sayfa4!AC5</f>
        <v>119</v>
      </c>
      <c r="I17" s="51">
        <f>Sayfa2!$H17*Sayfa2!$G17</f>
        <v>1190</v>
      </c>
      <c r="J17" s="46">
        <f>H17-D17</f>
        <v>-16</v>
      </c>
      <c r="K17" s="65">
        <f>Sayfa2!$J17*Sayfa2!$C17</f>
        <v>-160</v>
      </c>
      <c r="L17" s="66">
        <f>F17-B17</f>
        <v>44</v>
      </c>
      <c r="M17" s="116">
        <f>K17/E17</f>
        <v>-0.11851851851851852</v>
      </c>
      <c r="N17" s="116">
        <f>M17/L17*30</f>
        <v>-8.0808080808080815E-2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180</v>
      </c>
      <c r="D19" s="1">
        <v>647.25598100000002</v>
      </c>
      <c r="E19" s="61">
        <f>Sayfa2!$D19*Sayfa2!$C19</f>
        <v>116506.07658000001</v>
      </c>
      <c r="F19" s="62">
        <f>$B$2</f>
        <v>45448</v>
      </c>
      <c r="G19" s="63">
        <f>Tablo2[[#This Row],[adet]]</f>
        <v>180</v>
      </c>
      <c r="H19" s="64">
        <f>H20</f>
        <v>654.52437399999997</v>
      </c>
      <c r="I19" s="51">
        <f>Sayfa2!$H19*Sayfa2!$G19</f>
        <v>117814.38731999999</v>
      </c>
      <c r="J19" s="46">
        <f>H19-D19</f>
        <v>7.2683929999999464</v>
      </c>
      <c r="K19" s="65">
        <f>Sayfa2!$J19*Sayfa2!$C19</f>
        <v>1308.3107399999903</v>
      </c>
      <c r="L19" s="66">
        <f>F19-B19</f>
        <v>8</v>
      </c>
      <c r="M19" s="116">
        <f>K19/E19</f>
        <v>1.1229549379783862E-2</v>
      </c>
      <c r="N19" s="116">
        <f>M19/L19*30</f>
        <v>4.2110810174189481E-2</v>
      </c>
    </row>
    <row r="20" spans="1:18">
      <c r="A20" s="1" t="s">
        <v>240</v>
      </c>
      <c r="B20" s="2">
        <v>45412</v>
      </c>
      <c r="C20" s="3">
        <v>3</v>
      </c>
      <c r="D20" s="1">
        <v>622.84294799999998</v>
      </c>
      <c r="E20" s="61">
        <f>Sayfa2!$D20*Sayfa2!$C20</f>
        <v>1868.5288439999999</v>
      </c>
      <c r="F20" s="62">
        <f>$B$2</f>
        <v>45448</v>
      </c>
      <c r="G20" s="63">
        <v>3</v>
      </c>
      <c r="H20" s="64">
        <f>Sayfa4!K5</f>
        <v>654.52437399999997</v>
      </c>
      <c r="I20" s="51">
        <f>Sayfa2!$H20*Sayfa2!$G20</f>
        <v>1963.5731219999998</v>
      </c>
      <c r="J20" s="46">
        <f>H20-D20</f>
        <v>31.681425999999988</v>
      </c>
      <c r="K20" s="65">
        <f>Sayfa2!$J20*Sayfa2!$C20</f>
        <v>95.044277999999963</v>
      </c>
      <c r="L20" s="66">
        <f>F20-B20</f>
        <v>36</v>
      </c>
      <c r="M20" s="116">
        <f>K20/E20</f>
        <v>5.0865833998332416E-2</v>
      </c>
      <c r="N20" s="116">
        <f>M20/L20*30</f>
        <v>4.2388194998610351E-2</v>
      </c>
    </row>
    <row r="22" spans="1:18">
      <c r="A22" s="1" t="s">
        <v>246</v>
      </c>
      <c r="B22" s="2">
        <v>45412</v>
      </c>
      <c r="C22" s="3">
        <v>2500</v>
      </c>
      <c r="D22" s="1">
        <v>24.71</v>
      </c>
      <c r="E22" s="61">
        <f>Sayfa2!$D22*Sayfa2!$C22</f>
        <v>61775</v>
      </c>
      <c r="F22" s="62">
        <f>$B$2</f>
        <v>45448</v>
      </c>
      <c r="G22" s="63">
        <f>Tablo2[[#This Row],[adet]]</f>
        <v>2500</v>
      </c>
      <c r="H22" s="64">
        <f>Sayfa4!I5</f>
        <v>24.06</v>
      </c>
      <c r="I22" s="51">
        <f>Sayfa2!$H22*Sayfa2!$G22</f>
        <v>60150</v>
      </c>
      <c r="J22" s="46">
        <f>H22-D22</f>
        <v>-0.65000000000000213</v>
      </c>
      <c r="K22" s="65">
        <f>Sayfa2!$J22*Sayfa2!$C22</f>
        <v>-1625.0000000000052</v>
      </c>
      <c r="L22" s="66">
        <f>F22-B22</f>
        <v>36</v>
      </c>
      <c r="M22" s="116">
        <f>K22/E22</f>
        <v>-2.6305139619587296E-2</v>
      </c>
      <c r="N22" s="116">
        <f>M22/L22*30</f>
        <v>-2.1920949682989414E-2</v>
      </c>
      <c r="O22" s="68"/>
      <c r="P22" s="69">
        <v>240429000806114</v>
      </c>
    </row>
    <row r="23" spans="1:18">
      <c r="A23" s="1" t="s">
        <v>23</v>
      </c>
      <c r="E23" s="61"/>
      <c r="F23" s="62"/>
      <c r="G23" s="63"/>
      <c r="H23" s="64"/>
      <c r="I23" s="51"/>
      <c r="J23" s="46" t="s">
        <v>24</v>
      </c>
      <c r="K23" s="65">
        <v>-129.72999999999999</v>
      </c>
      <c r="L23" s="66"/>
      <c r="M23" s="116"/>
      <c r="N23" s="116"/>
      <c r="O23" s="68"/>
      <c r="P23" s="69">
        <v>240429000806114</v>
      </c>
    </row>
    <row r="24" spans="1:18">
      <c r="A24" s="1" t="s">
        <v>246</v>
      </c>
      <c r="B24" s="2">
        <v>45411</v>
      </c>
      <c r="C24" s="3">
        <v>2500</v>
      </c>
      <c r="D24" s="1">
        <v>24.91</v>
      </c>
      <c r="E24" s="61">
        <f>Sayfa2!$D24*Sayfa2!$C24</f>
        <v>62275</v>
      </c>
      <c r="F24" s="62">
        <f>$B$2</f>
        <v>45448</v>
      </c>
      <c r="G24" s="63">
        <f>Tablo2[[#This Row],[adet]]</f>
        <v>2500</v>
      </c>
      <c r="H24" s="64">
        <f>Sayfa4!I5</f>
        <v>24.06</v>
      </c>
      <c r="I24" s="51">
        <f>Sayfa2!$H24*Sayfa2!$G24</f>
        <v>60150</v>
      </c>
      <c r="J24" s="46">
        <f>H24-D24</f>
        <v>-0.85000000000000142</v>
      </c>
      <c r="K24" s="65">
        <f>Sayfa2!$J24*Sayfa2!$C24</f>
        <v>-2125.0000000000036</v>
      </c>
      <c r="L24" s="66">
        <f>F24-B24</f>
        <v>37</v>
      </c>
      <c r="M24" s="67">
        <f>K24/E24</f>
        <v>-3.4122842232035384E-2</v>
      </c>
      <c r="N24" s="116">
        <f>M24/L24*30</f>
        <v>-2.7667169377325985E-2</v>
      </c>
      <c r="O24" s="68"/>
      <c r="P24" s="69">
        <v>240429000806114</v>
      </c>
    </row>
    <row r="25" spans="1:18">
      <c r="A25" s="1" t="s">
        <v>23</v>
      </c>
      <c r="E25" s="61"/>
      <c r="F25" s="62"/>
      <c r="G25" s="63"/>
      <c r="H25" s="64"/>
      <c r="I25" s="51"/>
      <c r="J25" s="46" t="s">
        <v>24</v>
      </c>
      <c r="K25" s="65">
        <v>-130.78</v>
      </c>
      <c r="L25" s="66"/>
      <c r="M25" s="67"/>
      <c r="N25" s="67"/>
      <c r="O25" s="68"/>
      <c r="P25" s="69">
        <v>240429000806114</v>
      </c>
    </row>
    <row r="26" spans="1:18">
      <c r="A26" s="1" t="s">
        <v>23</v>
      </c>
      <c r="B26" s="2">
        <v>45408</v>
      </c>
      <c r="C26" s="3">
        <v>2500</v>
      </c>
      <c r="D26" s="1">
        <v>25.12</v>
      </c>
      <c r="E26" s="61">
        <f>Sayfa2!$D26*Sayfa2!$C26</f>
        <v>62800</v>
      </c>
      <c r="F26" s="62">
        <f>$B$2</f>
        <v>45448</v>
      </c>
      <c r="G26" s="63">
        <f>Tablo2[[#This Row],[adet]]</f>
        <v>2500</v>
      </c>
      <c r="H26" s="64">
        <f>Sayfa4!I5</f>
        <v>24.06</v>
      </c>
      <c r="I26" s="51">
        <f>Sayfa2!$H26*Sayfa2!$G26</f>
        <v>60150</v>
      </c>
      <c r="J26" s="46">
        <f>H26-D26</f>
        <v>-1.0600000000000023</v>
      </c>
      <c r="K26" s="65">
        <f>Sayfa2!$J26*Sayfa2!$C26</f>
        <v>-2650.0000000000055</v>
      </c>
      <c r="L26" s="66">
        <f>F26-B26</f>
        <v>40</v>
      </c>
      <c r="M26" s="67">
        <f>K26/E26</f>
        <v>-4.2197452229299451E-2</v>
      </c>
      <c r="N26" s="116">
        <f>M26/L26*30</f>
        <v>-3.1648089171974585E-2</v>
      </c>
      <c r="O26" s="68"/>
      <c r="P26" s="69">
        <v>240426000157372</v>
      </c>
    </row>
    <row r="27" spans="1:18">
      <c r="A27" s="1" t="s">
        <v>23</v>
      </c>
      <c r="E27" s="61"/>
      <c r="F27" s="62"/>
      <c r="G27" s="63"/>
      <c r="H27" s="64"/>
      <c r="I27" s="51"/>
      <c r="J27" s="46" t="s">
        <v>24</v>
      </c>
      <c r="K27" s="65">
        <v>-131.88</v>
      </c>
      <c r="L27" s="66"/>
      <c r="M27" s="67"/>
      <c r="N27" s="116"/>
      <c r="O27" s="68"/>
      <c r="P27" s="69">
        <v>240426000157372</v>
      </c>
    </row>
    <row r="28" spans="1:18">
      <c r="A28" s="1" t="s">
        <v>26</v>
      </c>
      <c r="B28" s="2">
        <v>45348</v>
      </c>
      <c r="C28" s="46">
        <v>75000</v>
      </c>
      <c r="D28" s="47">
        <v>1.064435</v>
      </c>
      <c r="E28" s="61">
        <f>Sayfa2!$D28*Sayfa2!$C28</f>
        <v>79832.625</v>
      </c>
      <c r="F28" s="62">
        <f>$B$2</f>
        <v>45448</v>
      </c>
      <c r="G28" s="63">
        <f>Tablo2[[#This Row],[adet]]</f>
        <v>75000</v>
      </c>
      <c r="H28" s="64">
        <f>Sayfa4!M5</f>
        <v>0.79747299999999999</v>
      </c>
      <c r="I28" s="51">
        <f>Sayfa2!$H28*Sayfa2!$G28</f>
        <v>59810.474999999999</v>
      </c>
      <c r="J28" s="46">
        <f>H28-D28</f>
        <v>-0.26696200000000003</v>
      </c>
      <c r="K28" s="65">
        <f>Sayfa2!$J28*Sayfa2!$C28</f>
        <v>-20022.150000000001</v>
      </c>
      <c r="L28" s="66">
        <f>F28-B28</f>
        <v>100</v>
      </c>
      <c r="M28" s="67">
        <f>K28/E28</f>
        <v>-0.25080159897034576</v>
      </c>
      <c r="N28" s="116">
        <f>M28/L28*30</f>
        <v>-7.5240479691103729E-2</v>
      </c>
      <c r="O28" s="68"/>
    </row>
    <row r="29" spans="1:18">
      <c r="A29" s="1" t="s">
        <v>26</v>
      </c>
      <c r="B29" s="2">
        <v>45344</v>
      </c>
      <c r="C29" s="46">
        <v>50000</v>
      </c>
      <c r="D29" s="47">
        <v>1.0032049999999999</v>
      </c>
      <c r="E29" s="61">
        <f>Sayfa2!$D29*Sayfa2!$C29</f>
        <v>50160.249999999993</v>
      </c>
      <c r="F29" s="62">
        <f>$B$2</f>
        <v>45448</v>
      </c>
      <c r="G29" s="63">
        <f>Tablo2[[#This Row],[adet]]</f>
        <v>50000</v>
      </c>
      <c r="H29" s="64">
        <f>H28</f>
        <v>0.79747299999999999</v>
      </c>
      <c r="I29" s="51">
        <f>Sayfa2!$H29*Sayfa2!$G29</f>
        <v>39873.65</v>
      </c>
      <c r="J29" s="46">
        <f>H29-D29</f>
        <v>-0.20573199999999991</v>
      </c>
      <c r="K29" s="65">
        <f>Sayfa2!$J29*Sayfa2!$C29</f>
        <v>-10286.599999999995</v>
      </c>
      <c r="L29" s="66">
        <f>F29-B29</f>
        <v>104</v>
      </c>
      <c r="M29" s="67">
        <f>K29/E29</f>
        <v>-0.20507473547280958</v>
      </c>
      <c r="N29" s="116">
        <f>M29/L29*30</f>
        <v>-5.9156173694079682E-2</v>
      </c>
      <c r="O29" s="70">
        <f>SUM(K13:K29)</f>
        <v>-36390.134982000018</v>
      </c>
    </row>
    <row r="30" spans="1:18">
      <c r="A30" s="32"/>
      <c r="B30" s="26"/>
      <c r="C30" s="71"/>
      <c r="D30" s="72"/>
      <c r="E30" s="58"/>
      <c r="F30" s="26"/>
      <c r="G30" s="27"/>
      <c r="H30" s="28"/>
      <c r="I30" s="29"/>
      <c r="J30" s="71"/>
      <c r="K30" s="73"/>
      <c r="L30" s="74"/>
      <c r="M30" s="31"/>
      <c r="N30" s="201"/>
      <c r="O30" s="32"/>
    </row>
    <row r="31" spans="1:18">
      <c r="A31" s="1" t="s">
        <v>27</v>
      </c>
      <c r="B31" s="2">
        <v>45219</v>
      </c>
      <c r="C31" s="46">
        <v>45</v>
      </c>
      <c r="D31" s="47">
        <v>1826.53</v>
      </c>
      <c r="E31" s="61">
        <f>Sayfa2!$D31*Sayfa2!$C31</f>
        <v>82193.850000000006</v>
      </c>
      <c r="F31" s="62">
        <f t="shared" ref="F31:F47" si="0">$B$2</f>
        <v>45448</v>
      </c>
      <c r="G31" s="63">
        <v>50</v>
      </c>
      <c r="H31" s="64">
        <f>Sayfa4!G10</f>
        <v>2330.9299999999998</v>
      </c>
      <c r="I31" s="51">
        <f>Sayfa2!$H31*Sayfa2!$G31</f>
        <v>116546.49999999999</v>
      </c>
      <c r="J31" s="46">
        <f t="shared" ref="J31:J37" si="1">H31-D31</f>
        <v>504.39999999999986</v>
      </c>
      <c r="K31" s="65">
        <f>Sayfa2!$J31*Sayfa2!$C31</f>
        <v>22697.999999999993</v>
      </c>
      <c r="L31" s="66">
        <f t="shared" ref="L31:L37" si="2">F31-B31</f>
        <v>229</v>
      </c>
      <c r="M31" s="67">
        <f t="shared" ref="M31:M37" si="3">K31/E31</f>
        <v>0.27615204787219472</v>
      </c>
      <c r="N31" s="116">
        <f t="shared" ref="N31:N37" si="4">M31/L31*30</f>
        <v>3.6177124175396688E-2</v>
      </c>
      <c r="O31" s="68"/>
      <c r="P31" s="6">
        <f>Tablo2[[#This Row],[Tutar3]]</f>
        <v>116546.49999999999</v>
      </c>
      <c r="Q31" s="1">
        <v>2000</v>
      </c>
      <c r="R31" s="1">
        <f>P31/Q31</f>
        <v>58.27324999999999</v>
      </c>
    </row>
    <row r="32" spans="1:18">
      <c r="A32" s="1" t="s">
        <v>27</v>
      </c>
      <c r="B32" s="2">
        <v>44244</v>
      </c>
      <c r="C32" s="46">
        <v>11</v>
      </c>
      <c r="D32" s="47">
        <v>402.1</v>
      </c>
      <c r="E32" s="61">
        <f>Sayfa2!$D32*Sayfa2!$C32</f>
        <v>4423.1000000000004</v>
      </c>
      <c r="F32" s="62">
        <f t="shared" si="0"/>
        <v>45448</v>
      </c>
      <c r="G32" s="63">
        <v>11</v>
      </c>
      <c r="H32" s="64">
        <f>H31</f>
        <v>2330.9299999999998</v>
      </c>
      <c r="I32" s="51">
        <f>Sayfa2!$H32*Sayfa2!$G32</f>
        <v>25640.23</v>
      </c>
      <c r="J32" s="46">
        <f t="shared" si="1"/>
        <v>1928.83</v>
      </c>
      <c r="K32" s="65">
        <f>Sayfa2!$J32*Sayfa2!$C32</f>
        <v>21217.129999999997</v>
      </c>
      <c r="L32" s="66">
        <f t="shared" si="2"/>
        <v>1204</v>
      </c>
      <c r="M32" s="67">
        <f t="shared" si="3"/>
        <v>4.7968913205670223</v>
      </c>
      <c r="N32" s="116">
        <f t="shared" si="4"/>
        <v>0.11952387011379625</v>
      </c>
      <c r="O32" s="68"/>
      <c r="P32" s="6">
        <f>Tablo2[[#This Row],[Tutar3]]</f>
        <v>25640.23</v>
      </c>
      <c r="Q32" s="1">
        <v>2000</v>
      </c>
      <c r="R32" s="1">
        <f>P32/Q32</f>
        <v>12.820114999999999</v>
      </c>
    </row>
    <row r="33" spans="1:20">
      <c r="A33" s="1" t="s">
        <v>27</v>
      </c>
      <c r="B33" s="2">
        <v>44084</v>
      </c>
      <c r="C33" s="46">
        <v>50</v>
      </c>
      <c r="D33" s="47">
        <v>468.86</v>
      </c>
      <c r="E33" s="61">
        <f>Sayfa2!$D33*Sayfa2!$C33</f>
        <v>23443</v>
      </c>
      <c r="F33" s="62">
        <f t="shared" si="0"/>
        <v>45448</v>
      </c>
      <c r="G33" s="63">
        <v>50</v>
      </c>
      <c r="H33" s="64">
        <f>H32</f>
        <v>2330.9299999999998</v>
      </c>
      <c r="I33" s="51">
        <f>Sayfa2!$H33*Sayfa2!$G33</f>
        <v>116546.49999999999</v>
      </c>
      <c r="J33" s="46">
        <f t="shared" si="1"/>
        <v>1862.0699999999997</v>
      </c>
      <c r="K33" s="65">
        <f>Sayfa2!$J33*Sayfa2!$C33</f>
        <v>93103.499999999985</v>
      </c>
      <c r="L33" s="66">
        <f t="shared" si="2"/>
        <v>1364</v>
      </c>
      <c r="M33" s="67">
        <f t="shared" si="3"/>
        <v>3.9714840250821135</v>
      </c>
      <c r="N33" s="116">
        <f t="shared" si="4"/>
        <v>8.734935539036906E-2</v>
      </c>
      <c r="O33" s="68"/>
      <c r="P33" s="6">
        <f>Tablo2[[#This Row],[Tutar3]]</f>
        <v>116546.49999999999</v>
      </c>
      <c r="Q33" s="1">
        <v>2000</v>
      </c>
      <c r="R33" s="1">
        <f>P33/Q33</f>
        <v>58.27324999999999</v>
      </c>
    </row>
    <row r="34" spans="1:20">
      <c r="A34" s="1" t="s">
        <v>27</v>
      </c>
      <c r="B34" s="2">
        <v>44020</v>
      </c>
      <c r="C34" s="46">
        <v>25</v>
      </c>
      <c r="D34" s="47">
        <v>399.87</v>
      </c>
      <c r="E34" s="61">
        <f>Sayfa2!$D34*Sayfa2!$C34</f>
        <v>9996.75</v>
      </c>
      <c r="F34" s="62">
        <f t="shared" si="0"/>
        <v>45448</v>
      </c>
      <c r="G34" s="63">
        <f>Tablo2[[#This Row],[adet]]</f>
        <v>25</v>
      </c>
      <c r="H34" s="64">
        <f>H33</f>
        <v>2330.9299999999998</v>
      </c>
      <c r="I34" s="51">
        <f>Sayfa2!$H34*Sayfa2!$G34</f>
        <v>58273.249999999993</v>
      </c>
      <c r="J34" s="46">
        <f t="shared" si="1"/>
        <v>1931.06</v>
      </c>
      <c r="K34" s="65">
        <f>Sayfa2!$J34*Sayfa2!$C34</f>
        <v>48276.5</v>
      </c>
      <c r="L34" s="66">
        <f t="shared" si="2"/>
        <v>1428</v>
      </c>
      <c r="M34" s="67">
        <f t="shared" si="3"/>
        <v>4.8292194963363091</v>
      </c>
      <c r="N34" s="116">
        <f t="shared" si="4"/>
        <v>0.10145419109950229</v>
      </c>
      <c r="O34" s="68"/>
      <c r="R34" s="1">
        <f>SUM(R31:R33)</f>
        <v>129.36661499999997</v>
      </c>
    </row>
    <row r="35" spans="1:20">
      <c r="A35" s="1" t="s">
        <v>27</v>
      </c>
      <c r="B35" s="2">
        <v>43803</v>
      </c>
      <c r="C35" s="46">
        <v>24</v>
      </c>
      <c r="D35" s="47">
        <v>273.81</v>
      </c>
      <c r="E35" s="61">
        <f>Sayfa2!$D35*Sayfa2!$C35</f>
        <v>6571.4400000000005</v>
      </c>
      <c r="F35" s="62">
        <f t="shared" si="0"/>
        <v>45448</v>
      </c>
      <c r="G35" s="63">
        <f>Tablo2[[#This Row],[adet]]</f>
        <v>24</v>
      </c>
      <c r="H35" s="64">
        <f>H34</f>
        <v>2330.9299999999998</v>
      </c>
      <c r="I35" s="51">
        <f>Sayfa2!$H35*Sayfa2!$G35</f>
        <v>55942.319999999992</v>
      </c>
      <c r="J35" s="46">
        <f t="shared" si="1"/>
        <v>2057.12</v>
      </c>
      <c r="K35" s="65">
        <f>Sayfa2!$J35*Sayfa2!$C35</f>
        <v>49370.879999999997</v>
      </c>
      <c r="L35" s="66">
        <f t="shared" si="2"/>
        <v>1645</v>
      </c>
      <c r="M35" s="67">
        <f t="shared" si="3"/>
        <v>7.5129469340053312</v>
      </c>
      <c r="N35" s="116">
        <f t="shared" si="4"/>
        <v>0.13701422979948932</v>
      </c>
      <c r="O35" s="68"/>
    </row>
    <row r="36" spans="1:20">
      <c r="A36" s="1" t="s">
        <v>27</v>
      </c>
      <c r="B36" s="2">
        <v>43803</v>
      </c>
      <c r="C36" s="46">
        <v>1</v>
      </c>
      <c r="D36" s="47">
        <v>237.59</v>
      </c>
      <c r="E36" s="61">
        <f>Sayfa2!$D36*Sayfa2!$C36</f>
        <v>237.59</v>
      </c>
      <c r="F36" s="62">
        <f t="shared" si="0"/>
        <v>45448</v>
      </c>
      <c r="G36" s="63">
        <f>Tablo2[[#This Row],[adet]]</f>
        <v>1</v>
      </c>
      <c r="H36" s="64">
        <f>H35</f>
        <v>2330.9299999999998</v>
      </c>
      <c r="I36" s="51">
        <f>Sayfa2!$H36*Sayfa2!$G36</f>
        <v>2330.9299999999998</v>
      </c>
      <c r="J36" s="46">
        <f t="shared" si="1"/>
        <v>2093.3399999999997</v>
      </c>
      <c r="K36" s="65">
        <f>Sayfa2!$J36*Sayfa2!$C36</f>
        <v>2093.3399999999997</v>
      </c>
      <c r="L36" s="66">
        <f t="shared" si="2"/>
        <v>1645</v>
      </c>
      <c r="M36" s="67">
        <f t="shared" si="3"/>
        <v>8.8107243570857339</v>
      </c>
      <c r="N36" s="116">
        <f t="shared" si="4"/>
        <v>0.16068190316873679</v>
      </c>
      <c r="O36" s="68"/>
      <c r="P36" s="6">
        <f>SUM(P31:P35)</f>
        <v>258733.22999999998</v>
      </c>
      <c r="R36" s="1">
        <f>P36/2220.32</f>
        <v>116.52970292570438</v>
      </c>
    </row>
    <row r="37" spans="1:20">
      <c r="A37" s="1" t="s">
        <v>28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45448</v>
      </c>
      <c r="G37" s="63">
        <f>Tablo2[[#This Row],[adet]]</f>
        <v>1110</v>
      </c>
      <c r="H37" s="64">
        <f>Sayfa4!C5</f>
        <v>31.783300000000001</v>
      </c>
      <c r="I37" s="51">
        <f>Sayfa2!$H37*Sayfa2!$G37</f>
        <v>35279.463000000003</v>
      </c>
      <c r="J37" s="46">
        <f t="shared" si="1"/>
        <v>16.783300000000001</v>
      </c>
      <c r="K37" s="65">
        <f>Sayfa2!$J37*Sayfa2!$C37</f>
        <v>18629.463</v>
      </c>
      <c r="L37" s="66">
        <f t="shared" si="2"/>
        <v>674</v>
      </c>
      <c r="M37" s="67">
        <f t="shared" si="3"/>
        <v>1.1188866666666666</v>
      </c>
      <c r="N37" s="116">
        <f t="shared" si="4"/>
        <v>4.9802077151335306E-2</v>
      </c>
      <c r="O37" s="70">
        <f>SUM(K31:K37)</f>
        <v>255388.81299999997</v>
      </c>
      <c r="P37" s="6">
        <f>SUM(P36:P36)</f>
        <v>258733.22999999998</v>
      </c>
      <c r="R37" s="1">
        <f>P37/2000</f>
        <v>129.366615</v>
      </c>
      <c r="T37" s="1" t="e">
        <f>P36/#REF!</f>
        <v>#REF!</v>
      </c>
    </row>
    <row r="38" spans="1:20">
      <c r="A38" s="32"/>
      <c r="B38" s="26"/>
      <c r="C38" s="71"/>
      <c r="D38" s="72"/>
      <c r="E38" s="73"/>
      <c r="F38" s="75"/>
      <c r="G38" s="76"/>
      <c r="H38" s="77"/>
      <c r="I38" s="29"/>
      <c r="J38" s="71"/>
      <c r="K38" s="32"/>
      <c r="L38" s="32"/>
      <c r="M38" s="31"/>
      <c r="N38" s="201"/>
      <c r="O38" s="32"/>
      <c r="R38" s="67">
        <f>1-(R37/R36)</f>
        <v>-0.11016000000000004</v>
      </c>
    </row>
    <row r="39" spans="1:20">
      <c r="E39" s="78"/>
      <c r="F39" s="79"/>
      <c r="G39" s="80"/>
      <c r="H39" s="81"/>
      <c r="M39" s="67"/>
      <c r="N39" s="202"/>
    </row>
    <row r="40" spans="1:20">
      <c r="C40" s="52"/>
      <c r="E40" s="78"/>
      <c r="F40" s="79"/>
      <c r="G40" s="80"/>
      <c r="H40" s="81"/>
      <c r="M40" s="67"/>
      <c r="N40" s="116"/>
      <c r="R40" s="1">
        <f>R37*2220.32</f>
        <v>287235.28261679999</v>
      </c>
    </row>
    <row r="41" spans="1:20">
      <c r="A41" s="33" t="s">
        <v>4</v>
      </c>
      <c r="B41" s="35"/>
      <c r="C41" s="82"/>
      <c r="D41" s="41"/>
      <c r="E41" s="83"/>
      <c r="F41" s="84"/>
      <c r="G41" s="85"/>
      <c r="H41" s="86"/>
      <c r="I41" s="34"/>
      <c r="J41" s="36"/>
      <c r="K41" s="34"/>
      <c r="L41" s="41"/>
      <c r="M41" s="87"/>
      <c r="N41" s="203" t="s">
        <v>29</v>
      </c>
      <c r="O41" s="88">
        <f>SUM(O43:O97)</f>
        <v>18500.177387000014</v>
      </c>
    </row>
    <row r="42" spans="1:20">
      <c r="A42" s="41"/>
      <c r="C42" s="52"/>
      <c r="E42" s="78"/>
      <c r="F42" s="79"/>
      <c r="G42" s="80"/>
      <c r="H42" s="81"/>
      <c r="K42" s="6"/>
      <c r="M42" s="67"/>
      <c r="N42" s="116"/>
      <c r="O42" s="68"/>
    </row>
    <row r="43" spans="1:20">
      <c r="A43" s="41" t="s">
        <v>30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89">
        <v>23.19</v>
      </c>
      <c r="H43" s="90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6">
        <f>M43/L43*30</f>
        <v>4.1055259237605571E-2</v>
      </c>
      <c r="O43" s="68"/>
    </row>
    <row r="44" spans="1:20">
      <c r="A44" s="41" t="s">
        <v>31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1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6">
        <f>M44/L44*30</f>
        <v>3.9299453759342032E-2</v>
      </c>
      <c r="O44" s="70">
        <f>SUM(K43:K44)</f>
        <v>582.30895100000009</v>
      </c>
    </row>
    <row r="45" spans="1:20">
      <c r="A45" s="1" t="s">
        <v>244</v>
      </c>
      <c r="B45" s="2">
        <v>44784</v>
      </c>
      <c r="C45" s="46">
        <v>240</v>
      </c>
      <c r="D45" s="47">
        <v>18.721599999999999</v>
      </c>
      <c r="E45" s="61">
        <f>Sayfa2!$D45*Sayfa2!$C45</f>
        <v>4493.1839999999993</v>
      </c>
      <c r="F45" s="62">
        <f t="shared" si="0"/>
        <v>45448</v>
      </c>
      <c r="G45" s="63">
        <f>Tablo2[[#This Row],[adet]]</f>
        <v>240</v>
      </c>
      <c r="H45" s="64">
        <v>35</v>
      </c>
      <c r="I45" s="51">
        <f>Sayfa2!$H45*Sayfa2!$G45</f>
        <v>8400</v>
      </c>
      <c r="J45" s="46">
        <f t="shared" ref="J45" si="5">H45-D45</f>
        <v>16.278400000000001</v>
      </c>
      <c r="K45" s="65">
        <f>Sayfa2!$J45*Sayfa2!$C45</f>
        <v>3906.8160000000003</v>
      </c>
      <c r="L45" s="66">
        <f t="shared" ref="L45" si="6">F45-B45</f>
        <v>664</v>
      </c>
      <c r="M45" s="67">
        <f t="shared" ref="M45" si="7">K45/E45</f>
        <v>0.86949833347577155</v>
      </c>
      <c r="N45" s="116">
        <f t="shared" ref="N45" si="8">M45/L45*30</f>
        <v>3.9284563259447514E-2</v>
      </c>
      <c r="O45" s="70"/>
    </row>
    <row r="46" spans="1:20">
      <c r="A46" s="1" t="s">
        <v>245</v>
      </c>
      <c r="B46" s="2">
        <v>44784</v>
      </c>
      <c r="C46" s="46">
        <v>58.8</v>
      </c>
      <c r="D46" s="47">
        <v>18.721599999999999</v>
      </c>
      <c r="E46" s="61">
        <f>Sayfa2!$D46*Sayfa2!$C46</f>
        <v>1100.83008</v>
      </c>
      <c r="F46" s="62">
        <f t="shared" si="0"/>
        <v>45448</v>
      </c>
      <c r="G46" s="63">
        <f>Tablo2[[#This Row],[adet]]</f>
        <v>58.8</v>
      </c>
      <c r="H46" s="64">
        <v>35.503900000000002</v>
      </c>
      <c r="I46" s="51">
        <f>Sayfa2!$H46*Sayfa2!$G46</f>
        <v>2087.62932</v>
      </c>
      <c r="J46" s="46">
        <f>H46-D46</f>
        <v>16.782300000000003</v>
      </c>
      <c r="K46" s="65">
        <f>Sayfa2!$J46*Sayfa2!$C46</f>
        <v>986.79924000000017</v>
      </c>
      <c r="L46" s="66">
        <f>F46-B46</f>
        <v>664</v>
      </c>
      <c r="M46" s="67">
        <f>K46/E46</f>
        <v>0.89641376805401263</v>
      </c>
      <c r="N46" s="116">
        <f>M46/L46*30</f>
        <v>4.0500622050633102E-2</v>
      </c>
      <c r="O46" s="70"/>
    </row>
    <row r="47" spans="1:20">
      <c r="A47" s="1" t="s">
        <v>245</v>
      </c>
      <c r="B47" s="2">
        <v>44784</v>
      </c>
      <c r="C47" s="46">
        <v>169.07</v>
      </c>
      <c r="D47" s="47">
        <v>35.503900000000002</v>
      </c>
      <c r="E47" s="61">
        <f>Sayfa2!$D47*Sayfa2!$C47</f>
        <v>6002.6443730000001</v>
      </c>
      <c r="F47" s="62">
        <f t="shared" si="0"/>
        <v>45448</v>
      </c>
      <c r="G47" s="63">
        <f>Tablo2[[#This Row],[adet]]</f>
        <v>169.07</v>
      </c>
      <c r="H47" s="64">
        <v>35.503900000000002</v>
      </c>
      <c r="I47" s="51">
        <f>Sayfa2!$H47*Sayfa2!$G47</f>
        <v>6002.6443730000001</v>
      </c>
      <c r="J47" s="46">
        <f>H47-D47</f>
        <v>0</v>
      </c>
      <c r="K47" s="65">
        <f>Sayfa2!$J47*Sayfa2!$C47</f>
        <v>0</v>
      </c>
      <c r="L47" s="66">
        <f>F47-B47</f>
        <v>664</v>
      </c>
      <c r="M47" s="67">
        <f>K47/E47</f>
        <v>0</v>
      </c>
      <c r="N47" s="116">
        <f>M47/L47*30</f>
        <v>0</v>
      </c>
      <c r="O47" s="70"/>
    </row>
    <row r="48" spans="1:20">
      <c r="A48" s="41"/>
      <c r="C48" s="46"/>
      <c r="D48" s="47"/>
      <c r="E48" s="61"/>
      <c r="G48" s="49"/>
      <c r="H48" s="91"/>
      <c r="I48" s="51"/>
      <c r="J48" s="46"/>
      <c r="K48" s="65"/>
      <c r="L48" s="66"/>
      <c r="M48" s="67"/>
      <c r="N48" s="116"/>
      <c r="O48" s="70"/>
    </row>
    <row r="49" spans="1:15">
      <c r="A49" s="41"/>
      <c r="N49" s="202"/>
      <c r="O49" s="68"/>
    </row>
    <row r="50" spans="1:15">
      <c r="A50" s="1" t="s">
        <v>27</v>
      </c>
      <c r="B50" s="2">
        <v>45219</v>
      </c>
      <c r="C50" s="46">
        <v>5</v>
      </c>
      <c r="D50" s="47">
        <v>1826.53</v>
      </c>
      <c r="E50" s="61">
        <f>Sayfa2!$D50*Sayfa2!$C50</f>
        <v>9132.65</v>
      </c>
      <c r="F50" s="62">
        <v>45384</v>
      </c>
      <c r="G50" s="63">
        <v>5</v>
      </c>
      <c r="H50" s="64">
        <v>2282.83</v>
      </c>
      <c r="I50" s="51">
        <f>Sayfa2!$H50*Sayfa2!$G50</f>
        <v>11414.15</v>
      </c>
      <c r="J50" s="46">
        <f>H50-D50</f>
        <v>456.29999999999995</v>
      </c>
      <c r="K50" s="65">
        <f>Sayfa2!$J50*Sayfa2!$C50</f>
        <v>2281.5</v>
      </c>
      <c r="L50" s="66">
        <f>F50-B50</f>
        <v>165</v>
      </c>
      <c r="M50" s="67">
        <f>K50/E50</f>
        <v>0.24981796083283606</v>
      </c>
      <c r="N50" s="116">
        <f>M50/L50*30</f>
        <v>4.5421447424152009E-2</v>
      </c>
      <c r="O50" s="92">
        <f>Tablo2[[#This Row],[Tutar2]]</f>
        <v>2281.5</v>
      </c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C52" s="46"/>
      <c r="D52" s="47"/>
      <c r="E52" s="61"/>
      <c r="F52" s="62"/>
      <c r="G52" s="63"/>
      <c r="H52" s="64"/>
      <c r="I52" s="51"/>
      <c r="J52" s="46"/>
      <c r="K52" s="65"/>
      <c r="L52" s="66"/>
      <c r="M52" s="67"/>
      <c r="N52" s="116"/>
      <c r="O52" s="92"/>
    </row>
    <row r="53" spans="1:15">
      <c r="A53" s="41"/>
      <c r="N53" s="202"/>
      <c r="O53" s="68"/>
    </row>
    <row r="54" spans="1:15">
      <c r="A54" s="41" t="s">
        <v>32</v>
      </c>
      <c r="B54" s="2">
        <v>45350</v>
      </c>
      <c r="C54" s="46">
        <v>68</v>
      </c>
      <c r="D54" s="47">
        <v>11.33</v>
      </c>
      <c r="E54" s="56">
        <f>Sayfa2!$D54*Sayfa2!$C54</f>
        <v>770.44</v>
      </c>
      <c r="F54" s="62">
        <v>45370</v>
      </c>
      <c r="G54" s="63">
        <v>68</v>
      </c>
      <c r="H54" s="64">
        <v>19.690000000000001</v>
      </c>
      <c r="I54" s="51">
        <f>Sayfa2!$H54*Sayfa2!$G54</f>
        <v>1338.92</v>
      </c>
      <c r="J54" s="46">
        <f>H54-D54</f>
        <v>8.3600000000000012</v>
      </c>
      <c r="K54" s="65">
        <f>Sayfa2!$J54*Sayfa2!$C54</f>
        <v>568.48000000000013</v>
      </c>
      <c r="L54" s="66">
        <f>F54-B54</f>
        <v>20</v>
      </c>
      <c r="M54" s="67">
        <f>K54/E54</f>
        <v>0.73786407766990303</v>
      </c>
      <c r="N54" s="116">
        <f>M54/L54*30</f>
        <v>1.1067961165048545</v>
      </c>
      <c r="O54" s="68"/>
    </row>
    <row r="55" spans="1:15">
      <c r="A55" s="41" t="s">
        <v>32</v>
      </c>
      <c r="C55" s="46"/>
      <c r="D55" s="47"/>
      <c r="E55" s="56"/>
      <c r="F55" s="62"/>
      <c r="G55" s="63"/>
      <c r="H55" s="64"/>
      <c r="I55" s="51"/>
      <c r="J55" s="46"/>
      <c r="K55" s="65">
        <v>-2.81</v>
      </c>
      <c r="L55" s="66"/>
      <c r="M55" s="67"/>
      <c r="N55" s="116"/>
      <c r="O55" s="68"/>
    </row>
    <row r="56" spans="1:15">
      <c r="A56" s="93" t="s">
        <v>33</v>
      </c>
      <c r="B56" s="48">
        <v>45344</v>
      </c>
      <c r="C56" s="46">
        <v>15</v>
      </c>
      <c r="D56" s="47">
        <v>39.24</v>
      </c>
      <c r="E56" s="56">
        <f>Sayfa2!$D56*Sayfa2!$C56</f>
        <v>588.6</v>
      </c>
      <c r="F56" s="94">
        <v>45362</v>
      </c>
      <c r="G56" s="95">
        <v>15</v>
      </c>
      <c r="H56" s="96">
        <v>55.6</v>
      </c>
      <c r="I56" s="51">
        <f>Sayfa2!$H56*Sayfa2!$G56</f>
        <v>834</v>
      </c>
      <c r="J56" s="46">
        <f>H56-D56</f>
        <v>16.36</v>
      </c>
      <c r="K56" s="56">
        <f>Sayfa2!$J56*Sayfa2!$C56</f>
        <v>245.39999999999998</v>
      </c>
      <c r="L56" s="97">
        <f>F56-B56</f>
        <v>18</v>
      </c>
      <c r="M56" s="98">
        <f>K56/E56</f>
        <v>0.41692150866462785</v>
      </c>
      <c r="N56" s="204">
        <f>M56/L56*30</f>
        <v>0.69486918110771312</v>
      </c>
      <c r="O56" s="99"/>
    </row>
    <row r="57" spans="1:15">
      <c r="A57" s="93" t="s">
        <v>34</v>
      </c>
      <c r="B57" s="48"/>
      <c r="C57" s="46"/>
      <c r="D57" s="47"/>
      <c r="E57" s="56"/>
      <c r="F57" s="94"/>
      <c r="G57" s="95"/>
      <c r="H57" s="96"/>
      <c r="I57" s="51"/>
      <c r="J57" s="46"/>
      <c r="K57" s="56">
        <v>-1.75</v>
      </c>
      <c r="L57" s="97"/>
      <c r="M57" s="100"/>
      <c r="N57" s="204"/>
      <c r="O57" s="99"/>
    </row>
    <row r="58" spans="1:15">
      <c r="A58" s="93" t="s">
        <v>35</v>
      </c>
      <c r="B58" s="48">
        <v>45344</v>
      </c>
      <c r="C58" s="46">
        <v>12</v>
      </c>
      <c r="D58" s="47">
        <v>19.45</v>
      </c>
      <c r="E58" s="56">
        <f>Sayfa2!$D58*Sayfa2!$C58</f>
        <v>233.39999999999998</v>
      </c>
      <c r="F58" s="94">
        <v>45364</v>
      </c>
      <c r="G58" s="95">
        <v>12</v>
      </c>
      <c r="H58" s="96">
        <v>45.72</v>
      </c>
      <c r="I58" s="51">
        <f>Sayfa2!$H58*Sayfa2!$G58</f>
        <v>548.64</v>
      </c>
      <c r="J58" s="46">
        <f>H58-D58</f>
        <v>26.27</v>
      </c>
      <c r="K58" s="56">
        <f>Sayfa2!$J58*Sayfa2!$C58</f>
        <v>315.24</v>
      </c>
      <c r="L58" s="97">
        <f>F58-B58</f>
        <v>20</v>
      </c>
      <c r="M58" s="98">
        <f>K58/E58</f>
        <v>1.3506426735218511</v>
      </c>
      <c r="N58" s="204">
        <f>M58/L58*30</f>
        <v>2.0259640102827765</v>
      </c>
      <c r="O58" s="68"/>
    </row>
    <row r="59" spans="1:15">
      <c r="A59" s="93" t="s">
        <v>36</v>
      </c>
      <c r="B59" s="48"/>
      <c r="C59" s="46"/>
      <c r="D59" s="47"/>
      <c r="E59" s="56"/>
      <c r="F59" s="94"/>
      <c r="G59" s="95"/>
      <c r="H59" s="96"/>
      <c r="I59" s="51"/>
      <c r="J59" s="46"/>
      <c r="K59" s="56">
        <v>-1.1599999999999999</v>
      </c>
      <c r="L59" s="97"/>
      <c r="M59" s="100"/>
      <c r="N59" s="204"/>
      <c r="O59" s="68"/>
    </row>
    <row r="60" spans="1:15">
      <c r="A60" s="41" t="s">
        <v>37</v>
      </c>
      <c r="B60" s="2">
        <v>45341</v>
      </c>
      <c r="C60" s="46">
        <v>36</v>
      </c>
      <c r="D60" s="47">
        <v>16.2</v>
      </c>
      <c r="E60" s="61">
        <f>Sayfa2!$D60*Sayfa2!$C60</f>
        <v>583.19999999999993</v>
      </c>
      <c r="F60" s="2">
        <v>45356</v>
      </c>
      <c r="G60" s="49">
        <v>36</v>
      </c>
      <c r="H60" s="91">
        <v>38</v>
      </c>
      <c r="I60" s="51">
        <f>Sayfa2!$H60*Sayfa2!$G60</f>
        <v>1368</v>
      </c>
      <c r="J60" s="46">
        <f>H60-D60</f>
        <v>21.8</v>
      </c>
      <c r="K60" s="101">
        <f>Sayfa2!$J60*Sayfa2!$C60</f>
        <v>784.80000000000007</v>
      </c>
      <c r="L60" s="66">
        <f>F60-B60</f>
        <v>15</v>
      </c>
      <c r="M60" s="67">
        <f>K60/E60</f>
        <v>1.3456790123456792</v>
      </c>
      <c r="N60" s="116">
        <f>M60/L60*30</f>
        <v>2.6913580246913584</v>
      </c>
      <c r="O60" s="102"/>
    </row>
    <row r="61" spans="1:15">
      <c r="A61" s="41" t="s">
        <v>38</v>
      </c>
      <c r="C61" s="46"/>
      <c r="D61" s="47"/>
      <c r="E61" s="61"/>
      <c r="G61" s="49"/>
      <c r="H61" s="91"/>
      <c r="I61" s="51"/>
      <c r="J61" s="46"/>
      <c r="K61" s="101">
        <v>-2.88</v>
      </c>
      <c r="L61" s="66"/>
      <c r="M61" s="67"/>
      <c r="N61" s="116"/>
      <c r="O61" s="102"/>
    </row>
    <row r="62" spans="1:15">
      <c r="A62" s="41" t="s">
        <v>39</v>
      </c>
      <c r="B62" s="2">
        <v>45222</v>
      </c>
      <c r="C62" s="3">
        <v>9</v>
      </c>
      <c r="D62" s="1">
        <v>130</v>
      </c>
      <c r="E62" s="61">
        <f>Sayfa2!$D62*Sayfa2!$C62</f>
        <v>1170</v>
      </c>
      <c r="F62" s="103">
        <v>45334</v>
      </c>
      <c r="G62" s="46">
        <v>9</v>
      </c>
      <c r="H62" s="104">
        <v>145.5</v>
      </c>
      <c r="I62" s="51">
        <f>Sayfa2!$H62*Sayfa2!$G62</f>
        <v>1309.5</v>
      </c>
      <c r="J62" s="105">
        <f>H62-D62</f>
        <v>15.5</v>
      </c>
      <c r="K62" s="65">
        <f>Sayfa2!$J62*Sayfa2!$G62</f>
        <v>139.5</v>
      </c>
      <c r="L62" s="66">
        <f>F62-B62</f>
        <v>112</v>
      </c>
      <c r="M62" s="67">
        <f>K62/E62</f>
        <v>0.11923076923076924</v>
      </c>
      <c r="N62" s="116">
        <f>K62/E62</f>
        <v>0.11923076923076924</v>
      </c>
      <c r="O62" s="102"/>
    </row>
    <row r="63" spans="1:15">
      <c r="A63" s="41" t="s">
        <v>39</v>
      </c>
      <c r="B63" s="2">
        <v>45271</v>
      </c>
      <c r="C63" s="3">
        <v>10</v>
      </c>
      <c r="D63" s="1">
        <v>144.001</v>
      </c>
      <c r="E63" s="61">
        <f>Sayfa2!$D63*Sayfa2!$C63</f>
        <v>1440.01</v>
      </c>
      <c r="F63" s="103">
        <v>45334</v>
      </c>
      <c r="G63" s="46">
        <v>10</v>
      </c>
      <c r="H63" s="104">
        <v>145.5</v>
      </c>
      <c r="I63" s="51">
        <f>Sayfa2!$H63*Sayfa2!$G63</f>
        <v>1455</v>
      </c>
      <c r="J63" s="105">
        <f>H63-D63</f>
        <v>1.4989999999999952</v>
      </c>
      <c r="K63" s="65">
        <f>Sayfa2!$J63*Sayfa2!$G63</f>
        <v>14.989999999999952</v>
      </c>
      <c r="L63" s="66">
        <f>F63-B63</f>
        <v>63</v>
      </c>
      <c r="M63" s="67">
        <f>K63/E63</f>
        <v>1.0409649932986544E-2</v>
      </c>
      <c r="N63" s="116">
        <f>K63/E63</f>
        <v>1.0409649932986544E-2</v>
      </c>
      <c r="O63" s="102"/>
    </row>
    <row r="64" spans="1:15">
      <c r="A64" s="41" t="s">
        <v>39</v>
      </c>
      <c r="B64" s="2">
        <v>45288</v>
      </c>
      <c r="C64" s="3">
        <v>20</v>
      </c>
      <c r="D64" s="1">
        <v>115.34</v>
      </c>
      <c r="E64" s="61">
        <f>Sayfa2!$D64*Sayfa2!$C64</f>
        <v>2306.8000000000002</v>
      </c>
      <c r="F64" s="103">
        <v>45334</v>
      </c>
      <c r="G64" s="46">
        <v>20</v>
      </c>
      <c r="H64" s="104">
        <v>145.5</v>
      </c>
      <c r="I64" s="51">
        <f>Sayfa2!$H64*Sayfa2!$G64</f>
        <v>2910</v>
      </c>
      <c r="J64" s="105">
        <f>H64-D64</f>
        <v>30.159999999999997</v>
      </c>
      <c r="K64" s="65">
        <f>Sayfa2!$J64*Sayfa2!$G64</f>
        <v>603.19999999999993</v>
      </c>
      <c r="L64" s="66">
        <f>F64-B64</f>
        <v>46</v>
      </c>
      <c r="M64" s="67">
        <f>K64/E64</f>
        <v>0.26148777527310557</v>
      </c>
      <c r="N64" s="116">
        <f>K64/E64</f>
        <v>0.26148777527310557</v>
      </c>
      <c r="O64" s="102"/>
    </row>
    <row r="65" spans="1:16">
      <c r="A65" s="41" t="s">
        <v>40</v>
      </c>
      <c r="B65" s="2">
        <v>45335</v>
      </c>
      <c r="C65" s="3">
        <v>313</v>
      </c>
      <c r="D65" s="3">
        <v>190.8</v>
      </c>
      <c r="E65" s="61">
        <f>Sayfa2!$D65*Sayfa2!$C65</f>
        <v>59720.4</v>
      </c>
      <c r="F65" s="2">
        <v>45337</v>
      </c>
      <c r="G65" s="46">
        <v>313</v>
      </c>
      <c r="H65" s="1">
        <v>203.3</v>
      </c>
      <c r="I65" s="51">
        <f>Sayfa2!$H65*Sayfa2!$G65</f>
        <v>63632.9</v>
      </c>
      <c r="J65" s="46">
        <f>H65-D65</f>
        <v>12.5</v>
      </c>
      <c r="K65" s="65">
        <f>Sayfa2!$J65*Sayfa2!$G65</f>
        <v>3912.5</v>
      </c>
      <c r="L65" s="66">
        <f>F65-B65</f>
        <v>2</v>
      </c>
      <c r="M65" s="67">
        <f>K65/E65</f>
        <v>6.5513626834381555E-2</v>
      </c>
      <c r="N65" s="116">
        <f>M65/L65*30</f>
        <v>0.98270440251572333</v>
      </c>
      <c r="O65" s="102"/>
    </row>
    <row r="66" spans="1:16">
      <c r="A66" s="41" t="s">
        <v>41</v>
      </c>
      <c r="E66" s="61">
        <f>Sayfa2!$D66*Sayfa2!$C66</f>
        <v>0</v>
      </c>
      <c r="F66" s="48"/>
      <c r="I66" s="51">
        <f>Sayfa2!$H66*Sayfa2!$G66</f>
        <v>0</v>
      </c>
      <c r="J66" s="3">
        <v>-133.63</v>
      </c>
      <c r="K66" s="65">
        <f>Sayfa2!$J66*Sayfa2!$G66</f>
        <v>0</v>
      </c>
      <c r="M66" s="67"/>
      <c r="N66" s="116"/>
      <c r="O66" s="102"/>
    </row>
    <row r="67" spans="1:16">
      <c r="A67" s="41" t="s">
        <v>42</v>
      </c>
      <c r="B67" s="48">
        <v>45267</v>
      </c>
      <c r="C67" s="52">
        <v>10</v>
      </c>
      <c r="D67" s="1">
        <v>49.18</v>
      </c>
      <c r="E67" s="61">
        <f>Sayfa2!$D67*Sayfa2!$C67</f>
        <v>491.8</v>
      </c>
      <c r="F67" s="48">
        <v>45327</v>
      </c>
      <c r="G67" s="52">
        <v>10</v>
      </c>
      <c r="H67" s="55">
        <v>52</v>
      </c>
      <c r="I67" s="51">
        <f>Sayfa2!$H67*Sayfa2!$G67</f>
        <v>520</v>
      </c>
      <c r="J67" s="6">
        <f>H67-D67</f>
        <v>2.8200000000000003</v>
      </c>
      <c r="K67" s="65">
        <f>Sayfa2!$J67*Sayfa2!$G67</f>
        <v>28.200000000000003</v>
      </c>
      <c r="L67" s="66">
        <f>F67-B67</f>
        <v>60</v>
      </c>
      <c r="M67" s="67">
        <f>K67/E67</f>
        <v>5.7340382269215132E-2</v>
      </c>
      <c r="N67" s="116">
        <f>M67/L67*30</f>
        <v>2.8670191134607566E-2</v>
      </c>
      <c r="O67" s="102"/>
      <c r="P67" s="3"/>
    </row>
    <row r="68" spans="1:16">
      <c r="A68" s="41" t="s">
        <v>43</v>
      </c>
      <c r="B68" s="2">
        <v>45267</v>
      </c>
      <c r="C68" s="3">
        <v>13</v>
      </c>
      <c r="D68" s="1">
        <v>28.3</v>
      </c>
      <c r="E68" s="61">
        <f>Sayfa2!$D68*Sayfa2!$C68</f>
        <v>367.90000000000003</v>
      </c>
      <c r="F68" s="2">
        <v>45313</v>
      </c>
      <c r="G68" s="46">
        <v>13</v>
      </c>
      <c r="H68" s="1">
        <v>41.6</v>
      </c>
      <c r="I68" s="51">
        <f>Sayfa2!$H68*Sayfa2!$G68</f>
        <v>540.80000000000007</v>
      </c>
      <c r="J68" s="6">
        <f>H68-D68</f>
        <v>13.3</v>
      </c>
      <c r="K68" s="65">
        <f>Sayfa2!$J68*Sayfa2!$G68</f>
        <v>172.9</v>
      </c>
      <c r="L68" s="69">
        <f>F68-B68</f>
        <v>46</v>
      </c>
      <c r="M68" s="67">
        <f>K68/E68</f>
        <v>0.46996466431095402</v>
      </c>
      <c r="N68" s="116">
        <f>M68/L68*30</f>
        <v>0.30649869411583958</v>
      </c>
      <c r="O68" s="102"/>
      <c r="P68" s="3"/>
    </row>
    <row r="69" spans="1:16">
      <c r="A69" s="106" t="s">
        <v>44</v>
      </c>
      <c r="B69" s="107">
        <v>45273</v>
      </c>
      <c r="C69" s="108">
        <v>26</v>
      </c>
      <c r="D69" s="109">
        <v>55.08</v>
      </c>
      <c r="E69" s="61">
        <f>Sayfa2!$D69*Sayfa2!$C69</f>
        <v>1432.08</v>
      </c>
      <c r="F69" s="2">
        <v>45313</v>
      </c>
      <c r="G69" s="46">
        <v>26</v>
      </c>
      <c r="H69" s="1">
        <v>51.4</v>
      </c>
      <c r="I69" s="51">
        <f>Sayfa2!$H69*Sayfa2!$G69</f>
        <v>1336.3999999999999</v>
      </c>
      <c r="J69" s="105">
        <f>H69-D69</f>
        <v>-3.6799999999999997</v>
      </c>
      <c r="K69" s="65">
        <f>Sayfa2!$J69*Sayfa2!$G69</f>
        <v>-95.679999999999993</v>
      </c>
      <c r="L69" s="55"/>
      <c r="M69" s="67">
        <f>K69/E69</f>
        <v>-6.6811909949164847E-2</v>
      </c>
      <c r="N69" s="116"/>
      <c r="O69" s="102"/>
      <c r="P69" s="3"/>
    </row>
    <row r="70" spans="1:16">
      <c r="A70" s="41" t="s">
        <v>45</v>
      </c>
      <c r="B70" s="2">
        <v>45288</v>
      </c>
      <c r="C70" s="3">
        <v>100</v>
      </c>
      <c r="D70" s="1">
        <v>39.5</v>
      </c>
      <c r="E70" s="61">
        <f>Sayfa2!$D70*Sayfa2!$C70</f>
        <v>3950</v>
      </c>
      <c r="F70" s="2">
        <v>45313</v>
      </c>
      <c r="G70" s="46">
        <v>100</v>
      </c>
      <c r="H70" s="1">
        <v>51.4</v>
      </c>
      <c r="I70" s="51">
        <f>Sayfa2!$H70*Sayfa2!$G70</f>
        <v>5140</v>
      </c>
      <c r="J70" s="105">
        <f>H70-D70</f>
        <v>11.899999999999999</v>
      </c>
      <c r="K70" s="65">
        <f>Sayfa2!$J70*Sayfa2!$G70</f>
        <v>1189.9999999999998</v>
      </c>
      <c r="L70" s="69">
        <f>F70-B70</f>
        <v>25</v>
      </c>
      <c r="M70" s="67">
        <f>K70/E70</f>
        <v>0.30126582278481007</v>
      </c>
      <c r="N70" s="116">
        <f>M70/L70*30</f>
        <v>0.36151898734177207</v>
      </c>
      <c r="O70" s="70">
        <f>SUM(K54:K70)</f>
        <v>7870.9299999999994</v>
      </c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41"/>
      <c r="E73" s="61"/>
      <c r="G73" s="46"/>
      <c r="H73" s="1"/>
      <c r="I73" s="51"/>
      <c r="J73" s="105"/>
      <c r="K73" s="65"/>
      <c r="L73" s="69"/>
      <c r="M73" s="67"/>
      <c r="N73" s="116"/>
      <c r="O73" s="70"/>
    </row>
    <row r="74" spans="1:16">
      <c r="A74" s="1" t="s">
        <v>240</v>
      </c>
      <c r="B74" s="2">
        <v>45412</v>
      </c>
      <c r="C74" s="3">
        <v>12</v>
      </c>
      <c r="D74" s="1">
        <v>622.84294799999998</v>
      </c>
      <c r="E74" s="61">
        <f>Sayfa2!$D74*Sayfa2!$C74</f>
        <v>7474.1153759999997</v>
      </c>
      <c r="F74" s="62">
        <f>$B$2</f>
        <v>45448</v>
      </c>
      <c r="G74" s="63">
        <v>12</v>
      </c>
      <c r="H74" s="64">
        <v>653.60767299999998</v>
      </c>
      <c r="I74" s="51">
        <f>Sayfa2!$H74*Sayfa2!$G74</f>
        <v>7843.2920759999997</v>
      </c>
      <c r="J74" s="46">
        <f>H74-D74</f>
        <v>30.764724999999999</v>
      </c>
      <c r="K74" s="65">
        <f>Sayfa2!$J74*Sayfa2!$C74</f>
        <v>369.17669999999998</v>
      </c>
      <c r="L74" s="66">
        <f>F74-B74</f>
        <v>36</v>
      </c>
      <c r="M74" s="116">
        <f>K74/E74</f>
        <v>4.9394032795567588E-2</v>
      </c>
      <c r="N74" s="116">
        <f>M74/L74*30</f>
        <v>4.1161693996306328E-2</v>
      </c>
      <c r="O74" s="102"/>
    </row>
    <row r="75" spans="1:16">
      <c r="A75" s="1" t="s">
        <v>240</v>
      </c>
      <c r="B75" s="2">
        <v>45412</v>
      </c>
      <c r="C75" s="3">
        <v>15</v>
      </c>
      <c r="D75" s="1">
        <v>622.84294799999998</v>
      </c>
      <c r="E75" s="61">
        <f>Sayfa2!$D75*Sayfa2!$C75</f>
        <v>9342.6442200000001</v>
      </c>
      <c r="F75" s="62">
        <f>$B$2</f>
        <v>45448</v>
      </c>
      <c r="G75" s="63">
        <v>15</v>
      </c>
      <c r="H75" s="64">
        <v>653.60767299999998</v>
      </c>
      <c r="I75" s="51">
        <f>Sayfa2!$H75*Sayfa2!$G75</f>
        <v>9804.1150949999992</v>
      </c>
      <c r="J75" s="46">
        <f>H75-D75</f>
        <v>30.764724999999999</v>
      </c>
      <c r="K75" s="65">
        <f>Sayfa2!$J75*Sayfa2!$C75</f>
        <v>461.47087499999998</v>
      </c>
      <c r="L75" s="66">
        <f>F75-B75</f>
        <v>36</v>
      </c>
      <c r="M75" s="116">
        <f>K75/E75</f>
        <v>4.9394032795567588E-2</v>
      </c>
      <c r="N75" s="116">
        <f>M75/L75*30</f>
        <v>4.1161693996306328E-2</v>
      </c>
      <c r="O75" s="102"/>
    </row>
    <row r="76" spans="1:16">
      <c r="A76" s="1" t="s">
        <v>240</v>
      </c>
      <c r="B76" s="2">
        <v>45412</v>
      </c>
      <c r="C76" s="3">
        <v>66</v>
      </c>
      <c r="D76" s="1">
        <v>622.84294799999998</v>
      </c>
      <c r="E76" s="61">
        <f>Sayfa2!$D76*Sayfa2!$C76</f>
        <v>41107.634568000001</v>
      </c>
      <c r="F76" s="62">
        <v>45418</v>
      </c>
      <c r="G76" s="63">
        <f>Tablo2[[#This Row],[adet]]</f>
        <v>66</v>
      </c>
      <c r="H76" s="64">
        <v>628.03281100000004</v>
      </c>
      <c r="I76" s="51">
        <f>Sayfa2!$H76*Sayfa2!$G76</f>
        <v>41450.165526000004</v>
      </c>
      <c r="J76" s="46">
        <f>H76-D76</f>
        <v>5.1898630000000594</v>
      </c>
      <c r="K76" s="65">
        <f>Sayfa2!$J76*Sayfa2!$C76</f>
        <v>342.53095800000392</v>
      </c>
      <c r="L76" s="66">
        <f>F76-B76</f>
        <v>6</v>
      </c>
      <c r="M76" s="67">
        <f>K76/E76</f>
        <v>8.3325387510047866E-3</v>
      </c>
      <c r="N76" s="116">
        <f>M76/L76*30</f>
        <v>4.1662693755023933E-2</v>
      </c>
      <c r="O76" s="102"/>
    </row>
    <row r="77" spans="1:16">
      <c r="A77" s="41" t="s">
        <v>46</v>
      </c>
      <c r="B77" s="2">
        <v>45344</v>
      </c>
      <c r="C77" s="46">
        <v>12</v>
      </c>
      <c r="D77" s="47">
        <v>571.10522800000001</v>
      </c>
      <c r="E77" s="61">
        <f>Sayfa2!$D77*Sayfa2!$C77</f>
        <v>6853.2627360000006</v>
      </c>
      <c r="F77" s="2">
        <v>45357</v>
      </c>
      <c r="G77" s="49">
        <v>12</v>
      </c>
      <c r="H77" s="91">
        <v>580.05924800000003</v>
      </c>
      <c r="I77" s="51">
        <f>Sayfa2!$H77*Sayfa2!$G77</f>
        <v>6960.7109760000003</v>
      </c>
      <c r="J77" s="46">
        <f t="shared" ref="J77:J95" si="9">H77-D77</f>
        <v>8.9540200000000141</v>
      </c>
      <c r="K77" s="65">
        <f>Sayfa2!$J77*Sayfa2!$C77</f>
        <v>107.44824000000017</v>
      </c>
      <c r="L77" s="66">
        <f t="shared" ref="L77:L95" si="10">F77-B77</f>
        <v>13</v>
      </c>
      <c r="M77" s="67">
        <f t="shared" ref="M77:M96" si="11">K77/E77</f>
        <v>1.5678406642076849E-2</v>
      </c>
      <c r="N77" s="116">
        <f t="shared" ref="N77:N89" si="12">M77/L77*30</f>
        <v>3.618093840479273E-2</v>
      </c>
      <c r="O77" s="102"/>
    </row>
    <row r="78" spans="1:16">
      <c r="A78" s="41" t="s">
        <v>46</v>
      </c>
      <c r="B78" s="2">
        <v>45344</v>
      </c>
      <c r="C78" s="46">
        <v>22</v>
      </c>
      <c r="D78" s="47">
        <v>571.10522800000001</v>
      </c>
      <c r="E78" s="61">
        <f>Sayfa2!$D78*Sayfa2!$C78</f>
        <v>12564.315016</v>
      </c>
      <c r="F78" s="2">
        <v>45357</v>
      </c>
      <c r="G78" s="49">
        <v>10</v>
      </c>
      <c r="H78" s="91">
        <v>580.05924800000003</v>
      </c>
      <c r="I78" s="51">
        <f>Sayfa2!$H78*Sayfa2!$G78</f>
        <v>5800.5924800000003</v>
      </c>
      <c r="J78" s="46">
        <f t="shared" si="9"/>
        <v>8.9540200000000141</v>
      </c>
      <c r="K78" s="65">
        <f>Sayfa2!$J78*Sayfa2!$C78</f>
        <v>196.98844000000031</v>
      </c>
      <c r="L78" s="66">
        <f t="shared" si="10"/>
        <v>13</v>
      </c>
      <c r="M78" s="67">
        <f t="shared" si="11"/>
        <v>1.5678406642076849E-2</v>
      </c>
      <c r="N78" s="116">
        <f t="shared" si="12"/>
        <v>3.618093840479273E-2</v>
      </c>
      <c r="O78" s="102"/>
    </row>
    <row r="79" spans="1:16">
      <c r="A79" s="41" t="s">
        <v>46</v>
      </c>
      <c r="B79" s="2">
        <v>45344</v>
      </c>
      <c r="C79" s="46">
        <v>11</v>
      </c>
      <c r="D79" s="47">
        <v>571.10522800000001</v>
      </c>
      <c r="E79" s="61">
        <f>Sayfa2!$D79*Sayfa2!$C79</f>
        <v>6282.1575080000002</v>
      </c>
      <c r="F79" s="2">
        <v>45356</v>
      </c>
      <c r="G79" s="49">
        <v>11</v>
      </c>
      <c r="H79" s="91">
        <v>580.05924800000003</v>
      </c>
      <c r="I79" s="51">
        <f>Sayfa2!$H79*Sayfa2!$G79</f>
        <v>6380.6517280000007</v>
      </c>
      <c r="J79" s="46">
        <f t="shared" si="9"/>
        <v>8.9540200000000141</v>
      </c>
      <c r="K79" s="65">
        <f>Sayfa2!$J79*Sayfa2!$C79</f>
        <v>98.494220000000155</v>
      </c>
      <c r="L79" s="66">
        <f t="shared" si="10"/>
        <v>12</v>
      </c>
      <c r="M79" s="67">
        <f t="shared" si="11"/>
        <v>1.5678406642076849E-2</v>
      </c>
      <c r="N79" s="116">
        <f t="shared" si="12"/>
        <v>3.9196016605192119E-2</v>
      </c>
      <c r="O79" s="102"/>
    </row>
    <row r="80" spans="1:16">
      <c r="A80" s="41" t="s">
        <v>46</v>
      </c>
      <c r="B80" s="2">
        <v>45355</v>
      </c>
      <c r="C80" s="46">
        <v>60</v>
      </c>
      <c r="D80" s="47">
        <v>578.66060300000004</v>
      </c>
      <c r="E80" s="61">
        <f>Sayfa2!$D80*Sayfa2!$C80</f>
        <v>34719.636180000001</v>
      </c>
      <c r="F80" s="2">
        <v>45356</v>
      </c>
      <c r="G80" s="49">
        <v>60</v>
      </c>
      <c r="H80" s="91">
        <v>580.05924800000003</v>
      </c>
      <c r="I80" s="51">
        <f>Sayfa2!$H80*Sayfa2!$G80</f>
        <v>34803.554880000003</v>
      </c>
      <c r="J80" s="46">
        <f t="shared" si="9"/>
        <v>1.3986449999999877</v>
      </c>
      <c r="K80" s="65">
        <f>Sayfa2!$J80*Sayfa2!$C80</f>
        <v>83.918699999999262</v>
      </c>
      <c r="L80" s="66">
        <f t="shared" si="10"/>
        <v>1</v>
      </c>
      <c r="M80" s="67">
        <f t="shared" si="11"/>
        <v>2.4170385762377323E-3</v>
      </c>
      <c r="N80" s="116">
        <f t="shared" si="12"/>
        <v>7.2511157287131964E-2</v>
      </c>
      <c r="O80" s="102"/>
    </row>
    <row r="81" spans="1:15">
      <c r="A81" s="41" t="s">
        <v>46</v>
      </c>
      <c r="B81" s="2">
        <v>45350</v>
      </c>
      <c r="C81" s="46">
        <v>24</v>
      </c>
      <c r="D81" s="47">
        <v>575.21535400000005</v>
      </c>
      <c r="E81" s="61">
        <f>Sayfa2!$D81*Sayfa2!$C81</f>
        <v>13805.168496000002</v>
      </c>
      <c r="F81" s="2">
        <v>45356</v>
      </c>
      <c r="G81" s="49">
        <v>24</v>
      </c>
      <c r="H81" s="91">
        <v>580.05924800000003</v>
      </c>
      <c r="I81" s="51">
        <f>Sayfa2!$H81*Sayfa2!$G81</f>
        <v>13921.421952000001</v>
      </c>
      <c r="J81" s="46">
        <f t="shared" si="9"/>
        <v>4.8438939999999775</v>
      </c>
      <c r="K81" s="65">
        <f>Sayfa2!$J81*Sayfa2!$C81</f>
        <v>116.25345599999946</v>
      </c>
      <c r="L81" s="66">
        <f t="shared" si="10"/>
        <v>6</v>
      </c>
      <c r="M81" s="67">
        <f t="shared" si="11"/>
        <v>8.4210095685310522E-3</v>
      </c>
      <c r="N81" s="116">
        <f t="shared" si="12"/>
        <v>4.2105047842655258E-2</v>
      </c>
      <c r="O81" s="102"/>
    </row>
    <row r="82" spans="1:15">
      <c r="A82" s="41" t="s">
        <v>47</v>
      </c>
      <c r="B82" s="2">
        <v>45344</v>
      </c>
      <c r="C82" s="46">
        <v>2</v>
      </c>
      <c r="D82" s="47">
        <v>571.10522800000001</v>
      </c>
      <c r="E82" s="61">
        <f>Sayfa2!$D82*Sayfa2!$C82</f>
        <v>1142.210456</v>
      </c>
      <c r="F82" s="2">
        <v>45347</v>
      </c>
      <c r="G82" s="49">
        <v>2</v>
      </c>
      <c r="H82" s="91">
        <v>573.835914</v>
      </c>
      <c r="I82" s="51">
        <f>Sayfa2!$H82*Sayfa2!$G82</f>
        <v>1147.671828</v>
      </c>
      <c r="J82" s="46">
        <f t="shared" si="9"/>
        <v>2.7306859999999915</v>
      </c>
      <c r="K82" s="101">
        <f>Sayfa2!$J82*Sayfa2!$G82</f>
        <v>5.461371999999983</v>
      </c>
      <c r="L82" s="66">
        <f t="shared" si="10"/>
        <v>3</v>
      </c>
      <c r="M82" s="67">
        <f t="shared" si="11"/>
        <v>4.7814060634023678E-3</v>
      </c>
      <c r="N82" s="116">
        <f t="shared" si="12"/>
        <v>4.7814060634023672E-2</v>
      </c>
      <c r="O82" s="102"/>
    </row>
    <row r="83" spans="1:15">
      <c r="A83" s="41" t="s">
        <v>48</v>
      </c>
      <c r="B83" s="2">
        <v>45344</v>
      </c>
      <c r="C83" s="46">
        <v>1</v>
      </c>
      <c r="D83" s="47">
        <v>571.10522800000001</v>
      </c>
      <c r="E83" s="61">
        <f>Sayfa2!$D83*Sayfa2!$C83</f>
        <v>571.10522800000001</v>
      </c>
      <c r="F83" s="2">
        <v>45350</v>
      </c>
      <c r="G83" s="49">
        <v>1</v>
      </c>
      <c r="H83" s="91">
        <v>573.835914</v>
      </c>
      <c r="I83" s="51">
        <f>Sayfa2!$H83*Sayfa2!$G83</f>
        <v>573.835914</v>
      </c>
      <c r="J83" s="46">
        <f t="shared" si="9"/>
        <v>2.7306859999999915</v>
      </c>
      <c r="K83" s="101">
        <f>Sayfa2!$J83*Sayfa2!$G83</f>
        <v>2.7306859999999915</v>
      </c>
      <c r="L83" s="66">
        <f t="shared" si="10"/>
        <v>6</v>
      </c>
      <c r="M83" s="67">
        <f t="shared" si="11"/>
        <v>4.7814060634023678E-3</v>
      </c>
      <c r="N83" s="116">
        <f t="shared" si="12"/>
        <v>2.3907030317011836E-2</v>
      </c>
      <c r="O83" s="102"/>
    </row>
    <row r="84" spans="1:15">
      <c r="A84" s="41" t="s">
        <v>49</v>
      </c>
      <c r="B84" s="2">
        <v>45344</v>
      </c>
      <c r="C84" s="46">
        <v>44</v>
      </c>
      <c r="D84" s="47">
        <v>571.10522800000001</v>
      </c>
      <c r="E84" s="61">
        <f>Sayfa2!$D84*Sayfa2!$C84</f>
        <v>25128.630032000001</v>
      </c>
      <c r="F84" s="2">
        <v>45350</v>
      </c>
      <c r="G84" s="49">
        <v>44</v>
      </c>
      <c r="H84" s="91">
        <v>573.835914</v>
      </c>
      <c r="I84" s="51">
        <f>Sayfa2!$H84*Sayfa2!$G84</f>
        <v>25248.780215999999</v>
      </c>
      <c r="J84" s="46">
        <f t="shared" si="9"/>
        <v>2.7306859999999915</v>
      </c>
      <c r="K84" s="101">
        <f>Sayfa2!$J84*Sayfa2!$G84</f>
        <v>120.15018399999963</v>
      </c>
      <c r="L84" s="66">
        <f t="shared" si="10"/>
        <v>6</v>
      </c>
      <c r="M84" s="67">
        <f t="shared" si="11"/>
        <v>4.7814060634023669E-3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45341</v>
      </c>
      <c r="C85" s="46">
        <v>106</v>
      </c>
      <c r="D85" s="47">
        <v>569.09258399999999</v>
      </c>
      <c r="E85" s="61">
        <f>Sayfa2!$D85*Sayfa2!$C85</f>
        <v>60323.813903999995</v>
      </c>
      <c r="F85" s="2">
        <v>45350</v>
      </c>
      <c r="G85" s="49">
        <v>106</v>
      </c>
      <c r="H85" s="91">
        <v>573.835914</v>
      </c>
      <c r="I85" s="51">
        <f>Sayfa2!$H85*Sayfa2!$G85</f>
        <v>60826.606884000001</v>
      </c>
      <c r="J85" s="46">
        <f t="shared" si="9"/>
        <v>4.7433300000000145</v>
      </c>
      <c r="K85" s="101">
        <f>Sayfa2!$J85*Sayfa2!$G85</f>
        <v>502.79298000000153</v>
      </c>
      <c r="L85" s="66">
        <f t="shared" si="10"/>
        <v>9</v>
      </c>
      <c r="M85" s="67">
        <f t="shared" si="11"/>
        <v>8.3349003894241831E-3</v>
      </c>
      <c r="N85" s="116">
        <f t="shared" si="12"/>
        <v>2.778300129808061E-2</v>
      </c>
      <c r="O85" s="102"/>
    </row>
    <row r="86" spans="1:15">
      <c r="A86" s="41" t="s">
        <v>50</v>
      </c>
      <c r="B86" s="2">
        <v>45338</v>
      </c>
      <c r="C86" s="3">
        <v>64</v>
      </c>
      <c r="D86" s="1">
        <v>567.08235100000002</v>
      </c>
      <c r="E86" s="61">
        <f>Sayfa2!$D86*Sayfa2!$C86</f>
        <v>36293.270464000001</v>
      </c>
      <c r="F86" s="2">
        <v>45344</v>
      </c>
      <c r="G86" s="46">
        <v>64</v>
      </c>
      <c r="H86" s="1">
        <v>571.10522800000001</v>
      </c>
      <c r="I86" s="51">
        <f>Sayfa2!$H86*Sayfa2!$G86</f>
        <v>36550.734592000001</v>
      </c>
      <c r="J86" s="46">
        <f t="shared" si="9"/>
        <v>4.022876999999994</v>
      </c>
      <c r="K86" s="101">
        <f>Sayfa2!$J86*Sayfa2!$G86</f>
        <v>257.46412799999962</v>
      </c>
      <c r="L86" s="66">
        <f t="shared" si="10"/>
        <v>6</v>
      </c>
      <c r="M86" s="67">
        <f t="shared" si="11"/>
        <v>7.0939908337933691E-3</v>
      </c>
      <c r="N86" s="116">
        <f t="shared" si="12"/>
        <v>3.5469954168966845E-2</v>
      </c>
      <c r="O86" s="102"/>
    </row>
    <row r="87" spans="1:15">
      <c r="A87" s="41" t="s">
        <v>46</v>
      </c>
      <c r="B87" s="2">
        <v>45299</v>
      </c>
      <c r="C87" s="3">
        <v>50</v>
      </c>
      <c r="D87" s="1">
        <v>542.43450199999995</v>
      </c>
      <c r="E87" s="61">
        <f>Sayfa2!$D87*Sayfa2!$C87</f>
        <v>27121.725099999996</v>
      </c>
      <c r="F87" s="2">
        <v>45344</v>
      </c>
      <c r="G87" s="46">
        <v>50</v>
      </c>
      <c r="H87" s="1">
        <v>571.10522800000001</v>
      </c>
      <c r="I87" s="51">
        <f>Sayfa2!$H87*Sayfa2!$G87</f>
        <v>28555.261399999999</v>
      </c>
      <c r="J87" s="46">
        <f t="shared" si="9"/>
        <v>28.670726000000059</v>
      </c>
      <c r="K87" s="101">
        <f>Sayfa2!$J87*Sayfa2!$G87</f>
        <v>1433.5363000000029</v>
      </c>
      <c r="L87" s="66">
        <f t="shared" si="10"/>
        <v>45</v>
      </c>
      <c r="M87" s="67">
        <f t="shared" si="11"/>
        <v>5.2855645970690972E-2</v>
      </c>
      <c r="N87" s="116">
        <f t="shared" si="12"/>
        <v>3.5237097313793986E-2</v>
      </c>
      <c r="O87" s="102"/>
    </row>
    <row r="88" spans="1:15">
      <c r="A88" s="41" t="s">
        <v>46</v>
      </c>
      <c r="B88" s="2">
        <v>45321</v>
      </c>
      <c r="C88" s="3">
        <v>50</v>
      </c>
      <c r="D88" s="1">
        <v>555.950107</v>
      </c>
      <c r="E88" s="61">
        <f>Sayfa2!$D88*Sayfa2!$C88</f>
        <v>27797.505349999999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15.155121000000008</v>
      </c>
      <c r="K88" s="101">
        <f>Sayfa2!$J88*Sayfa2!$G88</f>
        <v>757.75605000000041</v>
      </c>
      <c r="L88" s="66">
        <f t="shared" si="10"/>
        <v>23</v>
      </c>
      <c r="M88" s="67">
        <f t="shared" si="11"/>
        <v>2.7259858050535473E-2</v>
      </c>
      <c r="N88" s="116">
        <f t="shared" si="12"/>
        <v>3.5556336587654967E-2</v>
      </c>
      <c r="O88" s="102"/>
    </row>
    <row r="89" spans="1:15">
      <c r="A89" s="41" t="s">
        <v>46</v>
      </c>
      <c r="B89" s="2">
        <v>45322</v>
      </c>
      <c r="C89" s="3">
        <v>16</v>
      </c>
      <c r="D89" s="1">
        <v>555.950107</v>
      </c>
      <c r="E89" s="61">
        <f>Sayfa2!$D89*Sayfa2!$C89</f>
        <v>8895.201712</v>
      </c>
      <c r="F89" s="2">
        <v>45344</v>
      </c>
      <c r="G89" s="46">
        <v>16</v>
      </c>
      <c r="H89" s="1">
        <v>571.10522800000001</v>
      </c>
      <c r="I89" s="51">
        <f>Sayfa2!$H89*Sayfa2!$G89</f>
        <v>9137.6836480000002</v>
      </c>
      <c r="J89" s="46">
        <f t="shared" si="9"/>
        <v>15.155121000000008</v>
      </c>
      <c r="K89" s="101">
        <f>Sayfa2!$J89*Sayfa2!$G89</f>
        <v>242.48193600000013</v>
      </c>
      <c r="L89" s="66">
        <f t="shared" si="10"/>
        <v>22</v>
      </c>
      <c r="M89" s="67">
        <f t="shared" si="11"/>
        <v>2.7259858050535473E-2</v>
      </c>
      <c r="N89" s="116">
        <f t="shared" si="12"/>
        <v>3.7172533705275651E-2</v>
      </c>
      <c r="O89" s="102"/>
    </row>
    <row r="90" spans="1:15">
      <c r="A90" s="41" t="s">
        <v>46</v>
      </c>
      <c r="B90" s="2">
        <v>45296</v>
      </c>
      <c r="C90" s="3">
        <v>110</v>
      </c>
      <c r="D90" s="1">
        <v>540.60110799999995</v>
      </c>
      <c r="E90" s="61">
        <f>Sayfa2!$D90*Sayfa2!$C90</f>
        <v>59466.121879999992</v>
      </c>
      <c r="F90" s="2">
        <v>45335</v>
      </c>
      <c r="G90" s="46">
        <v>110</v>
      </c>
      <c r="H90" s="1">
        <v>565.11282900000003</v>
      </c>
      <c r="I90" s="51">
        <f>Sayfa2!$H90*Sayfa2!$G90</f>
        <v>62162.411190000006</v>
      </c>
      <c r="J90" s="105">
        <f t="shared" si="9"/>
        <v>24.51172100000008</v>
      </c>
      <c r="K90" s="65">
        <f>Sayfa2!$J90*Sayfa2!$G90</f>
        <v>2696.2893100000088</v>
      </c>
      <c r="L90" s="66">
        <f t="shared" si="10"/>
        <v>39</v>
      </c>
      <c r="M90" s="67">
        <f t="shared" si="11"/>
        <v>4.5341603332415076E-2</v>
      </c>
      <c r="N90" s="116">
        <f>K90/E90</f>
        <v>4.5341603332415076E-2</v>
      </c>
      <c r="O90" s="102"/>
    </row>
    <row r="91" spans="1:15">
      <c r="A91" s="41" t="s">
        <v>46</v>
      </c>
      <c r="B91" s="2">
        <v>45322</v>
      </c>
      <c r="C91" s="3">
        <v>10</v>
      </c>
      <c r="D91" s="1">
        <v>555.950107</v>
      </c>
      <c r="E91" s="61">
        <f>Sayfa2!$D91*Sayfa2!$C91</f>
        <v>5559.5010700000003</v>
      </c>
      <c r="F91" s="2">
        <v>45334</v>
      </c>
      <c r="G91" s="46">
        <v>10</v>
      </c>
      <c r="H91" s="1">
        <v>564.45009800000003</v>
      </c>
      <c r="I91" s="51">
        <f>Sayfa2!$H91*Sayfa2!$G91</f>
        <v>5644.5009800000007</v>
      </c>
      <c r="J91" s="105">
        <f t="shared" si="9"/>
        <v>8.4999910000000227</v>
      </c>
      <c r="K91" s="65">
        <f>Sayfa2!$J91*Sayfa2!$G91</f>
        <v>84.999910000000227</v>
      </c>
      <c r="L91" s="66">
        <f t="shared" si="10"/>
        <v>12</v>
      </c>
      <c r="M91" s="67">
        <f t="shared" si="11"/>
        <v>1.5289125576155384E-2</v>
      </c>
      <c r="N91" s="116">
        <f t="shared" ref="N91:N96" si="13">M91/L91*30</f>
        <v>3.8222813940388463E-2</v>
      </c>
      <c r="O91" s="102"/>
    </row>
    <row r="92" spans="1:15">
      <c r="A92" s="41" t="s">
        <v>46</v>
      </c>
      <c r="B92" s="48">
        <v>45322</v>
      </c>
      <c r="C92" s="52">
        <v>46</v>
      </c>
      <c r="D92" s="1">
        <v>555.950107</v>
      </c>
      <c r="E92" s="61">
        <f>Sayfa2!$D92*Sayfa2!$C92</f>
        <v>25573.704922000001</v>
      </c>
      <c r="F92" s="48">
        <v>45327</v>
      </c>
      <c r="G92" s="52">
        <v>46</v>
      </c>
      <c r="H92" s="1">
        <v>559.83385699999997</v>
      </c>
      <c r="I92" s="51">
        <f>Sayfa2!$H92*Sayfa2!$G92</f>
        <v>25752.357421999997</v>
      </c>
      <c r="J92" s="6">
        <f t="shared" si="9"/>
        <v>3.8837499999999636</v>
      </c>
      <c r="K92" s="65">
        <f>Sayfa2!$J92*Sayfa2!$G92</f>
        <v>178.65249999999833</v>
      </c>
      <c r="L92" s="66">
        <f t="shared" si="10"/>
        <v>5</v>
      </c>
      <c r="M92" s="67">
        <f t="shared" si="11"/>
        <v>6.9857887445284065E-3</v>
      </c>
      <c r="N92" s="116">
        <f t="shared" si="13"/>
        <v>4.1914732467170444E-2</v>
      </c>
      <c r="O92" s="102"/>
    </row>
    <row r="93" spans="1:15">
      <c r="A93" s="41" t="s">
        <v>51</v>
      </c>
      <c r="B93" s="2">
        <v>45267</v>
      </c>
      <c r="C93" s="3">
        <v>300</v>
      </c>
      <c r="D93" s="1">
        <v>18.207357999999999</v>
      </c>
      <c r="E93" s="61">
        <f>Sayfa2!$D93*Sayfa2!$C93</f>
        <v>5462.2073999999993</v>
      </c>
      <c r="F93" s="2">
        <v>45288</v>
      </c>
      <c r="G93" s="46">
        <v>300</v>
      </c>
      <c r="H93" s="1">
        <v>18.625761000000001</v>
      </c>
      <c r="I93" s="51">
        <f>Sayfa2!$H93*Sayfa2!$G93</f>
        <v>5587.7282999999998</v>
      </c>
      <c r="J93" s="105">
        <f t="shared" si="9"/>
        <v>0.41840300000000141</v>
      </c>
      <c r="K93" s="65">
        <f>Sayfa2!$J93*Sayfa2!$G93</f>
        <v>125.52090000000042</v>
      </c>
      <c r="L93" s="1">
        <f t="shared" si="10"/>
        <v>21</v>
      </c>
      <c r="M93" s="67">
        <f t="shared" si="11"/>
        <v>2.2979885384798907E-2</v>
      </c>
      <c r="N93" s="116">
        <f t="shared" si="13"/>
        <v>3.2828407692569866E-2</v>
      </c>
      <c r="O93" s="102"/>
    </row>
    <row r="94" spans="1:15">
      <c r="A94" s="41" t="s">
        <v>46</v>
      </c>
      <c r="B94" s="2">
        <v>45267</v>
      </c>
      <c r="C94" s="3">
        <v>10</v>
      </c>
      <c r="D94" s="1">
        <v>523.88987099999997</v>
      </c>
      <c r="E94" s="61">
        <f>Sayfa2!$D94*Sayfa2!$C94</f>
        <v>5238.8987099999995</v>
      </c>
      <c r="F94" s="2">
        <v>45293</v>
      </c>
      <c r="G94" s="46">
        <v>10</v>
      </c>
      <c r="H94" s="1">
        <v>538.78970700000002</v>
      </c>
      <c r="I94" s="51">
        <f>Sayfa2!$H94*Sayfa2!$G94</f>
        <v>5387.89707</v>
      </c>
      <c r="J94" s="105">
        <f t="shared" si="9"/>
        <v>14.89983600000005</v>
      </c>
      <c r="K94" s="65">
        <f>Sayfa2!$J94*Sayfa2!$G94</f>
        <v>148.9983600000005</v>
      </c>
      <c r="L94" s="1">
        <f t="shared" si="10"/>
        <v>26</v>
      </c>
      <c r="M94" s="67">
        <f t="shared" si="11"/>
        <v>2.8440778920881354E-2</v>
      </c>
      <c r="N94" s="116">
        <f t="shared" si="13"/>
        <v>3.2816283370247716E-2</v>
      </c>
      <c r="O94" s="102"/>
    </row>
    <row r="95" spans="1:15">
      <c r="A95" s="41" t="s">
        <v>46</v>
      </c>
      <c r="B95" s="2">
        <v>45273</v>
      </c>
      <c r="C95" s="3">
        <v>28</v>
      </c>
      <c r="D95" s="1">
        <v>527.21223999999995</v>
      </c>
      <c r="E95" s="61">
        <f>Sayfa2!$D95*Sayfa2!$C95</f>
        <v>14761.942719999999</v>
      </c>
      <c r="F95" s="2">
        <v>45293</v>
      </c>
      <c r="G95" s="46">
        <v>28</v>
      </c>
      <c r="H95" s="1">
        <f>H94</f>
        <v>538.78970700000002</v>
      </c>
      <c r="I95" s="51">
        <f>Sayfa2!$H95*Sayfa2!$G95</f>
        <v>15086.111796000001</v>
      </c>
      <c r="J95" s="105">
        <f t="shared" si="9"/>
        <v>11.57746700000007</v>
      </c>
      <c r="K95" s="65">
        <f>Sayfa2!$J95*Sayfa2!$G95</f>
        <v>324.16907600000195</v>
      </c>
      <c r="L95" s="1">
        <f t="shared" si="10"/>
        <v>20</v>
      </c>
      <c r="M95" s="67">
        <f t="shared" si="11"/>
        <v>2.1959784165860925E-2</v>
      </c>
      <c r="N95" s="116">
        <f t="shared" si="13"/>
        <v>3.2939676248791384E-2</v>
      </c>
      <c r="O95" s="102"/>
    </row>
    <row r="96" spans="1:15">
      <c r="A96" s="41" t="s">
        <v>52</v>
      </c>
      <c r="B96" s="2">
        <v>45273</v>
      </c>
      <c r="C96" s="3">
        <v>22</v>
      </c>
      <c r="D96" s="1">
        <v>527.21223999999995</v>
      </c>
      <c r="E96" s="61">
        <f>Sayfa2!$D96*Sayfa2!$C96</f>
        <v>11598.669279999998</v>
      </c>
      <c r="F96" s="2">
        <v>45295</v>
      </c>
      <c r="G96" s="46">
        <v>22</v>
      </c>
      <c r="H96" s="1">
        <v>540.000044</v>
      </c>
      <c r="I96" s="51">
        <f>Sayfa2!$H96*Sayfa2!$G96</f>
        <v>11880.000968</v>
      </c>
      <c r="J96" s="105">
        <f>H96-D95</f>
        <v>12.787804000000051</v>
      </c>
      <c r="K96" s="65">
        <f>Sayfa2!$J96*Sayfa2!$G96</f>
        <v>281.33168800000112</v>
      </c>
      <c r="L96" s="1">
        <f>F96-B95</f>
        <v>22</v>
      </c>
      <c r="M96" s="67">
        <f t="shared" si="11"/>
        <v>2.4255514249821006E-2</v>
      </c>
      <c r="N96" s="116">
        <f t="shared" si="13"/>
        <v>3.3075701249755916E-2</v>
      </c>
      <c r="O96" s="70">
        <f>SUM(K77:K96)</f>
        <v>7765.4384360000149</v>
      </c>
    </row>
    <row r="97" spans="5:12">
      <c r="E97" s="53"/>
      <c r="F97" s="48"/>
      <c r="G97" s="52"/>
      <c r="I97" s="111"/>
      <c r="K97" s="55"/>
      <c r="L97" s="55"/>
    </row>
    <row r="98" spans="5:12">
      <c r="E98" s="53"/>
      <c r="F98" s="48"/>
      <c r="G98" s="52"/>
      <c r="I98" s="111"/>
      <c r="K98" s="55"/>
      <c r="L98" s="55"/>
    </row>
    <row r="99" spans="5:12">
      <c r="E99" s="53"/>
      <c r="F99" s="48"/>
      <c r="G99" s="52"/>
      <c r="I99" s="111"/>
      <c r="K99" s="55"/>
      <c r="L99" s="55"/>
    </row>
    <row r="100" spans="5:12">
      <c r="E100" s="53"/>
      <c r="F100" s="48"/>
      <c r="G100" s="52"/>
      <c r="I100" s="111"/>
      <c r="K100" s="55"/>
      <c r="L100" s="55"/>
    </row>
    <row r="101" spans="5:12">
      <c r="E101" s="53"/>
      <c r="F101" s="48"/>
      <c r="G101" s="52"/>
      <c r="I101" s="111"/>
      <c r="K101" s="55"/>
      <c r="L101" s="55"/>
    </row>
    <row r="102" spans="5:12">
      <c r="E102" s="53"/>
      <c r="F102" s="48"/>
      <c r="G102" s="52"/>
      <c r="I102" s="111"/>
      <c r="K102" s="55"/>
      <c r="L102" s="55"/>
    </row>
    <row r="103" spans="5:12">
      <c r="E103" s="53"/>
      <c r="F103" s="48"/>
      <c r="G103" s="52"/>
      <c r="I103" s="111"/>
      <c r="K103" s="55"/>
      <c r="L103" s="55"/>
    </row>
    <row r="104" spans="5:12">
      <c r="E104" s="53"/>
      <c r="F104" s="48"/>
      <c r="G104" s="52"/>
    </row>
    <row r="105" spans="5:12">
      <c r="E105" s="53"/>
      <c r="F105" s="48"/>
      <c r="G105" s="52"/>
    </row>
    <row r="106" spans="5:12">
      <c r="E106" s="53"/>
      <c r="F106" s="48"/>
      <c r="G106" s="52"/>
    </row>
    <row r="107" spans="5:12">
      <c r="E107" s="53"/>
      <c r="F107" s="48"/>
      <c r="G107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N62 N67 L69 N96 I97:L97 I98:I103 K98:L103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1"/>
  <sheetViews>
    <sheetView tabSelected="1" zoomScale="160" zoomScaleNormal="160" workbookViewId="0">
      <pane xSplit="1" topLeftCell="B1" activePane="topRight" state="frozen"/>
      <selection activeCell="A7" sqref="A7"/>
      <selection pane="topRight" activeCell="P11" sqref="P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45448</v>
      </c>
      <c r="C5">
        <f>C10</f>
        <v>31.783300000000001</v>
      </c>
      <c r="E5">
        <f>E10</f>
        <v>34.557899999999997</v>
      </c>
      <c r="G5">
        <f>G10</f>
        <v>2330.9299999999998</v>
      </c>
      <c r="I5">
        <f>I10</f>
        <v>24.06</v>
      </c>
      <c r="K5">
        <f>K10</f>
        <v>654.52437399999997</v>
      </c>
      <c r="M5">
        <f>M10</f>
        <v>0.79747299999999999</v>
      </c>
      <c r="O5" s="115">
        <f>Sayfa2!D3</f>
        <v>148.06422442431608</v>
      </c>
      <c r="P5" s="118">
        <f>Sayfa2!K2</f>
        <v>243565.64917799996</v>
      </c>
      <c r="Y5" s="115">
        <f>Y10</f>
        <v>29.06</v>
      </c>
      <c r="AA5" s="115">
        <f>AA10</f>
        <v>24.48</v>
      </c>
      <c r="AC5" s="115">
        <f>AC10</f>
        <v>119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AM46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45448</v>
      </c>
      <c r="B10">
        <f>B58</f>
        <v>1110</v>
      </c>
      <c r="C10">
        <v>31.783300000000001</v>
      </c>
      <c r="D10">
        <f>D58</f>
        <v>321.99</v>
      </c>
      <c r="E10">
        <v>34.557899999999997</v>
      </c>
      <c r="F10" s="112">
        <v>156</v>
      </c>
      <c r="G10">
        <v>2330.9299999999998</v>
      </c>
      <c r="H10" s="199">
        <v>7500</v>
      </c>
      <c r="I10" s="199">
        <v>24.06</v>
      </c>
      <c r="J10">
        <v>210</v>
      </c>
      <c r="K10" s="137">
        <v>654.52437399999997</v>
      </c>
      <c r="L10">
        <f>L58</f>
        <v>125000</v>
      </c>
      <c r="M10">
        <v>0.79747299999999999</v>
      </c>
      <c r="N10" s="113">
        <f t="shared" ref="N10:N19" si="0">(F10*G10)+(B10*C10)+(D10*E10)+(L10*M10)+(H10*I10)+(J10*K10)</f>
        <v>827616.08476100001</v>
      </c>
      <c r="O10">
        <v>148.06</v>
      </c>
      <c r="P10">
        <v>243565.65</v>
      </c>
      <c r="Q10" s="115"/>
      <c r="R10" s="127" t="e">
        <f>(1-(Q15/Q10))</f>
        <v>#DIV/0!</v>
      </c>
      <c r="S10" s="116">
        <f>(N10/$N$52)-1</f>
        <v>0.56023017799514885</v>
      </c>
      <c r="T10" s="114">
        <f>(A10-$A$52)</f>
        <v>86</v>
      </c>
      <c r="U10" s="116">
        <f>((N10/$N$52)-1)/T10*30</f>
        <v>0.19542913185877286</v>
      </c>
      <c r="V10" s="116"/>
      <c r="W10" s="116"/>
      <c r="X10" s="134"/>
      <c r="Y10" s="134">
        <v>29.06</v>
      </c>
      <c r="Z10" s="134"/>
      <c r="AA10" s="134">
        <v>24.48</v>
      </c>
      <c r="AB10">
        <v>10</v>
      </c>
      <c r="AC10" s="115">
        <v>119</v>
      </c>
    </row>
    <row r="11" spans="1:39">
      <c r="A11" s="117">
        <v>45447</v>
      </c>
      <c r="B11">
        <f>B59</f>
        <v>1110</v>
      </c>
      <c r="C11">
        <v>31.6645</v>
      </c>
      <c r="D11">
        <f>D59</f>
        <v>321.99</v>
      </c>
      <c r="E11">
        <v>34.409799999999997</v>
      </c>
      <c r="F11" s="112">
        <v>156</v>
      </c>
      <c r="G11">
        <v>2319.39</v>
      </c>
      <c r="H11" s="199">
        <v>7500</v>
      </c>
      <c r="I11" s="199">
        <v>23.89</v>
      </c>
      <c r="J11">
        <v>210</v>
      </c>
      <c r="K11" s="137">
        <v>653.60767299999998</v>
      </c>
      <c r="L11">
        <f>L59</f>
        <v>125000</v>
      </c>
      <c r="M11">
        <v>0.79912700000000003</v>
      </c>
      <c r="N11" s="113">
        <f t="shared" ref="N11" si="1">(F11*G11)+(B11*C11)+(D11*E11)+(L11*M11)+(H11*I11)+(J11*K11)</f>
        <v>824375.53283199994</v>
      </c>
      <c r="O11">
        <v>146.71</v>
      </c>
      <c r="P11">
        <v>241190.1</v>
      </c>
      <c r="Q11" s="115"/>
      <c r="R11" s="127" t="e">
        <f>(1-(Q16/Q11))</f>
        <v>#DIV/0!</v>
      </c>
      <c r="S11" s="116">
        <f>(N11/$N$52)-1</f>
        <v>0.55412105686267799</v>
      </c>
      <c r="T11" s="114">
        <f>(A11-$A$52)</f>
        <v>85</v>
      </c>
      <c r="U11" s="116">
        <f>((N11/$N$52)-1)/T11*30</f>
        <v>0.1955721377162393</v>
      </c>
      <c r="V11" s="116"/>
      <c r="W11" s="116"/>
      <c r="X11" s="134"/>
      <c r="Y11" s="134">
        <v>30.58</v>
      </c>
      <c r="Z11" s="134"/>
      <c r="AA11" s="134">
        <v>26.14</v>
      </c>
      <c r="AB11">
        <v>10</v>
      </c>
      <c r="AC11" s="115">
        <v>114.6</v>
      </c>
    </row>
    <row r="12" spans="1:39">
      <c r="A12" s="117">
        <v>45443</v>
      </c>
      <c r="B12">
        <f>B59</f>
        <v>1110</v>
      </c>
      <c r="C12">
        <v>31.576599999999999</v>
      </c>
      <c r="D12">
        <f>D59</f>
        <v>321.99</v>
      </c>
      <c r="E12">
        <v>34.157400000000003</v>
      </c>
      <c r="F12" s="112">
        <v>156</v>
      </c>
      <c r="G12">
        <v>2324.5500000000002</v>
      </c>
      <c r="H12" s="199">
        <v>7500</v>
      </c>
      <c r="I12" s="199">
        <v>24.04</v>
      </c>
      <c r="J12">
        <v>210</v>
      </c>
      <c r="K12" s="137">
        <v>649.96368099999995</v>
      </c>
      <c r="L12">
        <f>L59</f>
        <v>125000</v>
      </c>
      <c r="M12">
        <v>0.80517899999999998</v>
      </c>
      <c r="N12" s="113">
        <f t="shared" ref="N12" si="2">(F12*G12)+(B12*C12)+(D12*E12)+(L12*M12)+(H12*I12)+(J12*K12)</f>
        <v>826117.91523599997</v>
      </c>
      <c r="O12">
        <v>147.47</v>
      </c>
      <c r="P12">
        <v>241854.59</v>
      </c>
      <c r="Q12" s="115">
        <v>10400.48</v>
      </c>
      <c r="R12" s="127">
        <f>(1-(Q16/Q12))</f>
        <v>-2.4660400289217455E-2</v>
      </c>
      <c r="S12" s="116">
        <f>(N12/$N$52)-1</f>
        <v>0.55740581371840481</v>
      </c>
      <c r="T12" s="114">
        <f>(A12-$A$52)</f>
        <v>81</v>
      </c>
      <c r="U12" s="116">
        <f>((N12/$N$52)-1)/T12*30</f>
        <v>0.20644659767348328</v>
      </c>
      <c r="V12" s="116"/>
      <c r="W12" s="116"/>
      <c r="X12" s="134"/>
      <c r="Y12" s="134">
        <v>27.94</v>
      </c>
      <c r="Z12" s="134"/>
      <c r="AA12" s="134">
        <v>24.08</v>
      </c>
      <c r="AB12">
        <v>10</v>
      </c>
      <c r="AC12" s="115">
        <v>116</v>
      </c>
    </row>
    <row r="13" spans="1:39">
      <c r="A13" s="117">
        <v>45442</v>
      </c>
      <c r="B13">
        <f>B59</f>
        <v>1110</v>
      </c>
      <c r="C13">
        <v>31.554500000000001</v>
      </c>
      <c r="D13">
        <f>D59</f>
        <v>321.99</v>
      </c>
      <c r="E13">
        <v>34.104100000000003</v>
      </c>
      <c r="F13" s="112">
        <v>156</v>
      </c>
      <c r="G13">
        <v>2317.36</v>
      </c>
      <c r="H13" s="199">
        <v>7500</v>
      </c>
      <c r="I13" s="199">
        <v>24</v>
      </c>
      <c r="J13">
        <v>210</v>
      </c>
      <c r="K13" s="137">
        <v>649.05997200000002</v>
      </c>
      <c r="L13">
        <f>L59</f>
        <v>125000</v>
      </c>
      <c r="M13">
        <v>0.78746400000000005</v>
      </c>
      <c r="N13" s="113">
        <f t="shared" ref="N13" si="3">(F13*G13)+(B13*C13)+(D13*E13)+(L13*M13)+(H13*I13)+(J13*K13)</f>
        <v>822250.4282790001</v>
      </c>
      <c r="O13">
        <v>145.25</v>
      </c>
      <c r="P13">
        <v>238057.84</v>
      </c>
      <c r="Q13" s="115">
        <v>10481.299999999999</v>
      </c>
      <c r="R13" s="127">
        <f>(1-(Q16/Q13))</f>
        <v>-1.6759371452014449E-2</v>
      </c>
      <c r="S13" s="116">
        <f>(N13/$N$52)-1</f>
        <v>0.55011478835722394</v>
      </c>
      <c r="T13" s="114">
        <f>(A13-$A$52)</f>
        <v>80</v>
      </c>
      <c r="U13" s="116">
        <f>((N13/$N$52)-1)/T13*30</f>
        <v>0.20629304563395898</v>
      </c>
      <c r="V13" s="116"/>
      <c r="W13" s="116"/>
      <c r="X13" s="134"/>
      <c r="Y13" s="134">
        <v>28.24</v>
      </c>
      <c r="Z13" s="134"/>
      <c r="AA13" s="134">
        <v>24.78</v>
      </c>
      <c r="AB13">
        <v>10</v>
      </c>
      <c r="AC13" s="115">
        <v>119.1</v>
      </c>
    </row>
    <row r="14" spans="1:39">
      <c r="A14" s="117">
        <v>45441</v>
      </c>
      <c r="B14">
        <f>B59</f>
        <v>1110</v>
      </c>
      <c r="C14">
        <v>31.4527</v>
      </c>
      <c r="D14">
        <f>D59</f>
        <v>321.99</v>
      </c>
      <c r="E14">
        <v>34.006700000000002</v>
      </c>
      <c r="F14" s="112">
        <v>156</v>
      </c>
      <c r="G14">
        <v>2331.79</v>
      </c>
      <c r="H14" s="199">
        <v>7500</v>
      </c>
      <c r="I14" s="199">
        <v>23.99</v>
      </c>
      <c r="J14">
        <v>210</v>
      </c>
      <c r="K14">
        <v>648.15704900000003</v>
      </c>
      <c r="L14">
        <f>L59</f>
        <v>125000</v>
      </c>
      <c r="M14">
        <v>0.81522399999999995</v>
      </c>
      <c r="N14" s="113">
        <f t="shared" ref="N14" si="4">(F14*G14)+(B14*C14)+(D14*E14)+(L14*M14)+(H14*I14)+(J14*K14)</f>
        <v>827562.53462299996</v>
      </c>
      <c r="O14">
        <v>148.58000000000001</v>
      </c>
      <c r="P14">
        <v>243375.9</v>
      </c>
      <c r="Q14" s="115">
        <v>10514.86</v>
      </c>
      <c r="R14" s="127">
        <f>(1-(Q16/Q14))</f>
        <v>-1.3514207512035137E-2</v>
      </c>
      <c r="S14" s="116">
        <f>(N14/$N$52)-1</f>
        <v>0.56012922473568239</v>
      </c>
      <c r="T14" s="114">
        <f>(A14-$A$52)</f>
        <v>79</v>
      </c>
      <c r="U14" s="116">
        <f>((N14/$N$52)-1)/T14*30</f>
        <v>0.21270730053253761</v>
      </c>
      <c r="V14" s="116"/>
      <c r="W14" s="116"/>
      <c r="X14" s="134"/>
      <c r="Y14" s="134">
        <v>28.18</v>
      </c>
      <c r="Z14" s="134"/>
      <c r="AA14" s="134">
        <v>24.8</v>
      </c>
      <c r="AB14">
        <v>10</v>
      </c>
      <c r="AC14" s="115">
        <v>119.6</v>
      </c>
    </row>
    <row r="15" spans="1:39">
      <c r="A15" s="117">
        <v>45440</v>
      </c>
      <c r="B15">
        <f>B59</f>
        <v>1110</v>
      </c>
      <c r="C15">
        <v>31.4527</v>
      </c>
      <c r="D15">
        <f>D59</f>
        <v>321.99</v>
      </c>
      <c r="E15">
        <v>34.006700000000002</v>
      </c>
      <c r="F15" s="112">
        <v>156</v>
      </c>
      <c r="G15">
        <v>2331.79</v>
      </c>
      <c r="H15" s="199">
        <v>7500</v>
      </c>
      <c r="I15" s="199">
        <v>23.99</v>
      </c>
      <c r="J15">
        <v>210</v>
      </c>
      <c r="K15">
        <v>647.25598100000002</v>
      </c>
      <c r="L15">
        <f>L59</f>
        <v>125000</v>
      </c>
      <c r="M15">
        <v>0.86140000000000005</v>
      </c>
      <c r="N15" s="113">
        <f t="shared" si="0"/>
        <v>833145.31034299999</v>
      </c>
      <c r="O15">
        <v>153.71</v>
      </c>
      <c r="P15">
        <v>251476.74</v>
      </c>
      <c r="Q15" s="115">
        <v>10677.49</v>
      </c>
      <c r="R15" s="127">
        <f t="shared" ref="R15:R29" si="5">(1-(Q16/Q15))</f>
        <v>1.9227365232841187E-3</v>
      </c>
      <c r="S15" s="116">
        <f t="shared" ref="S15" si="6">(N15/$N$52)-1</f>
        <v>0.57065392974771467</v>
      </c>
      <c r="T15" s="114">
        <f t="shared" ref="T15" si="7">(A15-$A$52)</f>
        <v>78</v>
      </c>
      <c r="U15" s="116">
        <f>((N15/$N$52)-1)/T15*30</f>
        <v>0.21948228067219797</v>
      </c>
      <c r="V15" s="116"/>
      <c r="W15" s="116"/>
      <c r="X15" s="134"/>
      <c r="Y15" s="134">
        <v>28.18</v>
      </c>
      <c r="Z15" s="134"/>
      <c r="AA15" s="134">
        <v>24.8</v>
      </c>
      <c r="AB15">
        <v>10</v>
      </c>
      <c r="AC15" s="115">
        <v>119.6</v>
      </c>
    </row>
    <row r="16" spans="1:39">
      <c r="A16" s="117">
        <v>45439</v>
      </c>
      <c r="B16">
        <f>B59</f>
        <v>1110</v>
      </c>
      <c r="C16">
        <v>31.436</v>
      </c>
      <c r="D16">
        <f>D59</f>
        <v>321.99</v>
      </c>
      <c r="E16">
        <v>34.100200000000001</v>
      </c>
      <c r="F16" s="112">
        <v>156</v>
      </c>
      <c r="G16">
        <v>2331.41</v>
      </c>
      <c r="H16" s="199">
        <v>7500</v>
      </c>
      <c r="I16" s="199">
        <v>24.32</v>
      </c>
      <c r="J16">
        <v>30</v>
      </c>
      <c r="K16">
        <v>646.30405299999995</v>
      </c>
      <c r="L16">
        <f>L59</f>
        <v>125000</v>
      </c>
      <c r="M16">
        <v>0.86140000000000005</v>
      </c>
      <c r="N16" s="113">
        <f t="shared" si="0"/>
        <v>719037.96498799999</v>
      </c>
      <c r="O16">
        <v>153.71</v>
      </c>
      <c r="P16">
        <v>251476.74</v>
      </c>
      <c r="Q16" s="115">
        <v>10656.96</v>
      </c>
      <c r="R16" s="127">
        <f t="shared" si="5"/>
        <v>-1.8476188331382204E-3</v>
      </c>
      <c r="S16" s="116">
        <f t="shared" ref="S16" si="8">(N16/$N$52)-1</f>
        <v>0.35553761309807119</v>
      </c>
      <c r="T16" s="114">
        <f t="shared" ref="T16" si="9">(A16-$A$52)</f>
        <v>77</v>
      </c>
      <c r="U16" s="116">
        <f>((N16/$N$52)-1)/T16*30</f>
        <v>0.13852114796028747</v>
      </c>
      <c r="V16" s="116"/>
      <c r="W16" s="116"/>
      <c r="X16" s="134"/>
      <c r="Y16" s="134">
        <v>32.36</v>
      </c>
      <c r="Z16" s="134"/>
      <c r="AA16" s="134">
        <v>23.08</v>
      </c>
      <c r="AB16">
        <v>10</v>
      </c>
      <c r="AC16" s="115">
        <v>124</v>
      </c>
    </row>
    <row r="17" spans="1:29">
      <c r="A17" s="117">
        <v>45435</v>
      </c>
      <c r="B17">
        <f>B59</f>
        <v>1110</v>
      </c>
      <c r="C17">
        <v>31.4588</v>
      </c>
      <c r="D17">
        <f>D59</f>
        <v>321.99</v>
      </c>
      <c r="E17">
        <v>34.044699999999999</v>
      </c>
      <c r="F17" s="112">
        <v>156</v>
      </c>
      <c r="G17">
        <v>2363.8000000000002</v>
      </c>
      <c r="H17" s="199">
        <v>7500</v>
      </c>
      <c r="I17" s="199">
        <v>24.45</v>
      </c>
      <c r="J17">
        <v>30</v>
      </c>
      <c r="K17">
        <v>642.69199700000001</v>
      </c>
      <c r="L17">
        <f>L59</f>
        <v>125000</v>
      </c>
      <c r="M17">
        <v>0.87326400000000004</v>
      </c>
      <c r="N17" s="113">
        <f t="shared" si="0"/>
        <v>726447.88086300006</v>
      </c>
      <c r="O17">
        <v>158.78</v>
      </c>
      <c r="P17">
        <v>259129.45</v>
      </c>
      <c r="Q17" s="115">
        <v>10676.65</v>
      </c>
      <c r="R17" s="127">
        <f t="shared" si="5"/>
        <v>-1.4329401076180304E-2</v>
      </c>
      <c r="S17" s="116">
        <f>(N17/$N$52)-1</f>
        <v>0.36950686113161924</v>
      </c>
      <c r="T17" s="114">
        <f>(A17-$A$52)</f>
        <v>73</v>
      </c>
      <c r="U17" s="116">
        <f>((N17/$N$52)-1)/T17*30</f>
        <v>0.15185213471162434</v>
      </c>
      <c r="V17" s="116"/>
      <c r="W17" s="116"/>
      <c r="X17" s="134"/>
      <c r="Y17" s="134">
        <v>34.299999999999997</v>
      </c>
      <c r="Z17" s="134"/>
      <c r="AA17" s="134">
        <v>27.92</v>
      </c>
      <c r="AB17">
        <v>10</v>
      </c>
      <c r="AC17" s="115">
        <v>122</v>
      </c>
    </row>
    <row r="18" spans="1:29">
      <c r="A18" s="117">
        <v>45433</v>
      </c>
      <c r="B18">
        <f>B59</f>
        <v>1110</v>
      </c>
      <c r="C18">
        <v>31.469899999999999</v>
      </c>
      <c r="D18">
        <f>D59</f>
        <v>321.99</v>
      </c>
      <c r="E18">
        <v>34.182699999999997</v>
      </c>
      <c r="F18" s="112">
        <v>156</v>
      </c>
      <c r="G18">
        <v>2416.92</v>
      </c>
      <c r="H18" s="199">
        <v>7500</v>
      </c>
      <c r="I18" s="199">
        <v>24.91</v>
      </c>
      <c r="J18">
        <v>30</v>
      </c>
      <c r="K18">
        <v>641.00899600000002</v>
      </c>
      <c r="L18">
        <f>L59</f>
        <v>125000</v>
      </c>
      <c r="M18">
        <v>0.86580400000000002</v>
      </c>
      <c r="N18" s="113">
        <f t="shared" si="0"/>
        <v>737258.36645300011</v>
      </c>
      <c r="O18">
        <v>165.69</v>
      </c>
      <c r="P18">
        <v>269993.23</v>
      </c>
      <c r="Q18" s="115">
        <v>10829.64</v>
      </c>
      <c r="R18" s="127">
        <f t="shared" si="5"/>
        <v>8.3169892997366768E-3</v>
      </c>
      <c r="S18" s="116">
        <f>(N18/$N$52)-1</f>
        <v>0.38988689743936056</v>
      </c>
      <c r="T18" s="114">
        <f>(A18-$A$52)</f>
        <v>71</v>
      </c>
      <c r="U18" s="116">
        <f>((N18/$N$52)-1)/T18*30</f>
        <v>0.16474094258001151</v>
      </c>
      <c r="V18" s="116"/>
      <c r="W18" s="116"/>
      <c r="X18" s="134"/>
      <c r="Y18" s="134">
        <v>34.799999999999997</v>
      </c>
      <c r="Z18" s="134"/>
      <c r="AA18" s="134">
        <v>28.52</v>
      </c>
      <c r="AB18">
        <v>10</v>
      </c>
      <c r="AC18" s="115">
        <v>123.5</v>
      </c>
    </row>
    <row r="19" spans="1:29">
      <c r="A19" s="117">
        <v>45426</v>
      </c>
      <c r="B19">
        <f>B59</f>
        <v>1110</v>
      </c>
      <c r="C19">
        <v>31.5244</v>
      </c>
      <c r="D19">
        <f>D59</f>
        <v>321.99</v>
      </c>
      <c r="E19">
        <v>34.005400000000002</v>
      </c>
      <c r="F19" s="112">
        <v>156</v>
      </c>
      <c r="G19">
        <v>2344.5700000000002</v>
      </c>
      <c r="H19" s="199">
        <v>7500</v>
      </c>
      <c r="I19" s="199">
        <v>24.41</v>
      </c>
      <c r="J19">
        <v>30</v>
      </c>
      <c r="K19">
        <v>634.98375399999998</v>
      </c>
      <c r="L19">
        <f>L59</f>
        <v>125000</v>
      </c>
      <c r="M19">
        <v>0.84950000000000003</v>
      </c>
      <c r="N19" s="113">
        <f t="shared" si="0"/>
        <v>720006.41536600015</v>
      </c>
      <c r="O19">
        <v>158.43</v>
      </c>
      <c r="P19">
        <v>256973.54</v>
      </c>
      <c r="Q19" s="115">
        <v>10739.57</v>
      </c>
      <c r="R19" s="127">
        <f t="shared" si="5"/>
        <v>5.0241303888330702E-2</v>
      </c>
      <c r="S19" s="116">
        <f>(N19/$N$52)-1</f>
        <v>0.35736334550403681</v>
      </c>
      <c r="T19" s="114">
        <f>(A19-$A$52)</f>
        <v>64</v>
      </c>
      <c r="U19" s="116">
        <f>((N19/$N$52)-1)/T19*30</f>
        <v>0.16751406820501724</v>
      </c>
      <c r="V19" s="116"/>
      <c r="W19" s="116"/>
      <c r="X19" s="134"/>
      <c r="Y19" s="134">
        <v>35.86</v>
      </c>
      <c r="Z19" s="134"/>
      <c r="AA19" s="134">
        <v>30.2</v>
      </c>
      <c r="AB19">
        <v>10</v>
      </c>
      <c r="AC19" s="115">
        <v>120.1</v>
      </c>
    </row>
    <row r="20" spans="1:29">
      <c r="A20" s="117">
        <v>45425</v>
      </c>
      <c r="B20">
        <f>B59</f>
        <v>1110</v>
      </c>
      <c r="C20">
        <v>31.371600000000001</v>
      </c>
      <c r="D20">
        <f>D59</f>
        <v>321.99</v>
      </c>
      <c r="E20">
        <v>33.871899999999997</v>
      </c>
      <c r="F20" s="112">
        <v>156</v>
      </c>
      <c r="G20">
        <v>2341.31</v>
      </c>
      <c r="H20" s="199">
        <v>7500</v>
      </c>
      <c r="I20" s="199">
        <v>24.47</v>
      </c>
      <c r="J20">
        <v>30</v>
      </c>
      <c r="K20">
        <v>634.10149999999999</v>
      </c>
      <c r="L20">
        <f>L59</f>
        <v>125000</v>
      </c>
      <c r="M20">
        <v>0.88511899999999999</v>
      </c>
      <c r="N20" s="113">
        <f t="shared" ref="N20:N28" si="10">(F20*G20)+(B20*C20)+(D20*E20)+(L20*M20)+(H20*I20)+(J20*K20)</f>
        <v>724161.16908100003</v>
      </c>
      <c r="O20">
        <v>158.43</v>
      </c>
      <c r="P20">
        <v>256973.54</v>
      </c>
      <c r="Q20" s="115">
        <v>10200</v>
      </c>
      <c r="R20" s="127">
        <f t="shared" si="5"/>
        <v>-6.7235294117646838E-3</v>
      </c>
      <c r="S20" s="116">
        <f>(N20/$N$52)-1</f>
        <v>0.36519592905049159</v>
      </c>
      <c r="T20" s="114">
        <f>(A20-$A$52)</f>
        <v>63</v>
      </c>
      <c r="U20" s="116">
        <f>((N20/$N$52)-1)/T20*30</f>
        <v>0.17390282335737695</v>
      </c>
      <c r="V20" s="116"/>
      <c r="W20" s="116"/>
      <c r="X20" s="134"/>
      <c r="Y20" s="134">
        <v>35.86</v>
      </c>
      <c r="Z20" s="134"/>
      <c r="AA20" s="134">
        <v>30.2</v>
      </c>
      <c r="AB20">
        <v>10</v>
      </c>
      <c r="AC20" s="115">
        <v>120.1</v>
      </c>
    </row>
    <row r="21" spans="1:29">
      <c r="A21" s="117">
        <v>45421</v>
      </c>
      <c r="B21">
        <f>B59</f>
        <v>1110</v>
      </c>
      <c r="C21">
        <v>31.712</v>
      </c>
      <c r="D21">
        <f>D59</f>
        <v>321.99</v>
      </c>
      <c r="E21">
        <v>34.055500000000002</v>
      </c>
      <c r="F21" s="112">
        <v>156</v>
      </c>
      <c r="G21">
        <v>2333.16</v>
      </c>
      <c r="H21" s="199">
        <v>7500</v>
      </c>
      <c r="I21" s="199">
        <v>24.39</v>
      </c>
      <c r="J21">
        <v>30</v>
      </c>
      <c r="K21">
        <v>622.84294799999998</v>
      </c>
      <c r="L21">
        <f>L59</f>
        <v>125000</v>
      </c>
      <c r="M21">
        <v>0.90642500000000004</v>
      </c>
      <c r="N21" s="113">
        <f t="shared" si="10"/>
        <v>725052.22388499998</v>
      </c>
      <c r="O21">
        <v>167.1</v>
      </c>
      <c r="P21">
        <v>268201.53000000003</v>
      </c>
      <c r="Q21" s="115">
        <v>10268.58</v>
      </c>
      <c r="R21" s="127">
        <f t="shared" si="5"/>
        <v>2.1701150499874422E-2</v>
      </c>
      <c r="S21" s="116">
        <f>(N21/$N$52)-1</f>
        <v>0.36687575454089361</v>
      </c>
      <c r="T21" s="114">
        <f>(A21-$A$52)</f>
        <v>59</v>
      </c>
      <c r="U21" s="116">
        <f>((N21/$N$52)-1)/T21*30</f>
        <v>0.18654699383435269</v>
      </c>
      <c r="V21" s="116"/>
      <c r="W21" s="116"/>
      <c r="X21" s="134"/>
      <c r="Y21" s="134">
        <v>37.4</v>
      </c>
      <c r="Z21" s="134"/>
      <c r="AA21" s="134">
        <v>30.5</v>
      </c>
      <c r="AB21">
        <v>10</v>
      </c>
      <c r="AC21" s="115">
        <v>127.4</v>
      </c>
    </row>
    <row r="22" spans="1:29">
      <c r="A22" s="117">
        <v>45412</v>
      </c>
      <c r="B22">
        <f>B59</f>
        <v>1110</v>
      </c>
      <c r="C22">
        <v>31.771699999999999</v>
      </c>
      <c r="D22">
        <f>D59</f>
        <v>321.99</v>
      </c>
      <c r="E22">
        <v>34.014699999999998</v>
      </c>
      <c r="F22" s="112">
        <v>156</v>
      </c>
      <c r="G22">
        <v>2341.2800000000002</v>
      </c>
      <c r="H22" s="199">
        <v>7500</v>
      </c>
      <c r="I22" s="199">
        <v>24.71</v>
      </c>
      <c r="J22">
        <v>96</v>
      </c>
      <c r="K22">
        <v>622.84294799999998</v>
      </c>
      <c r="L22">
        <f>L59</f>
        <v>125000</v>
      </c>
      <c r="M22">
        <v>0.90242599999999995</v>
      </c>
      <c r="N22" s="113">
        <f t="shared" si="10"/>
        <v>769379.83326099999</v>
      </c>
      <c r="O22">
        <v>167.1</v>
      </c>
      <c r="P22">
        <v>268201.53000000003</v>
      </c>
      <c r="Q22" s="115">
        <v>10045.74</v>
      </c>
      <c r="R22" s="127">
        <f t="shared" si="5"/>
        <v>1.2952754102733999E-2</v>
      </c>
      <c r="S22" s="116">
        <f t="shared" ref="S22" si="11">(N22/$N$52)-1</f>
        <v>0.45044261016428133</v>
      </c>
      <c r="T22" s="114">
        <f t="shared" ref="T22" si="12">(A22-$A$52)</f>
        <v>50</v>
      </c>
      <c r="U22" s="116">
        <f>((N22/$N$52)-1)/T22*30</f>
        <v>0.27026556609856883</v>
      </c>
      <c r="V22" s="116"/>
      <c r="W22" s="116"/>
      <c r="X22" s="134"/>
      <c r="Y22" s="134">
        <v>37.39</v>
      </c>
      <c r="Z22" s="134"/>
      <c r="AA22" s="134">
        <v>30.5</v>
      </c>
      <c r="AB22">
        <v>10</v>
      </c>
      <c r="AC22" s="115">
        <v>125.1</v>
      </c>
    </row>
    <row r="23" spans="1:29">
      <c r="A23" s="117">
        <v>45411</v>
      </c>
      <c r="B23">
        <f>B59</f>
        <v>1110</v>
      </c>
      <c r="C23">
        <v>31.948</v>
      </c>
      <c r="D23">
        <f>D59</f>
        <v>321.99</v>
      </c>
      <c r="E23">
        <v>34.280099999999997</v>
      </c>
      <c r="F23" s="112">
        <v>156</v>
      </c>
      <c r="G23">
        <v>2384.1799999999998</v>
      </c>
      <c r="H23" s="199">
        <v>5000</v>
      </c>
      <c r="I23" s="199">
        <v>24.91</v>
      </c>
      <c r="L23">
        <f>L59</f>
        <v>125000</v>
      </c>
      <c r="M23">
        <v>0.89855499999999999</v>
      </c>
      <c r="N23" s="113">
        <f t="shared" si="10"/>
        <v>655301.58439900004</v>
      </c>
      <c r="O23">
        <v>167.61</v>
      </c>
      <c r="P23">
        <v>269021.68</v>
      </c>
      <c r="Q23" s="115">
        <v>9915.6200000000008</v>
      </c>
      <c r="R23" s="127">
        <f t="shared" si="5"/>
        <v>2.5330740790792672E-2</v>
      </c>
      <c r="S23" s="116">
        <f t="shared" ref="S23:S52" si="13">(N23/$N$52)-1</f>
        <v>0.23538114651627517</v>
      </c>
      <c r="T23" s="114">
        <f t="shared" ref="T23:T52" si="14">(A23-$A$52)</f>
        <v>49</v>
      </c>
      <c r="U23" s="116">
        <f>((N23/$N$52)-1)/T23*30</f>
        <v>0.14411090603037255</v>
      </c>
      <c r="V23" s="116"/>
      <c r="W23" s="116"/>
      <c r="X23" s="112">
        <v>35</v>
      </c>
      <c r="Y23" s="128">
        <f>Y26</f>
        <v>37.39</v>
      </c>
      <c r="Z23" s="112">
        <v>40</v>
      </c>
      <c r="AA23" s="128">
        <f>AA26</f>
        <v>30.5</v>
      </c>
      <c r="AB23"/>
    </row>
    <row r="24" spans="1:29">
      <c r="A24" s="117">
        <v>45408</v>
      </c>
      <c r="B24">
        <f>B59</f>
        <v>1110</v>
      </c>
      <c r="C24">
        <v>31.948</v>
      </c>
      <c r="D24">
        <f>D59</f>
        <v>321.99</v>
      </c>
      <c r="E24">
        <v>34.280099999999997</v>
      </c>
      <c r="F24" s="112">
        <v>156</v>
      </c>
      <c r="G24">
        <v>2384.1799999999998</v>
      </c>
      <c r="H24" s="199">
        <v>2500</v>
      </c>
      <c r="I24" s="199">
        <v>25.11</v>
      </c>
      <c r="L24">
        <f>L59</f>
        <v>125000</v>
      </c>
      <c r="M24">
        <v>0.89607400000000004</v>
      </c>
      <c r="N24" s="113">
        <f t="shared" si="10"/>
        <v>593216.45939900004</v>
      </c>
      <c r="O24">
        <v>167.61</v>
      </c>
      <c r="P24">
        <v>269021.68</v>
      </c>
      <c r="Q24" s="115">
        <v>9664.4500000000007</v>
      </c>
      <c r="R24" s="127">
        <f t="shared" si="5"/>
        <v>-5.7478697701369708E-3</v>
      </c>
      <c r="S24" s="116">
        <f t="shared" si="13"/>
        <v>0.11833764360082077</v>
      </c>
      <c r="T24" s="114">
        <f t="shared" si="14"/>
        <v>46</v>
      </c>
      <c r="U24" s="116">
        <f>((N24/$N$52)-1)/T24*30</f>
        <v>7.7176724087491808E-2</v>
      </c>
      <c r="V24" s="116"/>
      <c r="W24" s="116"/>
      <c r="X24" s="112" t="s">
        <v>67</v>
      </c>
      <c r="Y24" s="129" t="s">
        <v>68</v>
      </c>
      <c r="Z24" s="112" t="s">
        <v>67</v>
      </c>
      <c r="AA24" s="129" t="s">
        <v>68</v>
      </c>
      <c r="AB24">
        <v>10</v>
      </c>
      <c r="AC24" s="115">
        <v>148.5</v>
      </c>
    </row>
    <row r="25" spans="1:29">
      <c r="A25" s="117">
        <v>45407</v>
      </c>
      <c r="B25">
        <f>B59</f>
        <v>1110</v>
      </c>
      <c r="C25">
        <v>32.0291</v>
      </c>
      <c r="D25">
        <f>D59</f>
        <v>321.99</v>
      </c>
      <c r="E25">
        <v>34.322299999999998</v>
      </c>
      <c r="F25" s="112">
        <v>156</v>
      </c>
      <c r="G25">
        <v>2368.4699999999998</v>
      </c>
      <c r="L25">
        <f>L59</f>
        <v>125000</v>
      </c>
      <c r="M25">
        <v>0.90609700000000004</v>
      </c>
      <c r="N25" s="113">
        <f t="shared" si="10"/>
        <v>529347.18337699992</v>
      </c>
      <c r="O25">
        <v>167.13</v>
      </c>
      <c r="P25">
        <v>268083.81</v>
      </c>
      <c r="Q25" s="115">
        <v>9720</v>
      </c>
      <c r="R25" s="127">
        <f t="shared" si="5"/>
        <v>-2.1502057613176362E-4</v>
      </c>
      <c r="S25" s="116">
        <f t="shared" si="13"/>
        <v>-2.0693587896702947E-3</v>
      </c>
      <c r="T25" s="114">
        <f t="shared" si="14"/>
        <v>45</v>
      </c>
      <c r="U25" s="116">
        <f>((N25/$N$52)-1)/T25*30</f>
        <v>-1.379572526446863E-3</v>
      </c>
      <c r="V25" s="116"/>
      <c r="W25" s="116"/>
      <c r="X25" s="112"/>
      <c r="Y25" s="130" t="s">
        <v>69</v>
      </c>
      <c r="Z25" s="112"/>
      <c r="AA25" s="130" t="s">
        <v>69</v>
      </c>
      <c r="AB25">
        <v>10</v>
      </c>
      <c r="AC25" s="115">
        <v>135</v>
      </c>
    </row>
    <row r="26" spans="1:29">
      <c r="A26" s="117">
        <v>45406</v>
      </c>
      <c r="B26">
        <f>B59</f>
        <v>1110</v>
      </c>
      <c r="C26">
        <v>31.928699999999999</v>
      </c>
      <c r="D26">
        <f>D59</f>
        <v>321.99</v>
      </c>
      <c r="E26">
        <v>33.972000000000001</v>
      </c>
      <c r="F26" s="112">
        <v>156</v>
      </c>
      <c r="G26">
        <v>2380.13</v>
      </c>
      <c r="L26">
        <f>L59</f>
        <v>125000</v>
      </c>
      <c r="M26">
        <v>0.88805999999999996</v>
      </c>
      <c r="N26" s="113">
        <f t="shared" si="10"/>
        <v>528687.28128</v>
      </c>
      <c r="O26">
        <v>166.96</v>
      </c>
      <c r="P26">
        <v>267307.03000000003</v>
      </c>
      <c r="Q26" s="115">
        <v>9722.09</v>
      </c>
      <c r="R26" s="127">
        <f t="shared" si="5"/>
        <v>7.927307811386175E-3</v>
      </c>
      <c r="S26" s="116">
        <f t="shared" si="13"/>
        <v>-3.3134128688740994E-3</v>
      </c>
      <c r="T26" s="114">
        <f t="shared" si="14"/>
        <v>44</v>
      </c>
      <c r="U26" s="116">
        <f>((N26/$N$52)-1)/T26*30</f>
        <v>-2.259145137868704E-3</v>
      </c>
      <c r="V26" s="116"/>
      <c r="W26" s="116"/>
      <c r="X26" s="112" t="s">
        <v>70</v>
      </c>
      <c r="Y26" s="131">
        <v>37.39</v>
      </c>
      <c r="Z26" s="112" t="s">
        <v>70</v>
      </c>
      <c r="AA26" s="131">
        <v>30.5</v>
      </c>
      <c r="AB26">
        <v>10</v>
      </c>
      <c r="AC26" s="115">
        <v>135</v>
      </c>
    </row>
    <row r="27" spans="1:29">
      <c r="A27" s="117">
        <v>45404</v>
      </c>
      <c r="B27">
        <f>B59</f>
        <v>1110</v>
      </c>
      <c r="C27">
        <v>31.928699999999999</v>
      </c>
      <c r="D27">
        <f>D59</f>
        <v>321.99</v>
      </c>
      <c r="E27">
        <v>33.972000000000001</v>
      </c>
      <c r="F27" s="112">
        <v>156</v>
      </c>
      <c r="G27">
        <v>2380.13</v>
      </c>
      <c r="L27">
        <f>L59</f>
        <v>125000</v>
      </c>
      <c r="M27">
        <v>0.88805999999999996</v>
      </c>
      <c r="N27" s="113">
        <f t="shared" si="10"/>
        <v>528687.28128</v>
      </c>
      <c r="O27">
        <v>166.96</v>
      </c>
      <c r="P27">
        <v>267307.03000000003</v>
      </c>
      <c r="Q27" s="115">
        <v>9645.02</v>
      </c>
      <c r="R27" s="127">
        <f t="shared" si="5"/>
        <v>-5.0222809283961833E-3</v>
      </c>
      <c r="S27" s="116">
        <f t="shared" si="13"/>
        <v>-3.3134128688740994E-3</v>
      </c>
      <c r="T27" s="114">
        <f t="shared" si="14"/>
        <v>42</v>
      </c>
      <c r="U27" s="116">
        <f>((N27/$N$52)-1)/T27*30</f>
        <v>-2.3667234777672141E-3</v>
      </c>
      <c r="V27" s="116"/>
      <c r="W27" s="116"/>
      <c r="X27" s="112"/>
      <c r="Y27" s="116" t="e">
        <f>Sayfa2!#REF!</f>
        <v>#REF!</v>
      </c>
      <c r="Z27" s="112"/>
      <c r="AA27" s="116" t="e">
        <f>Sayfa2!#REF!</f>
        <v>#REF!</v>
      </c>
      <c r="AB27" s="112">
        <v>10</v>
      </c>
      <c r="AC27" s="128">
        <v>135</v>
      </c>
    </row>
    <row r="28" spans="1:29">
      <c r="A28" s="117">
        <v>45401</v>
      </c>
      <c r="B28">
        <f>B59</f>
        <v>1110</v>
      </c>
      <c r="C28">
        <v>31.803999999999998</v>
      </c>
      <c r="D28">
        <f>D59</f>
        <v>321.99</v>
      </c>
      <c r="E28">
        <v>33.928400000000003</v>
      </c>
      <c r="F28" s="112">
        <v>156</v>
      </c>
      <c r="G28">
        <v>2427.62</v>
      </c>
      <c r="L28">
        <f>L59</f>
        <v>125000</v>
      </c>
      <c r="M28">
        <v>0.87351800000000002</v>
      </c>
      <c r="N28" s="113">
        <f t="shared" si="10"/>
        <v>534125.51551599998</v>
      </c>
      <c r="O28">
        <v>170.57</v>
      </c>
      <c r="P28">
        <v>272736.27</v>
      </c>
      <c r="Q28" s="115">
        <v>9693.4599999999991</v>
      </c>
      <c r="R28" s="127">
        <f t="shared" si="5"/>
        <v>1.4091975414350921E-3</v>
      </c>
      <c r="S28" s="116">
        <f t="shared" si="13"/>
        <v>6.9388010818296486E-3</v>
      </c>
      <c r="T28" s="114">
        <f t="shared" si="14"/>
        <v>39</v>
      </c>
      <c r="U28" s="116">
        <f>((N28/$N$52)-1)/T28*30</f>
        <v>5.3375392937151144E-3</v>
      </c>
      <c r="V28" s="116"/>
      <c r="W28" s="116"/>
      <c r="X28" s="112" t="s">
        <v>71</v>
      </c>
      <c r="Y28" s="115">
        <f>Y26*X23</f>
        <v>1308.6500000000001</v>
      </c>
      <c r="Z28" s="112" t="s">
        <v>71</v>
      </c>
      <c r="AA28" s="115">
        <f>AA26*Z23</f>
        <v>1220</v>
      </c>
      <c r="AB28" s="112" t="s">
        <v>67</v>
      </c>
      <c r="AC28" s="129" t="s">
        <v>68</v>
      </c>
    </row>
    <row r="29" spans="1:29">
      <c r="A29" s="117">
        <v>45397</v>
      </c>
      <c r="B29">
        <f>B59</f>
        <v>1110</v>
      </c>
      <c r="C29">
        <v>31.863399999999999</v>
      </c>
      <c r="D29">
        <f>D59</f>
        <v>321.99</v>
      </c>
      <c r="E29">
        <v>33.963099999999997</v>
      </c>
      <c r="F29" s="112">
        <v>156</v>
      </c>
      <c r="G29">
        <v>2387.5100000000002</v>
      </c>
      <c r="L29">
        <f>L59</f>
        <v>125000</v>
      </c>
      <c r="M29">
        <v>0.89791399999999999</v>
      </c>
      <c r="N29" s="113">
        <f t="shared" ref="N29:N64" si="15">(F29*G29)+(B29*C29)+(D29*E29)+(L29*M29)+(H29*I29)</f>
        <v>530994.96256900008</v>
      </c>
      <c r="O29">
        <v>169.14</v>
      </c>
      <c r="P29">
        <v>269604.92</v>
      </c>
      <c r="Q29" s="115">
        <v>9679.7999999999993</v>
      </c>
      <c r="R29" s="127">
        <f t="shared" si="5"/>
        <v>-1.3880452075456073E-2</v>
      </c>
      <c r="S29" s="116">
        <f t="shared" si="13"/>
        <v>1.0370511380362046E-3</v>
      </c>
      <c r="T29" s="114">
        <f t="shared" si="14"/>
        <v>35</v>
      </c>
      <c r="U29" s="116">
        <f>((N29/$N$52)-1)/T29*30</f>
        <v>8.8890097545960402E-4</v>
      </c>
      <c r="V29" s="116"/>
      <c r="W29" s="116"/>
      <c r="X29" s="132" t="s">
        <v>72</v>
      </c>
      <c r="Y29" s="132">
        <f>(X23*Y5)-(X23*Y26)</f>
        <v>-291.55000000000018</v>
      </c>
      <c r="Z29" s="132" t="s">
        <v>72</v>
      </c>
      <c r="AA29" s="132">
        <f>(Z23*AA5)-(Z23*AA26)</f>
        <v>-240.79999999999995</v>
      </c>
      <c r="AC29" s="130" t="s">
        <v>69</v>
      </c>
    </row>
    <row r="30" spans="1:29">
      <c r="A30" s="117">
        <v>45391</v>
      </c>
      <c r="B30">
        <f>B59</f>
        <v>1110</v>
      </c>
      <c r="C30">
        <v>31.412299999999998</v>
      </c>
      <c r="D30">
        <f>D59</f>
        <v>321.99</v>
      </c>
      <c r="E30">
        <v>34.091799999999999</v>
      </c>
      <c r="F30" s="112">
        <v>156</v>
      </c>
      <c r="G30">
        <v>2352.21</v>
      </c>
      <c r="L30">
        <f>L59</f>
        <v>125000</v>
      </c>
      <c r="M30">
        <v>0.89529800000000004</v>
      </c>
      <c r="N30" s="113">
        <f t="shared" si="15"/>
        <v>524701.88168200001</v>
      </c>
      <c r="O30">
        <v>165.81</v>
      </c>
      <c r="P30">
        <v>263308.84999999998</v>
      </c>
      <c r="Q30" s="115">
        <v>9814.16</v>
      </c>
      <c r="R30" s="127">
        <f t="shared" ref="R30:R31" si="16">(1-(Q31/Q30))</f>
        <v>5.8558246452063978E-3</v>
      </c>
      <c r="S30" s="116">
        <f t="shared" si="13"/>
        <v>-1.0826728328378388E-2</v>
      </c>
      <c r="T30" s="114">
        <f t="shared" si="14"/>
        <v>29</v>
      </c>
      <c r="U30" s="116">
        <f>((N30/$N$52)-1)/T30*30</f>
        <v>-1.1200063787977641E-2</v>
      </c>
      <c r="V30" s="116"/>
      <c r="W30" s="116"/>
      <c r="X30" s="116"/>
      <c r="Y30" s="116"/>
      <c r="Z30" s="116"/>
      <c r="AA30" s="116"/>
      <c r="AB30" s="112" t="s">
        <v>70</v>
      </c>
      <c r="AC30" s="131">
        <v>135</v>
      </c>
    </row>
    <row r="31" spans="1:29">
      <c r="A31" s="117">
        <v>45390</v>
      </c>
      <c r="B31">
        <f>B59</f>
        <v>1110</v>
      </c>
      <c r="C31">
        <v>31.5198</v>
      </c>
      <c r="D31">
        <f>D59</f>
        <v>321.99</v>
      </c>
      <c r="E31">
        <v>34.154899999999998</v>
      </c>
      <c r="F31" s="112">
        <v>156</v>
      </c>
      <c r="G31">
        <v>2344.37</v>
      </c>
      <c r="L31">
        <f>L59</f>
        <v>125000</v>
      </c>
      <c r="M31">
        <v>0.818581</v>
      </c>
      <c r="N31" s="113">
        <f t="shared" si="15"/>
        <v>514028.85925099999</v>
      </c>
      <c r="O31">
        <v>159.19</v>
      </c>
      <c r="P31">
        <v>252634.37</v>
      </c>
      <c r="Q31" s="115">
        <v>9756.69</v>
      </c>
      <c r="R31" s="127">
        <f t="shared" si="16"/>
        <v>1.4129791968382821E-2</v>
      </c>
      <c r="S31" s="116">
        <f t="shared" si="13"/>
        <v>-3.0947617704367603E-2</v>
      </c>
      <c r="T31" s="114">
        <f t="shared" si="14"/>
        <v>28</v>
      </c>
      <c r="U31" s="116">
        <f>((N31/$N$52)-1)/T31*30</f>
        <v>-3.3158161826108146E-2</v>
      </c>
      <c r="V31" s="116"/>
      <c r="W31" s="116"/>
      <c r="X31" s="116"/>
      <c r="Y31" s="116"/>
      <c r="Z31" s="116"/>
      <c r="AA31" s="116"/>
      <c r="AC31" s="116">
        <f>Sayfa2!K4</f>
        <v>0</v>
      </c>
    </row>
    <row r="32" spans="1:29">
      <c r="A32" s="117">
        <v>45387</v>
      </c>
      <c r="B32">
        <f>B59</f>
        <v>1110</v>
      </c>
      <c r="C32">
        <v>31.407</v>
      </c>
      <c r="D32">
        <f>D59</f>
        <v>321.99</v>
      </c>
      <c r="E32">
        <v>34.038899999999998</v>
      </c>
      <c r="F32" s="112">
        <v>156</v>
      </c>
      <c r="G32">
        <v>2289.27</v>
      </c>
      <c r="L32">
        <f>L59</f>
        <v>125000</v>
      </c>
      <c r="M32">
        <v>0.82424600000000003</v>
      </c>
      <c r="N32" s="113">
        <f t="shared" si="15"/>
        <v>505978.825411</v>
      </c>
      <c r="O32">
        <v>154.41</v>
      </c>
      <c r="P32">
        <v>244587.02</v>
      </c>
      <c r="Q32" s="115">
        <v>9618.83</v>
      </c>
      <c r="R32" s="127">
        <f t="shared" ref="R32:R63" si="17">(1-(Q33/Q32))</f>
        <v>5.0921993631241946E-2</v>
      </c>
      <c r="S32" s="116">
        <f t="shared" si="13"/>
        <v>-4.6123622572225242E-2</v>
      </c>
      <c r="T32" s="114">
        <f t="shared" si="14"/>
        <v>25</v>
      </c>
      <c r="U32" s="116">
        <f>((N32/$N$52)-1)/T32*30</f>
        <v>-5.5348347086670288E-2</v>
      </c>
      <c r="V32" s="116"/>
      <c r="W32" s="116"/>
      <c r="X32" s="116"/>
      <c r="Y32" s="116"/>
      <c r="Z32" s="116"/>
      <c r="AA32" s="116"/>
      <c r="AB32" s="112" t="s">
        <v>71</v>
      </c>
      <c r="AC32" s="115">
        <f>AC30*AB27</f>
        <v>1350</v>
      </c>
    </row>
    <row r="33" spans="1:39">
      <c r="A33" s="117">
        <v>45386</v>
      </c>
      <c r="B33">
        <f>B59</f>
        <v>1110</v>
      </c>
      <c r="C33">
        <v>31.399799999999999</v>
      </c>
      <c r="D33">
        <f>D59</f>
        <v>321.99</v>
      </c>
      <c r="E33">
        <v>34.053100000000001</v>
      </c>
      <c r="F33" s="112">
        <v>156</v>
      </c>
      <c r="G33">
        <v>2292.5700000000002</v>
      </c>
      <c r="L33">
        <f>L59</f>
        <v>125000</v>
      </c>
      <c r="M33">
        <v>0.82913899999999996</v>
      </c>
      <c r="N33" s="113">
        <f t="shared" si="15"/>
        <v>507101.83066900005</v>
      </c>
      <c r="O33">
        <v>155.22</v>
      </c>
      <c r="P33">
        <v>245709.7</v>
      </c>
      <c r="Q33" s="115">
        <v>9129.02</v>
      </c>
      <c r="R33" s="127">
        <f t="shared" si="17"/>
        <v>2.0070062284889389E-2</v>
      </c>
      <c r="S33" s="116">
        <f t="shared" si="13"/>
        <v>-4.4006521749946126E-2</v>
      </c>
      <c r="T33" s="114">
        <f t="shared" si="14"/>
        <v>24</v>
      </c>
      <c r="U33" s="116">
        <f>((N33/$N$52)-1)/T33*30</f>
        <v>-5.5008152187432657E-2</v>
      </c>
      <c r="V33" s="116"/>
      <c r="W33" s="116"/>
      <c r="X33" s="116"/>
      <c r="Y33" s="116"/>
      <c r="Z33" s="116"/>
      <c r="AA33" s="116"/>
      <c r="AB33" s="132" t="s">
        <v>72</v>
      </c>
      <c r="AC33" s="132">
        <f>(AB10*AC5)-(AB10*AC30)</f>
        <v>-160</v>
      </c>
    </row>
    <row r="34" spans="1:39">
      <c r="A34" s="117">
        <v>45385</v>
      </c>
      <c r="B34">
        <f>B59</f>
        <v>1110</v>
      </c>
      <c r="C34">
        <v>31.399799999999999</v>
      </c>
      <c r="D34">
        <f>D59</f>
        <v>321.99</v>
      </c>
      <c r="E34">
        <v>34.053100000000001</v>
      </c>
      <c r="F34" s="112">
        <v>156</v>
      </c>
      <c r="G34">
        <v>2292.5700000000002</v>
      </c>
      <c r="L34">
        <f>L59</f>
        <v>125000</v>
      </c>
      <c r="M34">
        <v>0.82913899999999996</v>
      </c>
      <c r="N34" s="113">
        <f t="shared" si="15"/>
        <v>507101.83066900005</v>
      </c>
      <c r="O34">
        <v>155.22</v>
      </c>
      <c r="P34">
        <v>245709.7</v>
      </c>
      <c r="Q34" s="115">
        <v>8945.7999999999993</v>
      </c>
      <c r="R34" s="127">
        <f t="shared" si="17"/>
        <v>-1.0627333497283731E-2</v>
      </c>
      <c r="S34" s="116">
        <f t="shared" si="13"/>
        <v>-4.4006521749946126E-2</v>
      </c>
      <c r="T34" s="114">
        <f t="shared" si="14"/>
        <v>23</v>
      </c>
      <c r="U34" s="116">
        <f>((N34/$N$52)-1)/T34*30</f>
        <v>-5.7399810978190594E-2</v>
      </c>
      <c r="V34" s="116"/>
      <c r="W34" s="116"/>
      <c r="X34" s="116"/>
      <c r="Y34" s="116"/>
      <c r="Z34" s="116"/>
      <c r="AA34" s="116"/>
      <c r="AB34" s="133"/>
      <c r="AC34" s="134"/>
    </row>
    <row r="35" spans="1:39">
      <c r="A35" s="117">
        <v>45384</v>
      </c>
      <c r="B35">
        <f>B59</f>
        <v>1110</v>
      </c>
      <c r="C35">
        <v>31.536899999999999</v>
      </c>
      <c r="D35">
        <f>D59</f>
        <v>321.99</v>
      </c>
      <c r="E35">
        <v>33.958799999999997</v>
      </c>
      <c r="F35" s="112">
        <v>156</v>
      </c>
      <c r="G35">
        <v>2287.73</v>
      </c>
      <c r="L35">
        <f>L59</f>
        <v>125000</v>
      </c>
      <c r="M35">
        <v>0.85561100000000001</v>
      </c>
      <c r="N35" s="113">
        <f t="shared" si="15"/>
        <v>509777.60801200004</v>
      </c>
      <c r="O35">
        <v>157.11000000000001</v>
      </c>
      <c r="P35">
        <v>248387.66</v>
      </c>
      <c r="Q35" s="115">
        <v>9040.8700000000008</v>
      </c>
      <c r="R35" s="127">
        <f t="shared" si="17"/>
        <v>-1.2904731513670775E-2</v>
      </c>
      <c r="S35" s="116">
        <f t="shared" si="13"/>
        <v>-3.8962119354903346E-2</v>
      </c>
      <c r="T35" s="114">
        <f t="shared" si="14"/>
        <v>22</v>
      </c>
      <c r="U35" s="116">
        <f>((N35/$N$52)-1)/T35*30</f>
        <v>-5.3130162756686382E-2</v>
      </c>
      <c r="V35" s="116"/>
      <c r="W35" s="116"/>
      <c r="X35" s="116"/>
      <c r="Y35" s="116"/>
      <c r="Z35" s="116"/>
      <c r="AA35" s="116"/>
      <c r="AB35" s="133"/>
      <c r="AC35" s="134"/>
    </row>
    <row r="36" spans="1:39">
      <c r="A36" s="117">
        <v>45383</v>
      </c>
      <c r="B36">
        <f>B59</f>
        <v>1110</v>
      </c>
      <c r="C36">
        <v>31.879300000000001</v>
      </c>
      <c r="D36">
        <f>D59</f>
        <v>321.99</v>
      </c>
      <c r="E36">
        <v>34.391399999999997</v>
      </c>
      <c r="F36" s="112">
        <v>161</v>
      </c>
      <c r="G36">
        <v>2308.4299999999998</v>
      </c>
      <c r="L36">
        <f>L59</f>
        <v>125000</v>
      </c>
      <c r="M36">
        <v>0.88097599999999998</v>
      </c>
      <c r="N36" s="113">
        <f t="shared" si="15"/>
        <v>528238.93988600001</v>
      </c>
      <c r="O36">
        <v>161.66</v>
      </c>
      <c r="P36">
        <v>255424.81</v>
      </c>
      <c r="Q36" s="115">
        <v>9157.5400000000009</v>
      </c>
      <c r="R36" s="127">
        <f t="shared" si="17"/>
        <v>1.6532824317448958E-3</v>
      </c>
      <c r="S36" s="116">
        <f t="shared" si="13"/>
        <v>-4.1586305801334378E-3</v>
      </c>
      <c r="T36" s="114">
        <f t="shared" si="14"/>
        <v>21</v>
      </c>
      <c r="U36" s="116">
        <f>((N36/$N$52)-1)/T36*30</f>
        <v>-5.9409008287620545E-3</v>
      </c>
      <c r="V36" s="116"/>
      <c r="W36" s="116"/>
      <c r="X36" s="116"/>
      <c r="Y36" s="116"/>
      <c r="Z36" s="116"/>
      <c r="AA36" s="116"/>
      <c r="AB36" s="133"/>
      <c r="AC36" s="134"/>
    </row>
    <row r="37" spans="1:39">
      <c r="A37" s="117">
        <v>45381</v>
      </c>
      <c r="B37">
        <f>B59</f>
        <v>1110</v>
      </c>
      <c r="C37">
        <v>31.879300000000001</v>
      </c>
      <c r="D37">
        <f>D59</f>
        <v>321.99</v>
      </c>
      <c r="E37">
        <v>34.391399999999997</v>
      </c>
      <c r="F37" s="112">
        <v>161</v>
      </c>
      <c r="G37">
        <v>2308.4299999999998</v>
      </c>
      <c r="L37">
        <f>L59</f>
        <v>125000</v>
      </c>
      <c r="M37">
        <v>0.88097599999999998</v>
      </c>
      <c r="N37" s="113">
        <f t="shared" si="15"/>
        <v>528238.93988600001</v>
      </c>
      <c r="O37">
        <v>161.66</v>
      </c>
      <c r="P37">
        <v>255424.81</v>
      </c>
      <c r="Q37" s="115">
        <v>9142.4</v>
      </c>
      <c r="R37" s="127">
        <f t="shared" si="17"/>
        <v>0</v>
      </c>
      <c r="S37" s="116">
        <f t="shared" si="13"/>
        <v>-4.1586305801334378E-3</v>
      </c>
      <c r="T37" s="114">
        <f t="shared" si="14"/>
        <v>19</v>
      </c>
      <c r="U37" s="116">
        <f>((N37/$N$52)-1)/T37*30</f>
        <v>-6.5662588107370072E-3</v>
      </c>
      <c r="V37" s="116"/>
      <c r="W37" s="116"/>
      <c r="X37" s="116"/>
      <c r="Y37" s="116"/>
      <c r="Z37" s="116"/>
      <c r="AA37" s="116"/>
      <c r="AB37" s="133"/>
      <c r="AC37" s="134"/>
    </row>
    <row r="38" spans="1:39">
      <c r="A38" s="117">
        <v>45380</v>
      </c>
      <c r="B38">
        <f>B59</f>
        <v>1110</v>
      </c>
      <c r="C38">
        <v>31.8308</v>
      </c>
      <c r="D38">
        <f>D59</f>
        <v>321.99</v>
      </c>
      <c r="E38">
        <v>34.369900000000001</v>
      </c>
      <c r="F38" s="112">
        <v>161</v>
      </c>
      <c r="G38">
        <v>2273.3200000000002</v>
      </c>
      <c r="L38">
        <f>L59</f>
        <v>125000</v>
      </c>
      <c r="M38">
        <v>0.85243100000000005</v>
      </c>
      <c r="N38" s="113">
        <f t="shared" si="15"/>
        <v>518957.34710100002</v>
      </c>
      <c r="O38">
        <v>156.08000000000001</v>
      </c>
      <c r="P38">
        <v>246143.72</v>
      </c>
      <c r="Q38" s="115">
        <v>9142.4</v>
      </c>
      <c r="R38" s="127">
        <f t="shared" si="17"/>
        <v>6.8286226811340445E-3</v>
      </c>
      <c r="S38" s="116">
        <f t="shared" si="13"/>
        <v>-2.165638277425741E-2</v>
      </c>
      <c r="T38" s="114">
        <f t="shared" si="14"/>
        <v>18</v>
      </c>
      <c r="U38" s="116">
        <f>((N38/$N$52)-1)/T38*30</f>
        <v>-3.6093971290429017E-2</v>
      </c>
      <c r="V38" s="116"/>
      <c r="W38" s="116"/>
      <c r="X38" s="116"/>
      <c r="Y38" s="116"/>
      <c r="Z38" s="116"/>
      <c r="AA38" s="116"/>
      <c r="AB38" s="133"/>
      <c r="AC38" s="134"/>
    </row>
    <row r="39" spans="1:39">
      <c r="A39" s="117">
        <v>45379</v>
      </c>
      <c r="B39">
        <f>B59</f>
        <v>1110</v>
      </c>
      <c r="C39">
        <v>31.870699999999999</v>
      </c>
      <c r="D39">
        <f>D59</f>
        <v>321.99</v>
      </c>
      <c r="E39">
        <v>34.480800000000002</v>
      </c>
      <c r="F39" s="112">
        <v>161</v>
      </c>
      <c r="G39">
        <v>2240.09</v>
      </c>
      <c r="L39">
        <f>L59</f>
        <v>125000</v>
      </c>
      <c r="M39">
        <v>0.86473199999999995</v>
      </c>
      <c r="N39" s="113">
        <f t="shared" si="15"/>
        <v>515224.93979200005</v>
      </c>
      <c r="O39">
        <v>153.81</v>
      </c>
      <c r="P39">
        <v>242408.74</v>
      </c>
      <c r="Q39" s="115">
        <v>9079.9699999999993</v>
      </c>
      <c r="R39" s="127">
        <f t="shared" si="17"/>
        <v>3.0093711763364839E-2</v>
      </c>
      <c r="S39" s="116">
        <f t="shared" si="13"/>
        <v>-2.8692754622628547E-2</v>
      </c>
      <c r="T39" s="114">
        <f t="shared" si="14"/>
        <v>17</v>
      </c>
      <c r="U39" s="116">
        <f>((N39/$N$52)-1)/T39*30</f>
        <v>-5.0634272863462143E-2</v>
      </c>
      <c r="V39" s="116"/>
      <c r="W39" s="116"/>
      <c r="X39" s="116"/>
      <c r="Y39" s="116"/>
      <c r="Z39" s="116"/>
      <c r="AA39" s="116"/>
      <c r="AB39" s="133"/>
      <c r="AC39" s="134"/>
    </row>
    <row r="40" spans="1:39">
      <c r="A40" s="117">
        <v>45378</v>
      </c>
      <c r="B40">
        <f>B59</f>
        <v>1110</v>
      </c>
      <c r="C40">
        <v>31.821999999999999</v>
      </c>
      <c r="D40">
        <f>D59</f>
        <v>321.99</v>
      </c>
      <c r="E40">
        <v>34.5045</v>
      </c>
      <c r="F40" s="112">
        <v>161</v>
      </c>
      <c r="G40">
        <v>2227.25</v>
      </c>
      <c r="L40">
        <f>L59</f>
        <v>125000</v>
      </c>
      <c r="M40">
        <v>0.85899999999999999</v>
      </c>
      <c r="N40" s="113">
        <f t="shared" si="15"/>
        <v>512394.77395499998</v>
      </c>
      <c r="O40">
        <v>154.24</v>
      </c>
      <c r="P40">
        <v>242616.68</v>
      </c>
      <c r="Q40" s="115">
        <v>8806.7199999999993</v>
      </c>
      <c r="R40" s="127">
        <f t="shared" si="17"/>
        <v>-7.4942770974972817E-5</v>
      </c>
      <c r="S40" s="116">
        <f t="shared" si="13"/>
        <v>-3.4028211761422011E-2</v>
      </c>
      <c r="T40" s="114">
        <f t="shared" si="14"/>
        <v>16</v>
      </c>
      <c r="U40" s="116">
        <f>((N40/$N$52)-1)/T40*30</f>
        <v>-6.3802897052666271E-2</v>
      </c>
      <c r="V40" s="116"/>
      <c r="W40" s="116"/>
      <c r="X40" s="116"/>
      <c r="Y40" s="116"/>
      <c r="Z40" s="116"/>
      <c r="AA40" s="116"/>
      <c r="AB40" s="133"/>
      <c r="AC40" s="134"/>
    </row>
    <row r="41" spans="1:39">
      <c r="A41" s="117">
        <v>45377</v>
      </c>
      <c r="B41">
        <f>B60</f>
        <v>1110</v>
      </c>
      <c r="C41">
        <v>31.530999999999999</v>
      </c>
      <c r="D41">
        <f>D60</f>
        <v>321.99</v>
      </c>
      <c r="E41">
        <v>34.125900000000001</v>
      </c>
      <c r="F41" s="112">
        <v>161</v>
      </c>
      <c r="G41">
        <v>2227.25</v>
      </c>
      <c r="L41">
        <f>L60</f>
        <v>125000</v>
      </c>
      <c r="M41">
        <v>0.890316</v>
      </c>
      <c r="N41" s="113">
        <f t="shared" si="15"/>
        <v>515864.35854099999</v>
      </c>
      <c r="O41">
        <v>154.24</v>
      </c>
      <c r="P41">
        <v>242616.68</v>
      </c>
      <c r="Q41" s="115">
        <v>8807.3799999999992</v>
      </c>
      <c r="R41" s="127">
        <f t="shared" si="17"/>
        <v>-2.5206133946758191E-2</v>
      </c>
      <c r="S41" s="116">
        <f t="shared" si="13"/>
        <v>-2.7487315957364089E-2</v>
      </c>
      <c r="T41" s="114">
        <f t="shared" si="14"/>
        <v>15</v>
      </c>
      <c r="U41" s="116">
        <f>((N41/$N$52)-1)/T41*30</f>
        <v>-5.4974631914728178E-2</v>
      </c>
      <c r="V41" s="116"/>
      <c r="W41" s="116"/>
      <c r="X41" s="116"/>
      <c r="Y41" s="116"/>
      <c r="Z41" s="116"/>
      <c r="AA41" s="116"/>
      <c r="AB41" s="133"/>
      <c r="AC41" s="134"/>
    </row>
    <row r="42" spans="1:39">
      <c r="A42" s="117">
        <v>45376</v>
      </c>
      <c r="B42">
        <f>B59</f>
        <v>1110</v>
      </c>
      <c r="C42">
        <v>31.786200000000001</v>
      </c>
      <c r="D42">
        <f>D59</f>
        <v>321.99</v>
      </c>
      <c r="E42">
        <v>34.386299999999999</v>
      </c>
      <c r="F42" s="112">
        <v>161</v>
      </c>
      <c r="G42">
        <v>2214.31</v>
      </c>
      <c r="L42">
        <f>L59</f>
        <v>125000</v>
      </c>
      <c r="M42">
        <v>0.91889100000000001</v>
      </c>
      <c r="N42" s="113">
        <f t="shared" si="15"/>
        <v>517720.01173699996</v>
      </c>
      <c r="O42">
        <v>155.99</v>
      </c>
      <c r="P42">
        <v>244906</v>
      </c>
      <c r="Q42" s="115">
        <v>9029.3799999999992</v>
      </c>
      <c r="R42" s="127">
        <f t="shared" si="17"/>
        <v>-9.0947551216142841E-3</v>
      </c>
      <c r="S42" s="116">
        <f t="shared" si="13"/>
        <v>-2.3989019863797534E-2</v>
      </c>
      <c r="T42" s="114">
        <f t="shared" si="14"/>
        <v>14</v>
      </c>
      <c r="U42" s="116">
        <f>((N42/$N$52)-1)/T42*30</f>
        <v>-5.1405042565280425E-2</v>
      </c>
      <c r="V42" s="116"/>
      <c r="W42" s="116"/>
      <c r="X42" s="116"/>
      <c r="Y42" s="116"/>
      <c r="Z42" s="116"/>
      <c r="AA42" s="116"/>
      <c r="AB42" s="133"/>
      <c r="AC42" s="134"/>
    </row>
    <row r="43" spans="1:39">
      <c r="A43" s="117">
        <v>45373</v>
      </c>
      <c r="B43">
        <f>B59</f>
        <v>1110</v>
      </c>
      <c r="C43">
        <v>31.710699999999999</v>
      </c>
      <c r="D43">
        <f>D59</f>
        <v>321.99</v>
      </c>
      <c r="E43">
        <v>34.336300000000001</v>
      </c>
      <c r="F43" s="112">
        <v>161</v>
      </c>
      <c r="G43">
        <v>2212.11</v>
      </c>
      <c r="L43">
        <f>L59</f>
        <v>125000</v>
      </c>
      <c r="M43">
        <v>0.93062100000000003</v>
      </c>
      <c r="N43" s="113">
        <f t="shared" si="15"/>
        <v>518732.15723700001</v>
      </c>
      <c r="O43">
        <v>156.63999999999999</v>
      </c>
      <c r="P43">
        <v>245919.31</v>
      </c>
      <c r="Q43">
        <v>9111.5</v>
      </c>
      <c r="R43" s="127">
        <f t="shared" si="17"/>
        <v>-3.2047412610438641E-3</v>
      </c>
      <c r="S43" s="116">
        <f t="shared" si="13"/>
        <v>-2.2080912973779676E-2</v>
      </c>
      <c r="T43" s="114">
        <f t="shared" si="14"/>
        <v>11</v>
      </c>
      <c r="U43" s="116">
        <f>((N43/$N$52)-1)/T43*30</f>
        <v>-6.0220671746671839E-2</v>
      </c>
      <c r="V43" s="116"/>
      <c r="W43" s="116"/>
      <c r="X43" s="116"/>
      <c r="Y43" s="116"/>
      <c r="Z43" s="116"/>
      <c r="AA43" s="116"/>
      <c r="AB43" s="133"/>
      <c r="AC43" s="134"/>
    </row>
    <row r="44" spans="1:39">
      <c r="A44" s="117">
        <v>45372</v>
      </c>
      <c r="B44">
        <f>B59</f>
        <v>1110</v>
      </c>
      <c r="C44">
        <v>32.063899999999997</v>
      </c>
      <c r="D44">
        <f>D59</f>
        <v>321.99</v>
      </c>
      <c r="E44">
        <v>35.065100000000001</v>
      </c>
      <c r="F44" s="112">
        <v>161</v>
      </c>
      <c r="G44">
        <v>2267.61</v>
      </c>
      <c r="L44">
        <f>L59</f>
        <v>125000</v>
      </c>
      <c r="M44">
        <v>0.94166499999999997</v>
      </c>
      <c r="N44" s="113">
        <f t="shared" si="15"/>
        <v>529674.87554899999</v>
      </c>
      <c r="O44">
        <v>163.91</v>
      </c>
      <c r="P44">
        <v>256845.12</v>
      </c>
      <c r="Q44" s="115">
        <v>9140.7000000000007</v>
      </c>
      <c r="R44" s="127">
        <f t="shared" si="17"/>
        <v>2.0302602645311585E-2</v>
      </c>
      <c r="S44" s="116">
        <f t="shared" si="13"/>
        <v>-1.4515902067954167E-3</v>
      </c>
      <c r="T44" s="114">
        <f t="shared" si="14"/>
        <v>10</v>
      </c>
      <c r="U44" s="116">
        <f>((N44/$N$52)-1)/T44*30</f>
        <v>-4.3547706203862502E-3</v>
      </c>
      <c r="V44" s="116"/>
      <c r="W44" s="116"/>
      <c r="X44" s="116"/>
      <c r="Y44" s="116"/>
      <c r="Z44" s="116"/>
      <c r="AA44" s="116"/>
      <c r="AB44" s="133"/>
      <c r="AC44" s="134"/>
    </row>
    <row r="45" spans="1:39">
      <c r="A45" s="117">
        <v>45371</v>
      </c>
      <c r="B45">
        <f>B59</f>
        <v>1110</v>
      </c>
      <c r="C45">
        <v>32.028799999999997</v>
      </c>
      <c r="D45">
        <f>D59</f>
        <v>321.99</v>
      </c>
      <c r="E45">
        <v>34.808799999999998</v>
      </c>
      <c r="F45" s="112">
        <v>161</v>
      </c>
      <c r="G45">
        <v>2220.92</v>
      </c>
      <c r="L45">
        <f>L59</f>
        <v>125000</v>
      </c>
      <c r="M45">
        <v>0.93470600000000004</v>
      </c>
      <c r="N45" s="113">
        <f t="shared" si="15"/>
        <v>521166.42351200001</v>
      </c>
      <c r="O45">
        <v>158.47999999999999</v>
      </c>
      <c r="P45">
        <v>248342.62</v>
      </c>
      <c r="Q45" s="115">
        <v>8955.1200000000008</v>
      </c>
      <c r="R45" s="127">
        <f t="shared" si="17"/>
        <v>2.8184993612594411E-3</v>
      </c>
      <c r="S45" s="116">
        <f t="shared" si="13"/>
        <v>-1.7491809676412506E-2</v>
      </c>
      <c r="T45" s="114">
        <f t="shared" si="14"/>
        <v>9</v>
      </c>
      <c r="U45" s="116">
        <f>((N45/$N$52)-1)/T45*30</f>
        <v>-5.8306032254708352E-2</v>
      </c>
      <c r="V45" s="116"/>
      <c r="W45" s="116"/>
      <c r="X45" s="116"/>
      <c r="Y45" s="116"/>
      <c r="Z45" s="116"/>
      <c r="AA45" s="116"/>
      <c r="AB45" s="133"/>
      <c r="AC45" s="134"/>
    </row>
    <row r="46" spans="1:39">
      <c r="A46" s="117">
        <v>45370</v>
      </c>
      <c r="B46">
        <f>B59</f>
        <v>1110</v>
      </c>
      <c r="C46">
        <v>32.087800000000001</v>
      </c>
      <c r="D46">
        <f>D59</f>
        <v>321.99</v>
      </c>
      <c r="E46">
        <v>34.799100000000003</v>
      </c>
      <c r="F46" s="112">
        <v>161</v>
      </c>
      <c r="G46">
        <v>2219.02</v>
      </c>
      <c r="L46">
        <f>L59</f>
        <v>125000</v>
      </c>
      <c r="M46">
        <v>0.90033600000000003</v>
      </c>
      <c r="N46" s="113">
        <f t="shared" si="15"/>
        <v>516626.64020899998</v>
      </c>
      <c r="O46">
        <v>155.59</v>
      </c>
      <c r="P46">
        <v>243803.06</v>
      </c>
      <c r="Q46" s="115">
        <v>8929.8799999999992</v>
      </c>
      <c r="R46" s="127">
        <f t="shared" si="17"/>
        <v>2.3714764364134666E-2</v>
      </c>
      <c r="S46" s="116">
        <f t="shared" si="13"/>
        <v>-2.6050254879836254E-2</v>
      </c>
      <c r="T46" s="114">
        <f t="shared" si="14"/>
        <v>8</v>
      </c>
      <c r="U46" s="116">
        <f>((N46/$N$52)-1)/T46*30</f>
        <v>-9.7688455799385954E-2</v>
      </c>
      <c r="V46" s="116"/>
      <c r="W46" s="116"/>
      <c r="X46" s="116"/>
      <c r="Y46" s="116"/>
      <c r="Z46" s="116"/>
      <c r="AA46" s="116"/>
      <c r="AB46" s="133"/>
      <c r="AC46" s="134"/>
      <c r="AL46">
        <v>68</v>
      </c>
      <c r="AM46">
        <v>19.690000000000001</v>
      </c>
    </row>
    <row r="47" spans="1:39">
      <c r="A47" s="117">
        <v>45369</v>
      </c>
      <c r="B47">
        <f>B59</f>
        <v>1110</v>
      </c>
      <c r="C47">
        <v>31.9499</v>
      </c>
      <c r="D47">
        <f>D59</f>
        <v>321.99</v>
      </c>
      <c r="E47">
        <v>34.8125</v>
      </c>
      <c r="F47" s="112">
        <v>161</v>
      </c>
      <c r="G47">
        <v>2212.35</v>
      </c>
      <c r="L47">
        <f>L59</f>
        <v>125000</v>
      </c>
      <c r="M47">
        <v>0.93887900000000002</v>
      </c>
      <c r="N47" s="113">
        <f t="shared" si="15"/>
        <v>520221.89087499998</v>
      </c>
      <c r="O47">
        <v>155.44</v>
      </c>
      <c r="P47">
        <v>247623.17</v>
      </c>
      <c r="Q47" s="115">
        <v>8718.11</v>
      </c>
      <c r="R47" s="127">
        <f t="shared" si="17"/>
        <v>-1.2685088855267868E-2</v>
      </c>
      <c r="S47" s="116">
        <f t="shared" si="13"/>
        <v>-1.9272452116166794E-2</v>
      </c>
      <c r="T47" s="114">
        <f t="shared" si="14"/>
        <v>7</v>
      </c>
      <c r="U47" s="116">
        <f>((N47/$N$52)-1)/T47*30</f>
        <v>-8.2596223355000553E-2</v>
      </c>
      <c r="V47" s="116"/>
      <c r="W47" s="116"/>
      <c r="X47" s="116"/>
      <c r="Y47" s="116"/>
      <c r="Z47" s="116"/>
      <c r="AA47" s="116"/>
      <c r="AB47" s="133"/>
      <c r="AC47" s="134"/>
      <c r="AL47">
        <v>68</v>
      </c>
      <c r="AM47">
        <v>22.96</v>
      </c>
    </row>
    <row r="48" spans="1:39">
      <c r="A48" s="117">
        <v>45366</v>
      </c>
      <c r="B48">
        <f>B59</f>
        <v>1110</v>
      </c>
      <c r="C48">
        <v>31.796299999999999</v>
      </c>
      <c r="D48">
        <f>D59</f>
        <v>321.99</v>
      </c>
      <c r="E48">
        <v>34.619700000000002</v>
      </c>
      <c r="F48" s="112">
        <v>161</v>
      </c>
      <c r="G48">
        <v>2213.54</v>
      </c>
      <c r="L48">
        <f>L59</f>
        <v>125000</v>
      </c>
      <c r="M48">
        <v>0.94838599999999995</v>
      </c>
      <c r="N48" s="113">
        <f t="shared" si="15"/>
        <v>521369.280203</v>
      </c>
      <c r="O48">
        <v>156.13</v>
      </c>
      <c r="P48">
        <v>248712.47</v>
      </c>
      <c r="Q48" s="115">
        <v>8828.7000000000007</v>
      </c>
      <c r="R48" s="127">
        <f t="shared" si="17"/>
        <v>-6.2092946866469934E-3</v>
      </c>
      <c r="S48" s="116">
        <f t="shared" si="13"/>
        <v>-1.7109382199549383E-2</v>
      </c>
      <c r="T48" s="114">
        <f t="shared" si="14"/>
        <v>4</v>
      </c>
      <c r="U48" s="116">
        <f>((N48/$N$52)-1)/T48*30</f>
        <v>-0.12832036649662037</v>
      </c>
      <c r="V48" s="116"/>
      <c r="W48" s="116"/>
      <c r="X48" s="116"/>
      <c r="Y48" s="116"/>
      <c r="Z48" s="116"/>
      <c r="AA48" s="116"/>
      <c r="AB48" s="133"/>
      <c r="AC48" s="134"/>
      <c r="AL48">
        <v>68</v>
      </c>
      <c r="AM48">
        <v>22.04</v>
      </c>
    </row>
    <row r="49" spans="1:39">
      <c r="A49" s="117">
        <v>45365</v>
      </c>
      <c r="B49">
        <f>B59</f>
        <v>1110</v>
      </c>
      <c r="C49">
        <v>31.775700000000001</v>
      </c>
      <c r="D49">
        <f>D59</f>
        <v>321.99</v>
      </c>
      <c r="E49">
        <v>34.762500000000003</v>
      </c>
      <c r="F49" s="112">
        <v>161</v>
      </c>
      <c r="G49">
        <v>2222.88</v>
      </c>
      <c r="L49">
        <f>L59</f>
        <v>125000</v>
      </c>
      <c r="M49">
        <v>0.95100700000000005</v>
      </c>
      <c r="N49" s="113">
        <f t="shared" si="15"/>
        <v>523223.75937500002</v>
      </c>
      <c r="O49">
        <v>157.21</v>
      </c>
      <c r="P49">
        <v>250427.64</v>
      </c>
      <c r="Q49" s="115">
        <v>8883.52</v>
      </c>
      <c r="R49" s="127">
        <f t="shared" si="17"/>
        <v>-3.0066910413888426E-3</v>
      </c>
      <c r="S49" s="116">
        <f t="shared" si="13"/>
        <v>-1.3613299387851274E-2</v>
      </c>
      <c r="T49" s="114">
        <f t="shared" si="14"/>
        <v>3</v>
      </c>
      <c r="U49" s="116">
        <f>((N49/$N$52)-1)/T49*30</f>
        <v>-0.13613299387851274</v>
      </c>
      <c r="V49" s="116"/>
      <c r="W49" s="116"/>
      <c r="X49" s="116"/>
      <c r="Y49" s="116"/>
      <c r="Z49" s="116"/>
      <c r="AA49" s="116"/>
      <c r="AB49" s="133"/>
      <c r="AC49" s="134"/>
      <c r="AL49">
        <v>68</v>
      </c>
      <c r="AM49">
        <v>20.399999999999999</v>
      </c>
    </row>
    <row r="50" spans="1:39">
      <c r="A50" s="117">
        <v>45364</v>
      </c>
      <c r="B50">
        <f>B59</f>
        <v>1110</v>
      </c>
      <c r="C50">
        <v>32</v>
      </c>
      <c r="D50">
        <f>D59</f>
        <v>321.99</v>
      </c>
      <c r="E50">
        <v>35</v>
      </c>
      <c r="F50" s="112">
        <v>161</v>
      </c>
      <c r="G50">
        <v>2220.3200000000002</v>
      </c>
      <c r="L50">
        <f>L59</f>
        <v>125000</v>
      </c>
      <c r="M50">
        <v>0.957233</v>
      </c>
      <c r="N50" s="113">
        <f t="shared" si="15"/>
        <v>523915.29500000004</v>
      </c>
      <c r="O50">
        <v>160.79</v>
      </c>
      <c r="P50">
        <v>250989.9</v>
      </c>
      <c r="Q50" s="115">
        <v>8910.23</v>
      </c>
      <c r="R50" s="127">
        <f t="shared" si="17"/>
        <v>-1.7822211098927898E-2</v>
      </c>
      <c r="S50" s="116">
        <f t="shared" si="13"/>
        <v>-1.2309609463077242E-2</v>
      </c>
      <c r="T50" s="114">
        <f t="shared" si="14"/>
        <v>2</v>
      </c>
      <c r="U50" s="116">
        <f>((N50/$N$52)-1)/T50*30</f>
        <v>-0.18464414194615864</v>
      </c>
      <c r="V50" s="116"/>
      <c r="W50" s="116"/>
      <c r="X50" s="116"/>
      <c r="Y50" s="116"/>
      <c r="Z50" s="116"/>
      <c r="AA50" s="116"/>
      <c r="AB50" s="133"/>
      <c r="AC50" s="134"/>
      <c r="AL50">
        <v>68</v>
      </c>
      <c r="AM50">
        <v>18.22</v>
      </c>
    </row>
    <row r="51" spans="1:39">
      <c r="A51" s="117">
        <v>45363</v>
      </c>
      <c r="B51">
        <f>B59</f>
        <v>1110</v>
      </c>
      <c r="C51">
        <v>31.516400000000001</v>
      </c>
      <c r="D51">
        <f>D59</f>
        <v>321.99</v>
      </c>
      <c r="E51">
        <v>34.463200000000001</v>
      </c>
      <c r="F51" s="112">
        <v>161</v>
      </c>
      <c r="G51">
        <v>2220.3200000000002</v>
      </c>
      <c r="L51">
        <f>L59</f>
        <v>125000</v>
      </c>
      <c r="M51">
        <v>0.979213</v>
      </c>
      <c r="N51" s="113">
        <f t="shared" si="15"/>
        <v>525953.15476800012</v>
      </c>
      <c r="O51">
        <v>161.94999999999999</v>
      </c>
      <c r="P51">
        <v>252645.61</v>
      </c>
      <c r="Q51" s="115">
        <v>9069.0300000000007</v>
      </c>
      <c r="R51" s="127">
        <f t="shared" si="17"/>
        <v>-6.8684302510850781E-3</v>
      </c>
      <c r="S51" s="116">
        <f t="shared" si="13"/>
        <v>-8.4678157049555836E-3</v>
      </c>
      <c r="T51" s="114">
        <f t="shared" si="14"/>
        <v>1</v>
      </c>
      <c r="U51" s="116">
        <f>((N51/$N$52)-1)/T51*30</f>
        <v>-0.25403447114866751</v>
      </c>
      <c r="V51" s="116"/>
      <c r="W51" s="116"/>
      <c r="X51" s="116"/>
      <c r="Y51" s="116"/>
      <c r="Z51" s="116"/>
      <c r="AA51" s="116"/>
      <c r="AB51" s="133"/>
      <c r="AC51" s="134"/>
      <c r="AL51">
        <v>68</v>
      </c>
      <c r="AM51">
        <v>16.57</v>
      </c>
    </row>
    <row r="52" spans="1:39">
      <c r="A52" s="117">
        <v>45362</v>
      </c>
      <c r="B52">
        <f>B59</f>
        <v>1110</v>
      </c>
      <c r="C52">
        <v>31.571400000000001</v>
      </c>
      <c r="D52">
        <f>D59</f>
        <v>321.99</v>
      </c>
      <c r="E52">
        <v>34.558100000000003</v>
      </c>
      <c r="F52" s="112">
        <v>161</v>
      </c>
      <c r="G52">
        <v>2232.66</v>
      </c>
      <c r="L52">
        <f>L59</f>
        <v>125000</v>
      </c>
      <c r="M52">
        <v>0.99851990000000002</v>
      </c>
      <c r="N52" s="200">
        <f t="shared" si="15"/>
        <v>530444.86411900003</v>
      </c>
      <c r="O52">
        <v>164.91</v>
      </c>
      <c r="P52">
        <v>257088.48</v>
      </c>
      <c r="Q52" s="115">
        <v>9131.32</v>
      </c>
      <c r="R52" s="127">
        <f t="shared" si="17"/>
        <v>-2.6283166070184549E-3</v>
      </c>
      <c r="S52" s="116">
        <f t="shared" si="13"/>
        <v>0</v>
      </c>
      <c r="T52" s="114">
        <f t="shared" si="14"/>
        <v>0</v>
      </c>
      <c r="U52" s="116"/>
      <c r="V52" s="116"/>
      <c r="W52" s="116"/>
      <c r="X52" s="116"/>
      <c r="Y52" s="116"/>
      <c r="Z52" s="116"/>
      <c r="AA52" s="116"/>
      <c r="AB52" s="133"/>
      <c r="AC52" s="134"/>
      <c r="AH52">
        <v>12</v>
      </c>
      <c r="AI52">
        <v>41.58</v>
      </c>
      <c r="AJ52">
        <f>AJ59</f>
        <v>15</v>
      </c>
      <c r="AK52">
        <v>55.55</v>
      </c>
      <c r="AL52">
        <v>68</v>
      </c>
      <c r="AM52">
        <v>15.07</v>
      </c>
    </row>
    <row r="53" spans="1:39">
      <c r="A53" s="117">
        <v>45359</v>
      </c>
      <c r="B53">
        <f>B59</f>
        <v>1110</v>
      </c>
      <c r="C53">
        <v>31.402999999999999</v>
      </c>
      <c r="D53">
        <f>D59</f>
        <v>321.99</v>
      </c>
      <c r="E53">
        <v>34.3643</v>
      </c>
      <c r="F53" s="112">
        <v>161</v>
      </c>
      <c r="G53">
        <v>2198.16</v>
      </c>
      <c r="L53">
        <f>L59</f>
        <v>125000</v>
      </c>
      <c r="M53">
        <v>0.99115900000000001</v>
      </c>
      <c r="N53" s="113">
        <f t="shared" si="15"/>
        <v>523720.92595699994</v>
      </c>
      <c r="O53">
        <v>160.9</v>
      </c>
      <c r="Q53" s="115">
        <v>9155.32</v>
      </c>
      <c r="R53" s="127">
        <f t="shared" si="17"/>
        <v>1.1047128882442081E-2</v>
      </c>
      <c r="S53" s="116"/>
      <c r="U53" s="116"/>
      <c r="V53" s="116"/>
      <c r="W53" s="116"/>
      <c r="X53" s="116"/>
      <c r="Y53" s="116"/>
      <c r="Z53" s="116"/>
      <c r="AA53" s="116"/>
      <c r="AB53" s="133"/>
      <c r="AC53" s="134"/>
      <c r="AH53">
        <v>12</v>
      </c>
      <c r="AI53">
        <v>37.799999999999997</v>
      </c>
      <c r="AJ53">
        <f>AJ59</f>
        <v>15</v>
      </c>
      <c r="AK53">
        <v>57.75</v>
      </c>
      <c r="AL53">
        <v>68</v>
      </c>
      <c r="AM53">
        <v>13.7</v>
      </c>
    </row>
    <row r="54" spans="1:39">
      <c r="A54" s="117">
        <v>45358</v>
      </c>
      <c r="B54">
        <f>B59</f>
        <v>1110</v>
      </c>
      <c r="C54">
        <v>31.297000000000001</v>
      </c>
      <c r="D54">
        <f>D59</f>
        <v>321.99</v>
      </c>
      <c r="E54">
        <v>34.110599999999998</v>
      </c>
      <c r="F54" s="112">
        <v>161</v>
      </c>
      <c r="G54">
        <v>2184.79</v>
      </c>
      <c r="L54">
        <f>L59</f>
        <v>125000</v>
      </c>
      <c r="M54">
        <v>0.945214</v>
      </c>
      <c r="N54" s="113">
        <f t="shared" si="15"/>
        <v>515625.882094</v>
      </c>
      <c r="O54">
        <v>155.75</v>
      </c>
      <c r="Q54" s="115">
        <v>9054.18</v>
      </c>
      <c r="R54" s="127">
        <f t="shared" si="17"/>
        <v>3.4194151209717583E-2</v>
      </c>
      <c r="S54" s="116"/>
      <c r="U54" s="116"/>
      <c r="V54" s="116"/>
      <c r="W54" s="116"/>
      <c r="X54" s="116"/>
      <c r="Y54" s="116"/>
      <c r="Z54" s="116"/>
      <c r="AA54" s="116"/>
      <c r="AB54" s="133"/>
      <c r="AC54" s="134"/>
      <c r="AH54">
        <v>12</v>
      </c>
      <c r="AI54">
        <v>34.380000000000003</v>
      </c>
      <c r="AJ54">
        <f>AJ59</f>
        <v>15</v>
      </c>
      <c r="AK54">
        <v>63.1</v>
      </c>
      <c r="AL54">
        <v>68</v>
      </c>
      <c r="AM54">
        <v>12.46</v>
      </c>
    </row>
    <row r="55" spans="1:39">
      <c r="A55" s="117">
        <v>45357</v>
      </c>
      <c r="B55">
        <f>B59</f>
        <v>1110</v>
      </c>
      <c r="C55">
        <v>31.293399999999998</v>
      </c>
      <c r="D55">
        <f>D59</f>
        <v>321.99</v>
      </c>
      <c r="E55">
        <v>34.006500000000003</v>
      </c>
      <c r="F55" s="112">
        <v>161</v>
      </c>
      <c r="G55">
        <v>2150.9</v>
      </c>
      <c r="L55">
        <f>L59</f>
        <v>125000</v>
      </c>
      <c r="M55">
        <v>0.99397100000000005</v>
      </c>
      <c r="N55" s="113">
        <f t="shared" si="15"/>
        <v>516226.70193500002</v>
      </c>
      <c r="O55">
        <v>156.16</v>
      </c>
      <c r="Q55" s="115">
        <v>8744.58</v>
      </c>
      <c r="R55" s="127">
        <f t="shared" si="17"/>
        <v>-1.3258498407013208E-2</v>
      </c>
      <c r="S55" s="116"/>
      <c r="U55" s="116"/>
      <c r="V55" s="116"/>
      <c r="W55" s="116"/>
      <c r="X55" s="116"/>
      <c r="Y55" s="116"/>
      <c r="Z55" s="116"/>
      <c r="AA55" s="116"/>
      <c r="AB55" s="133"/>
      <c r="AC55" s="134"/>
      <c r="AF55">
        <f>AF59</f>
        <v>57</v>
      </c>
      <c r="AG55">
        <v>580.05924800000003</v>
      </c>
      <c r="AH55">
        <v>12</v>
      </c>
      <c r="AI55">
        <v>31.26</v>
      </c>
      <c r="AJ55">
        <f>AJ59</f>
        <v>15</v>
      </c>
      <c r="AK55">
        <v>57.4</v>
      </c>
      <c r="AL55">
        <v>68</v>
      </c>
      <c r="AM55">
        <v>11.33</v>
      </c>
    </row>
    <row r="56" spans="1:39">
      <c r="A56" s="117">
        <v>45356</v>
      </c>
      <c r="B56">
        <f>B59</f>
        <v>1110</v>
      </c>
      <c r="C56">
        <v>31.079899999999999</v>
      </c>
      <c r="D56">
        <f>D59</f>
        <v>321.99</v>
      </c>
      <c r="E56">
        <v>33.721699999999998</v>
      </c>
      <c r="F56" s="112">
        <v>161</v>
      </c>
      <c r="G56">
        <v>2116.34</v>
      </c>
      <c r="L56">
        <f>L59</f>
        <v>125000</v>
      </c>
      <c r="M56">
        <v>1.0160309999999999</v>
      </c>
      <c r="N56" s="113">
        <f t="shared" si="15"/>
        <v>513091.35418300005</v>
      </c>
      <c r="O56">
        <v>154.22999999999999</v>
      </c>
      <c r="Q56" s="115">
        <v>8860.52</v>
      </c>
      <c r="R56" s="127">
        <f t="shared" si="17"/>
        <v>-5.319100910555985E-3</v>
      </c>
      <c r="S56" s="116"/>
      <c r="U56" s="116"/>
      <c r="V56" s="116"/>
      <c r="W56" s="116"/>
      <c r="X56" s="116"/>
      <c r="Y56" s="116"/>
      <c r="Z56" s="116"/>
      <c r="AA56" s="116"/>
      <c r="AB56" s="133"/>
      <c r="AC56" s="134"/>
      <c r="AD56">
        <f>AD59</f>
        <v>36</v>
      </c>
      <c r="AE56" s="135">
        <v>38.15</v>
      </c>
      <c r="AF56">
        <f>AF59</f>
        <v>57</v>
      </c>
      <c r="AG56">
        <v>579.361718</v>
      </c>
      <c r="AH56">
        <f>AH59</f>
        <v>12</v>
      </c>
      <c r="AI56">
        <v>28.42</v>
      </c>
      <c r="AJ56">
        <f>AJ59</f>
        <v>15</v>
      </c>
      <c r="AK56">
        <v>52.2</v>
      </c>
      <c r="AL56">
        <v>68</v>
      </c>
      <c r="AM56">
        <v>11.33</v>
      </c>
    </row>
    <row r="57" spans="1:39">
      <c r="A57" s="117">
        <v>45355</v>
      </c>
      <c r="B57">
        <f>B59</f>
        <v>1110</v>
      </c>
      <c r="C57">
        <v>30.905999999999999</v>
      </c>
      <c r="D57">
        <f>D59</f>
        <v>321.99</v>
      </c>
      <c r="E57">
        <v>33.542299999999997</v>
      </c>
      <c r="F57" s="112">
        <v>161</v>
      </c>
      <c r="G57">
        <v>2072.52</v>
      </c>
      <c r="L57">
        <f>L59</f>
        <v>125000</v>
      </c>
      <c r="M57">
        <v>1.041954</v>
      </c>
      <c r="N57" s="113">
        <f t="shared" si="15"/>
        <v>509025.91517699993</v>
      </c>
      <c r="Q57" s="115">
        <v>8907.65</v>
      </c>
      <c r="R57" s="127">
        <f t="shared" si="17"/>
        <v>-2.1273848882702007E-2</v>
      </c>
      <c r="S57" s="116"/>
      <c r="U57" s="116"/>
      <c r="V57" s="116"/>
      <c r="W57" s="116"/>
      <c r="X57" s="116"/>
      <c r="Y57" s="116"/>
      <c r="Z57" s="116"/>
      <c r="AA57" s="116"/>
      <c r="AB57" s="133"/>
      <c r="AC57" s="134"/>
      <c r="AD57">
        <f>AD59</f>
        <v>36</v>
      </c>
      <c r="AE57">
        <v>34.659999999999997</v>
      </c>
      <c r="AF57">
        <f>AF59</f>
        <v>57</v>
      </c>
      <c r="AG57">
        <v>578.66060300000004</v>
      </c>
      <c r="AH57">
        <f>AH59</f>
        <v>12</v>
      </c>
      <c r="AI57">
        <v>25.84</v>
      </c>
      <c r="AJ57">
        <f>AJ59</f>
        <v>15</v>
      </c>
      <c r="AK57">
        <v>47.46</v>
      </c>
      <c r="AL57">
        <v>68</v>
      </c>
      <c r="AM57">
        <v>11.33</v>
      </c>
    </row>
    <row r="58" spans="1:39">
      <c r="A58" s="117">
        <v>45352</v>
      </c>
      <c r="B58">
        <f>B59</f>
        <v>1110</v>
      </c>
      <c r="C58">
        <v>30.7361</v>
      </c>
      <c r="D58">
        <f>D59</f>
        <v>321.99</v>
      </c>
      <c r="E58">
        <v>33.225700000000003</v>
      </c>
      <c r="F58" s="112">
        <v>161</v>
      </c>
      <c r="G58">
        <v>2018.91</v>
      </c>
      <c r="L58">
        <f>L59</f>
        <v>125000</v>
      </c>
      <c r="M58">
        <v>1.034036</v>
      </c>
      <c r="N58" s="113">
        <f t="shared" si="15"/>
        <v>499114.42414299998</v>
      </c>
      <c r="Q58" s="115">
        <v>9097.15</v>
      </c>
      <c r="R58" s="127">
        <f t="shared" si="17"/>
        <v>-1.0612114783201454E-2</v>
      </c>
      <c r="S58" s="116"/>
      <c r="U58" s="116"/>
      <c r="V58" s="116"/>
      <c r="W58" s="116"/>
      <c r="X58" s="116"/>
      <c r="Y58" s="116"/>
      <c r="Z58" s="116"/>
      <c r="AA58" s="116"/>
      <c r="AB58" s="133"/>
      <c r="AC58" s="134"/>
      <c r="AD58">
        <f>AD59</f>
        <v>36</v>
      </c>
      <c r="AE58">
        <v>31.52</v>
      </c>
      <c r="AF58">
        <f>AF59</f>
        <v>57</v>
      </c>
      <c r="AG58">
        <v>576.58807100000001</v>
      </c>
      <c r="AH58">
        <f>AH59</f>
        <v>12</v>
      </c>
      <c r="AI58">
        <v>23.5</v>
      </c>
      <c r="AJ58">
        <f>AJ59</f>
        <v>15</v>
      </c>
      <c r="AK58">
        <v>43.16</v>
      </c>
      <c r="AL58">
        <v>68</v>
      </c>
      <c r="AM58">
        <v>11.33</v>
      </c>
    </row>
    <row r="59" spans="1:39">
      <c r="A59" s="117">
        <v>45351</v>
      </c>
      <c r="B59">
        <f>B60</f>
        <v>1110</v>
      </c>
      <c r="C59">
        <v>30.7361</v>
      </c>
      <c r="D59">
        <f>D60</f>
        <v>321.99</v>
      </c>
      <c r="E59">
        <v>33.225700000000003</v>
      </c>
      <c r="F59" s="112">
        <v>161</v>
      </c>
      <c r="G59">
        <v>2018.91</v>
      </c>
      <c r="L59">
        <f>L60</f>
        <v>125000</v>
      </c>
      <c r="M59">
        <v>1.010337</v>
      </c>
      <c r="N59" s="113">
        <f t="shared" si="15"/>
        <v>496152.04914299998</v>
      </c>
      <c r="Q59" s="115">
        <v>9193.69</v>
      </c>
      <c r="R59" s="127">
        <f t="shared" si="17"/>
        <v>1.428479750785594E-2</v>
      </c>
      <c r="S59" s="127"/>
      <c r="AD59">
        <f>AD60</f>
        <v>36</v>
      </c>
      <c r="AE59">
        <v>28.66</v>
      </c>
      <c r="AF59">
        <f>AF60</f>
        <v>57</v>
      </c>
      <c r="AG59">
        <v>576.58807100000001</v>
      </c>
      <c r="AH59">
        <f>AH60</f>
        <v>12</v>
      </c>
      <c r="AI59">
        <v>21.38</v>
      </c>
      <c r="AJ59">
        <v>15</v>
      </c>
      <c r="AK59">
        <v>39.24</v>
      </c>
      <c r="AM59" s="129">
        <f>AM58</f>
        <v>11.33</v>
      </c>
    </row>
    <row r="60" spans="1:39">
      <c r="A60" s="117">
        <v>45350</v>
      </c>
      <c r="B60">
        <v>1110</v>
      </c>
      <c r="C60">
        <v>30.7361</v>
      </c>
      <c r="D60">
        <v>321.99</v>
      </c>
      <c r="E60">
        <v>33.225700000000003</v>
      </c>
      <c r="F60" s="112">
        <v>161</v>
      </c>
      <c r="G60">
        <v>2018.91</v>
      </c>
      <c r="L60">
        <v>125000</v>
      </c>
      <c r="M60">
        <v>1.067704</v>
      </c>
      <c r="N60" s="113">
        <f t="shared" si="15"/>
        <v>503322.92414299998</v>
      </c>
      <c r="Q60" s="115">
        <v>9062.36</v>
      </c>
      <c r="R60" s="127">
        <f t="shared" si="17"/>
        <v>-1.292378585710563E-2</v>
      </c>
      <c r="S60" s="127"/>
      <c r="AD60">
        <f>AD61</f>
        <v>36</v>
      </c>
      <c r="AE60">
        <v>26.06</v>
      </c>
      <c r="AF60">
        <v>57</v>
      </c>
      <c r="AG60">
        <v>576.58807100000001</v>
      </c>
      <c r="AH60">
        <v>12</v>
      </c>
      <c r="AI60">
        <v>19.45</v>
      </c>
      <c r="AK60" s="129">
        <f>AK59</f>
        <v>39.24</v>
      </c>
      <c r="AM60" s="129" t="s">
        <v>69</v>
      </c>
    </row>
    <row r="61" spans="1:39">
      <c r="A61" s="117">
        <v>45349</v>
      </c>
      <c r="B61">
        <v>1110</v>
      </c>
      <c r="C61">
        <v>30.7361</v>
      </c>
      <c r="D61">
        <v>321.99</v>
      </c>
      <c r="E61">
        <v>33.225700000000003</v>
      </c>
      <c r="F61" s="112">
        <v>161</v>
      </c>
      <c r="G61">
        <v>2018.91</v>
      </c>
      <c r="L61" s="199">
        <v>75000</v>
      </c>
      <c r="M61">
        <v>1.064435</v>
      </c>
      <c r="N61" s="113">
        <f t="shared" si="15"/>
        <v>449692.54914299998</v>
      </c>
      <c r="Q61" s="115">
        <v>9179.48</v>
      </c>
      <c r="R61" s="127">
        <f t="shared" si="17"/>
        <v>-1.6847359545420826E-2</v>
      </c>
      <c r="S61" s="127"/>
      <c r="AD61">
        <v>36</v>
      </c>
      <c r="AE61">
        <v>23.7</v>
      </c>
      <c r="AF61">
        <v>57</v>
      </c>
      <c r="AG61">
        <v>576.58807100000001</v>
      </c>
      <c r="AI61" s="129">
        <f>AI60</f>
        <v>19.45</v>
      </c>
      <c r="AK61" s="129" t="s">
        <v>69</v>
      </c>
      <c r="AM61" s="130" t="s">
        <v>68</v>
      </c>
    </row>
    <row r="62" spans="1:39">
      <c r="A62" s="117">
        <v>45348</v>
      </c>
      <c r="B62">
        <v>1110</v>
      </c>
      <c r="C62">
        <v>30.7361</v>
      </c>
      <c r="D62">
        <v>321.99</v>
      </c>
      <c r="E62">
        <v>33.225700000000003</v>
      </c>
      <c r="F62" s="112">
        <v>161</v>
      </c>
      <c r="G62">
        <v>2018.91</v>
      </c>
      <c r="L62">
        <f>L63</f>
        <v>50000</v>
      </c>
      <c r="M62">
        <v>1.0192399999999999</v>
      </c>
      <c r="N62" s="113">
        <f t="shared" si="15"/>
        <v>420821.92414299998</v>
      </c>
      <c r="Q62" s="115">
        <v>9334.1299999999992</v>
      </c>
      <c r="R62" s="127">
        <f t="shared" si="17"/>
        <v>-4.2928478604864484E-3</v>
      </c>
      <c r="S62" s="127"/>
      <c r="AD62">
        <v>36</v>
      </c>
      <c r="AE62">
        <v>21.56</v>
      </c>
      <c r="AF62">
        <v>57</v>
      </c>
      <c r="AG62">
        <v>576.58807100000001</v>
      </c>
      <c r="AI62" s="129" t="s">
        <v>69</v>
      </c>
      <c r="AK62" s="130" t="s">
        <v>68</v>
      </c>
      <c r="AM62" s="130">
        <f>AM5</f>
        <v>19.690000000000001</v>
      </c>
    </row>
    <row r="63" spans="1:39">
      <c r="A63" s="117">
        <v>45345</v>
      </c>
      <c r="B63">
        <v>1110</v>
      </c>
      <c r="C63">
        <v>30.7361</v>
      </c>
      <c r="D63">
        <v>321.99</v>
      </c>
      <c r="E63">
        <v>33.225700000000003</v>
      </c>
      <c r="F63" s="112">
        <v>161</v>
      </c>
      <c r="G63">
        <v>2018.91</v>
      </c>
      <c r="L63">
        <v>50000</v>
      </c>
      <c r="M63">
        <v>1.0032049999999999</v>
      </c>
      <c r="N63" s="113">
        <f t="shared" si="15"/>
        <v>420020.17414299998</v>
      </c>
      <c r="Q63" s="115">
        <v>9374.2000000000007</v>
      </c>
      <c r="R63" s="127">
        <f t="shared" si="17"/>
        <v>2.8834460540633211E-3</v>
      </c>
      <c r="S63" s="127"/>
      <c r="AD63">
        <v>36</v>
      </c>
      <c r="AE63">
        <v>19.600000000000001</v>
      </c>
      <c r="AF63">
        <v>57</v>
      </c>
      <c r="AG63">
        <v>576.58807100000001</v>
      </c>
      <c r="AI63" s="130" t="s">
        <v>68</v>
      </c>
      <c r="AK63" s="130">
        <v>55.5</v>
      </c>
      <c r="AM63" s="116">
        <f>(AM62-AM58)/AM58</f>
        <v>0.73786407766990303</v>
      </c>
    </row>
    <row r="64" spans="1:39">
      <c r="A64" s="198">
        <v>45344</v>
      </c>
      <c r="L64" s="199">
        <v>50000</v>
      </c>
      <c r="M64">
        <v>1.0032049999999999</v>
      </c>
      <c r="N64" s="113">
        <f t="shared" si="15"/>
        <v>50160.249999999993</v>
      </c>
      <c r="Q64" s="115">
        <v>9347.17</v>
      </c>
      <c r="AD64">
        <v>36</v>
      </c>
      <c r="AE64">
        <v>17.82</v>
      </c>
      <c r="AI64" s="130">
        <v>45.72</v>
      </c>
      <c r="AK64" s="116">
        <f>(AK63-AK59)/AK59</f>
        <v>0.41437308868501521</v>
      </c>
    </row>
    <row r="65" spans="13:39">
      <c r="M65">
        <v>0.93849000000000005</v>
      </c>
      <c r="AD65">
        <v>36</v>
      </c>
      <c r="AE65" s="129">
        <v>15.3</v>
      </c>
      <c r="AI65" s="116">
        <f>(AI64-AI60)/AI60</f>
        <v>1.3506426735218509</v>
      </c>
      <c r="AM65" s="132">
        <f>(AL58*AM62)-(AL46*AM58)</f>
        <v>568.48</v>
      </c>
    </row>
    <row r="66" spans="13:39">
      <c r="M66">
        <v>0.91198999999999997</v>
      </c>
      <c r="R66" s="136" t="e">
        <f>SUM(R10:R65)</f>
        <v>#DIV/0!</v>
      </c>
      <c r="S66" s="136"/>
      <c r="AE66" s="129" t="s">
        <v>69</v>
      </c>
      <c r="AJ66" s="132" t="s">
        <v>72</v>
      </c>
      <c r="AK66" s="132">
        <f>(AJ59*AK63)-(AJ10*AK59)</f>
        <v>832.5</v>
      </c>
    </row>
    <row r="67" spans="13:39">
      <c r="M67">
        <v>0.90268000000000004</v>
      </c>
      <c r="AE67" s="130" t="s">
        <v>68</v>
      </c>
      <c r="AH67" s="132" t="s">
        <v>72</v>
      </c>
      <c r="AI67" s="132">
        <f>(AH60*AI64)-(AH10*AI60)</f>
        <v>548.64</v>
      </c>
    </row>
    <row r="68" spans="13:39">
      <c r="M68">
        <v>0.89847999999999995</v>
      </c>
      <c r="AD68" t="s">
        <v>70</v>
      </c>
      <c r="AE68" s="130">
        <v>38</v>
      </c>
    </row>
    <row r="69" spans="13:39">
      <c r="M69">
        <v>0.88783999999999996</v>
      </c>
      <c r="AE69" s="116">
        <f>Sayfa2!M60</f>
        <v>1.3456790123456792</v>
      </c>
    </row>
    <row r="70" spans="13:39">
      <c r="M70">
        <v>0.86724999999999997</v>
      </c>
    </row>
    <row r="71" spans="13:39">
      <c r="AD71" s="132" t="s">
        <v>72</v>
      </c>
      <c r="AE71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2024-06-05T10:38:38Z</dcterms:modified>
  <dc:language>tr-TR</dc:language>
</cp:coreProperties>
</file>