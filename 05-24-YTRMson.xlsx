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737BD9B-7921-46FB-A70A-A374A6D1BD80}" xr6:coauthVersionLast="47" xr6:coauthVersionMax="47" xr10:uidLastSave="{00000000-0000-0000-0000-000000000000}"/>
  <bookViews>
    <workbookView xWindow="1560" yWindow="3210" windowWidth="27240" windowHeight="1227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T12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10" i="2"/>
  <c r="T13" i="2"/>
  <c r="G73" i="1"/>
  <c r="F73" i="1"/>
  <c r="L73" i="1" s="1"/>
  <c r="E73" i="1"/>
  <c r="G19" i="1"/>
  <c r="E74" i="1"/>
  <c r="F74" i="1"/>
  <c r="I74" i="1"/>
  <c r="L74" i="1"/>
  <c r="T14" i="2"/>
  <c r="T15" i="2"/>
  <c r="T16" i="2"/>
  <c r="U11" i="2" l="1"/>
  <c r="S11" i="2"/>
  <c r="J74" i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17" i="2"/>
  <c r="J76" i="1"/>
  <c r="K76" i="1" s="1"/>
  <c r="F76" i="1"/>
  <c r="L76" i="1" s="1"/>
  <c r="E76" i="1"/>
  <c r="T18" i="2"/>
  <c r="T19" i="2"/>
  <c r="F19" i="1"/>
  <c r="L19" i="1" s="1"/>
  <c r="E19" i="1"/>
  <c r="R28" i="2"/>
  <c r="R29" i="2"/>
  <c r="R30" i="2"/>
  <c r="R31" i="2"/>
  <c r="R32" i="2"/>
  <c r="R33" i="2"/>
  <c r="R34" i="2"/>
  <c r="T20" i="2"/>
  <c r="T21" i="2"/>
  <c r="T22" i="2"/>
  <c r="T23" i="2"/>
  <c r="T24" i="2"/>
  <c r="T25" i="2"/>
  <c r="R35" i="2"/>
  <c r="R36" i="2"/>
  <c r="T26" i="2"/>
  <c r="T27" i="2"/>
  <c r="N65" i="2"/>
  <c r="N66" i="2"/>
  <c r="N68" i="2"/>
  <c r="N69" i="2"/>
  <c r="G21" i="1"/>
  <c r="F21" i="1"/>
  <c r="L21" i="1" s="1"/>
  <c r="E21" i="1"/>
  <c r="AA28" i="2"/>
  <c r="Y28" i="2"/>
  <c r="Y5" i="2"/>
  <c r="H16" i="1" s="1"/>
  <c r="J16" i="1" s="1"/>
  <c r="K16" i="1" s="1"/>
  <c r="AA5" i="2"/>
  <c r="H15" i="1" s="1"/>
  <c r="J15" i="1" s="1"/>
  <c r="K15" i="1" s="1"/>
  <c r="AA33" i="2"/>
  <c r="AA32" i="2"/>
  <c r="Y33" i="2"/>
  <c r="Y32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6" i="2"/>
  <c r="AI72" i="2"/>
  <c r="AK71" i="2"/>
  <c r="AI70" i="2"/>
  <c r="AK69" i="2"/>
  <c r="R68" i="2"/>
  <c r="R67" i="2"/>
  <c r="L67" i="2"/>
  <c r="N67" i="2" s="1"/>
  <c r="AI66" i="2"/>
  <c r="R66" i="2"/>
  <c r="AK65" i="2"/>
  <c r="AD65" i="2"/>
  <c r="AD64" i="2" s="1"/>
  <c r="R65" i="2"/>
  <c r="AM64" i="2"/>
  <c r="AH64" i="2"/>
  <c r="AH61" i="2" s="1"/>
  <c r="AF64" i="2"/>
  <c r="AF61" i="2" s="1"/>
  <c r="R64" i="2"/>
  <c r="D64" i="2"/>
  <c r="B64" i="2"/>
  <c r="AJ63" i="2"/>
  <c r="R63" i="2"/>
  <c r="AJ62" i="2"/>
  <c r="R62" i="2"/>
  <c r="AJ61" i="2"/>
  <c r="R61" i="2"/>
  <c r="AJ60" i="2"/>
  <c r="R60" i="2"/>
  <c r="AJ59" i="2"/>
  <c r="R59" i="2"/>
  <c r="AJ58" i="2"/>
  <c r="R58" i="2"/>
  <c r="AJ57" i="2"/>
  <c r="T57" i="2"/>
  <c r="R57" i="2"/>
  <c r="T56" i="2"/>
  <c r="R56" i="2"/>
  <c r="T55" i="2"/>
  <c r="R55" i="2"/>
  <c r="T54" i="2"/>
  <c r="R54" i="2"/>
  <c r="T53" i="2"/>
  <c r="R53" i="2"/>
  <c r="T52" i="2"/>
  <c r="R52" i="2"/>
  <c r="T51" i="2"/>
  <c r="R51" i="2"/>
  <c r="T50" i="2"/>
  <c r="R50" i="2"/>
  <c r="T49" i="2"/>
  <c r="R49" i="2"/>
  <c r="T48" i="2"/>
  <c r="R48" i="2"/>
  <c r="T47" i="2"/>
  <c r="R47" i="2"/>
  <c r="T46" i="2"/>
  <c r="R46" i="2"/>
  <c r="D46" i="2"/>
  <c r="B46" i="2"/>
  <c r="T45" i="2"/>
  <c r="R45" i="2"/>
  <c r="T44" i="2"/>
  <c r="R44" i="2"/>
  <c r="T43" i="2"/>
  <c r="R43" i="2"/>
  <c r="T42" i="2"/>
  <c r="R42" i="2"/>
  <c r="T41" i="2"/>
  <c r="R41" i="2"/>
  <c r="T40" i="2"/>
  <c r="R40" i="2"/>
  <c r="T39" i="2"/>
  <c r="R39" i="2"/>
  <c r="T38" i="2"/>
  <c r="R38" i="2"/>
  <c r="AC37" i="2"/>
  <c r="T37" i="2"/>
  <c r="R37" i="2"/>
  <c r="AC36" i="2"/>
  <c r="T36" i="2"/>
  <c r="T35" i="2"/>
  <c r="T34" i="2"/>
  <c r="T33" i="2"/>
  <c r="T32" i="2"/>
  <c r="T31" i="2"/>
  <c r="T30" i="2"/>
  <c r="T29" i="2"/>
  <c r="T28" i="2"/>
  <c r="T10" i="2"/>
  <c r="H18" i="3"/>
  <c r="AM5" i="2"/>
  <c r="AM67" i="2" s="1"/>
  <c r="AM70" i="2" s="1"/>
  <c r="AK5" i="2"/>
  <c r="AI5" i="2"/>
  <c r="AG5" i="2"/>
  <c r="AE5" i="2"/>
  <c r="AC5" i="2"/>
  <c r="AC38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B13" i="2" l="1"/>
  <c r="B12" i="2"/>
  <c r="D13" i="2"/>
  <c r="D12" i="2"/>
  <c r="D15" i="2"/>
  <c r="D14" i="2"/>
  <c r="B15" i="2"/>
  <c r="B14" i="2"/>
  <c r="N53" i="1"/>
  <c r="D44" i="2"/>
  <c r="D16" i="2"/>
  <c r="B54" i="2"/>
  <c r="B16" i="2"/>
  <c r="B19" i="2"/>
  <c r="D19" i="2"/>
  <c r="D17" i="2"/>
  <c r="D20" i="2"/>
  <c r="B18" i="2"/>
  <c r="D18" i="2"/>
  <c r="B17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20" i="2"/>
  <c r="H19" i="1"/>
  <c r="B22" i="2"/>
  <c r="B21" i="2"/>
  <c r="D21" i="2"/>
  <c r="D26" i="2"/>
  <c r="B23" i="2"/>
  <c r="D23" i="2"/>
  <c r="B26" i="2"/>
  <c r="D22" i="2"/>
  <c r="B24" i="2"/>
  <c r="D24" i="2"/>
  <c r="B25" i="2"/>
  <c r="D25" i="2"/>
  <c r="M59" i="1"/>
  <c r="AE74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27" i="2"/>
  <c r="D27" i="2"/>
  <c r="Y34" i="2"/>
  <c r="AA34" i="2"/>
  <c r="H21" i="1"/>
  <c r="J21" i="1" s="1"/>
  <c r="K21" i="1" s="1"/>
  <c r="M21" i="1" s="1"/>
  <c r="N21" i="1" s="1"/>
  <c r="J77" i="1"/>
  <c r="K77" i="1" s="1"/>
  <c r="M77" i="1" s="1"/>
  <c r="N77" i="1" s="1"/>
  <c r="I77" i="1"/>
  <c r="D58" i="2"/>
  <c r="B33" i="2"/>
  <c r="R71" i="2"/>
  <c r="B52" i="2"/>
  <c r="B29" i="2"/>
  <c r="D41" i="2"/>
  <c r="D40" i="2"/>
  <c r="B35" i="2"/>
  <c r="B47" i="2"/>
  <c r="AF62" i="2"/>
  <c r="D34" i="2"/>
  <c r="AH62" i="2"/>
  <c r="B58" i="2"/>
  <c r="B45" i="2"/>
  <c r="D30" i="2"/>
  <c r="B36" i="2"/>
  <c r="B40" i="2"/>
  <c r="AF60" i="2"/>
  <c r="B42" i="2"/>
  <c r="B63" i="2"/>
  <c r="B50" i="2"/>
  <c r="D45" i="2"/>
  <c r="D29" i="2"/>
  <c r="B48" i="2"/>
  <c r="D63" i="2"/>
  <c r="D10" i="2" s="1"/>
  <c r="D50" i="2"/>
  <c r="D35" i="2"/>
  <c r="B31" i="2"/>
  <c r="B57" i="2"/>
  <c r="AF63" i="2"/>
  <c r="B41" i="2"/>
  <c r="D31" i="2"/>
  <c r="B43" i="2"/>
  <c r="D57" i="2"/>
  <c r="AH63" i="2"/>
  <c r="M15" i="1"/>
  <c r="N15" i="1" s="1"/>
  <c r="I15" i="1"/>
  <c r="M16" i="1"/>
  <c r="N16" i="1" s="1"/>
  <c r="I16" i="1"/>
  <c r="D36" i="2"/>
  <c r="D52" i="2"/>
  <c r="D47" i="2"/>
  <c r="D42" i="2"/>
  <c r="B53" i="2"/>
  <c r="B60" i="2"/>
  <c r="D53" i="2"/>
  <c r="D60" i="2"/>
  <c r="D54" i="2"/>
  <c r="D33" i="2"/>
  <c r="B38" i="2"/>
  <c r="D43" i="2"/>
  <c r="B61" i="2"/>
  <c r="D38" i="2"/>
  <c r="D61" i="2"/>
  <c r="D48" i="2"/>
  <c r="B28" i="2"/>
  <c r="B55" i="2"/>
  <c r="H25" i="1"/>
  <c r="J25" i="1" s="1"/>
  <c r="K25" i="1" s="1"/>
  <c r="M25" i="1" s="1"/>
  <c r="N25" i="1" s="1"/>
  <c r="D28" i="2"/>
  <c r="D49" i="2"/>
  <c r="D55" i="2"/>
  <c r="B34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2" i="2"/>
  <c r="AD63" i="2"/>
  <c r="AD61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56" i="2"/>
  <c r="AM68" i="2"/>
  <c r="B32" i="2"/>
  <c r="D56" i="2"/>
  <c r="B59" i="2"/>
  <c r="D32" i="2"/>
  <c r="B39" i="2"/>
  <c r="B51" i="2"/>
  <c r="D59" i="2"/>
  <c r="B62" i="2"/>
  <c r="I30" i="1"/>
  <c r="P30" i="1" s="1"/>
  <c r="D39" i="2"/>
  <c r="D51" i="2"/>
  <c r="D62" i="2"/>
  <c r="D37" i="2"/>
  <c r="B37" i="2"/>
  <c r="B44" i="2"/>
  <c r="B30" i="2"/>
  <c r="B49" i="2"/>
  <c r="J19" i="1" l="1"/>
  <c r="K19" i="1" s="1"/>
  <c r="M19" i="1" s="1"/>
  <c r="N19" i="1" s="1"/>
  <c r="N59" i="1"/>
  <c r="I19" i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46" i="2"/>
  <c r="N46" i="2" s="1"/>
  <c r="L64" i="2"/>
  <c r="L12" i="2" s="1"/>
  <c r="N12" i="2" s="1"/>
  <c r="L14" i="2" l="1"/>
  <c r="N14" i="2" s="1"/>
  <c r="L13" i="2"/>
  <c r="N13" i="2" s="1"/>
  <c r="M73" i="1"/>
  <c r="N73" i="1" s="1"/>
  <c r="K6" i="1"/>
  <c r="L6" i="1" s="1"/>
  <c r="L16" i="2"/>
  <c r="N16" i="2" s="1"/>
  <c r="L15" i="2"/>
  <c r="N15" i="2" s="1"/>
  <c r="L18" i="2"/>
  <c r="N18" i="2" s="1"/>
  <c r="L17" i="2"/>
  <c r="N17" i="2" s="1"/>
  <c r="L20" i="2"/>
  <c r="N20" i="2" s="1"/>
  <c r="L19" i="2"/>
  <c r="N19" i="2" s="1"/>
  <c r="L22" i="2"/>
  <c r="N22" i="2" s="1"/>
  <c r="L21" i="2"/>
  <c r="N21" i="2" s="1"/>
  <c r="L24" i="2"/>
  <c r="N24" i="2" s="1"/>
  <c r="L23" i="2"/>
  <c r="N23" i="2" s="1"/>
  <c r="L26" i="2"/>
  <c r="N26" i="2" s="1"/>
  <c r="L25" i="2"/>
  <c r="N25" i="2" s="1"/>
  <c r="N64" i="2"/>
  <c r="L27" i="2"/>
  <c r="N27" i="2" s="1"/>
  <c r="R32" i="1"/>
  <c r="R33" i="1" s="1"/>
  <c r="P35" i="1"/>
  <c r="J33" i="1"/>
  <c r="K33" i="1" s="1"/>
  <c r="M33" i="1" s="1"/>
  <c r="N33" i="1" s="1"/>
  <c r="H34" i="1"/>
  <c r="I33" i="1"/>
  <c r="L47" i="2"/>
  <c r="N47" i="2" s="1"/>
  <c r="L28" i="2"/>
  <c r="N28" i="2" s="1"/>
  <c r="L35" i="2"/>
  <c r="N35" i="2" s="1"/>
  <c r="L60" i="2"/>
  <c r="N60" i="2" s="1"/>
  <c r="L42" i="2"/>
  <c r="N42" i="2" s="1"/>
  <c r="L54" i="2"/>
  <c r="N54" i="2" s="1"/>
  <c r="L49" i="2"/>
  <c r="N49" i="2" s="1"/>
  <c r="L30" i="2"/>
  <c r="N30" i="2" s="1"/>
  <c r="L44" i="2"/>
  <c r="N44" i="2" s="1"/>
  <c r="L37" i="2"/>
  <c r="N37" i="2" s="1"/>
  <c r="L62" i="2"/>
  <c r="N62" i="2" s="1"/>
  <c r="L51" i="2"/>
  <c r="N51" i="2" s="1"/>
  <c r="L39" i="2"/>
  <c r="N39" i="2" s="1"/>
  <c r="L48" i="2"/>
  <c r="N48" i="2" s="1"/>
  <c r="L29" i="2"/>
  <c r="N29" i="2" s="1"/>
  <c r="L59" i="2"/>
  <c r="N59" i="2" s="1"/>
  <c r="L32" i="2"/>
  <c r="N32" i="2" s="1"/>
  <c r="L56" i="2"/>
  <c r="N56" i="2" s="1"/>
  <c r="L41" i="2"/>
  <c r="N41" i="2" s="1"/>
  <c r="L53" i="2"/>
  <c r="N53" i="2" s="1"/>
  <c r="L34" i="2"/>
  <c r="N34" i="2" s="1"/>
  <c r="L31" i="2"/>
  <c r="N31" i="2" s="1"/>
  <c r="L55" i="2"/>
  <c r="N55" i="2" s="1"/>
  <c r="L36" i="2"/>
  <c r="N36" i="2" s="1"/>
  <c r="L50" i="2"/>
  <c r="N50" i="2" s="1"/>
  <c r="L58" i="2"/>
  <c r="N58" i="2" s="1"/>
  <c r="L43" i="2"/>
  <c r="N43" i="2" s="1"/>
  <c r="L38" i="2"/>
  <c r="N38" i="2" s="1"/>
  <c r="L45" i="2"/>
  <c r="N45" i="2" s="1"/>
  <c r="L61" i="2"/>
  <c r="N61" i="2" s="1"/>
  <c r="L63" i="2"/>
  <c r="N63" i="2" s="1"/>
  <c r="L52" i="2"/>
  <c r="N52" i="2" s="1"/>
  <c r="L40" i="2"/>
  <c r="N40" i="2" s="1"/>
  <c r="L33" i="2"/>
  <c r="N33" i="2" s="1"/>
  <c r="L57" i="2"/>
  <c r="N57" i="2" l="1"/>
  <c r="H35" i="1"/>
  <c r="J34" i="1"/>
  <c r="K34" i="1" s="1"/>
  <c r="M34" i="1" s="1"/>
  <c r="N34" i="1" s="1"/>
  <c r="I34" i="1"/>
  <c r="R35" i="1"/>
  <c r="P36" i="1"/>
  <c r="R36" i="1" s="1"/>
  <c r="T36" i="1"/>
  <c r="S55" i="2"/>
  <c r="U55" i="2"/>
  <c r="U29" i="2"/>
  <c r="S29" i="2"/>
  <c r="U40" i="2"/>
  <c r="S40" i="2"/>
  <c r="S52" i="2"/>
  <c r="U52" i="2"/>
  <c r="S54" i="2"/>
  <c r="U54" i="2"/>
  <c r="U35" i="2"/>
  <c r="S35" i="2"/>
  <c r="U36" i="2"/>
  <c r="U56" i="2"/>
  <c r="S56" i="2"/>
  <c r="S51" i="2"/>
  <c r="U51" i="2"/>
  <c r="U37" i="2"/>
  <c r="S30" i="2"/>
  <c r="L10" i="2"/>
  <c r="N10" i="2" s="1"/>
  <c r="S45" i="2"/>
  <c r="U45" i="2"/>
  <c r="S43" i="2"/>
  <c r="U50" i="2"/>
  <c r="S50" i="2"/>
  <c r="U13" i="2" l="1"/>
  <c r="U12" i="2"/>
  <c r="S12" i="2"/>
  <c r="U41" i="2"/>
  <c r="S53" i="2"/>
  <c r="S13" i="2"/>
  <c r="U53" i="2"/>
  <c r="U15" i="2"/>
  <c r="U14" i="2"/>
  <c r="S14" i="2"/>
  <c r="S15" i="2"/>
  <c r="U28" i="2"/>
  <c r="S28" i="2"/>
  <c r="S17" i="2"/>
  <c r="U16" i="2"/>
  <c r="S16" i="2"/>
  <c r="U17" i="2"/>
  <c r="S42" i="2"/>
  <c r="U42" i="2"/>
  <c r="U19" i="2"/>
  <c r="U18" i="2"/>
  <c r="S18" i="2"/>
  <c r="S49" i="2"/>
  <c r="U49" i="2"/>
  <c r="S44" i="2"/>
  <c r="S19" i="2"/>
  <c r="U44" i="2"/>
  <c r="U21" i="2"/>
  <c r="U20" i="2"/>
  <c r="S20" i="2"/>
  <c r="S21" i="2"/>
  <c r="U33" i="2"/>
  <c r="U23" i="2"/>
  <c r="S22" i="2"/>
  <c r="U22" i="2"/>
  <c r="U47" i="2"/>
  <c r="S33" i="2"/>
  <c r="S23" i="2"/>
  <c r="S47" i="2"/>
  <c r="S48" i="2"/>
  <c r="U25" i="2"/>
  <c r="U24" i="2"/>
  <c r="S24" i="2"/>
  <c r="S25" i="2"/>
  <c r="U43" i="2"/>
  <c r="U48" i="2"/>
  <c r="U38" i="2"/>
  <c r="S32" i="2"/>
  <c r="S38" i="2"/>
  <c r="U32" i="2"/>
  <c r="S57" i="2"/>
  <c r="U26" i="2"/>
  <c r="S26" i="2"/>
  <c r="U46" i="2"/>
  <c r="U27" i="2"/>
  <c r="U30" i="2"/>
  <c r="S34" i="2"/>
  <c r="S37" i="2"/>
  <c r="U34" i="2"/>
  <c r="S27" i="2"/>
  <c r="U39" i="2"/>
  <c r="U31" i="2"/>
  <c r="S46" i="2"/>
  <c r="S39" i="2"/>
  <c r="S31" i="2"/>
  <c r="S41" i="2"/>
  <c r="S36" i="2"/>
  <c r="R39" i="1"/>
  <c r="R37" i="1"/>
  <c r="J35" i="1"/>
  <c r="K35" i="1" s="1"/>
  <c r="I35" i="1"/>
  <c r="I5" i="1" s="1"/>
  <c r="S10" i="2"/>
  <c r="U10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<sst xmlns="http://schemas.openxmlformats.org/spreadsheetml/2006/main" count="499" uniqueCount="247">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</sst>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45457</v>
      </c>
      <c r="K2" s="14">
        <f>SUM(K5:K6)</f>
        <v>242499.97235600007</v>
      </c>
    </row>
    <row r="3" spans="1:15">
      <c r="B3" s="2">
        <v>43803</v>
      </c>
      <c r="C3" s="3">
        <f>B2-B3</f>
        <v>1654</v>
      </c>
      <c r="D3" s="3">
        <f>K2/C3</f>
        <v>146.61425172672313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781082.53689999995</v>
      </c>
      <c r="J5" s="27"/>
      <c r="K5" s="25">
        <f>SUBTOTAL(109,K10:K37)</f>
        <v>217423.43446500006</v>
      </c>
      <c r="L5" s="30">
        <f>K5/E5</f>
        <v>0.39415664926025129</v>
      </c>
      <c r="M5" s="31">
        <f>SUBTOTAL(101,M10:M28)</f>
        <v>-0.1197905584785998</v>
      </c>
      <c r="N5" s="31">
        <f>SUBTOTAL(101,N10:N28)</f>
        <v>-5.8747579614476714E-2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217423.43446500006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45457</v>
      </c>
      <c r="G15" s="63">
        <f>Tablo2[[#This Row],[adet]]</f>
        <v>40</v>
      </c>
      <c r="H15" s="64">
        <f>Sayfa4!AA5</f>
        <v>23.6</v>
      </c>
      <c r="I15" s="51">
        <f>Sayfa2!$H15*Sayfa2!$G15</f>
        <v>944</v>
      </c>
      <c r="J15" s="46">
        <f>H15-D15</f>
        <v>-6.8999999999999986</v>
      </c>
      <c r="K15" s="65">
        <f>Sayfa2!$J15*Sayfa2!$C15</f>
        <v>-275.99999999999994</v>
      </c>
      <c r="L15" s="66">
        <f>F15-B15</f>
        <v>45</v>
      </c>
      <c r="M15" s="116">
        <f>K15/E15</f>
        <v>-0.22622950819672127</v>
      </c>
      <c r="N15" s="116">
        <f>M15/L15*30</f>
        <v>-0.15081967213114753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45457</v>
      </c>
      <c r="G16" s="63">
        <f>Tablo2[[#This Row],[adet]]</f>
        <v>35</v>
      </c>
      <c r="H16" s="64">
        <f>Sayfa4!Y5</f>
        <v>27.96</v>
      </c>
      <c r="I16" s="51">
        <f>Sayfa2!$H16*Sayfa2!$G16</f>
        <v>978.6</v>
      </c>
      <c r="J16" s="46">
        <f>H16-D16</f>
        <v>-9.43</v>
      </c>
      <c r="K16" s="65">
        <f>Sayfa2!$J16*Sayfa2!$C16</f>
        <v>-330.05</v>
      </c>
      <c r="L16" s="66">
        <f>F16-B16</f>
        <v>45</v>
      </c>
      <c r="M16" s="116">
        <f>K16/E16</f>
        <v>-0.25220647231880183</v>
      </c>
      <c r="N16" s="116">
        <f>M16/L16*30</f>
        <v>-0.16813764821253455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45457</v>
      </c>
      <c r="G17" s="63">
        <f>Tablo2[[#This Row],[adet]]</f>
        <v>10</v>
      </c>
      <c r="H17" s="64">
        <f>Sayfa4!AC5</f>
        <v>130.1</v>
      </c>
      <c r="I17" s="51">
        <f>Sayfa2!$H17*Sayfa2!$G17</f>
        <v>1301</v>
      </c>
      <c r="J17" s="46">
        <f>H17-D17</f>
        <v>-4.9000000000000057</v>
      </c>
      <c r="K17" s="65">
        <f>Sayfa2!$J17*Sayfa2!$C17</f>
        <v>-49.000000000000057</v>
      </c>
      <c r="L17" s="66">
        <f>F17-B17</f>
        <v>53</v>
      </c>
      <c r="M17" s="116">
        <f>K17/E17</f>
        <v>-3.629629629629634E-2</v>
      </c>
      <c r="N17" s="116">
        <f>M17/L17*30</f>
        <v>-2.0545073375262079E-2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45457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17</v>
      </c>
      <c r="M19" s="116">
        <f>K19/E19</f>
        <v>1.4044148322825573E-2</v>
      </c>
      <c r="N19" s="116">
        <f>M19/L19*30</f>
        <v>2.478379115792748E-2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45457</v>
      </c>
      <c r="G21" s="63">
        <f>Tablo2[[#This Row],[adet]]</f>
        <v>2500</v>
      </c>
      <c r="H21" s="64">
        <f>Sayfa4!I5</f>
        <v>23.62</v>
      </c>
      <c r="I21" s="51">
        <f>Sayfa2!$H21*Sayfa2!$G21</f>
        <v>59050</v>
      </c>
      <c r="J21" s="46">
        <f>H21-D21</f>
        <v>-1.0899999999999999</v>
      </c>
      <c r="K21" s="65">
        <f>Sayfa2!$J21*Sayfa2!$C21</f>
        <v>-2724.9999999999995</v>
      </c>
      <c r="L21" s="66">
        <f>F21-B21</f>
        <v>45</v>
      </c>
      <c r="M21" s="116">
        <f>K21/E21</f>
        <v>-4.4111695669769316E-2</v>
      </c>
      <c r="N21" s="116">
        <f>M21/L21*30</f>
        <v>-2.9407797113179542E-2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45457</v>
      </c>
      <c r="G23" s="63">
        <f>Tablo2[[#This Row],[adet]]</f>
        <v>2500</v>
      </c>
      <c r="H23" s="64">
        <f>Sayfa4!I5</f>
        <v>23.62</v>
      </c>
      <c r="I23" s="51">
        <f>Sayfa2!$H23*Sayfa2!$G23</f>
        <v>59050</v>
      </c>
      <c r="J23" s="46">
        <f>H23-D23</f>
        <v>-1.2899999999999991</v>
      </c>
      <c r="K23" s="65">
        <f>Sayfa2!$J23*Sayfa2!$C23</f>
        <v>-3224.9999999999977</v>
      </c>
      <c r="L23" s="66">
        <f>F23-B23</f>
        <v>46</v>
      </c>
      <c r="M23" s="67">
        <f>K23/E23</f>
        <v>-5.1786431152147698E-2</v>
      </c>
      <c r="N23" s="116">
        <f>M23/L23*30</f>
        <v>-3.3773759447052847E-2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45457</v>
      </c>
      <c r="G25" s="63">
        <f>Tablo2[[#This Row],[adet]]</f>
        <v>2500</v>
      </c>
      <c r="H25" s="64">
        <f>Sayfa4!I5</f>
        <v>23.62</v>
      </c>
      <c r="I25" s="51">
        <f>Sayfa2!$H25*Sayfa2!$G25</f>
        <v>59050</v>
      </c>
      <c r="J25" s="46">
        <f>H25-D25</f>
        <v>-1.5</v>
      </c>
      <c r="K25" s="65">
        <f>Sayfa2!$J25*Sayfa2!$C25</f>
        <v>-3750</v>
      </c>
      <c r="L25" s="66">
        <f>F25-B25</f>
        <v>49</v>
      </c>
      <c r="M25" s="67">
        <f>K25/E25</f>
        <v>-5.9713375796178345E-2</v>
      </c>
      <c r="N25" s="116">
        <f>M25/L25*30</f>
        <v>-3.6559209671129599E-2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45457</v>
      </c>
      <c r="G27" s="63">
        <f>Tablo2[[#This Row],[adet]]</f>
        <v>75000</v>
      </c>
      <c r="H27" s="64">
        <f>Sayfa4!M5</f>
        <v>0.81506400000000001</v>
      </c>
      <c r="I27" s="51">
        <f>Sayfa2!$H27*Sayfa2!$G27</f>
        <v>61129.8</v>
      </c>
      <c r="J27" s="46">
        <f>H27-D27</f>
        <v>-0.24937100000000001</v>
      </c>
      <c r="K27" s="65">
        <f>Sayfa2!$J27*Sayfa2!$C27</f>
        <v>-18702.825000000001</v>
      </c>
      <c r="L27" s="66">
        <f>F27-B27</f>
        <v>109</v>
      </c>
      <c r="M27" s="67">
        <f>K27/E27</f>
        <v>-0.23427546069041325</v>
      </c>
      <c r="N27" s="116">
        <f>M27/L27*30</f>
        <v>-6.4479484593691724E-2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45457</v>
      </c>
      <c r="G28" s="63">
        <f>Tablo2[[#This Row],[adet]]</f>
        <v>50000</v>
      </c>
      <c r="H28" s="64">
        <f>H27</f>
        <v>0.81506400000000001</v>
      </c>
      <c r="I28" s="51">
        <f>Sayfa2!$H28*Sayfa2!$G28</f>
        <v>40753.199999999997</v>
      </c>
      <c r="J28" s="46">
        <f>H28-D28</f>
        <v>-0.18814099999999989</v>
      </c>
      <c r="K28" s="65">
        <f>Sayfa2!$J28*Sayfa2!$C28</f>
        <v>-9407.0499999999938</v>
      </c>
      <c r="L28" s="66">
        <f>F28-B28</f>
        <v>113</v>
      </c>
      <c r="M28" s="67">
        <f>K28/E28</f>
        <v>-0.1875399345098957</v>
      </c>
      <c r="N28" s="116">
        <f>M28/L28*30</f>
        <v>-4.9789363144220097E-2</v>
      </c>
      <c r="O28" s="70">
        <f>SUM(K13:K28)</f>
        <v>-37630.143534999996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45457</v>
      </c>
      <c r="G30" s="63">
        <v>50</v>
      </c>
      <c r="H30" s="64">
        <f>Sayfa4!G10</f>
        <v>2329.98</v>
      </c>
      <c r="I30" s="51">
        <f>Sayfa2!$H30*Sayfa2!$G30</f>
        <v>116499</v>
      </c>
      <c r="J30" s="46">
        <f t="shared" ref="J30:J36" si="1">H30-D30</f>
        <v>503.45000000000005</v>
      </c>
      <c r="K30" s="65">
        <f>Sayfa2!$J30*Sayfa2!$C30</f>
        <v>22655.250000000004</v>
      </c>
      <c r="L30" s="66">
        <f t="shared" ref="L30:L36" si="2">F30-B30</f>
        <v>238</v>
      </c>
      <c r="M30" s="67">
        <f t="shared" ref="M30:M36" si="3">K30/E30</f>
        <v>0.2756319359660121</v>
      </c>
      <c r="N30" s="116">
        <f t="shared" ref="N30:N36" si="4">M30/L30*30</f>
        <v>3.4743521340253623E-2</v>
      </c>
      <c r="O30" s="68"/>
      <c r="P30" s="6">
        <f>Tablo2[[#This Row],[Tutar3]]</f>
        <v>116499</v>
      </c>
      <c r="Q30" s="1">
        <v>2000</v>
      </c>
      <c r="R30" s="1">
        <f>P30/Q30</f>
        <v>58.249499999999998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45457</v>
      </c>
      <c r="G31" s="63">
        <v>11</v>
      </c>
      <c r="H31" s="64">
        <f>H30</f>
        <v>2329.98</v>
      </c>
      <c r="I31" s="51">
        <f>Sayfa2!$H31*Sayfa2!$G31</f>
        <v>25629.78</v>
      </c>
      <c r="J31" s="46">
        <f t="shared" si="1"/>
        <v>1927.88</v>
      </c>
      <c r="K31" s="65">
        <f>Sayfa2!$J31*Sayfa2!$C31</f>
        <v>21206.68</v>
      </c>
      <c r="L31" s="66">
        <f t="shared" si="2"/>
        <v>1213</v>
      </c>
      <c r="M31" s="67">
        <f t="shared" si="3"/>
        <v>4.7945287241979599</v>
      </c>
      <c r="N31" s="116">
        <f t="shared" si="4"/>
        <v>0.11857861642698994</v>
      </c>
      <c r="O31" s="68"/>
      <c r="P31" s="6">
        <f>Tablo2[[#This Row],[Tutar3]]</f>
        <v>25629.78</v>
      </c>
      <c r="Q31" s="1">
        <v>2000</v>
      </c>
      <c r="R31" s="1">
        <f>P31/Q31</f>
        <v>12.81489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45457</v>
      </c>
      <c r="G32" s="63">
        <v>50</v>
      </c>
      <c r="H32" s="64">
        <f>H31</f>
        <v>2329.98</v>
      </c>
      <c r="I32" s="51">
        <f>Sayfa2!$H32*Sayfa2!$G32</f>
        <v>116499</v>
      </c>
      <c r="J32" s="46">
        <f t="shared" si="1"/>
        <v>1861.12</v>
      </c>
      <c r="K32" s="65">
        <f>Sayfa2!$J32*Sayfa2!$C32</f>
        <v>93056</v>
      </c>
      <c r="L32" s="66">
        <f t="shared" si="2"/>
        <v>1373</v>
      </c>
      <c r="M32" s="67">
        <f t="shared" si="3"/>
        <v>3.9694578338949795</v>
      </c>
      <c r="N32" s="116">
        <f t="shared" si="4"/>
        <v>8.673250911642344E-2</v>
      </c>
      <c r="O32" s="68"/>
      <c r="P32" s="6">
        <f>Tablo2[[#This Row],[Tutar3]]</f>
        <v>116499</v>
      </c>
      <c r="Q32" s="1">
        <v>2000</v>
      </c>
      <c r="R32" s="1">
        <f>P32/Q32</f>
        <v>58.249499999999998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45457</v>
      </c>
      <c r="G33" s="63">
        <f>Tablo2[[#This Row],[adet]]</f>
        <v>25</v>
      </c>
      <c r="H33" s="64">
        <f>H32</f>
        <v>2329.98</v>
      </c>
      <c r="I33" s="51">
        <f>Sayfa2!$H33*Sayfa2!$G33</f>
        <v>58249.5</v>
      </c>
      <c r="J33" s="46">
        <f t="shared" si="1"/>
        <v>1930.1100000000001</v>
      </c>
      <c r="K33" s="65">
        <f>Sayfa2!$J33*Sayfa2!$C33</f>
        <v>48252.75</v>
      </c>
      <c r="L33" s="66">
        <f t="shared" si="2"/>
        <v>1437</v>
      </c>
      <c r="M33" s="67">
        <f t="shared" si="3"/>
        <v>4.8268437242103683</v>
      </c>
      <c r="N33" s="116">
        <f t="shared" si="4"/>
        <v>0.10076918004614548</v>
      </c>
      <c r="O33" s="68"/>
      <c r="R33" s="1">
        <f>SUM(R30:R32)</f>
        <v>129.31389000000001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45457</v>
      </c>
      <c r="G34" s="63">
        <f>Tablo2[[#This Row],[adet]]</f>
        <v>24</v>
      </c>
      <c r="H34" s="64">
        <f>H33</f>
        <v>2329.98</v>
      </c>
      <c r="I34" s="51">
        <f>Sayfa2!$H34*Sayfa2!$G34</f>
        <v>55919.520000000004</v>
      </c>
      <c r="J34" s="46">
        <f t="shared" si="1"/>
        <v>2056.17</v>
      </c>
      <c r="K34" s="65">
        <f>Sayfa2!$J34*Sayfa2!$C34</f>
        <v>49348.08</v>
      </c>
      <c r="L34" s="66">
        <f t="shared" si="2"/>
        <v>1654</v>
      </c>
      <c r="M34" s="67">
        <f t="shared" si="3"/>
        <v>7.5094773748219561</v>
      </c>
      <c r="N34" s="116">
        <f t="shared" si="4"/>
        <v>0.13620575649616606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45457</v>
      </c>
      <c r="G35" s="63">
        <f>Tablo2[[#This Row],[adet]]</f>
        <v>1</v>
      </c>
      <c r="H35" s="64">
        <f>H34</f>
        <v>2329.98</v>
      </c>
      <c r="I35" s="51">
        <f>Sayfa2!$H35*Sayfa2!$G35</f>
        <v>2329.98</v>
      </c>
      <c r="J35" s="46">
        <f t="shared" si="1"/>
        <v>2092.39</v>
      </c>
      <c r="K35" s="65">
        <f>Sayfa2!$J35*Sayfa2!$C35</f>
        <v>2092.39</v>
      </c>
      <c r="L35" s="66">
        <f t="shared" si="2"/>
        <v>1654</v>
      </c>
      <c r="M35" s="67">
        <f t="shared" si="3"/>
        <v>8.8067258723010227</v>
      </c>
      <c r="N35" s="116">
        <f t="shared" si="4"/>
        <v>0.15973505209735833</v>
      </c>
      <c r="O35" s="68"/>
      <c r="P35" s="6">
        <f>SUM(P30:P34)</f>
        <v>258627.78</v>
      </c>
      <c r="R35" s="1">
        <f>P35/2220.32</f>
        <v>116.48220977156446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45457</v>
      </c>
      <c r="G36" s="63">
        <f>Tablo2[[#This Row],[adet]]</f>
        <v>1110</v>
      </c>
      <c r="H36" s="64">
        <f>Sayfa4!C5</f>
        <v>31.614799999999999</v>
      </c>
      <c r="I36" s="51">
        <f>Sayfa2!$H36*Sayfa2!$G36</f>
        <v>35092.428</v>
      </c>
      <c r="J36" s="46">
        <f t="shared" si="1"/>
        <v>16.614799999999999</v>
      </c>
      <c r="K36" s="65">
        <f>Sayfa2!$J36*Sayfa2!$C36</f>
        <v>18442.428</v>
      </c>
      <c r="L36" s="66">
        <f t="shared" si="2"/>
        <v>683</v>
      </c>
      <c r="M36" s="67">
        <f t="shared" si="3"/>
        <v>1.1076533333333334</v>
      </c>
      <c r="N36" s="116">
        <f t="shared" si="4"/>
        <v>4.8652415812591505E-2</v>
      </c>
      <c r="O36" s="70">
        <f>SUM(K30:K36)</f>
        <v>255053.57800000004</v>
      </c>
      <c r="P36" s="6">
        <f>SUM(P35:P35)</f>
        <v>258627.78</v>
      </c>
      <c r="R36" s="1">
        <f>P36/2000</f>
        <v>129.31388999999999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-0.11015999999999981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287118.21624480002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45457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673</v>
      </c>
      <c r="M44" s="67">
        <f t="shared" ref="M44" si="7">K44/E44</f>
        <v>0.86949833347577155</v>
      </c>
      <c r="N44" s="116">
        <f t="shared" ref="N44" si="8">M44/L44*30</f>
        <v>3.8759212487775849E-2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45457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673</v>
      </c>
      <c r="M45" s="67">
        <f>K45/E45</f>
        <v>0.89641376805401263</v>
      </c>
      <c r="N45" s="116">
        <f>M45/L45*30</f>
        <v>3.9959008977147666E-2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45457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673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45457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17</v>
      </c>
      <c r="M73" s="116">
        <f>K73/E73</f>
        <v>1.4044148322825573E-2</v>
      </c>
      <c r="N73" s="116">
        <f>M73/L73*30</f>
        <v>2.478379115792748E-2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45457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45</v>
      </c>
      <c r="M74" s="116">
        <f>K74/E74</f>
        <v>5.3790754326723172E-2</v>
      </c>
      <c r="N74" s="116">
        <f>M74/L74*30</f>
        <v>3.5860502884482115E-2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45457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45</v>
      </c>
      <c r="M75" s="116">
        <f>K75/E75</f>
        <v>4.9394032795567588E-2</v>
      </c>
      <c r="N75" s="116">
        <f>M75/L75*30</f>
        <v>3.2929355197045061E-2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45457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45</v>
      </c>
      <c r="M76" s="116">
        <f>K76/E76</f>
        <v>4.9394032795567588E-2</v>
      </c>
      <c r="N76" s="116">
        <f>M76/L76*30</f>
        <v>3.2929355197045061E-2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6"/>
  <sheetViews>
    <sheetView tabSelected="1" zoomScale="160" zoomScaleNormal="160" workbookViewId="0">
      <pane xSplit="1" topLeftCell="B1" activePane="topRight" state="frozen"/>
      <selection activeCell="A7" sqref="A7"/>
      <selection pane="topRight" activeCell="A12" sqref="A12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45457</v>
      </c>
      <c r="C5">
        <f>C10</f>
        <v>31.614799999999999</v>
      </c>
      <c r="E5">
        <f>E10</f>
        <v>33.916400000000003</v>
      </c>
      <c r="G5">
        <f>G10</f>
        <v>2329.98</v>
      </c>
      <c r="I5">
        <f>I10</f>
        <v>23.62</v>
      </c>
      <c r="K5">
        <f>K10</f>
        <v>662.49433199999999</v>
      </c>
      <c r="M5">
        <f>M10</f>
        <v>0.81506400000000001</v>
      </c>
      <c r="O5" s="115">
        <f>Sayfa2!D3</f>
        <v>146.61425172672313</v>
      </c>
      <c r="P5" s="118">
        <f>Sayfa2!K2</f>
        <v>242499.97235600007</v>
      </c>
      <c r="Y5" s="115">
        <f>Y10</f>
        <v>27.96</v>
      </c>
      <c r="AA5" s="115">
        <f>AA10</f>
        <v>23.6</v>
      </c>
      <c r="AC5" s="115">
        <f>AC10</f>
        <v>130.1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AM51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45457</v>
      </c>
      <c r="B10">
        <f>B63</f>
        <v>1110</v>
      </c>
      <c r="C10">
        <v>31.614799999999999</v>
      </c>
      <c r="D10">
        <f>D63</f>
        <v>321.99</v>
      </c>
      <c r="E10">
        <v>33.916400000000003</v>
      </c>
      <c r="F10" s="112">
        <v>156</v>
      </c>
      <c r="G10">
        <v>2329.98</v>
      </c>
      <c r="H10" s="199">
        <v>7500</v>
      </c>
      <c r="I10" s="199">
        <v>23.62</v>
      </c>
      <c r="J10">
        <v>210</v>
      </c>
      <c r="K10" s="137">
        <v>662.49433199999999</v>
      </c>
      <c r="L10">
        <f>L63</f>
        <v>125000</v>
      </c>
      <c r="M10">
        <v>0.81506400000000001</v>
      </c>
      <c r="N10" s="113">
        <f t="shared" ref="N10:N24" si="0">(F10*G10)+(B10*C10)+(D10*E10)+(L10*M10)+(H10*I10)+(J10*K10)</f>
        <v>827646.85935600009</v>
      </c>
      <c r="O10">
        <v>146.61000000000001</v>
      </c>
      <c r="P10">
        <v>242499.97</v>
      </c>
      <c r="Q10" s="115">
        <v>10391.89</v>
      </c>
      <c r="R10" s="127">
        <f>(1-(Q13/Q10))</f>
        <v>1.9732695399970468E-2</v>
      </c>
      <c r="S10" s="116">
        <f>(N10/$N$57)-1</f>
        <v>0.56028819457157697</v>
      </c>
      <c r="T10" s="114">
        <f>(A10-$A$57)</f>
        <v>95</v>
      </c>
      <c r="U10" s="116">
        <f>((N10/$N$57)-1)/T10*30</f>
        <v>0.17693311407523482</v>
      </c>
      <c r="V10" s="116"/>
      <c r="W10" s="116"/>
      <c r="X10" s="134"/>
      <c r="Y10" s="134">
        <v>27.96</v>
      </c>
      <c r="Z10" s="134"/>
      <c r="AA10" s="134">
        <v>23.6</v>
      </c>
      <c r="AB10">
        <v>10</v>
      </c>
      <c r="AC10" s="115">
        <v>130.1</v>
      </c>
    </row>
    <row r="11" spans="1:39">
      <c r="A11" s="117">
        <v>45456</v>
      </c>
      <c r="B11">
        <f>B64</f>
        <v>1110</v>
      </c>
      <c r="C11">
        <v>31.614799999999999</v>
      </c>
      <c r="D11">
        <f>D64</f>
        <v>321.99</v>
      </c>
      <c r="E11">
        <v>33.916400000000003</v>
      </c>
      <c r="F11" s="112">
        <v>156</v>
      </c>
      <c r="G11">
        <v>2329.98</v>
      </c>
      <c r="H11" s="199">
        <v>7500</v>
      </c>
      <c r="I11" s="199">
        <v>23.62</v>
      </c>
      <c r="J11">
        <v>210</v>
      </c>
      <c r="K11" s="137">
        <v>662.49433199999999</v>
      </c>
      <c r="L11">
        <f>L64</f>
        <v>125000</v>
      </c>
      <c r="M11">
        <v>0.81506400000000001</v>
      </c>
      <c r="N11" s="113">
        <f t="shared" ref="N11" si="1">(F11*G11)+(B11*C11)+(D11*E11)+(L11*M11)+(H11*I11)+(J11*K11)</f>
        <v>827646.85935600009</v>
      </c>
      <c r="O11">
        <v>146.61000000000001</v>
      </c>
      <c r="P11">
        <v>242499.97</v>
      </c>
      <c r="Q11" s="115">
        <v>10391.89</v>
      </c>
      <c r="R11" s="127">
        <f>(1-(Q14/Q11))</f>
        <v>1.0796881029341066E-2</v>
      </c>
      <c r="S11" s="116">
        <f>(N11/$N$57)-1</f>
        <v>0.56028819457157697</v>
      </c>
      <c r="T11" s="114">
        <f>(A11-$A$57)</f>
        <v>94</v>
      </c>
      <c r="U11" s="116">
        <f>((N11/$N$57)-1)/T11*30</f>
        <v>0.17881538124624796</v>
      </c>
      <c r="V11" s="116"/>
      <c r="W11" s="116"/>
      <c r="X11" s="134"/>
      <c r="Y11" s="134">
        <v>27.96</v>
      </c>
      <c r="Z11" s="134"/>
      <c r="AA11" s="134">
        <v>23.6</v>
      </c>
      <c r="AB11">
        <v>10</v>
      </c>
      <c r="AC11" s="115">
        <v>130.1</v>
      </c>
    </row>
    <row r="12" spans="1:39">
      <c r="A12" s="117">
        <v>45454</v>
      </c>
      <c r="B12">
        <f>B64</f>
        <v>1110</v>
      </c>
      <c r="C12">
        <v>31.553599999999999</v>
      </c>
      <c r="D12">
        <f>D64</f>
        <v>321.99</v>
      </c>
      <c r="E12">
        <v>33.882300000000001</v>
      </c>
      <c r="F12" s="112">
        <v>156</v>
      </c>
      <c r="G12">
        <v>2315.34</v>
      </c>
      <c r="H12" s="199">
        <v>7500</v>
      </c>
      <c r="I12" s="199">
        <v>23.4</v>
      </c>
      <c r="J12">
        <v>210</v>
      </c>
      <c r="K12" s="137">
        <v>659.86404900000002</v>
      </c>
      <c r="L12">
        <f>L64</f>
        <v>125000</v>
      </c>
      <c r="M12">
        <v>0.80056899999999998</v>
      </c>
      <c r="N12" s="113">
        <f t="shared" ref="N12" si="2">(F12*G12)+(B12*C12)+(D12*E12)+(L12*M12)+(H12*I12)+(J12*K12)</f>
        <v>821269.87306699995</v>
      </c>
      <c r="O12">
        <v>143.22999999999999</v>
      </c>
      <c r="P12">
        <v>236473.13</v>
      </c>
      <c r="Q12" s="115">
        <v>10051.370000000001</v>
      </c>
      <c r="R12" s="127">
        <f>(1-(Q14/Q12))</f>
        <v>-2.2715311445106412E-2</v>
      </c>
      <c r="S12" s="116">
        <f>(N12/$N$57)-1</f>
        <v>0.54826623579629241</v>
      </c>
      <c r="T12" s="114">
        <f>(A12-$A$57)</f>
        <v>92</v>
      </c>
      <c r="U12" s="116">
        <f>((N12/$N$57)-1)/T12*30</f>
        <v>0.17878246819444316</v>
      </c>
      <c r="V12" s="116"/>
      <c r="W12" s="116"/>
      <c r="X12" s="134"/>
      <c r="Y12" s="134">
        <v>26.48</v>
      </c>
      <c r="Z12" s="134"/>
      <c r="AA12" s="134">
        <v>22.34</v>
      </c>
      <c r="AB12">
        <v>10</v>
      </c>
      <c r="AC12" s="115">
        <v>119</v>
      </c>
    </row>
    <row r="13" spans="1:39">
      <c r="A13" s="117">
        <v>45450</v>
      </c>
      <c r="B13">
        <f>B64</f>
        <v>1110</v>
      </c>
      <c r="C13">
        <v>31.457999999999998</v>
      </c>
      <c r="D13">
        <f>D64</f>
        <v>321.99</v>
      </c>
      <c r="E13">
        <v>34.078499999999998</v>
      </c>
      <c r="F13" s="112">
        <v>156</v>
      </c>
      <c r="G13">
        <v>2320.73</v>
      </c>
      <c r="H13" s="199">
        <v>7500</v>
      </c>
      <c r="I13" s="199">
        <v>23.77</v>
      </c>
      <c r="J13">
        <v>210</v>
      </c>
      <c r="K13" s="137">
        <v>656.34613999999999</v>
      </c>
      <c r="L13">
        <f>L64</f>
        <v>125000</v>
      </c>
      <c r="M13">
        <v>0.831233</v>
      </c>
      <c r="N13" s="113">
        <f t="shared" ref="N13" si="3">(F13*G13)+(B13*C13)+(D13*E13)+(L13*M13)+(H13*I13)+(J13*K13)</f>
        <v>827937.01061500004</v>
      </c>
      <c r="O13">
        <v>148.11000000000001</v>
      </c>
      <c r="P13">
        <v>243928.95</v>
      </c>
      <c r="Q13" s="115">
        <v>10186.83</v>
      </c>
      <c r="R13" s="127">
        <f t="shared" ref="R13:R27" si="4">(1-(Q14/Q13))</f>
        <v>-9.1156915350507628E-3</v>
      </c>
      <c r="S13" s="116">
        <f t="shared" ref="S13" si="5">(N13/$N$57)-1</f>
        <v>0.56083519064718579</v>
      </c>
      <c r="T13" s="114">
        <f t="shared" ref="T13" si="6">(A13-$A$57)</f>
        <v>88</v>
      </c>
      <c r="U13" s="116">
        <f>((N13/$N$57)-1)/T13*30</f>
        <v>0.1911938149933588</v>
      </c>
      <c r="V13" s="116"/>
      <c r="W13" s="116"/>
      <c r="X13" s="134"/>
      <c r="Y13" s="134">
        <v>27.46</v>
      </c>
      <c r="Z13" s="134"/>
      <c r="AA13" s="134">
        <v>23.46</v>
      </c>
      <c r="AB13">
        <v>10</v>
      </c>
      <c r="AC13" s="115">
        <v>122.4</v>
      </c>
    </row>
    <row r="14" spans="1:39">
      <c r="A14" s="117">
        <v>45449</v>
      </c>
      <c r="B14">
        <f>B64</f>
        <v>1110</v>
      </c>
      <c r="C14">
        <v>31.457999999999998</v>
      </c>
      <c r="D14">
        <f>D64</f>
        <v>321.99</v>
      </c>
      <c r="E14">
        <v>34.078499999999998</v>
      </c>
      <c r="F14" s="112">
        <v>156</v>
      </c>
      <c r="G14">
        <v>2320.73</v>
      </c>
      <c r="H14" s="199">
        <v>7500</v>
      </c>
      <c r="I14" s="199">
        <v>23.77</v>
      </c>
      <c r="J14">
        <v>210</v>
      </c>
      <c r="K14" s="137">
        <v>656.34613999999999</v>
      </c>
      <c r="L14">
        <f>L64</f>
        <v>125000</v>
      </c>
      <c r="M14">
        <v>0.831233</v>
      </c>
      <c r="N14" s="113">
        <f t="shared" ref="N14" si="7">(F14*G14)+(B14*C14)+(D14*E14)+(L14*M14)+(H14*I14)+(J14*K14)</f>
        <v>827937.01061500004</v>
      </c>
      <c r="O14">
        <v>148.11000000000001</v>
      </c>
      <c r="P14">
        <v>243928.95</v>
      </c>
      <c r="Q14" s="115">
        <v>10279.69</v>
      </c>
      <c r="R14" s="127">
        <f t="shared" si="4"/>
        <v>-6.9330884491651812E-3</v>
      </c>
      <c r="S14" s="116">
        <f>(N14/$N$57)-1</f>
        <v>0.56083519064718579</v>
      </c>
      <c r="T14" s="114">
        <f>(A14-$A$57)</f>
        <v>87</v>
      </c>
      <c r="U14" s="116">
        <f>((N14/$N$57)-1)/T14*30</f>
        <v>0.19339144505075373</v>
      </c>
      <c r="V14" s="116"/>
      <c r="W14" s="116"/>
      <c r="X14" s="134"/>
      <c r="Y14" s="134">
        <v>27.46</v>
      </c>
      <c r="Z14" s="134"/>
      <c r="AA14" s="134">
        <v>23.46</v>
      </c>
      <c r="AB14">
        <v>10</v>
      </c>
      <c r="AC14" s="115">
        <v>122.4</v>
      </c>
    </row>
    <row r="15" spans="1:39">
      <c r="A15" s="117">
        <v>45448</v>
      </c>
      <c r="B15">
        <f>B64</f>
        <v>1110</v>
      </c>
      <c r="C15">
        <v>31.783300000000001</v>
      </c>
      <c r="D15">
        <f>D64</f>
        <v>321.99</v>
      </c>
      <c r="E15">
        <v>34.557899999999997</v>
      </c>
      <c r="F15" s="112">
        <v>156</v>
      </c>
      <c r="G15">
        <v>2330.9299999999998</v>
      </c>
      <c r="H15" s="199">
        <v>7500</v>
      </c>
      <c r="I15" s="199">
        <v>24.06</v>
      </c>
      <c r="J15">
        <v>210</v>
      </c>
      <c r="K15" s="137">
        <v>654.52437399999997</v>
      </c>
      <c r="L15">
        <f>L64</f>
        <v>125000</v>
      </c>
      <c r="M15">
        <v>0.79747299999999999</v>
      </c>
      <c r="N15" s="113">
        <f t="shared" ref="N15" si="8">(F15*G15)+(B15*C15)+(D15*E15)+(L15*M15)+(H15*I15)+(J15*K15)</f>
        <v>827616.08476100001</v>
      </c>
      <c r="O15">
        <v>148.06</v>
      </c>
      <c r="P15">
        <v>243565.65</v>
      </c>
      <c r="Q15" s="115">
        <v>10350.959999999999</v>
      </c>
      <c r="R15" s="127">
        <f t="shared" si="4"/>
        <v>-1.3138877939824489E-3</v>
      </c>
      <c r="S15" s="116">
        <f>(N15/$N$57)-1</f>
        <v>0.56023017799514885</v>
      </c>
      <c r="T15" s="114">
        <f>(A15-$A$57)</f>
        <v>86</v>
      </c>
      <c r="U15" s="116">
        <f>((N15/$N$57)-1)/T15*30</f>
        <v>0.19542913185877286</v>
      </c>
      <c r="V15" s="116"/>
      <c r="W15" s="116"/>
      <c r="X15" s="134"/>
      <c r="Y15" s="134">
        <v>29.06</v>
      </c>
      <c r="Z15" s="134"/>
      <c r="AA15" s="134">
        <v>24.48</v>
      </c>
      <c r="AB15">
        <v>10</v>
      </c>
      <c r="AC15" s="115">
        <v>119</v>
      </c>
    </row>
    <row r="16" spans="1:39">
      <c r="A16" s="117">
        <v>45447</v>
      </c>
      <c r="B16">
        <f>B64</f>
        <v>1110</v>
      </c>
      <c r="C16">
        <v>31.6645</v>
      </c>
      <c r="D16">
        <f>D64</f>
        <v>321.99</v>
      </c>
      <c r="E16">
        <v>34.409799999999997</v>
      </c>
      <c r="F16" s="112">
        <v>156</v>
      </c>
      <c r="G16">
        <v>2319.39</v>
      </c>
      <c r="H16" s="199">
        <v>7500</v>
      </c>
      <c r="I16" s="199">
        <v>23.89</v>
      </c>
      <c r="J16">
        <v>210</v>
      </c>
      <c r="K16" s="137">
        <v>653.60767299999998</v>
      </c>
      <c r="L16">
        <f>L64</f>
        <v>125000</v>
      </c>
      <c r="M16">
        <v>0.79912700000000003</v>
      </c>
      <c r="N16" s="113">
        <f t="shared" ref="N16" si="9">(F16*G16)+(B16*C16)+(D16*E16)+(L16*M16)+(H16*I16)+(J16*K16)</f>
        <v>824375.53283199994</v>
      </c>
      <c r="O16">
        <v>146.71</v>
      </c>
      <c r="P16">
        <v>241190.1</v>
      </c>
      <c r="Q16" s="115">
        <v>10364.56</v>
      </c>
      <c r="R16" s="127">
        <f t="shared" si="4"/>
        <v>-3.4656560432859695E-3</v>
      </c>
      <c r="S16" s="116">
        <f>(N16/$N$57)-1</f>
        <v>0.55412105686267799</v>
      </c>
      <c r="T16" s="114">
        <f>(A16-$A$57)</f>
        <v>85</v>
      </c>
      <c r="U16" s="116">
        <f>((N16/$N$57)-1)/T16*30</f>
        <v>0.1955721377162393</v>
      </c>
      <c r="V16" s="116"/>
      <c r="W16" s="116"/>
      <c r="X16" s="134"/>
      <c r="Y16" s="134">
        <v>30.58</v>
      </c>
      <c r="Z16" s="134"/>
      <c r="AA16" s="134">
        <v>26.14</v>
      </c>
      <c r="AB16">
        <v>10</v>
      </c>
      <c r="AC16" s="115">
        <v>114.6</v>
      </c>
    </row>
    <row r="17" spans="1:29">
      <c r="A17" s="117">
        <v>45443</v>
      </c>
      <c r="B17">
        <f>B64</f>
        <v>1110</v>
      </c>
      <c r="C17">
        <v>31.576599999999999</v>
      </c>
      <c r="D17">
        <f>D64</f>
        <v>321.99</v>
      </c>
      <c r="E17">
        <v>34.157400000000003</v>
      </c>
      <c r="F17" s="112">
        <v>156</v>
      </c>
      <c r="G17">
        <v>2324.5500000000002</v>
      </c>
      <c r="H17" s="199">
        <v>7500</v>
      </c>
      <c r="I17" s="199">
        <v>24.04</v>
      </c>
      <c r="J17">
        <v>210</v>
      </c>
      <c r="K17" s="137">
        <v>649.96368099999995</v>
      </c>
      <c r="L17">
        <f>L64</f>
        <v>125000</v>
      </c>
      <c r="M17">
        <v>0.80517899999999998</v>
      </c>
      <c r="N17" s="113">
        <f t="shared" ref="N17" si="10">(F17*G17)+(B17*C17)+(D17*E17)+(L17*M17)+(H17*I17)+(J17*K17)</f>
        <v>826117.91523599997</v>
      </c>
      <c r="O17">
        <v>147.47</v>
      </c>
      <c r="P17">
        <v>241854.59</v>
      </c>
      <c r="Q17" s="115">
        <v>10400.48</v>
      </c>
      <c r="R17" s="127">
        <f t="shared" si="4"/>
        <v>-7.7707951940679809E-3</v>
      </c>
      <c r="S17" s="116">
        <f>(N17/$N$57)-1</f>
        <v>0.55740581371840481</v>
      </c>
      <c r="T17" s="114">
        <f>(A17-$A$57)</f>
        <v>81</v>
      </c>
      <c r="U17" s="116">
        <f>((N17/$N$57)-1)/T17*30</f>
        <v>0.20644659767348328</v>
      </c>
      <c r="V17" s="116"/>
      <c r="W17" s="116"/>
      <c r="X17" s="134"/>
      <c r="Y17" s="134">
        <v>27.94</v>
      </c>
      <c r="Z17" s="134"/>
      <c r="AA17" s="134">
        <v>24.08</v>
      </c>
      <c r="AB17">
        <v>10</v>
      </c>
      <c r="AC17" s="115">
        <v>116</v>
      </c>
    </row>
    <row r="18" spans="1:29">
      <c r="A18" s="117">
        <v>45442</v>
      </c>
      <c r="B18">
        <f>B64</f>
        <v>1110</v>
      </c>
      <c r="C18">
        <v>31.554500000000001</v>
      </c>
      <c r="D18">
        <f>D64</f>
        <v>321.99</v>
      </c>
      <c r="E18">
        <v>34.104100000000003</v>
      </c>
      <c r="F18" s="112">
        <v>156</v>
      </c>
      <c r="G18">
        <v>2317.36</v>
      </c>
      <c r="H18" s="199">
        <v>7500</v>
      </c>
      <c r="I18" s="199">
        <v>24</v>
      </c>
      <c r="J18">
        <v>210</v>
      </c>
      <c r="K18" s="137">
        <v>649.05997200000002</v>
      </c>
      <c r="L18">
        <f>L64</f>
        <v>125000</v>
      </c>
      <c r="M18">
        <v>0.78746400000000005</v>
      </c>
      <c r="N18" s="113">
        <f t="shared" ref="N18" si="11">(F18*G18)+(B18*C18)+(D18*E18)+(L18*M18)+(H18*I18)+(J18*K18)</f>
        <v>822250.4282790001</v>
      </c>
      <c r="O18">
        <v>145.25</v>
      </c>
      <c r="P18">
        <v>238057.84</v>
      </c>
      <c r="Q18" s="115">
        <v>10481.299999999999</v>
      </c>
      <c r="R18" s="127">
        <f t="shared" si="4"/>
        <v>-3.2018928949655301E-3</v>
      </c>
      <c r="S18" s="116">
        <f>(N18/$N$57)-1</f>
        <v>0.55011478835722394</v>
      </c>
      <c r="T18" s="114">
        <f>(A18-$A$57)</f>
        <v>80</v>
      </c>
      <c r="U18" s="116">
        <f>((N18/$N$57)-1)/T18*30</f>
        <v>0.20629304563395898</v>
      </c>
      <c r="V18" s="116"/>
      <c r="W18" s="116"/>
      <c r="X18" s="134"/>
      <c r="Y18" s="134">
        <v>28.24</v>
      </c>
      <c r="Z18" s="134"/>
      <c r="AA18" s="134">
        <v>24.78</v>
      </c>
      <c r="AB18">
        <v>10</v>
      </c>
      <c r="AC18" s="115">
        <v>119.1</v>
      </c>
    </row>
    <row r="19" spans="1:29">
      <c r="A19" s="117">
        <v>45441</v>
      </c>
      <c r="B19">
        <f>B64</f>
        <v>1110</v>
      </c>
      <c r="C19">
        <v>31.4527</v>
      </c>
      <c r="D19">
        <f>D64</f>
        <v>321.99</v>
      </c>
      <c r="E19">
        <v>34.006700000000002</v>
      </c>
      <c r="F19" s="112">
        <v>156</v>
      </c>
      <c r="G19">
        <v>2331.79</v>
      </c>
      <c r="H19" s="199">
        <v>7500</v>
      </c>
      <c r="I19" s="199">
        <v>23.99</v>
      </c>
      <c r="J19">
        <v>210</v>
      </c>
      <c r="K19">
        <v>648.15704900000003</v>
      </c>
      <c r="L19">
        <f>L64</f>
        <v>125000</v>
      </c>
      <c r="M19">
        <v>0.81522399999999995</v>
      </c>
      <c r="N19" s="113">
        <f t="shared" ref="N19" si="12">(F19*G19)+(B19*C19)+(D19*E19)+(L19*M19)+(H19*I19)+(J19*K19)</f>
        <v>827562.53462299996</v>
      </c>
      <c r="O19">
        <v>148.58000000000001</v>
      </c>
      <c r="P19">
        <v>243375.9</v>
      </c>
      <c r="Q19" s="115">
        <v>10514.86</v>
      </c>
      <c r="R19" s="127">
        <f t="shared" si="4"/>
        <v>-1.5466682390445463E-2</v>
      </c>
      <c r="S19" s="116">
        <f>(N19/$N$57)-1</f>
        <v>0.56012922473568239</v>
      </c>
      <c r="T19" s="114">
        <f>(A19-$A$57)</f>
        <v>79</v>
      </c>
      <c r="U19" s="116">
        <f>((N19/$N$57)-1)/T19*30</f>
        <v>0.21270730053253761</v>
      </c>
      <c r="V19" s="116"/>
      <c r="W19" s="116"/>
      <c r="X19" s="134"/>
      <c r="Y19" s="134">
        <v>28.18</v>
      </c>
      <c r="Z19" s="134"/>
      <c r="AA19" s="134">
        <v>24.8</v>
      </c>
      <c r="AB19">
        <v>10</v>
      </c>
      <c r="AC19" s="115">
        <v>119.6</v>
      </c>
    </row>
    <row r="20" spans="1:29">
      <c r="A20" s="117">
        <v>45440</v>
      </c>
      <c r="B20">
        <f>B64</f>
        <v>1110</v>
      </c>
      <c r="C20">
        <v>31.4527</v>
      </c>
      <c r="D20">
        <f>D64</f>
        <v>321.99</v>
      </c>
      <c r="E20">
        <v>34.006700000000002</v>
      </c>
      <c r="F20" s="112">
        <v>156</v>
      </c>
      <c r="G20">
        <v>2331.79</v>
      </c>
      <c r="H20" s="199">
        <v>7500</v>
      </c>
      <c r="I20" s="199">
        <v>23.99</v>
      </c>
      <c r="J20">
        <v>210</v>
      </c>
      <c r="K20">
        <v>647.25598100000002</v>
      </c>
      <c r="L20">
        <f>L64</f>
        <v>125000</v>
      </c>
      <c r="M20">
        <v>0.86140000000000005</v>
      </c>
      <c r="N20" s="113">
        <f t="shared" si="0"/>
        <v>833145.31034299999</v>
      </c>
      <c r="O20">
        <v>153.71</v>
      </c>
      <c r="P20">
        <v>251476.74</v>
      </c>
      <c r="Q20" s="115">
        <v>10677.49</v>
      </c>
      <c r="R20" s="127">
        <f t="shared" si="4"/>
        <v>1.9227365232841187E-3</v>
      </c>
      <c r="S20" s="116">
        <f t="shared" ref="S20" si="13">(N20/$N$57)-1</f>
        <v>0.57065392974771467</v>
      </c>
      <c r="T20" s="114">
        <f t="shared" ref="T20" si="14">(A20-$A$57)</f>
        <v>78</v>
      </c>
      <c r="U20" s="116">
        <f>((N20/$N$57)-1)/T20*30</f>
        <v>0.21948228067219797</v>
      </c>
      <c r="V20" s="116"/>
      <c r="W20" s="116"/>
      <c r="X20" s="134"/>
      <c r="Y20" s="134">
        <v>28.18</v>
      </c>
      <c r="Z20" s="134"/>
      <c r="AA20" s="134">
        <v>24.8</v>
      </c>
      <c r="AB20">
        <v>10</v>
      </c>
      <c r="AC20" s="115">
        <v>119.6</v>
      </c>
    </row>
    <row r="21" spans="1:29">
      <c r="A21" s="117">
        <v>45439</v>
      </c>
      <c r="B21">
        <f>B64</f>
        <v>1110</v>
      </c>
      <c r="C21">
        <v>31.436</v>
      </c>
      <c r="D21">
        <f>D64</f>
        <v>321.99</v>
      </c>
      <c r="E21">
        <v>34.100200000000001</v>
      </c>
      <c r="F21" s="112">
        <v>156</v>
      </c>
      <c r="G21">
        <v>2331.41</v>
      </c>
      <c r="H21" s="199">
        <v>7500</v>
      </c>
      <c r="I21" s="199">
        <v>24.32</v>
      </c>
      <c r="J21">
        <v>30</v>
      </c>
      <c r="K21">
        <v>646.30405299999995</v>
      </c>
      <c r="L21">
        <f>L64</f>
        <v>125000</v>
      </c>
      <c r="M21">
        <v>0.86140000000000005</v>
      </c>
      <c r="N21" s="113">
        <f t="shared" si="0"/>
        <v>719037.96498799999</v>
      </c>
      <c r="O21">
        <v>153.71</v>
      </c>
      <c r="P21">
        <v>251476.74</v>
      </c>
      <c r="Q21" s="115">
        <v>10656.96</v>
      </c>
      <c r="R21" s="127">
        <f t="shared" si="4"/>
        <v>-1.8476188331382204E-3</v>
      </c>
      <c r="S21" s="116">
        <f t="shared" ref="S21" si="15">(N21/$N$57)-1</f>
        <v>0.35553761309807119</v>
      </c>
      <c r="T21" s="114">
        <f t="shared" ref="T21" si="16">(A21-$A$57)</f>
        <v>77</v>
      </c>
      <c r="U21" s="116">
        <f>((N21/$N$57)-1)/T21*30</f>
        <v>0.13852114796028747</v>
      </c>
      <c r="V21" s="116"/>
      <c r="W21" s="116"/>
      <c r="X21" s="134"/>
      <c r="Y21" s="134">
        <v>32.36</v>
      </c>
      <c r="Z21" s="134"/>
      <c r="AA21" s="134">
        <v>23.08</v>
      </c>
      <c r="AB21">
        <v>10</v>
      </c>
      <c r="AC21" s="115">
        <v>124</v>
      </c>
    </row>
    <row r="22" spans="1:29">
      <c r="A22" s="117">
        <v>45435</v>
      </c>
      <c r="B22">
        <f>B64</f>
        <v>1110</v>
      </c>
      <c r="C22">
        <v>31.4588</v>
      </c>
      <c r="D22">
        <f>D64</f>
        <v>321.99</v>
      </c>
      <c r="E22">
        <v>34.044699999999999</v>
      </c>
      <c r="F22" s="112">
        <v>156</v>
      </c>
      <c r="G22">
        <v>2363.8000000000002</v>
      </c>
      <c r="H22" s="199">
        <v>7500</v>
      </c>
      <c r="I22" s="199">
        <v>24.45</v>
      </c>
      <c r="J22">
        <v>30</v>
      </c>
      <c r="K22">
        <v>642.69199700000001</v>
      </c>
      <c r="L22">
        <f>L64</f>
        <v>125000</v>
      </c>
      <c r="M22">
        <v>0.87326400000000004</v>
      </c>
      <c r="N22" s="113">
        <f t="shared" si="0"/>
        <v>726447.88086300006</v>
      </c>
      <c r="O22">
        <v>158.78</v>
      </c>
      <c r="P22">
        <v>259129.45</v>
      </c>
      <c r="Q22" s="115">
        <v>10676.65</v>
      </c>
      <c r="R22" s="127">
        <f t="shared" si="4"/>
        <v>-1.4329401076180304E-2</v>
      </c>
      <c r="S22" s="116">
        <f>(N22/$N$57)-1</f>
        <v>0.36950686113161924</v>
      </c>
      <c r="T22" s="114">
        <f>(A22-$A$57)</f>
        <v>73</v>
      </c>
      <c r="U22" s="116">
        <f>((N22/$N$57)-1)/T22*30</f>
        <v>0.15185213471162434</v>
      </c>
      <c r="V22" s="116"/>
      <c r="W22" s="116"/>
      <c r="X22" s="134"/>
      <c r="Y22" s="134">
        <v>34.299999999999997</v>
      </c>
      <c r="Z22" s="134"/>
      <c r="AA22" s="134">
        <v>27.92</v>
      </c>
      <c r="AB22">
        <v>10</v>
      </c>
      <c r="AC22" s="115">
        <v>122</v>
      </c>
    </row>
    <row r="23" spans="1:29">
      <c r="A23" s="117">
        <v>45433</v>
      </c>
      <c r="B23">
        <f>B64</f>
        <v>1110</v>
      </c>
      <c r="C23">
        <v>31.469899999999999</v>
      </c>
      <c r="D23">
        <f>D64</f>
        <v>321.99</v>
      </c>
      <c r="E23">
        <v>34.182699999999997</v>
      </c>
      <c r="F23" s="112">
        <v>156</v>
      </c>
      <c r="G23">
        <v>2416.92</v>
      </c>
      <c r="H23" s="199">
        <v>7500</v>
      </c>
      <c r="I23" s="199">
        <v>24.91</v>
      </c>
      <c r="J23">
        <v>30</v>
      </c>
      <c r="K23">
        <v>641.00899600000002</v>
      </c>
      <c r="L23">
        <f>L64</f>
        <v>125000</v>
      </c>
      <c r="M23">
        <v>0.86580400000000002</v>
      </c>
      <c r="N23" s="113">
        <f t="shared" si="0"/>
        <v>737258.36645300011</v>
      </c>
      <c r="O23">
        <v>165.69</v>
      </c>
      <c r="P23">
        <v>269993.23</v>
      </c>
      <c r="Q23" s="115">
        <v>10829.64</v>
      </c>
      <c r="R23" s="127">
        <f t="shared" si="4"/>
        <v>8.3169892997366768E-3</v>
      </c>
      <c r="S23" s="116">
        <f>(N23/$N$57)-1</f>
        <v>0.38988689743936056</v>
      </c>
      <c r="T23" s="114">
        <f>(A23-$A$57)</f>
        <v>71</v>
      </c>
      <c r="U23" s="116">
        <f>((N23/$N$57)-1)/T23*30</f>
        <v>0.16474094258001151</v>
      </c>
      <c r="V23" s="116"/>
      <c r="W23" s="116"/>
      <c r="X23" s="134"/>
      <c r="Y23" s="134">
        <v>34.799999999999997</v>
      </c>
      <c r="Z23" s="134"/>
      <c r="AA23" s="134">
        <v>28.52</v>
      </c>
      <c r="AB23">
        <v>10</v>
      </c>
      <c r="AC23" s="115">
        <v>123.5</v>
      </c>
    </row>
    <row r="24" spans="1:29">
      <c r="A24" s="117">
        <v>45426</v>
      </c>
      <c r="B24">
        <f>B64</f>
        <v>1110</v>
      </c>
      <c r="C24">
        <v>31.5244</v>
      </c>
      <c r="D24">
        <f>D64</f>
        <v>321.99</v>
      </c>
      <c r="E24">
        <v>34.005400000000002</v>
      </c>
      <c r="F24" s="112">
        <v>156</v>
      </c>
      <c r="G24">
        <v>2344.5700000000002</v>
      </c>
      <c r="H24" s="199">
        <v>7500</v>
      </c>
      <c r="I24" s="199">
        <v>24.41</v>
      </c>
      <c r="J24">
        <v>30</v>
      </c>
      <c r="K24">
        <v>634.98375399999998</v>
      </c>
      <c r="L24">
        <f>L64</f>
        <v>125000</v>
      </c>
      <c r="M24">
        <v>0.84950000000000003</v>
      </c>
      <c r="N24" s="113">
        <f t="shared" si="0"/>
        <v>720006.41536600015</v>
      </c>
      <c r="O24">
        <v>158.43</v>
      </c>
      <c r="P24">
        <v>256973.54</v>
      </c>
      <c r="Q24" s="115">
        <v>10739.57</v>
      </c>
      <c r="R24" s="127">
        <f t="shared" si="4"/>
        <v>5.0241303888330702E-2</v>
      </c>
      <c r="S24" s="116">
        <f>(N24/$N$57)-1</f>
        <v>0.35736334550403681</v>
      </c>
      <c r="T24" s="114">
        <f>(A24-$A$57)</f>
        <v>64</v>
      </c>
      <c r="U24" s="116">
        <f>((N24/$N$57)-1)/T24*30</f>
        <v>0.16751406820501724</v>
      </c>
      <c r="V24" s="116"/>
      <c r="W24" s="116"/>
      <c r="X24" s="134"/>
      <c r="Y24" s="134">
        <v>35.86</v>
      </c>
      <c r="Z24" s="134"/>
      <c r="AA24" s="134">
        <v>30.2</v>
      </c>
      <c r="AB24">
        <v>10</v>
      </c>
      <c r="AC24" s="115">
        <v>120.1</v>
      </c>
    </row>
    <row r="25" spans="1:29">
      <c r="A25" s="117">
        <v>45425</v>
      </c>
      <c r="B25">
        <f>B64</f>
        <v>1110</v>
      </c>
      <c r="C25">
        <v>31.371600000000001</v>
      </c>
      <c r="D25">
        <f>D64</f>
        <v>321.99</v>
      </c>
      <c r="E25">
        <v>33.871899999999997</v>
      </c>
      <c r="F25" s="112">
        <v>156</v>
      </c>
      <c r="G25">
        <v>2341.31</v>
      </c>
      <c r="H25" s="199">
        <v>7500</v>
      </c>
      <c r="I25" s="199">
        <v>24.47</v>
      </c>
      <c r="J25">
        <v>30</v>
      </c>
      <c r="K25">
        <v>634.10149999999999</v>
      </c>
      <c r="L25">
        <f>L64</f>
        <v>125000</v>
      </c>
      <c r="M25">
        <v>0.88511899999999999</v>
      </c>
      <c r="N25" s="113">
        <f t="shared" ref="N25:N33" si="17">(F25*G25)+(B25*C25)+(D25*E25)+(L25*M25)+(H25*I25)+(J25*K25)</f>
        <v>724161.16908100003</v>
      </c>
      <c r="O25">
        <v>158.43</v>
      </c>
      <c r="P25">
        <v>256973.54</v>
      </c>
      <c r="Q25" s="115">
        <v>10200</v>
      </c>
      <c r="R25" s="127">
        <f t="shared" si="4"/>
        <v>-6.7235294117646838E-3</v>
      </c>
      <c r="S25" s="116">
        <f>(N25/$N$57)-1</f>
        <v>0.36519592905049159</v>
      </c>
      <c r="T25" s="114">
        <f>(A25-$A$57)</f>
        <v>63</v>
      </c>
      <c r="U25" s="116">
        <f>((N25/$N$57)-1)/T25*30</f>
        <v>0.17390282335737695</v>
      </c>
      <c r="V25" s="116"/>
      <c r="W25" s="116"/>
      <c r="X25" s="134"/>
      <c r="Y25" s="134">
        <v>35.86</v>
      </c>
      <c r="Z25" s="134"/>
      <c r="AA25" s="134">
        <v>30.2</v>
      </c>
      <c r="AB25">
        <v>10</v>
      </c>
      <c r="AC25" s="115">
        <v>120.1</v>
      </c>
    </row>
    <row r="26" spans="1:29">
      <c r="A26" s="117">
        <v>45421</v>
      </c>
      <c r="B26">
        <f>B64</f>
        <v>1110</v>
      </c>
      <c r="C26">
        <v>31.712</v>
      </c>
      <c r="D26">
        <f>D64</f>
        <v>321.99</v>
      </c>
      <c r="E26">
        <v>34.055500000000002</v>
      </c>
      <c r="F26" s="112">
        <v>156</v>
      </c>
      <c r="G26">
        <v>2333.16</v>
      </c>
      <c r="H26" s="199">
        <v>7500</v>
      </c>
      <c r="I26" s="199">
        <v>24.39</v>
      </c>
      <c r="J26">
        <v>30</v>
      </c>
      <c r="K26">
        <v>622.84294799999998</v>
      </c>
      <c r="L26">
        <f>L64</f>
        <v>125000</v>
      </c>
      <c r="M26">
        <v>0.90642500000000004</v>
      </c>
      <c r="N26" s="113">
        <f t="shared" si="17"/>
        <v>725052.22388499998</v>
      </c>
      <c r="O26">
        <v>167.1</v>
      </c>
      <c r="P26">
        <v>268201.53000000003</v>
      </c>
      <c r="Q26" s="115">
        <v>10268.58</v>
      </c>
      <c r="R26" s="127">
        <f t="shared" si="4"/>
        <v>2.1701150499874422E-2</v>
      </c>
      <c r="S26" s="116">
        <f>(N26/$N$57)-1</f>
        <v>0.36687575454089361</v>
      </c>
      <c r="T26" s="114">
        <f>(A26-$A$57)</f>
        <v>59</v>
      </c>
      <c r="U26" s="116">
        <f>((N26/$N$57)-1)/T26*30</f>
        <v>0.18654699383435269</v>
      </c>
      <c r="V26" s="116"/>
      <c r="W26" s="116"/>
      <c r="X26" s="134"/>
      <c r="Y26" s="134">
        <v>37.4</v>
      </c>
      <c r="Z26" s="134"/>
      <c r="AA26" s="134">
        <v>30.5</v>
      </c>
      <c r="AB26">
        <v>10</v>
      </c>
      <c r="AC26" s="115">
        <v>127.4</v>
      </c>
    </row>
    <row r="27" spans="1:29">
      <c r="A27" s="117">
        <v>45412</v>
      </c>
      <c r="B27">
        <f>B64</f>
        <v>1110</v>
      </c>
      <c r="C27">
        <v>31.771699999999999</v>
      </c>
      <c r="D27">
        <f>D64</f>
        <v>321.99</v>
      </c>
      <c r="E27">
        <v>34.014699999999998</v>
      </c>
      <c r="F27" s="112">
        <v>156</v>
      </c>
      <c r="G27">
        <v>2341.2800000000002</v>
      </c>
      <c r="H27" s="199">
        <v>7500</v>
      </c>
      <c r="I27" s="199">
        <v>24.71</v>
      </c>
      <c r="J27">
        <v>96</v>
      </c>
      <c r="K27">
        <v>622.84294799999998</v>
      </c>
      <c r="L27">
        <f>L64</f>
        <v>125000</v>
      </c>
      <c r="M27">
        <v>0.90242599999999995</v>
      </c>
      <c r="N27" s="113">
        <f t="shared" si="17"/>
        <v>769379.83326099999</v>
      </c>
      <c r="O27">
        <v>167.1</v>
      </c>
      <c r="P27">
        <v>268201.53000000003</v>
      </c>
      <c r="Q27" s="115">
        <v>10045.74</v>
      </c>
      <c r="R27" s="127">
        <f t="shared" si="4"/>
        <v>1.2952754102733999E-2</v>
      </c>
      <c r="S27" s="116">
        <f t="shared" ref="S27" si="18">(N27/$N$57)-1</f>
        <v>0.45044261016428133</v>
      </c>
      <c r="T27" s="114">
        <f t="shared" ref="T27" si="19">(A27-$A$57)</f>
        <v>50</v>
      </c>
      <c r="U27" s="116">
        <f>((N27/$N$57)-1)/T27*30</f>
        <v>0.27026556609856883</v>
      </c>
      <c r="V27" s="116"/>
      <c r="W27" s="116"/>
      <c r="X27" s="134"/>
      <c r="Y27" s="134">
        <v>37.39</v>
      </c>
      <c r="Z27" s="134"/>
      <c r="AA27" s="134">
        <v>30.5</v>
      </c>
      <c r="AB27">
        <v>10</v>
      </c>
      <c r="AC27" s="115">
        <v>125.1</v>
      </c>
    </row>
    <row r="28" spans="1:29">
      <c r="A28" s="117">
        <v>45411</v>
      </c>
      <c r="B28">
        <f>B64</f>
        <v>1110</v>
      </c>
      <c r="C28">
        <v>31.948</v>
      </c>
      <c r="D28">
        <f>D64</f>
        <v>321.99</v>
      </c>
      <c r="E28">
        <v>34.280099999999997</v>
      </c>
      <c r="F28" s="112">
        <v>156</v>
      </c>
      <c r="G28">
        <v>2384.1799999999998</v>
      </c>
      <c r="H28" s="199">
        <v>5000</v>
      </c>
      <c r="I28" s="199">
        <v>24.91</v>
      </c>
      <c r="L28">
        <f>L64</f>
        <v>125000</v>
      </c>
      <c r="M28">
        <v>0.89855499999999999</v>
      </c>
      <c r="N28" s="113">
        <f t="shared" si="17"/>
        <v>655301.58439900004</v>
      </c>
      <c r="O28">
        <v>167.61</v>
      </c>
      <c r="P28">
        <v>269021.68</v>
      </c>
      <c r="Q28" s="115">
        <v>9915.6200000000008</v>
      </c>
      <c r="R28" s="127">
        <f t="shared" ref="R28:R34" si="20">(1-(Q29/Q28))</f>
        <v>2.5330740790792672E-2</v>
      </c>
      <c r="S28" s="116">
        <f t="shared" ref="S28:S57" si="21">(N28/$N$57)-1</f>
        <v>0.23538114651627517</v>
      </c>
      <c r="T28" s="114">
        <f t="shared" ref="T28:T57" si="22">(A28-$A$57)</f>
        <v>49</v>
      </c>
      <c r="U28" s="116">
        <f>((N28/$N$57)-1)/T28*30</f>
        <v>0.14411090603037255</v>
      </c>
      <c r="V28" s="116"/>
      <c r="W28" s="116"/>
      <c r="X28" s="112">
        <v>35</v>
      </c>
      <c r="Y28" s="128">
        <f>Y31</f>
        <v>37.39</v>
      </c>
      <c r="Z28" s="112">
        <v>40</v>
      </c>
      <c r="AA28" s="128">
        <f>AA31</f>
        <v>30.5</v>
      </c>
      <c r="AB28"/>
    </row>
    <row r="29" spans="1:29">
      <c r="A29" s="117">
        <v>45408</v>
      </c>
      <c r="B29">
        <f>B64</f>
        <v>1110</v>
      </c>
      <c r="C29">
        <v>31.948</v>
      </c>
      <c r="D29">
        <f>D64</f>
        <v>321.99</v>
      </c>
      <c r="E29">
        <v>34.280099999999997</v>
      </c>
      <c r="F29" s="112">
        <v>156</v>
      </c>
      <c r="G29">
        <v>2384.1799999999998</v>
      </c>
      <c r="H29" s="199">
        <v>2500</v>
      </c>
      <c r="I29" s="199">
        <v>25.11</v>
      </c>
      <c r="L29">
        <f>L64</f>
        <v>125000</v>
      </c>
      <c r="M29">
        <v>0.89607400000000004</v>
      </c>
      <c r="N29" s="113">
        <f t="shared" si="17"/>
        <v>593216.45939900004</v>
      </c>
      <c r="O29">
        <v>167.61</v>
      </c>
      <c r="P29">
        <v>269021.68</v>
      </c>
      <c r="Q29" s="115">
        <v>9664.4500000000007</v>
      </c>
      <c r="R29" s="127">
        <f t="shared" si="20"/>
        <v>-5.7478697701369708E-3</v>
      </c>
      <c r="S29" s="116">
        <f t="shared" si="21"/>
        <v>0.11833764360082077</v>
      </c>
      <c r="T29" s="114">
        <f t="shared" si="22"/>
        <v>46</v>
      </c>
      <c r="U29" s="116">
        <f>((N29/$N$57)-1)/T29*30</f>
        <v>7.7176724087491808E-2</v>
      </c>
      <c r="V29" s="116"/>
      <c r="W29" s="116"/>
      <c r="X29" s="112" t="s">
        <v>67</v>
      </c>
      <c r="Y29" s="129" t="s">
        <v>68</v>
      </c>
      <c r="Z29" s="112" t="s">
        <v>67</v>
      </c>
      <c r="AA29" s="129" t="s">
        <v>68</v>
      </c>
      <c r="AB29">
        <v>10</v>
      </c>
      <c r="AC29" s="115">
        <v>148.5</v>
      </c>
    </row>
    <row r="30" spans="1:29">
      <c r="A30" s="117">
        <v>45407</v>
      </c>
      <c r="B30">
        <f>B64</f>
        <v>1110</v>
      </c>
      <c r="C30">
        <v>32.0291</v>
      </c>
      <c r="D30">
        <f>D64</f>
        <v>321.99</v>
      </c>
      <c r="E30">
        <v>34.322299999999998</v>
      </c>
      <c r="F30" s="112">
        <v>156</v>
      </c>
      <c r="G30">
        <v>2368.4699999999998</v>
      </c>
      <c r="L30">
        <f>L64</f>
        <v>125000</v>
      </c>
      <c r="M30">
        <v>0.90609700000000004</v>
      </c>
      <c r="N30" s="113">
        <f t="shared" si="17"/>
        <v>529347.18337699992</v>
      </c>
      <c r="O30">
        <v>167.13</v>
      </c>
      <c r="P30">
        <v>268083.81</v>
      </c>
      <c r="Q30" s="115">
        <v>9720</v>
      </c>
      <c r="R30" s="127">
        <f t="shared" si="20"/>
        <v>-2.1502057613176362E-4</v>
      </c>
      <c r="S30" s="116">
        <f t="shared" si="21"/>
        <v>-2.0693587896702947E-3</v>
      </c>
      <c r="T30" s="114">
        <f t="shared" si="22"/>
        <v>45</v>
      </c>
      <c r="U30" s="116">
        <f>((N30/$N$57)-1)/T30*30</f>
        <v>-1.379572526446863E-3</v>
      </c>
      <c r="V30" s="116"/>
      <c r="W30" s="116"/>
      <c r="X30" s="112"/>
      <c r="Y30" s="130" t="s">
        <v>69</v>
      </c>
      <c r="Z30" s="112"/>
      <c r="AA30" s="130" t="s">
        <v>69</v>
      </c>
      <c r="AB30">
        <v>10</v>
      </c>
      <c r="AC30" s="115">
        <v>135</v>
      </c>
    </row>
    <row r="31" spans="1:29">
      <c r="A31" s="117">
        <v>45406</v>
      </c>
      <c r="B31">
        <f>B64</f>
        <v>1110</v>
      </c>
      <c r="C31">
        <v>31.928699999999999</v>
      </c>
      <c r="D31">
        <f>D64</f>
        <v>321.99</v>
      </c>
      <c r="E31">
        <v>33.972000000000001</v>
      </c>
      <c r="F31" s="112">
        <v>156</v>
      </c>
      <c r="G31">
        <v>2380.13</v>
      </c>
      <c r="L31">
        <f>L64</f>
        <v>125000</v>
      </c>
      <c r="M31">
        <v>0.88805999999999996</v>
      </c>
      <c r="N31" s="113">
        <f t="shared" si="17"/>
        <v>528687.28128</v>
      </c>
      <c r="O31">
        <v>166.96</v>
      </c>
      <c r="P31">
        <v>267307.03000000003</v>
      </c>
      <c r="Q31" s="115">
        <v>9722.09</v>
      </c>
      <c r="R31" s="127">
        <f t="shared" si="20"/>
        <v>7.927307811386175E-3</v>
      </c>
      <c r="S31" s="116">
        <f t="shared" si="21"/>
        <v>-3.3134128688740994E-3</v>
      </c>
      <c r="T31" s="114">
        <f t="shared" si="22"/>
        <v>44</v>
      </c>
      <c r="U31" s="116">
        <f>((N31/$N$57)-1)/T31*30</f>
        <v>-2.259145137868704E-3</v>
      </c>
      <c r="V31" s="116"/>
      <c r="W31" s="116"/>
      <c r="X31" s="112" t="s">
        <v>70</v>
      </c>
      <c r="Y31" s="131">
        <v>37.39</v>
      </c>
      <c r="Z31" s="112" t="s">
        <v>70</v>
      </c>
      <c r="AA31" s="131">
        <v>30.5</v>
      </c>
      <c r="AB31">
        <v>10</v>
      </c>
      <c r="AC31" s="115">
        <v>135</v>
      </c>
    </row>
    <row r="32" spans="1:29">
      <c r="A32" s="117">
        <v>45404</v>
      </c>
      <c r="B32">
        <f>B64</f>
        <v>1110</v>
      </c>
      <c r="C32">
        <v>31.928699999999999</v>
      </c>
      <c r="D32">
        <f>D64</f>
        <v>321.99</v>
      </c>
      <c r="E32">
        <v>33.972000000000001</v>
      </c>
      <c r="F32" s="112">
        <v>156</v>
      </c>
      <c r="G32">
        <v>2380.13</v>
      </c>
      <c r="L32">
        <f>L64</f>
        <v>125000</v>
      </c>
      <c r="M32">
        <v>0.88805999999999996</v>
      </c>
      <c r="N32" s="113">
        <f t="shared" si="17"/>
        <v>528687.28128</v>
      </c>
      <c r="O32">
        <v>166.96</v>
      </c>
      <c r="P32">
        <v>267307.03000000003</v>
      </c>
      <c r="Q32" s="115">
        <v>9645.02</v>
      </c>
      <c r="R32" s="127">
        <f t="shared" si="20"/>
        <v>-5.0222809283961833E-3</v>
      </c>
      <c r="S32" s="116">
        <f t="shared" si="21"/>
        <v>-3.3134128688740994E-3</v>
      </c>
      <c r="T32" s="114">
        <f t="shared" si="22"/>
        <v>42</v>
      </c>
      <c r="U32" s="116">
        <f>((N32/$N$57)-1)/T32*30</f>
        <v>-2.3667234777672141E-3</v>
      </c>
      <c r="V32" s="116"/>
      <c r="W32" s="116"/>
      <c r="X32" s="112"/>
      <c r="Y32" s="116" t="e">
        <f>Sayfa2!#REF!</f>
        <v>#REF!</v>
      </c>
      <c r="Z32" s="112"/>
      <c r="AA32" s="116" t="e">
        <f>Sayfa2!#REF!</f>
        <v>#REF!</v>
      </c>
      <c r="AB32" s="112">
        <v>10</v>
      </c>
      <c r="AC32" s="128">
        <v>135</v>
      </c>
    </row>
    <row r="33" spans="1:29">
      <c r="A33" s="117">
        <v>45401</v>
      </c>
      <c r="B33">
        <f>B64</f>
        <v>1110</v>
      </c>
      <c r="C33">
        <v>31.803999999999998</v>
      </c>
      <c r="D33">
        <f>D64</f>
        <v>321.99</v>
      </c>
      <c r="E33">
        <v>33.928400000000003</v>
      </c>
      <c r="F33" s="112">
        <v>156</v>
      </c>
      <c r="G33">
        <v>2427.62</v>
      </c>
      <c r="L33">
        <f>L64</f>
        <v>125000</v>
      </c>
      <c r="M33">
        <v>0.87351800000000002</v>
      </c>
      <c r="N33" s="113">
        <f t="shared" si="17"/>
        <v>534125.51551599998</v>
      </c>
      <c r="O33">
        <v>170.57</v>
      </c>
      <c r="P33">
        <v>272736.27</v>
      </c>
      <c r="Q33" s="115">
        <v>9693.4599999999991</v>
      </c>
      <c r="R33" s="127">
        <f t="shared" si="20"/>
        <v>1.4091975414350921E-3</v>
      </c>
      <c r="S33" s="116">
        <f t="shared" si="21"/>
        <v>6.9388010818296486E-3</v>
      </c>
      <c r="T33" s="114">
        <f t="shared" si="22"/>
        <v>39</v>
      </c>
      <c r="U33" s="116">
        <f>((N33/$N$57)-1)/T33*30</f>
        <v>5.3375392937151144E-3</v>
      </c>
      <c r="V33" s="116"/>
      <c r="W33" s="116"/>
      <c r="X33" s="112" t="s">
        <v>71</v>
      </c>
      <c r="Y33" s="115">
        <f>Y31*X28</f>
        <v>1308.6500000000001</v>
      </c>
      <c r="Z33" s="112" t="s">
        <v>71</v>
      </c>
      <c r="AA33" s="115">
        <f>AA31*Z28</f>
        <v>1220</v>
      </c>
      <c r="AB33" s="112" t="s">
        <v>67</v>
      </c>
      <c r="AC33" s="129" t="s">
        <v>68</v>
      </c>
    </row>
    <row r="34" spans="1:29">
      <c r="A34" s="117">
        <v>45397</v>
      </c>
      <c r="B34">
        <f>B64</f>
        <v>1110</v>
      </c>
      <c r="C34">
        <v>31.863399999999999</v>
      </c>
      <c r="D34">
        <f>D64</f>
        <v>321.99</v>
      </c>
      <c r="E34">
        <v>33.963099999999997</v>
      </c>
      <c r="F34" s="112">
        <v>156</v>
      </c>
      <c r="G34">
        <v>2387.5100000000002</v>
      </c>
      <c r="L34">
        <f>L64</f>
        <v>125000</v>
      </c>
      <c r="M34">
        <v>0.89791399999999999</v>
      </c>
      <c r="N34" s="113">
        <f t="shared" ref="N34:N69" si="23">(F34*G34)+(B34*C34)+(D34*E34)+(L34*M34)+(H34*I34)</f>
        <v>530994.96256900008</v>
      </c>
      <c r="O34">
        <v>169.14</v>
      </c>
      <c r="P34">
        <v>269604.92</v>
      </c>
      <c r="Q34" s="115">
        <v>9679.7999999999993</v>
      </c>
      <c r="R34" s="127">
        <f t="shared" si="20"/>
        <v>-1.3880452075456073E-2</v>
      </c>
      <c r="S34" s="116">
        <f t="shared" si="21"/>
        <v>1.0370511380362046E-3</v>
      </c>
      <c r="T34" s="114">
        <f t="shared" si="22"/>
        <v>35</v>
      </c>
      <c r="U34" s="116">
        <f>((N34/$N$57)-1)/T34*30</f>
        <v>8.8890097545960402E-4</v>
      </c>
      <c r="V34" s="116"/>
      <c r="W34" s="116"/>
      <c r="X34" s="132" t="s">
        <v>72</v>
      </c>
      <c r="Y34" s="132">
        <f>(X28*Y5)-(X28*Y31)</f>
        <v>-330.05000000000007</v>
      </c>
      <c r="Z34" s="132" t="s">
        <v>72</v>
      </c>
      <c r="AA34" s="132">
        <f>(Z28*AA5)-(Z28*AA31)</f>
        <v>-276</v>
      </c>
      <c r="AC34" s="130" t="s">
        <v>69</v>
      </c>
    </row>
    <row r="35" spans="1:29">
      <c r="A35" s="117">
        <v>45391</v>
      </c>
      <c r="B35">
        <f>B64</f>
        <v>1110</v>
      </c>
      <c r="C35">
        <v>31.412299999999998</v>
      </c>
      <c r="D35">
        <f>D64</f>
        <v>321.99</v>
      </c>
      <c r="E35">
        <v>34.091799999999999</v>
      </c>
      <c r="F35" s="112">
        <v>156</v>
      </c>
      <c r="G35">
        <v>2352.21</v>
      </c>
      <c r="L35">
        <f>L64</f>
        <v>125000</v>
      </c>
      <c r="M35">
        <v>0.89529800000000004</v>
      </c>
      <c r="N35" s="113">
        <f t="shared" si="23"/>
        <v>524701.88168200001</v>
      </c>
      <c r="O35">
        <v>165.81</v>
      </c>
      <c r="P35">
        <v>263308.84999999998</v>
      </c>
      <c r="Q35" s="115">
        <v>9814.16</v>
      </c>
      <c r="R35" s="127">
        <f t="shared" ref="R35:R36" si="24">(1-(Q36/Q35))</f>
        <v>5.8558246452063978E-3</v>
      </c>
      <c r="S35" s="116">
        <f t="shared" si="21"/>
        <v>-1.0826728328378388E-2</v>
      </c>
      <c r="T35" s="114">
        <f t="shared" si="22"/>
        <v>29</v>
      </c>
      <c r="U35" s="116">
        <f>((N35/$N$57)-1)/T35*30</f>
        <v>-1.1200063787977641E-2</v>
      </c>
      <c r="V35" s="116"/>
      <c r="W35" s="116"/>
      <c r="X35" s="116"/>
      <c r="Y35" s="116"/>
      <c r="Z35" s="116"/>
      <c r="AA35" s="116"/>
      <c r="AB35" s="112" t="s">
        <v>70</v>
      </c>
      <c r="AC35" s="131">
        <v>135</v>
      </c>
    </row>
    <row r="36" spans="1:29">
      <c r="A36" s="117">
        <v>45390</v>
      </c>
      <c r="B36">
        <f>B64</f>
        <v>1110</v>
      </c>
      <c r="C36">
        <v>31.5198</v>
      </c>
      <c r="D36">
        <f>D64</f>
        <v>321.99</v>
      </c>
      <c r="E36">
        <v>34.154899999999998</v>
      </c>
      <c r="F36" s="112">
        <v>156</v>
      </c>
      <c r="G36">
        <v>2344.37</v>
      </c>
      <c r="L36">
        <f>L64</f>
        <v>125000</v>
      </c>
      <c r="M36">
        <v>0.818581</v>
      </c>
      <c r="N36" s="113">
        <f t="shared" si="23"/>
        <v>514028.85925099999</v>
      </c>
      <c r="O36">
        <v>159.19</v>
      </c>
      <c r="P36">
        <v>252634.37</v>
      </c>
      <c r="Q36" s="115">
        <v>9756.69</v>
      </c>
      <c r="R36" s="127">
        <f t="shared" si="24"/>
        <v>1.4129791968382821E-2</v>
      </c>
      <c r="S36" s="116">
        <f t="shared" si="21"/>
        <v>-3.0947617704367603E-2</v>
      </c>
      <c r="T36" s="114">
        <f t="shared" si="22"/>
        <v>28</v>
      </c>
      <c r="U36" s="116">
        <f>((N36/$N$57)-1)/T36*30</f>
        <v>-3.3158161826108146E-2</v>
      </c>
      <c r="V36" s="116"/>
      <c r="W36" s="116"/>
      <c r="X36" s="116"/>
      <c r="Y36" s="116"/>
      <c r="Z36" s="116"/>
      <c r="AA36" s="116"/>
      <c r="AC36" s="116">
        <f>Sayfa2!K4</f>
        <v>0</v>
      </c>
    </row>
    <row r="37" spans="1:29">
      <c r="A37" s="117">
        <v>45387</v>
      </c>
      <c r="B37">
        <f>B64</f>
        <v>1110</v>
      </c>
      <c r="C37">
        <v>31.407</v>
      </c>
      <c r="D37">
        <f>D64</f>
        <v>321.99</v>
      </c>
      <c r="E37">
        <v>34.038899999999998</v>
      </c>
      <c r="F37" s="112">
        <v>156</v>
      </c>
      <c r="G37">
        <v>2289.27</v>
      </c>
      <c r="L37">
        <f>L64</f>
        <v>125000</v>
      </c>
      <c r="M37">
        <v>0.82424600000000003</v>
      </c>
      <c r="N37" s="113">
        <f t="shared" si="23"/>
        <v>505978.825411</v>
      </c>
      <c r="O37">
        <v>154.41</v>
      </c>
      <c r="P37">
        <v>244587.02</v>
      </c>
      <c r="Q37" s="115">
        <v>9618.83</v>
      </c>
      <c r="R37" s="127">
        <f t="shared" ref="R37:R68" si="25">(1-(Q38/Q37))</f>
        <v>5.0921993631241946E-2</v>
      </c>
      <c r="S37" s="116">
        <f t="shared" si="21"/>
        <v>-4.6123622572225242E-2</v>
      </c>
      <c r="T37" s="114">
        <f t="shared" si="22"/>
        <v>25</v>
      </c>
      <c r="U37" s="116">
        <f>((N37/$N$57)-1)/T37*30</f>
        <v>-5.5348347086670288E-2</v>
      </c>
      <c r="V37" s="116"/>
      <c r="W37" s="116"/>
      <c r="X37" s="116"/>
      <c r="Y37" s="116"/>
      <c r="Z37" s="116"/>
      <c r="AA37" s="116"/>
      <c r="AB37" s="112" t="s">
        <v>71</v>
      </c>
      <c r="AC37" s="115">
        <f>AC35*AB32</f>
        <v>1350</v>
      </c>
    </row>
    <row r="38" spans="1:29">
      <c r="A38" s="117">
        <v>45386</v>
      </c>
      <c r="B38">
        <f>B64</f>
        <v>1110</v>
      </c>
      <c r="C38">
        <v>31.399799999999999</v>
      </c>
      <c r="D38">
        <f>D64</f>
        <v>321.99</v>
      </c>
      <c r="E38">
        <v>34.053100000000001</v>
      </c>
      <c r="F38" s="112">
        <v>156</v>
      </c>
      <c r="G38">
        <v>2292.5700000000002</v>
      </c>
      <c r="L38">
        <f>L64</f>
        <v>125000</v>
      </c>
      <c r="M38">
        <v>0.82913899999999996</v>
      </c>
      <c r="N38" s="113">
        <f t="shared" si="23"/>
        <v>507101.83066900005</v>
      </c>
      <c r="O38">
        <v>155.22</v>
      </c>
      <c r="P38">
        <v>245709.7</v>
      </c>
      <c r="Q38" s="115">
        <v>9129.02</v>
      </c>
      <c r="R38" s="127">
        <f t="shared" si="25"/>
        <v>2.0070062284889389E-2</v>
      </c>
      <c r="S38" s="116">
        <f t="shared" si="21"/>
        <v>-4.4006521749946126E-2</v>
      </c>
      <c r="T38" s="114">
        <f t="shared" si="22"/>
        <v>24</v>
      </c>
      <c r="U38" s="116">
        <f>((N38/$N$57)-1)/T38*30</f>
        <v>-5.5008152187432657E-2</v>
      </c>
      <c r="V38" s="116"/>
      <c r="W38" s="116"/>
      <c r="X38" s="116"/>
      <c r="Y38" s="116"/>
      <c r="Z38" s="116"/>
      <c r="AA38" s="116"/>
      <c r="AB38" s="132" t="s">
        <v>72</v>
      </c>
      <c r="AC38" s="132">
        <f>(AB10*AC5)-(AB10*AC35)</f>
        <v>-49</v>
      </c>
    </row>
    <row r="39" spans="1:29">
      <c r="A39" s="117">
        <v>45385</v>
      </c>
      <c r="B39">
        <f>B64</f>
        <v>1110</v>
      </c>
      <c r="C39">
        <v>31.399799999999999</v>
      </c>
      <c r="D39">
        <f>D64</f>
        <v>321.99</v>
      </c>
      <c r="E39">
        <v>34.053100000000001</v>
      </c>
      <c r="F39" s="112">
        <v>156</v>
      </c>
      <c r="G39">
        <v>2292.5700000000002</v>
      </c>
      <c r="L39">
        <f>L64</f>
        <v>125000</v>
      </c>
      <c r="M39">
        <v>0.82913899999999996</v>
      </c>
      <c r="N39" s="113">
        <f t="shared" si="23"/>
        <v>507101.83066900005</v>
      </c>
      <c r="O39">
        <v>155.22</v>
      </c>
      <c r="P39">
        <v>245709.7</v>
      </c>
      <c r="Q39" s="115">
        <v>8945.7999999999993</v>
      </c>
      <c r="R39" s="127">
        <f t="shared" si="25"/>
        <v>-1.0627333497283731E-2</v>
      </c>
      <c r="S39" s="116">
        <f t="shared" si="21"/>
        <v>-4.4006521749946126E-2</v>
      </c>
      <c r="T39" s="114">
        <f t="shared" si="22"/>
        <v>23</v>
      </c>
      <c r="U39" s="116">
        <f>((N39/$N$57)-1)/T39*30</f>
        <v>-5.7399810978190594E-2</v>
      </c>
      <c r="V39" s="116"/>
      <c r="W39" s="116"/>
      <c r="X39" s="116"/>
      <c r="Y39" s="116"/>
      <c r="Z39" s="116"/>
      <c r="AA39" s="116"/>
      <c r="AB39" s="133"/>
      <c r="AC39" s="134"/>
    </row>
    <row r="40" spans="1:29">
      <c r="A40" s="117">
        <v>45384</v>
      </c>
      <c r="B40">
        <f>B64</f>
        <v>1110</v>
      </c>
      <c r="C40">
        <v>31.536899999999999</v>
      </c>
      <c r="D40">
        <f>D64</f>
        <v>321.99</v>
      </c>
      <c r="E40">
        <v>33.958799999999997</v>
      </c>
      <c r="F40" s="112">
        <v>156</v>
      </c>
      <c r="G40">
        <v>2287.73</v>
      </c>
      <c r="L40">
        <f>L64</f>
        <v>125000</v>
      </c>
      <c r="M40">
        <v>0.85561100000000001</v>
      </c>
      <c r="N40" s="113">
        <f t="shared" si="23"/>
        <v>509777.60801200004</v>
      </c>
      <c r="O40">
        <v>157.11000000000001</v>
      </c>
      <c r="P40">
        <v>248387.66</v>
      </c>
      <c r="Q40" s="115">
        <v>9040.8700000000008</v>
      </c>
      <c r="R40" s="127">
        <f t="shared" si="25"/>
        <v>-1.2904731513670775E-2</v>
      </c>
      <c r="S40" s="116">
        <f t="shared" si="21"/>
        <v>-3.8962119354903346E-2</v>
      </c>
      <c r="T40" s="114">
        <f t="shared" si="22"/>
        <v>22</v>
      </c>
      <c r="U40" s="116">
        <f>((N40/$N$57)-1)/T40*30</f>
        <v>-5.3130162756686382E-2</v>
      </c>
      <c r="V40" s="116"/>
      <c r="W40" s="116"/>
      <c r="X40" s="116"/>
      <c r="Y40" s="116"/>
      <c r="Z40" s="116"/>
      <c r="AA40" s="116"/>
      <c r="AB40" s="133"/>
      <c r="AC40" s="134"/>
    </row>
    <row r="41" spans="1:29">
      <c r="A41" s="117">
        <v>45383</v>
      </c>
      <c r="B41">
        <f>B64</f>
        <v>1110</v>
      </c>
      <c r="C41">
        <v>31.879300000000001</v>
      </c>
      <c r="D41">
        <f>D64</f>
        <v>321.99</v>
      </c>
      <c r="E41">
        <v>34.391399999999997</v>
      </c>
      <c r="F41" s="112">
        <v>161</v>
      </c>
      <c r="G41">
        <v>2308.4299999999998</v>
      </c>
      <c r="L41">
        <f>L64</f>
        <v>125000</v>
      </c>
      <c r="M41">
        <v>0.88097599999999998</v>
      </c>
      <c r="N41" s="113">
        <f t="shared" si="23"/>
        <v>528238.93988600001</v>
      </c>
      <c r="O41">
        <v>161.66</v>
      </c>
      <c r="P41">
        <v>255424.81</v>
      </c>
      <c r="Q41" s="115">
        <v>9157.5400000000009</v>
      </c>
      <c r="R41" s="127">
        <f t="shared" si="25"/>
        <v>1.6532824317448958E-3</v>
      </c>
      <c r="S41" s="116">
        <f t="shared" si="21"/>
        <v>-4.1586305801334378E-3</v>
      </c>
      <c r="T41" s="114">
        <f t="shared" si="22"/>
        <v>21</v>
      </c>
      <c r="U41" s="116">
        <f>((N41/$N$57)-1)/T41*30</f>
        <v>-5.9409008287620545E-3</v>
      </c>
      <c r="V41" s="116"/>
      <c r="W41" s="116"/>
      <c r="X41" s="116"/>
      <c r="Y41" s="116"/>
      <c r="Z41" s="116"/>
      <c r="AA41" s="116"/>
      <c r="AB41" s="133"/>
      <c r="AC41" s="134"/>
    </row>
    <row r="42" spans="1:29">
      <c r="A42" s="117">
        <v>45381</v>
      </c>
      <c r="B42">
        <f>B64</f>
        <v>1110</v>
      </c>
      <c r="C42">
        <v>31.879300000000001</v>
      </c>
      <c r="D42">
        <f>D64</f>
        <v>321.99</v>
      </c>
      <c r="E42">
        <v>34.391399999999997</v>
      </c>
      <c r="F42" s="112">
        <v>161</v>
      </c>
      <c r="G42">
        <v>2308.4299999999998</v>
      </c>
      <c r="L42">
        <f>L64</f>
        <v>125000</v>
      </c>
      <c r="M42">
        <v>0.88097599999999998</v>
      </c>
      <c r="N42" s="113">
        <f t="shared" si="23"/>
        <v>528238.93988600001</v>
      </c>
      <c r="O42">
        <v>161.66</v>
      </c>
      <c r="P42">
        <v>255424.81</v>
      </c>
      <c r="Q42" s="115">
        <v>9142.4</v>
      </c>
      <c r="R42" s="127">
        <f t="shared" si="25"/>
        <v>0</v>
      </c>
      <c r="S42" s="116">
        <f t="shared" si="21"/>
        <v>-4.1586305801334378E-3</v>
      </c>
      <c r="T42" s="114">
        <f t="shared" si="22"/>
        <v>19</v>
      </c>
      <c r="U42" s="116">
        <f>((N42/$N$57)-1)/T42*30</f>
        <v>-6.5662588107370072E-3</v>
      </c>
      <c r="V42" s="116"/>
      <c r="W42" s="116"/>
      <c r="X42" s="116"/>
      <c r="Y42" s="116"/>
      <c r="Z42" s="116"/>
      <c r="AA42" s="116"/>
      <c r="AB42" s="133"/>
      <c r="AC42" s="134"/>
    </row>
    <row r="43" spans="1:29">
      <c r="A43" s="117">
        <v>45380</v>
      </c>
      <c r="B43">
        <f>B64</f>
        <v>1110</v>
      </c>
      <c r="C43">
        <v>31.8308</v>
      </c>
      <c r="D43">
        <f>D64</f>
        <v>321.99</v>
      </c>
      <c r="E43">
        <v>34.369900000000001</v>
      </c>
      <c r="F43" s="112">
        <v>161</v>
      </c>
      <c r="G43">
        <v>2273.3200000000002</v>
      </c>
      <c r="L43">
        <f>L64</f>
        <v>125000</v>
      </c>
      <c r="M43">
        <v>0.85243100000000005</v>
      </c>
      <c r="N43" s="113">
        <f t="shared" si="23"/>
        <v>518957.34710100002</v>
      </c>
      <c r="O43">
        <v>156.08000000000001</v>
      </c>
      <c r="P43">
        <v>246143.72</v>
      </c>
      <c r="Q43" s="115">
        <v>9142.4</v>
      </c>
      <c r="R43" s="127">
        <f t="shared" si="25"/>
        <v>6.8286226811340445E-3</v>
      </c>
      <c r="S43" s="116">
        <f t="shared" si="21"/>
        <v>-2.165638277425741E-2</v>
      </c>
      <c r="T43" s="114">
        <f t="shared" si="22"/>
        <v>18</v>
      </c>
      <c r="U43" s="116">
        <f>((N43/$N$57)-1)/T43*30</f>
        <v>-3.6093971290429017E-2</v>
      </c>
      <c r="V43" s="116"/>
      <c r="W43" s="116"/>
      <c r="X43" s="116"/>
      <c r="Y43" s="116"/>
      <c r="Z43" s="116"/>
      <c r="AA43" s="116"/>
      <c r="AB43" s="133"/>
      <c r="AC43" s="134"/>
    </row>
    <row r="44" spans="1:29">
      <c r="A44" s="117">
        <v>45379</v>
      </c>
      <c r="B44">
        <f>B64</f>
        <v>1110</v>
      </c>
      <c r="C44">
        <v>31.870699999999999</v>
      </c>
      <c r="D44">
        <f>D64</f>
        <v>321.99</v>
      </c>
      <c r="E44">
        <v>34.480800000000002</v>
      </c>
      <c r="F44" s="112">
        <v>161</v>
      </c>
      <c r="G44">
        <v>2240.09</v>
      </c>
      <c r="L44">
        <f>L64</f>
        <v>125000</v>
      </c>
      <c r="M44">
        <v>0.86473199999999995</v>
      </c>
      <c r="N44" s="113">
        <f t="shared" si="23"/>
        <v>515224.93979200005</v>
      </c>
      <c r="O44">
        <v>153.81</v>
      </c>
      <c r="P44">
        <v>242408.74</v>
      </c>
      <c r="Q44" s="115">
        <v>9079.9699999999993</v>
      </c>
      <c r="R44" s="127">
        <f t="shared" si="25"/>
        <v>3.0093711763364839E-2</v>
      </c>
      <c r="S44" s="116">
        <f t="shared" si="21"/>
        <v>-2.8692754622628547E-2</v>
      </c>
      <c r="T44" s="114">
        <f t="shared" si="22"/>
        <v>17</v>
      </c>
      <c r="U44" s="116">
        <f>((N44/$N$57)-1)/T44*30</f>
        <v>-5.0634272863462143E-2</v>
      </c>
      <c r="V44" s="116"/>
      <c r="W44" s="116"/>
      <c r="X44" s="116"/>
      <c r="Y44" s="116"/>
      <c r="Z44" s="116"/>
      <c r="AA44" s="116"/>
      <c r="AB44" s="133"/>
      <c r="AC44" s="134"/>
    </row>
    <row r="45" spans="1:29">
      <c r="A45" s="117">
        <v>45378</v>
      </c>
      <c r="B45">
        <f>B64</f>
        <v>1110</v>
      </c>
      <c r="C45">
        <v>31.821999999999999</v>
      </c>
      <c r="D45">
        <f>D64</f>
        <v>321.99</v>
      </c>
      <c r="E45">
        <v>34.5045</v>
      </c>
      <c r="F45" s="112">
        <v>161</v>
      </c>
      <c r="G45">
        <v>2227.25</v>
      </c>
      <c r="L45">
        <f>L64</f>
        <v>125000</v>
      </c>
      <c r="M45">
        <v>0.85899999999999999</v>
      </c>
      <c r="N45" s="113">
        <f t="shared" si="23"/>
        <v>512394.77395499998</v>
      </c>
      <c r="O45">
        <v>154.24</v>
      </c>
      <c r="P45">
        <v>242616.68</v>
      </c>
      <c r="Q45" s="115">
        <v>8806.7199999999993</v>
      </c>
      <c r="R45" s="127">
        <f t="shared" si="25"/>
        <v>-7.4942770974972817E-5</v>
      </c>
      <c r="S45" s="116">
        <f t="shared" si="21"/>
        <v>-3.4028211761422011E-2</v>
      </c>
      <c r="T45" s="114">
        <f t="shared" si="22"/>
        <v>16</v>
      </c>
      <c r="U45" s="116">
        <f>((N45/$N$57)-1)/T45*30</f>
        <v>-6.3802897052666271E-2</v>
      </c>
      <c r="V45" s="116"/>
      <c r="W45" s="116"/>
      <c r="X45" s="116"/>
      <c r="Y45" s="116"/>
      <c r="Z45" s="116"/>
      <c r="AA45" s="116"/>
      <c r="AB45" s="133"/>
      <c r="AC45" s="134"/>
    </row>
    <row r="46" spans="1:29">
      <c r="A46" s="117">
        <v>45377</v>
      </c>
      <c r="B46">
        <f>B65</f>
        <v>1110</v>
      </c>
      <c r="C46">
        <v>31.530999999999999</v>
      </c>
      <c r="D46">
        <f>D65</f>
        <v>321.99</v>
      </c>
      <c r="E46">
        <v>34.125900000000001</v>
      </c>
      <c r="F46" s="112">
        <v>161</v>
      </c>
      <c r="G46">
        <v>2227.25</v>
      </c>
      <c r="L46">
        <f>L65</f>
        <v>125000</v>
      </c>
      <c r="M46">
        <v>0.890316</v>
      </c>
      <c r="N46" s="113">
        <f t="shared" si="23"/>
        <v>515864.35854099999</v>
      </c>
      <c r="O46">
        <v>154.24</v>
      </c>
      <c r="P46">
        <v>242616.68</v>
      </c>
      <c r="Q46" s="115">
        <v>8807.3799999999992</v>
      </c>
      <c r="R46" s="127">
        <f t="shared" si="25"/>
        <v>-2.5206133946758191E-2</v>
      </c>
      <c r="S46" s="116">
        <f t="shared" si="21"/>
        <v>-2.7487315957364089E-2</v>
      </c>
      <c r="T46" s="114">
        <f t="shared" si="22"/>
        <v>15</v>
      </c>
      <c r="U46" s="116">
        <f>((N46/$N$57)-1)/T46*30</f>
        <v>-5.4974631914728178E-2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45376</v>
      </c>
      <c r="B47">
        <f>B64</f>
        <v>1110</v>
      </c>
      <c r="C47">
        <v>31.786200000000001</v>
      </c>
      <c r="D47">
        <f>D64</f>
        <v>321.99</v>
      </c>
      <c r="E47">
        <v>34.386299999999999</v>
      </c>
      <c r="F47" s="112">
        <v>161</v>
      </c>
      <c r="G47">
        <v>2214.31</v>
      </c>
      <c r="L47">
        <f>L64</f>
        <v>125000</v>
      </c>
      <c r="M47">
        <v>0.91889100000000001</v>
      </c>
      <c r="N47" s="113">
        <f t="shared" si="23"/>
        <v>517720.01173699996</v>
      </c>
      <c r="O47">
        <v>155.99</v>
      </c>
      <c r="P47">
        <v>244906</v>
      </c>
      <c r="Q47" s="115">
        <v>9029.3799999999992</v>
      </c>
      <c r="R47" s="127">
        <f t="shared" si="25"/>
        <v>-9.0947551216142841E-3</v>
      </c>
      <c r="S47" s="116">
        <f t="shared" si="21"/>
        <v>-2.3989019863797534E-2</v>
      </c>
      <c r="T47" s="114">
        <f t="shared" si="22"/>
        <v>14</v>
      </c>
      <c r="U47" s="116">
        <f>((N47/$N$57)-1)/T47*30</f>
        <v>-5.1405042565280425E-2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45373</v>
      </c>
      <c r="B48">
        <f>B64</f>
        <v>1110</v>
      </c>
      <c r="C48">
        <v>31.710699999999999</v>
      </c>
      <c r="D48">
        <f>D64</f>
        <v>321.99</v>
      </c>
      <c r="E48">
        <v>34.336300000000001</v>
      </c>
      <c r="F48" s="112">
        <v>161</v>
      </c>
      <c r="G48">
        <v>2212.11</v>
      </c>
      <c r="L48">
        <f>L64</f>
        <v>125000</v>
      </c>
      <c r="M48">
        <v>0.93062100000000003</v>
      </c>
      <c r="N48" s="113">
        <f t="shared" si="23"/>
        <v>518732.15723700001</v>
      </c>
      <c r="O48">
        <v>156.63999999999999</v>
      </c>
      <c r="P48">
        <v>245919.31</v>
      </c>
      <c r="Q48">
        <v>9111.5</v>
      </c>
      <c r="R48" s="127">
        <f t="shared" si="25"/>
        <v>-3.2047412610438641E-3</v>
      </c>
      <c r="S48" s="116">
        <f t="shared" si="21"/>
        <v>-2.2080912973779676E-2</v>
      </c>
      <c r="T48" s="114">
        <f t="shared" si="22"/>
        <v>11</v>
      </c>
      <c r="U48" s="116">
        <f>((N48/$N$57)-1)/T48*30</f>
        <v>-6.0220671746671839E-2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45372</v>
      </c>
      <c r="B49">
        <f>B64</f>
        <v>1110</v>
      </c>
      <c r="C49">
        <v>32.063899999999997</v>
      </c>
      <c r="D49">
        <f>D64</f>
        <v>321.99</v>
      </c>
      <c r="E49">
        <v>35.065100000000001</v>
      </c>
      <c r="F49" s="112">
        <v>161</v>
      </c>
      <c r="G49">
        <v>2267.61</v>
      </c>
      <c r="L49">
        <f>L64</f>
        <v>125000</v>
      </c>
      <c r="M49">
        <v>0.94166499999999997</v>
      </c>
      <c r="N49" s="113">
        <f t="shared" si="23"/>
        <v>529674.87554899999</v>
      </c>
      <c r="O49">
        <v>163.91</v>
      </c>
      <c r="P49">
        <v>256845.12</v>
      </c>
      <c r="Q49" s="115">
        <v>9140.7000000000007</v>
      </c>
      <c r="R49" s="127">
        <f t="shared" si="25"/>
        <v>2.0302602645311585E-2</v>
      </c>
      <c r="S49" s="116">
        <f t="shared" si="21"/>
        <v>-1.4515902067954167E-3</v>
      </c>
      <c r="T49" s="114">
        <f t="shared" si="22"/>
        <v>10</v>
      </c>
      <c r="U49" s="116">
        <f>((N49/$N$57)-1)/T49*30</f>
        <v>-4.3547706203862502E-3</v>
      </c>
      <c r="V49" s="116"/>
      <c r="W49" s="116"/>
      <c r="X49" s="116"/>
      <c r="Y49" s="116"/>
      <c r="Z49" s="116"/>
      <c r="AA49" s="116"/>
      <c r="AB49" s="133"/>
      <c r="AC49" s="134"/>
    </row>
    <row r="50" spans="1:39">
      <c r="A50" s="117">
        <v>45371</v>
      </c>
      <c r="B50">
        <f>B64</f>
        <v>1110</v>
      </c>
      <c r="C50">
        <v>32.028799999999997</v>
      </c>
      <c r="D50">
        <f>D64</f>
        <v>321.99</v>
      </c>
      <c r="E50">
        <v>34.808799999999998</v>
      </c>
      <c r="F50" s="112">
        <v>161</v>
      </c>
      <c r="G50">
        <v>2220.92</v>
      </c>
      <c r="L50">
        <f>L64</f>
        <v>125000</v>
      </c>
      <c r="M50">
        <v>0.93470600000000004</v>
      </c>
      <c r="N50" s="113">
        <f t="shared" si="23"/>
        <v>521166.42351200001</v>
      </c>
      <c r="O50">
        <v>158.47999999999999</v>
      </c>
      <c r="P50">
        <v>248342.62</v>
      </c>
      <c r="Q50" s="115">
        <v>8955.1200000000008</v>
      </c>
      <c r="R50" s="127">
        <f t="shared" si="25"/>
        <v>2.8184993612594411E-3</v>
      </c>
      <c r="S50" s="116">
        <f t="shared" si="21"/>
        <v>-1.7491809676412506E-2</v>
      </c>
      <c r="T50" s="114">
        <f t="shared" si="22"/>
        <v>9</v>
      </c>
      <c r="U50" s="116">
        <f>((N50/$N$57)-1)/T50*30</f>
        <v>-5.8306032254708352E-2</v>
      </c>
      <c r="V50" s="116"/>
      <c r="W50" s="116"/>
      <c r="X50" s="116"/>
      <c r="Y50" s="116"/>
      <c r="Z50" s="116"/>
      <c r="AA50" s="116"/>
      <c r="AB50" s="133"/>
      <c r="AC50" s="134"/>
    </row>
    <row r="51" spans="1:39">
      <c r="A51" s="117">
        <v>45370</v>
      </c>
      <c r="B51">
        <f>B64</f>
        <v>1110</v>
      </c>
      <c r="C51">
        <v>32.087800000000001</v>
      </c>
      <c r="D51">
        <f>D64</f>
        <v>321.99</v>
      </c>
      <c r="E51">
        <v>34.799100000000003</v>
      </c>
      <c r="F51" s="112">
        <v>161</v>
      </c>
      <c r="G51">
        <v>2219.02</v>
      </c>
      <c r="L51">
        <f>L64</f>
        <v>125000</v>
      </c>
      <c r="M51">
        <v>0.90033600000000003</v>
      </c>
      <c r="N51" s="113">
        <f t="shared" si="23"/>
        <v>516626.64020899998</v>
      </c>
      <c r="O51">
        <v>155.59</v>
      </c>
      <c r="P51">
        <v>243803.06</v>
      </c>
      <c r="Q51" s="115">
        <v>8929.8799999999992</v>
      </c>
      <c r="R51" s="127">
        <f t="shared" si="25"/>
        <v>2.3714764364134666E-2</v>
      </c>
      <c r="S51" s="116">
        <f t="shared" si="21"/>
        <v>-2.6050254879836254E-2</v>
      </c>
      <c r="T51" s="114">
        <f t="shared" si="22"/>
        <v>8</v>
      </c>
      <c r="U51" s="116">
        <f>((N51/$N$57)-1)/T51*30</f>
        <v>-9.7688455799385954E-2</v>
      </c>
      <c r="V51" s="116"/>
      <c r="W51" s="116"/>
      <c r="X51" s="116"/>
      <c r="Y51" s="116"/>
      <c r="Z51" s="116"/>
      <c r="AA51" s="116"/>
      <c r="AB51" s="133"/>
      <c r="AC51" s="134"/>
      <c r="AL51">
        <v>68</v>
      </c>
      <c r="AM51">
        <v>19.690000000000001</v>
      </c>
    </row>
    <row r="52" spans="1:39">
      <c r="A52" s="117">
        <v>45369</v>
      </c>
      <c r="B52">
        <f>B64</f>
        <v>1110</v>
      </c>
      <c r="C52">
        <v>31.9499</v>
      </c>
      <c r="D52">
        <f>D64</f>
        <v>321.99</v>
      </c>
      <c r="E52">
        <v>34.8125</v>
      </c>
      <c r="F52" s="112">
        <v>161</v>
      </c>
      <c r="G52">
        <v>2212.35</v>
      </c>
      <c r="L52">
        <f>L64</f>
        <v>125000</v>
      </c>
      <c r="M52">
        <v>0.93887900000000002</v>
      </c>
      <c r="N52" s="113">
        <f t="shared" si="23"/>
        <v>520221.89087499998</v>
      </c>
      <c r="O52">
        <v>155.44</v>
      </c>
      <c r="P52">
        <v>247623.17</v>
      </c>
      <c r="Q52" s="115">
        <v>8718.11</v>
      </c>
      <c r="R52" s="127">
        <f t="shared" si="25"/>
        <v>-1.2685088855267868E-2</v>
      </c>
      <c r="S52" s="116">
        <f t="shared" si="21"/>
        <v>-1.9272452116166794E-2</v>
      </c>
      <c r="T52" s="114">
        <f t="shared" si="22"/>
        <v>7</v>
      </c>
      <c r="U52" s="116">
        <f>((N52/$N$57)-1)/T52*30</f>
        <v>-8.2596223355000553E-2</v>
      </c>
      <c r="V52" s="116"/>
      <c r="W52" s="116"/>
      <c r="X52" s="116"/>
      <c r="Y52" s="116"/>
      <c r="Z52" s="116"/>
      <c r="AA52" s="116"/>
      <c r="AB52" s="133"/>
      <c r="AC52" s="134"/>
      <c r="AL52">
        <v>68</v>
      </c>
      <c r="AM52">
        <v>22.96</v>
      </c>
    </row>
    <row r="53" spans="1:39">
      <c r="A53" s="117">
        <v>45366</v>
      </c>
      <c r="B53">
        <f>B64</f>
        <v>1110</v>
      </c>
      <c r="C53">
        <v>31.796299999999999</v>
      </c>
      <c r="D53">
        <f>D64</f>
        <v>321.99</v>
      </c>
      <c r="E53">
        <v>34.619700000000002</v>
      </c>
      <c r="F53" s="112">
        <v>161</v>
      </c>
      <c r="G53">
        <v>2213.54</v>
      </c>
      <c r="L53">
        <f>L64</f>
        <v>125000</v>
      </c>
      <c r="M53">
        <v>0.94838599999999995</v>
      </c>
      <c r="N53" s="113">
        <f t="shared" si="23"/>
        <v>521369.280203</v>
      </c>
      <c r="O53">
        <v>156.13</v>
      </c>
      <c r="P53">
        <v>248712.47</v>
      </c>
      <c r="Q53" s="115">
        <v>8828.7000000000007</v>
      </c>
      <c r="R53" s="127">
        <f t="shared" si="25"/>
        <v>-6.2092946866469934E-3</v>
      </c>
      <c r="S53" s="116">
        <f t="shared" si="21"/>
        <v>-1.7109382199549383E-2</v>
      </c>
      <c r="T53" s="114">
        <f t="shared" si="22"/>
        <v>4</v>
      </c>
      <c r="U53" s="116">
        <f>((N53/$N$57)-1)/T53*30</f>
        <v>-0.12832036649662037</v>
      </c>
      <c r="V53" s="116"/>
      <c r="W53" s="116"/>
      <c r="X53" s="116"/>
      <c r="Y53" s="116"/>
      <c r="Z53" s="116"/>
      <c r="AA53" s="116"/>
      <c r="AB53" s="133"/>
      <c r="AC53" s="134"/>
      <c r="AL53">
        <v>68</v>
      </c>
      <c r="AM53">
        <v>22.04</v>
      </c>
    </row>
    <row r="54" spans="1:39">
      <c r="A54" s="117">
        <v>45365</v>
      </c>
      <c r="B54">
        <f>B64</f>
        <v>1110</v>
      </c>
      <c r="C54">
        <v>31.775700000000001</v>
      </c>
      <c r="D54">
        <f>D64</f>
        <v>321.99</v>
      </c>
      <c r="E54">
        <v>34.762500000000003</v>
      </c>
      <c r="F54" s="112">
        <v>161</v>
      </c>
      <c r="G54">
        <v>2222.88</v>
      </c>
      <c r="L54">
        <f>L64</f>
        <v>125000</v>
      </c>
      <c r="M54">
        <v>0.95100700000000005</v>
      </c>
      <c r="N54" s="113">
        <f t="shared" si="23"/>
        <v>523223.75937500002</v>
      </c>
      <c r="O54">
        <v>157.21</v>
      </c>
      <c r="P54">
        <v>250427.64</v>
      </c>
      <c r="Q54" s="115">
        <v>8883.52</v>
      </c>
      <c r="R54" s="127">
        <f t="shared" si="25"/>
        <v>-3.0066910413888426E-3</v>
      </c>
      <c r="S54" s="116">
        <f t="shared" si="21"/>
        <v>-1.3613299387851274E-2</v>
      </c>
      <c r="T54" s="114">
        <f t="shared" si="22"/>
        <v>3</v>
      </c>
      <c r="U54" s="116">
        <f>((N54/$N$57)-1)/T54*30</f>
        <v>-0.13613299387851274</v>
      </c>
      <c r="V54" s="116"/>
      <c r="W54" s="116"/>
      <c r="X54" s="116"/>
      <c r="Y54" s="116"/>
      <c r="Z54" s="116"/>
      <c r="AA54" s="116"/>
      <c r="AB54" s="133"/>
      <c r="AC54" s="134"/>
      <c r="AL54">
        <v>68</v>
      </c>
      <c r="AM54">
        <v>20.399999999999999</v>
      </c>
    </row>
    <row r="55" spans="1:39">
      <c r="A55" s="117">
        <v>45364</v>
      </c>
      <c r="B55">
        <f>B64</f>
        <v>1110</v>
      </c>
      <c r="C55">
        <v>32</v>
      </c>
      <c r="D55">
        <f>D64</f>
        <v>321.99</v>
      </c>
      <c r="E55">
        <v>35</v>
      </c>
      <c r="F55" s="112">
        <v>161</v>
      </c>
      <c r="G55">
        <v>2220.3200000000002</v>
      </c>
      <c r="L55">
        <f>L64</f>
        <v>125000</v>
      </c>
      <c r="M55">
        <v>0.957233</v>
      </c>
      <c r="N55" s="113">
        <f t="shared" si="23"/>
        <v>523915.29500000004</v>
      </c>
      <c r="O55">
        <v>160.79</v>
      </c>
      <c r="P55">
        <v>250989.9</v>
      </c>
      <c r="Q55" s="115">
        <v>8910.23</v>
      </c>
      <c r="R55" s="127">
        <f t="shared" si="25"/>
        <v>-1.7822211098927898E-2</v>
      </c>
      <c r="S55" s="116">
        <f t="shared" si="21"/>
        <v>-1.2309609463077242E-2</v>
      </c>
      <c r="T55" s="114">
        <f t="shared" si="22"/>
        <v>2</v>
      </c>
      <c r="U55" s="116">
        <f>((N55/$N$57)-1)/T55*30</f>
        <v>-0.18464414194615864</v>
      </c>
      <c r="V55" s="116"/>
      <c r="W55" s="116"/>
      <c r="X55" s="116"/>
      <c r="Y55" s="116"/>
      <c r="Z55" s="116"/>
      <c r="AA55" s="116"/>
      <c r="AB55" s="133"/>
      <c r="AC55" s="134"/>
      <c r="AL55">
        <v>68</v>
      </c>
      <c r="AM55">
        <v>18.22</v>
      </c>
    </row>
    <row r="56" spans="1:39">
      <c r="A56" s="117">
        <v>45363</v>
      </c>
      <c r="B56">
        <f>B64</f>
        <v>1110</v>
      </c>
      <c r="C56">
        <v>31.516400000000001</v>
      </c>
      <c r="D56">
        <f>D64</f>
        <v>321.99</v>
      </c>
      <c r="E56">
        <v>34.463200000000001</v>
      </c>
      <c r="F56" s="112">
        <v>161</v>
      </c>
      <c r="G56">
        <v>2220.3200000000002</v>
      </c>
      <c r="L56">
        <f>L64</f>
        <v>125000</v>
      </c>
      <c r="M56">
        <v>0.979213</v>
      </c>
      <c r="N56" s="113">
        <f t="shared" si="23"/>
        <v>525953.15476800012</v>
      </c>
      <c r="O56">
        <v>161.94999999999999</v>
      </c>
      <c r="P56">
        <v>252645.61</v>
      </c>
      <c r="Q56" s="115">
        <v>9069.0300000000007</v>
      </c>
      <c r="R56" s="127">
        <f t="shared" si="25"/>
        <v>-6.8684302510850781E-3</v>
      </c>
      <c r="S56" s="116">
        <f t="shared" si="21"/>
        <v>-8.4678157049555836E-3</v>
      </c>
      <c r="T56" s="114">
        <f t="shared" si="22"/>
        <v>1</v>
      </c>
      <c r="U56" s="116">
        <f>((N56/$N$57)-1)/T56*30</f>
        <v>-0.25403447114866751</v>
      </c>
      <c r="V56" s="116"/>
      <c r="W56" s="116"/>
      <c r="X56" s="116"/>
      <c r="Y56" s="116"/>
      <c r="Z56" s="116"/>
      <c r="AA56" s="116"/>
      <c r="AB56" s="133"/>
      <c r="AC56" s="134"/>
      <c r="AL56">
        <v>68</v>
      </c>
      <c r="AM56">
        <v>16.57</v>
      </c>
    </row>
    <row r="57" spans="1:39">
      <c r="A57" s="117">
        <v>45362</v>
      </c>
      <c r="B57">
        <f>B64</f>
        <v>1110</v>
      </c>
      <c r="C57">
        <v>31.571400000000001</v>
      </c>
      <c r="D57">
        <f>D64</f>
        <v>321.99</v>
      </c>
      <c r="E57">
        <v>34.558100000000003</v>
      </c>
      <c r="F57" s="112">
        <v>161</v>
      </c>
      <c r="G57">
        <v>2232.66</v>
      </c>
      <c r="L57">
        <f>L64</f>
        <v>125000</v>
      </c>
      <c r="M57">
        <v>0.99851990000000002</v>
      </c>
      <c r="N57" s="200">
        <f t="shared" si="23"/>
        <v>530444.86411900003</v>
      </c>
      <c r="O57">
        <v>164.91</v>
      </c>
      <c r="P57">
        <v>257088.48</v>
      </c>
      <c r="Q57" s="115">
        <v>9131.32</v>
      </c>
      <c r="R57" s="127">
        <f t="shared" si="25"/>
        <v>-2.6283166070184549E-3</v>
      </c>
      <c r="S57" s="116">
        <f t="shared" si="21"/>
        <v>0</v>
      </c>
      <c r="T57" s="114">
        <f t="shared" si="22"/>
        <v>0</v>
      </c>
      <c r="U57" s="116"/>
      <c r="V57" s="116"/>
      <c r="W57" s="116"/>
      <c r="X57" s="116"/>
      <c r="Y57" s="116"/>
      <c r="Z57" s="116"/>
      <c r="AA57" s="116"/>
      <c r="AB57" s="133"/>
      <c r="AC57" s="134"/>
      <c r="AH57">
        <v>12</v>
      </c>
      <c r="AI57">
        <v>41.58</v>
      </c>
      <c r="AJ57">
        <f>AJ64</f>
        <v>15</v>
      </c>
      <c r="AK57">
        <v>55.55</v>
      </c>
      <c r="AL57">
        <v>68</v>
      </c>
      <c r="AM57">
        <v>15.07</v>
      </c>
    </row>
    <row r="58" spans="1:39">
      <c r="A58" s="117">
        <v>45359</v>
      </c>
      <c r="B58">
        <f>B64</f>
        <v>1110</v>
      </c>
      <c r="C58">
        <v>31.402999999999999</v>
      </c>
      <c r="D58">
        <f>D64</f>
        <v>321.99</v>
      </c>
      <c r="E58">
        <v>34.3643</v>
      </c>
      <c r="F58" s="112">
        <v>161</v>
      </c>
      <c r="G58">
        <v>2198.16</v>
      </c>
      <c r="L58">
        <f>L64</f>
        <v>125000</v>
      </c>
      <c r="M58">
        <v>0.99115900000000001</v>
      </c>
      <c r="N58" s="113">
        <f t="shared" si="23"/>
        <v>523720.92595699994</v>
      </c>
      <c r="O58">
        <v>160.9</v>
      </c>
      <c r="Q58" s="115">
        <v>9155.32</v>
      </c>
      <c r="R58" s="127">
        <f t="shared" si="25"/>
        <v>1.1047128882442081E-2</v>
      </c>
      <c r="S58" s="116"/>
      <c r="U58" s="116"/>
      <c r="V58" s="116"/>
      <c r="W58" s="116"/>
      <c r="X58" s="116"/>
      <c r="Y58" s="116"/>
      <c r="Z58" s="116"/>
      <c r="AA58" s="116"/>
      <c r="AB58" s="133"/>
      <c r="AC58" s="134"/>
      <c r="AH58">
        <v>12</v>
      </c>
      <c r="AI58">
        <v>37.799999999999997</v>
      </c>
      <c r="AJ58">
        <f>AJ64</f>
        <v>15</v>
      </c>
      <c r="AK58">
        <v>57.75</v>
      </c>
      <c r="AL58">
        <v>68</v>
      </c>
      <c r="AM58">
        <v>13.7</v>
      </c>
    </row>
    <row r="59" spans="1:39">
      <c r="A59" s="117">
        <v>45358</v>
      </c>
      <c r="B59">
        <f>B64</f>
        <v>1110</v>
      </c>
      <c r="C59">
        <v>31.297000000000001</v>
      </c>
      <c r="D59">
        <f>D64</f>
        <v>321.99</v>
      </c>
      <c r="E59">
        <v>34.110599999999998</v>
      </c>
      <c r="F59" s="112">
        <v>161</v>
      </c>
      <c r="G59">
        <v>2184.79</v>
      </c>
      <c r="L59">
        <f>L64</f>
        <v>125000</v>
      </c>
      <c r="M59">
        <v>0.945214</v>
      </c>
      <c r="N59" s="113">
        <f t="shared" si="23"/>
        <v>515625.882094</v>
      </c>
      <c r="O59">
        <v>155.75</v>
      </c>
      <c r="Q59" s="115">
        <v>9054.18</v>
      </c>
      <c r="R59" s="127">
        <f t="shared" si="25"/>
        <v>3.4194151209717583E-2</v>
      </c>
      <c r="S59" s="116"/>
      <c r="U59" s="116"/>
      <c r="V59" s="116"/>
      <c r="W59" s="116"/>
      <c r="X59" s="116"/>
      <c r="Y59" s="116"/>
      <c r="Z59" s="116"/>
      <c r="AA59" s="116"/>
      <c r="AB59" s="133"/>
      <c r="AC59" s="134"/>
      <c r="AH59">
        <v>12</v>
      </c>
      <c r="AI59">
        <v>34.380000000000003</v>
      </c>
      <c r="AJ59">
        <f>AJ64</f>
        <v>15</v>
      </c>
      <c r="AK59">
        <v>63.1</v>
      </c>
      <c r="AL59">
        <v>68</v>
      </c>
      <c r="AM59">
        <v>12.46</v>
      </c>
    </row>
    <row r="60" spans="1:39">
      <c r="A60" s="117">
        <v>45357</v>
      </c>
      <c r="B60">
        <f>B64</f>
        <v>1110</v>
      </c>
      <c r="C60">
        <v>31.293399999999998</v>
      </c>
      <c r="D60">
        <f>D64</f>
        <v>321.99</v>
      </c>
      <c r="E60">
        <v>34.006500000000003</v>
      </c>
      <c r="F60" s="112">
        <v>161</v>
      </c>
      <c r="G60">
        <v>2150.9</v>
      </c>
      <c r="L60">
        <f>L64</f>
        <v>125000</v>
      </c>
      <c r="M60">
        <v>0.99397100000000005</v>
      </c>
      <c r="N60" s="113">
        <f t="shared" si="23"/>
        <v>516226.70193500002</v>
      </c>
      <c r="O60">
        <v>156.16</v>
      </c>
      <c r="Q60" s="115">
        <v>8744.58</v>
      </c>
      <c r="R60" s="127">
        <f t="shared" si="25"/>
        <v>-1.3258498407013208E-2</v>
      </c>
      <c r="S60" s="116"/>
      <c r="U60" s="116"/>
      <c r="V60" s="116"/>
      <c r="W60" s="116"/>
      <c r="X60" s="116"/>
      <c r="Y60" s="116"/>
      <c r="Z60" s="116"/>
      <c r="AA60" s="116"/>
      <c r="AB60" s="133"/>
      <c r="AC60" s="134"/>
      <c r="AF60">
        <f>AF64</f>
        <v>57</v>
      </c>
      <c r="AG60">
        <v>580.05924800000003</v>
      </c>
      <c r="AH60">
        <v>12</v>
      </c>
      <c r="AI60">
        <v>31.26</v>
      </c>
      <c r="AJ60">
        <f>AJ64</f>
        <v>15</v>
      </c>
      <c r="AK60">
        <v>57.4</v>
      </c>
      <c r="AL60">
        <v>68</v>
      </c>
      <c r="AM60">
        <v>11.33</v>
      </c>
    </row>
    <row r="61" spans="1:39">
      <c r="A61" s="117">
        <v>45356</v>
      </c>
      <c r="B61">
        <f>B64</f>
        <v>1110</v>
      </c>
      <c r="C61">
        <v>31.079899999999999</v>
      </c>
      <c r="D61">
        <f>D64</f>
        <v>321.99</v>
      </c>
      <c r="E61">
        <v>33.721699999999998</v>
      </c>
      <c r="F61" s="112">
        <v>161</v>
      </c>
      <c r="G61">
        <v>2116.34</v>
      </c>
      <c r="L61">
        <f>L64</f>
        <v>125000</v>
      </c>
      <c r="M61">
        <v>1.0160309999999999</v>
      </c>
      <c r="N61" s="113">
        <f t="shared" si="23"/>
        <v>513091.35418300005</v>
      </c>
      <c r="O61">
        <v>154.22999999999999</v>
      </c>
      <c r="Q61" s="115">
        <v>8860.52</v>
      </c>
      <c r="R61" s="127">
        <f t="shared" si="25"/>
        <v>-5.319100910555985E-3</v>
      </c>
      <c r="S61" s="116"/>
      <c r="U61" s="116"/>
      <c r="V61" s="116"/>
      <c r="W61" s="116"/>
      <c r="X61" s="116"/>
      <c r="Y61" s="116"/>
      <c r="Z61" s="116"/>
      <c r="AA61" s="116"/>
      <c r="AB61" s="133"/>
      <c r="AC61" s="134"/>
      <c r="AD61">
        <f>AD64</f>
        <v>36</v>
      </c>
      <c r="AE61" s="135">
        <v>38.15</v>
      </c>
      <c r="AF61">
        <f>AF64</f>
        <v>57</v>
      </c>
      <c r="AG61">
        <v>579.361718</v>
      </c>
      <c r="AH61">
        <f>AH64</f>
        <v>12</v>
      </c>
      <c r="AI61">
        <v>28.42</v>
      </c>
      <c r="AJ61">
        <f>AJ64</f>
        <v>15</v>
      </c>
      <c r="AK61">
        <v>52.2</v>
      </c>
      <c r="AL61">
        <v>68</v>
      </c>
      <c r="AM61">
        <v>11.33</v>
      </c>
    </row>
    <row r="62" spans="1:39">
      <c r="A62" s="117">
        <v>45355</v>
      </c>
      <c r="B62">
        <f>B64</f>
        <v>1110</v>
      </c>
      <c r="C62">
        <v>30.905999999999999</v>
      </c>
      <c r="D62">
        <f>D64</f>
        <v>321.99</v>
      </c>
      <c r="E62">
        <v>33.542299999999997</v>
      </c>
      <c r="F62" s="112">
        <v>161</v>
      </c>
      <c r="G62">
        <v>2072.52</v>
      </c>
      <c r="L62">
        <f>L64</f>
        <v>125000</v>
      </c>
      <c r="M62">
        <v>1.041954</v>
      </c>
      <c r="N62" s="113">
        <f t="shared" si="23"/>
        <v>509025.91517699993</v>
      </c>
      <c r="Q62" s="115">
        <v>8907.65</v>
      </c>
      <c r="R62" s="127">
        <f t="shared" si="25"/>
        <v>-2.1273848882702007E-2</v>
      </c>
      <c r="S62" s="116"/>
      <c r="U62" s="116"/>
      <c r="V62" s="116"/>
      <c r="W62" s="116"/>
      <c r="X62" s="116"/>
      <c r="Y62" s="116"/>
      <c r="Z62" s="116"/>
      <c r="AA62" s="116"/>
      <c r="AB62" s="133"/>
      <c r="AC62" s="134"/>
      <c r="AD62">
        <f>AD64</f>
        <v>36</v>
      </c>
      <c r="AE62">
        <v>34.659999999999997</v>
      </c>
      <c r="AF62">
        <f>AF64</f>
        <v>57</v>
      </c>
      <c r="AG62">
        <v>578.66060300000004</v>
      </c>
      <c r="AH62">
        <f>AH64</f>
        <v>12</v>
      </c>
      <c r="AI62">
        <v>25.84</v>
      </c>
      <c r="AJ62">
        <f>AJ64</f>
        <v>15</v>
      </c>
      <c r="AK62">
        <v>47.46</v>
      </c>
      <c r="AL62">
        <v>68</v>
      </c>
      <c r="AM62">
        <v>11.33</v>
      </c>
    </row>
    <row r="63" spans="1:39">
      <c r="A63" s="117">
        <v>45352</v>
      </c>
      <c r="B63">
        <f>B64</f>
        <v>1110</v>
      </c>
      <c r="C63">
        <v>30.7361</v>
      </c>
      <c r="D63">
        <f>D64</f>
        <v>321.99</v>
      </c>
      <c r="E63">
        <v>33.225700000000003</v>
      </c>
      <c r="F63" s="112">
        <v>161</v>
      </c>
      <c r="G63">
        <v>2018.91</v>
      </c>
      <c r="L63">
        <f>L64</f>
        <v>125000</v>
      </c>
      <c r="M63">
        <v>1.034036</v>
      </c>
      <c r="N63" s="113">
        <f t="shared" si="23"/>
        <v>499114.42414299998</v>
      </c>
      <c r="Q63" s="115">
        <v>9097.15</v>
      </c>
      <c r="R63" s="127">
        <f t="shared" si="25"/>
        <v>-1.0612114783201454E-2</v>
      </c>
      <c r="S63" s="116"/>
      <c r="U63" s="116"/>
      <c r="V63" s="116"/>
      <c r="W63" s="116"/>
      <c r="X63" s="116"/>
      <c r="Y63" s="116"/>
      <c r="Z63" s="116"/>
      <c r="AA63" s="116"/>
      <c r="AB63" s="133"/>
      <c r="AC63" s="134"/>
      <c r="AD63">
        <f>AD64</f>
        <v>36</v>
      </c>
      <c r="AE63">
        <v>31.52</v>
      </c>
      <c r="AF63">
        <f>AF64</f>
        <v>57</v>
      </c>
      <c r="AG63">
        <v>576.58807100000001</v>
      </c>
      <c r="AH63">
        <f>AH64</f>
        <v>12</v>
      </c>
      <c r="AI63">
        <v>23.5</v>
      </c>
      <c r="AJ63">
        <f>AJ64</f>
        <v>15</v>
      </c>
      <c r="AK63">
        <v>43.16</v>
      </c>
      <c r="AL63">
        <v>68</v>
      </c>
      <c r="AM63">
        <v>11.33</v>
      </c>
    </row>
    <row r="64" spans="1:39">
      <c r="A64" s="117">
        <v>45351</v>
      </c>
      <c r="B64">
        <f>B65</f>
        <v>1110</v>
      </c>
      <c r="C64">
        <v>30.7361</v>
      </c>
      <c r="D64">
        <f>D65</f>
        <v>321.99</v>
      </c>
      <c r="E64">
        <v>33.225700000000003</v>
      </c>
      <c r="F64" s="112">
        <v>161</v>
      </c>
      <c r="G64">
        <v>2018.91</v>
      </c>
      <c r="L64">
        <f>L65</f>
        <v>125000</v>
      </c>
      <c r="M64">
        <v>1.010337</v>
      </c>
      <c r="N64" s="113">
        <f t="shared" si="23"/>
        <v>496152.04914299998</v>
      </c>
      <c r="Q64" s="115">
        <v>9193.69</v>
      </c>
      <c r="R64" s="127">
        <f t="shared" si="25"/>
        <v>1.428479750785594E-2</v>
      </c>
      <c r="S64" s="127"/>
      <c r="AD64">
        <f>AD65</f>
        <v>36</v>
      </c>
      <c r="AE64">
        <v>28.66</v>
      </c>
      <c r="AF64">
        <f>AF65</f>
        <v>57</v>
      </c>
      <c r="AG64">
        <v>576.58807100000001</v>
      </c>
      <c r="AH64">
        <f>AH65</f>
        <v>12</v>
      </c>
      <c r="AI64">
        <v>21.38</v>
      </c>
      <c r="AJ64">
        <v>15</v>
      </c>
      <c r="AK64">
        <v>39.24</v>
      </c>
      <c r="AM64" s="129">
        <f>AM63</f>
        <v>11.33</v>
      </c>
    </row>
    <row r="65" spans="1:39">
      <c r="A65" s="117">
        <v>45350</v>
      </c>
      <c r="B65">
        <v>1110</v>
      </c>
      <c r="C65">
        <v>30.7361</v>
      </c>
      <c r="D65">
        <v>321.99</v>
      </c>
      <c r="E65">
        <v>33.225700000000003</v>
      </c>
      <c r="F65" s="112">
        <v>161</v>
      </c>
      <c r="G65">
        <v>2018.91</v>
      </c>
      <c r="L65">
        <v>125000</v>
      </c>
      <c r="M65">
        <v>1.067704</v>
      </c>
      <c r="N65" s="113">
        <f t="shared" si="23"/>
        <v>503322.92414299998</v>
      </c>
      <c r="Q65" s="115">
        <v>9062.36</v>
      </c>
      <c r="R65" s="127">
        <f t="shared" si="25"/>
        <v>-1.292378585710563E-2</v>
      </c>
      <c r="S65" s="127"/>
      <c r="AD65">
        <f>AD66</f>
        <v>36</v>
      </c>
      <c r="AE65">
        <v>26.06</v>
      </c>
      <c r="AF65">
        <v>57</v>
      </c>
      <c r="AG65">
        <v>576.58807100000001</v>
      </c>
      <c r="AH65">
        <v>12</v>
      </c>
      <c r="AI65">
        <v>19.45</v>
      </c>
      <c r="AK65" s="129">
        <f>AK64</f>
        <v>39.24</v>
      </c>
      <c r="AM65" s="129" t="s">
        <v>69</v>
      </c>
    </row>
    <row r="66" spans="1:39">
      <c r="A66" s="117">
        <v>45349</v>
      </c>
      <c r="B66">
        <v>1110</v>
      </c>
      <c r="C66">
        <v>30.7361</v>
      </c>
      <c r="D66">
        <v>321.99</v>
      </c>
      <c r="E66">
        <v>33.225700000000003</v>
      </c>
      <c r="F66" s="112">
        <v>161</v>
      </c>
      <c r="G66">
        <v>2018.91</v>
      </c>
      <c r="L66" s="199">
        <v>75000</v>
      </c>
      <c r="M66">
        <v>1.064435</v>
      </c>
      <c r="N66" s="113">
        <f t="shared" si="23"/>
        <v>449692.54914299998</v>
      </c>
      <c r="Q66" s="115">
        <v>9179.48</v>
      </c>
      <c r="R66" s="127">
        <f t="shared" si="25"/>
        <v>-1.6847359545420826E-2</v>
      </c>
      <c r="S66" s="127"/>
      <c r="AD66">
        <v>36</v>
      </c>
      <c r="AE66">
        <v>23.7</v>
      </c>
      <c r="AF66">
        <v>57</v>
      </c>
      <c r="AG66">
        <v>576.58807100000001</v>
      </c>
      <c r="AI66" s="129">
        <f>AI65</f>
        <v>19.45</v>
      </c>
      <c r="AK66" s="129" t="s">
        <v>69</v>
      </c>
      <c r="AM66" s="130" t="s">
        <v>68</v>
      </c>
    </row>
    <row r="67" spans="1:39">
      <c r="A67" s="117">
        <v>45348</v>
      </c>
      <c r="B67">
        <v>1110</v>
      </c>
      <c r="C67">
        <v>30.7361</v>
      </c>
      <c r="D67">
        <v>321.99</v>
      </c>
      <c r="E67">
        <v>33.225700000000003</v>
      </c>
      <c r="F67" s="112">
        <v>161</v>
      </c>
      <c r="G67">
        <v>2018.91</v>
      </c>
      <c r="L67">
        <f>L68</f>
        <v>50000</v>
      </c>
      <c r="M67">
        <v>1.0192399999999999</v>
      </c>
      <c r="N67" s="113">
        <f t="shared" si="23"/>
        <v>420821.92414299998</v>
      </c>
      <c r="Q67" s="115">
        <v>9334.1299999999992</v>
      </c>
      <c r="R67" s="127">
        <f t="shared" si="25"/>
        <v>-4.2928478604864484E-3</v>
      </c>
      <c r="S67" s="127"/>
      <c r="AD67">
        <v>36</v>
      </c>
      <c r="AE67">
        <v>21.56</v>
      </c>
      <c r="AF67">
        <v>57</v>
      </c>
      <c r="AG67">
        <v>576.58807100000001</v>
      </c>
      <c r="AI67" s="129" t="s">
        <v>69</v>
      </c>
      <c r="AK67" s="130" t="s">
        <v>68</v>
      </c>
      <c r="AM67" s="130">
        <f>AM5</f>
        <v>19.690000000000001</v>
      </c>
    </row>
    <row r="68" spans="1:39">
      <c r="A68" s="117">
        <v>45345</v>
      </c>
      <c r="B68">
        <v>1110</v>
      </c>
      <c r="C68">
        <v>30.7361</v>
      </c>
      <c r="D68">
        <v>321.99</v>
      </c>
      <c r="E68">
        <v>33.225700000000003</v>
      </c>
      <c r="F68" s="112">
        <v>161</v>
      </c>
      <c r="G68">
        <v>2018.91</v>
      </c>
      <c r="L68">
        <v>50000</v>
      </c>
      <c r="M68">
        <v>1.0032049999999999</v>
      </c>
      <c r="N68" s="113">
        <f t="shared" si="23"/>
        <v>420020.17414299998</v>
      </c>
      <c r="Q68" s="115">
        <v>9374.2000000000007</v>
      </c>
      <c r="R68" s="127">
        <f t="shared" si="25"/>
        <v>2.8834460540633211E-3</v>
      </c>
      <c r="S68" s="127"/>
      <c r="AD68">
        <v>36</v>
      </c>
      <c r="AE68">
        <v>19.600000000000001</v>
      </c>
      <c r="AF68">
        <v>57</v>
      </c>
      <c r="AG68">
        <v>576.58807100000001</v>
      </c>
      <c r="AI68" s="130" t="s">
        <v>68</v>
      </c>
      <c r="AK68" s="130">
        <v>55.5</v>
      </c>
      <c r="AM68" s="116">
        <f>(AM67-AM63)/AM63</f>
        <v>0.73786407766990303</v>
      </c>
    </row>
    <row r="69" spans="1:39">
      <c r="A69" s="198">
        <v>45344</v>
      </c>
      <c r="L69" s="199">
        <v>50000</v>
      </c>
      <c r="M69">
        <v>1.0032049999999999</v>
      </c>
      <c r="N69" s="113">
        <f t="shared" si="23"/>
        <v>50160.249999999993</v>
      </c>
      <c r="Q69" s="115">
        <v>9347.17</v>
      </c>
      <c r="AD69">
        <v>36</v>
      </c>
      <c r="AE69">
        <v>17.82</v>
      </c>
      <c r="AI69" s="130">
        <v>45.72</v>
      </c>
      <c r="AK69" s="116">
        <f>(AK68-AK64)/AK64</f>
        <v>0.41437308868501521</v>
      </c>
    </row>
    <row r="70" spans="1:39">
      <c r="M70">
        <v>0.93849000000000005</v>
      </c>
      <c r="AD70">
        <v>36</v>
      </c>
      <c r="AE70" s="129">
        <v>15.3</v>
      </c>
      <c r="AI70" s="116">
        <f>(AI69-AI65)/AI65</f>
        <v>1.3506426735218509</v>
      </c>
      <c r="AM70" s="132">
        <f>(AL63*AM67)-(AL51*AM63)</f>
        <v>568.48</v>
      </c>
    </row>
    <row r="71" spans="1:39">
      <c r="M71">
        <v>0.91198999999999997</v>
      </c>
      <c r="R71" s="136">
        <f>SUM(R10:R70)</f>
        <v>8.6521031002193882E-2</v>
      </c>
      <c r="S71" s="136"/>
      <c r="AE71" s="129" t="s">
        <v>69</v>
      </c>
      <c r="AJ71" s="132" t="s">
        <v>72</v>
      </c>
      <c r="AK71" s="132">
        <f>(AJ64*AK68)-(AJ10*AK64)</f>
        <v>832.5</v>
      </c>
    </row>
    <row r="72" spans="1:39">
      <c r="M72">
        <v>0.90268000000000004</v>
      </c>
      <c r="AE72" s="130" t="s">
        <v>68</v>
      </c>
      <c r="AH72" s="132" t="s">
        <v>72</v>
      </c>
      <c r="AI72" s="132">
        <f>(AH65*AI69)-(AH10*AI65)</f>
        <v>548.64</v>
      </c>
    </row>
    <row r="73" spans="1:39">
      <c r="M73">
        <v>0.89847999999999995</v>
      </c>
      <c r="AD73" t="s">
        <v>70</v>
      </c>
      <c r="AE73" s="130">
        <v>38</v>
      </c>
    </row>
    <row r="74" spans="1:39">
      <c r="M74">
        <v>0.88783999999999996</v>
      </c>
      <c r="AE74" s="116">
        <f>Sayfa2!M59</f>
        <v>1.3456790123456792</v>
      </c>
    </row>
    <row r="75" spans="1:39">
      <c r="M75">
        <v>0.86724999999999997</v>
      </c>
    </row>
    <row r="76" spans="1:39">
      <c r="AD76" s="132" t="s">
        <v>72</v>
      </c>
      <c r="AE76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2024-06-14T06:33:50Z</dcterms:modified>
  <dc:language>tr-TR</dc:language>
</cp:coreProperties>
</file>