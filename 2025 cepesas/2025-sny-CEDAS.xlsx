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comprg\zzaagitme\tdy\2025 cepesas\"/>
    </mc:Choice>
  </mc:AlternateContent>
  <xr:revisionPtr revIDLastSave="0" documentId="13_ncr:1_{FAC59975-A890-46D4-817B-FB2470C30B65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25_5" sheetId="45" r:id="rId1"/>
    <sheet name="25_4" sheetId="44" r:id="rId2"/>
    <sheet name="25_3" sheetId="43" r:id="rId3"/>
    <sheet name="25_02" sheetId="42" r:id="rId4"/>
    <sheet name="25_01" sheetId="41" r:id="rId5"/>
  </sheets>
  <calcPr calcId="181029"/>
</workbook>
</file>

<file path=xl/calcChain.xml><?xml version="1.0" encoding="utf-8"?>
<calcChain xmlns="http://schemas.openxmlformats.org/spreadsheetml/2006/main">
  <c r="B40" i="45" l="1"/>
  <c r="D36" i="45"/>
  <c r="B33" i="45"/>
  <c r="D30" i="45"/>
  <c r="D18" i="45"/>
  <c r="D12" i="45"/>
  <c r="D6" i="45"/>
  <c r="D3" i="45"/>
  <c r="E3" i="45" s="1"/>
  <c r="D6" i="44"/>
  <c r="B8" i="43"/>
  <c r="B40" i="44"/>
  <c r="D36" i="44"/>
  <c r="B33" i="44"/>
  <c r="D30" i="44"/>
  <c r="D18" i="44"/>
  <c r="D12" i="44"/>
  <c r="D3" i="44"/>
  <c r="E3" i="44" s="1"/>
  <c r="B40" i="43"/>
  <c r="D36" i="43"/>
  <c r="B33" i="43"/>
  <c r="D30" i="43"/>
  <c r="D18" i="43"/>
  <c r="D12" i="43"/>
  <c r="D3" i="43"/>
  <c r="E3" i="43" s="1"/>
  <c r="E4" i="42"/>
  <c r="B40" i="42"/>
  <c r="D36" i="42"/>
  <c r="B33" i="42"/>
  <c r="D30" i="42"/>
  <c r="D18" i="42"/>
  <c r="D12" i="42"/>
  <c r="D6" i="42"/>
  <c r="C5" i="42"/>
  <c r="D3" i="42"/>
  <c r="E3" i="42" s="1"/>
  <c r="B40" i="41"/>
  <c r="D36" i="41"/>
  <c r="B33" i="41"/>
  <c r="D30" i="41"/>
  <c r="D18" i="41"/>
  <c r="D12" i="41"/>
  <c r="D6" i="41"/>
  <c r="C5" i="41"/>
  <c r="D3" i="41"/>
  <c r="E3" i="41" s="1"/>
  <c r="E9" i="45" l="1"/>
  <c r="E33" i="45"/>
  <c r="E21" i="45"/>
  <c r="B24" i="45"/>
  <c r="D24" i="45" s="1"/>
  <c r="E4" i="45"/>
  <c r="E12" i="45" s="1"/>
  <c r="E13" i="45" s="1"/>
  <c r="E14" i="45" s="1"/>
  <c r="E15" i="45"/>
  <c r="E4" i="44"/>
  <c r="E6" i="44" s="1"/>
  <c r="E7" i="44" s="1"/>
  <c r="E8" i="44" s="1"/>
  <c r="B24" i="44"/>
  <c r="D24" i="44" s="1"/>
  <c r="C40" i="44" s="1"/>
  <c r="E9" i="44"/>
  <c r="E33" i="44"/>
  <c r="E21" i="44"/>
  <c r="E15" i="44"/>
  <c r="B24" i="43"/>
  <c r="D24" i="43" s="1"/>
  <c r="C40" i="43" s="1"/>
  <c r="E21" i="43"/>
  <c r="E15" i="43"/>
  <c r="E33" i="43"/>
  <c r="E9" i="43"/>
  <c r="E4" i="43"/>
  <c r="E33" i="42"/>
  <c r="B24" i="42"/>
  <c r="D24" i="42" s="1"/>
  <c r="C40" i="42" s="1"/>
  <c r="E21" i="42"/>
  <c r="E9" i="42"/>
  <c r="E12" i="42"/>
  <c r="E13" i="42" s="1"/>
  <c r="E14" i="42" s="1"/>
  <c r="E15" i="42"/>
  <c r="E15" i="41"/>
  <c r="E9" i="41"/>
  <c r="E21" i="41"/>
  <c r="E33" i="41"/>
  <c r="E4" i="41"/>
  <c r="D37" i="41" s="1"/>
  <c r="B24" i="41"/>
  <c r="D24" i="41" s="1"/>
  <c r="E24" i="45" l="1"/>
  <c r="E25" i="45" s="1"/>
  <c r="E26" i="45" s="1"/>
  <c r="E27" i="45"/>
  <c r="D37" i="45"/>
  <c r="E30" i="45"/>
  <c r="E31" i="45" s="1"/>
  <c r="E32" i="45" s="1"/>
  <c r="E18" i="45"/>
  <c r="E19" i="45" s="1"/>
  <c r="E20" i="45" s="1"/>
  <c r="E36" i="45"/>
  <c r="E6" i="45"/>
  <c r="E7" i="45" s="1"/>
  <c r="E8" i="45" s="1"/>
  <c r="C40" i="45"/>
  <c r="E12" i="44"/>
  <c r="E13" i="44" s="1"/>
  <c r="E14" i="44" s="1"/>
  <c r="E18" i="44"/>
  <c r="E19" i="44" s="1"/>
  <c r="E20" i="44" s="1"/>
  <c r="D37" i="44"/>
  <c r="E36" i="44"/>
  <c r="E30" i="44"/>
  <c r="E31" i="44" s="1"/>
  <c r="E32" i="44" s="1"/>
  <c r="E37" i="44"/>
  <c r="E27" i="44"/>
  <c r="E24" i="44"/>
  <c r="E25" i="44" s="1"/>
  <c r="E26" i="44" s="1"/>
  <c r="E27" i="43"/>
  <c r="E30" i="43"/>
  <c r="E31" i="43" s="1"/>
  <c r="E32" i="43" s="1"/>
  <c r="E18" i="43"/>
  <c r="E19" i="43" s="1"/>
  <c r="E20" i="43" s="1"/>
  <c r="D37" i="43"/>
  <c r="E6" i="43"/>
  <c r="E7" i="43" s="1"/>
  <c r="E8" i="43" s="1"/>
  <c r="E12" i="43"/>
  <c r="E13" i="43" s="1"/>
  <c r="E14" i="43" s="1"/>
  <c r="E36" i="43"/>
  <c r="E24" i="43"/>
  <c r="E25" i="43" s="1"/>
  <c r="E26" i="43" s="1"/>
  <c r="E36" i="41"/>
  <c r="E6" i="41"/>
  <c r="E7" i="41" s="1"/>
  <c r="E8" i="41" s="1"/>
  <c r="E27" i="42"/>
  <c r="E24" i="42"/>
  <c r="E25" i="42" s="1"/>
  <c r="E26" i="42" s="1"/>
  <c r="D37" i="42"/>
  <c r="E18" i="42"/>
  <c r="E19" i="42" s="1"/>
  <c r="E20" i="42" s="1"/>
  <c r="E30" i="42"/>
  <c r="E31" i="42" s="1"/>
  <c r="E32" i="42" s="1"/>
  <c r="E36" i="42"/>
  <c r="E6" i="42"/>
  <c r="E7" i="42" s="1"/>
  <c r="E8" i="42" s="1"/>
  <c r="E37" i="41"/>
  <c r="E27" i="41"/>
  <c r="C40" i="41"/>
  <c r="E24" i="41"/>
  <c r="E25" i="41" s="1"/>
  <c r="E26" i="41" s="1"/>
  <c r="E12" i="41"/>
  <c r="E13" i="41" s="1"/>
  <c r="E14" i="41" s="1"/>
  <c r="E30" i="41"/>
  <c r="E31" i="41" s="1"/>
  <c r="E32" i="41" s="1"/>
  <c r="E18" i="41"/>
  <c r="E19" i="41" s="1"/>
  <c r="E20" i="41" s="1"/>
  <c r="E40" i="45" l="1"/>
  <c r="E37" i="45"/>
  <c r="D40" i="45" s="1"/>
  <c r="D40" i="44"/>
  <c r="E40" i="44"/>
  <c r="E40" i="43"/>
  <c r="E37" i="43"/>
  <c r="D40" i="43" s="1"/>
  <c r="E40" i="42"/>
  <c r="E37" i="42"/>
  <c r="D40" i="42" s="1"/>
  <c r="D40" i="41"/>
  <c r="E40" i="41"/>
  <c r="B13" i="41" l="1"/>
  <c r="C11" i="41" s="1"/>
  <c r="B13" i="42"/>
  <c r="C11" i="42" s="1"/>
  <c r="B31" i="42"/>
  <c r="C29" i="42" s="1"/>
  <c r="B31" i="41"/>
  <c r="C29" i="41" s="1"/>
  <c r="B25" i="42"/>
  <c r="C23" i="42" s="1"/>
  <c r="B25" i="41"/>
  <c r="C23" i="41" s="1"/>
  <c r="B37" i="42"/>
  <c r="C35" i="42" s="1"/>
  <c r="B37" i="41"/>
  <c r="C35" i="41" s="1"/>
  <c r="B19" i="41" l="1"/>
  <c r="C17" i="41" s="1"/>
  <c r="B19" i="42"/>
  <c r="C17" i="42" s="1"/>
</calcChain>
</file>

<file path=xl/sharedStrings.xml><?xml version="1.0" encoding="utf-8"?>
<sst xmlns="http://schemas.openxmlformats.org/spreadsheetml/2006/main" count="64" uniqueCount="13">
  <si>
    <t>tüketim</t>
  </si>
  <si>
    <t>çarp.tktm</t>
  </si>
  <si>
    <t>Fat.Tutarı</t>
  </si>
  <si>
    <t>kw fiyat</t>
  </si>
  <si>
    <t>SnyB- Salih</t>
  </si>
  <si>
    <t xml:space="preserve"> TL tem.i alındı)</t>
  </si>
  <si>
    <t>SnyCD-Ali</t>
  </si>
  <si>
    <t>SnyE-Süleyman</t>
  </si>
  <si>
    <t>SnyF-Merdal</t>
  </si>
  <si>
    <t>Sny G-Metin</t>
  </si>
  <si>
    <t>SnyH-Hacı</t>
  </si>
  <si>
    <t xml:space="preserve"> -20kw sonraki ayda düşüldü</t>
  </si>
  <si>
    <t>31.04.2025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</si>
</sst>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1">
    <numFmt numFmtId="164" formatCode="[$₺-41F]#,##0.00;[Red]&quot;-&quot;[$₺-41F]#,##0.00"/>
    <numFmt numFmtId="165" formatCode="&quot;Yzr &quot;0&quot; Ton&quot;"/>
    <numFmt numFmtId="166" formatCode="&quot;GçnAy &quot;0&quot; Ton&quot;"/>
    <numFmt numFmtId="167" formatCode="&quot;Hrcm &quot;0&quot; Ton&quot;"/>
    <numFmt numFmtId="168" formatCode="&quot;TonFyt &quot;[$₺-41F]#,##0.00;[Red]&quot;-&quot;[$₺-41F]#,##0"/>
    <numFmt numFmtId="169" formatCode="&quot;KW &quot;0.00"/>
    <numFmt numFmtId="170" formatCode="[$₺-41F]#,##0.00;&quot;-&quot;[$₺-41F]#,##0.00"/>
    <numFmt numFmtId="171" formatCode="#,##0.000"/>
    <numFmt numFmtId="172" formatCode="0&quot; kw&quot;"/>
    <numFmt numFmtId="173" formatCode="&quot;+ Su &quot;[$₺-41F]#,##0.00;[Red]&quot;-&quot;[$₺-41F]#,##0"/>
    <numFmt numFmtId="174" formatCode="&quot;- Su &quot;[$₺-41F]#,##0.00;[Red]&quot;-&quot;[$₺-41F]#,##0"/>
    <numFmt numFmtId="175" formatCode="%0.00"/>
    <numFmt numFmtId="176" formatCode="&quot;+  &quot;#,##0.000"/>
    <numFmt numFmtId="177" formatCode="dd&quot;.&quot;mm&quot;.&quot;yyyy"/>
    <numFmt numFmtId="178" formatCode="[$₺-41F]#,##0.00;[Red]&quot;-&quot;[$₺-41F]#,##0"/>
    <numFmt numFmtId="179" formatCode="#,##0.000&quot; kw&quot;"/>
    <numFmt numFmtId="180" formatCode="&quot;+       &quot;%0.00"/>
    <numFmt numFmtId="181" formatCode="&quot;SuYzr &quot;#,##0.00&quot; T&quot;"/>
    <numFmt numFmtId="182" formatCode="&quot;Yzr &quot;#,##0.00&quot; Ton&quot;"/>
    <numFmt numFmtId="183" formatCode="&quot;Ö.Ay &quot;[$₺-41F]#,##0.00;[Red]&quot;-&quot;[$₺-41F]#,##0.00"/>
    <numFmt numFmtId="184" formatCode="[$₺-41F]#,##0.000;[Red]&quot;-&quot;[$₺-41F]#,##0.000"/>
  </numFmts>
  <fonts count="19">
    <font>
      <sz val="10"/>
      <color rgb="FF000000"/>
      <name val="Liberation Sans1"/>
      <charset val="162"/>
    </font>
    <font>
      <sz val="10"/>
      <color rgb="FF000000"/>
      <name val="Liberation Sans1"/>
      <charset val="162"/>
    </font>
    <font>
      <b/>
      <sz val="10"/>
      <color rgb="FF000000"/>
      <name val="Liberation Sans1"/>
      <charset val="162"/>
    </font>
    <font>
      <sz val="10"/>
      <color rgb="FFFFFFFF"/>
      <name val="Liberation Sans1"/>
      <charset val="162"/>
    </font>
    <font>
      <sz val="10"/>
      <color rgb="FFCC0000"/>
      <name val="Liberation Sans1"/>
      <charset val="162"/>
    </font>
    <font>
      <b/>
      <sz val="10"/>
      <color rgb="FFFFFFFF"/>
      <name val="Liberation Sans1"/>
      <charset val="162"/>
    </font>
    <font>
      <i/>
      <sz val="10"/>
      <color rgb="FF808080"/>
      <name val="Liberation Sans1"/>
      <charset val="162"/>
    </font>
    <font>
      <sz val="10"/>
      <color rgb="FF006600"/>
      <name val="Liberation Sans1"/>
      <charset val="162"/>
    </font>
    <font>
      <b/>
      <sz val="24"/>
      <color rgb="FF000000"/>
      <name val="Liberation Sans1"/>
      <charset val="162"/>
    </font>
    <font>
      <sz val="18"/>
      <color rgb="FF000000"/>
      <name val="Liberation Sans1"/>
      <charset val="162"/>
    </font>
    <font>
      <sz val="12"/>
      <color rgb="FF000000"/>
      <name val="Liberation Sans1"/>
      <charset val="162"/>
    </font>
    <font>
      <u/>
      <sz val="10"/>
      <color rgb="FF0000EE"/>
      <name val="Liberation Sans1"/>
      <charset val="162"/>
    </font>
    <font>
      <sz val="10"/>
      <color rgb="FF996600"/>
      <name val="Liberation Sans1"/>
      <charset val="162"/>
    </font>
    <font>
      <sz val="10"/>
      <color rgb="FF333333"/>
      <name val="Liberation Sans1"/>
      <charset val="162"/>
    </font>
    <font>
      <b/>
      <i/>
      <u/>
      <sz val="10"/>
      <color rgb="FF000000"/>
      <name val="Liberation Sans1"/>
      <charset val="162"/>
    </font>
    <font>
      <u/>
      <sz val="10"/>
      <color rgb="FF000000"/>
      <name val="Liberation Sans1"/>
      <charset val="162"/>
    </font>
    <font>
      <b/>
      <u/>
      <sz val="10"/>
      <color rgb="FF000000"/>
      <name val="Liberation Sans1"/>
      <charset val="162"/>
    </font>
    <font>
      <b/>
      <sz val="8"/>
      <color rgb="FF000000"/>
      <name val="Liberation Sans1"/>
      <charset val="162"/>
    </font>
    <font>
      <sz val="8"/>
      <color rgb="FF000000"/>
      <name val="Liberation Sans1"/>
      <charset val="162"/>
    </font>
  </fonts>
  <fills count="13">
    <fill>
      <patternFill patternType="none"/>
    </fill>
    <fill>
      <patternFill patternType="gray125"/>
    </fill>
    <fill>
      <patternFill patternType="solid">
        <fgColor rgb="FF000000"/>
        <bgColor rgb="FF000000"/>
      </patternFill>
    </fill>
    <fill>
      <patternFill patternType="solid">
        <fgColor rgb="FF808080"/>
        <bgColor rgb="FF808080"/>
      </patternFill>
    </fill>
    <fill>
      <patternFill patternType="solid">
        <fgColor rgb="FFDDDDDD"/>
        <bgColor rgb="FFDDDDDD"/>
      </patternFill>
    </fill>
    <fill>
      <patternFill patternType="solid">
        <fgColor rgb="FFFFCCCC"/>
        <bgColor rgb="FFFFCCCC"/>
      </patternFill>
    </fill>
    <fill>
      <patternFill patternType="solid">
        <fgColor rgb="FFCC0000"/>
        <bgColor rgb="FFCC0000"/>
      </patternFill>
    </fill>
    <fill>
      <patternFill patternType="solid">
        <fgColor rgb="FFCCFFCC"/>
        <bgColor rgb="FFCCFFCC"/>
      </patternFill>
    </fill>
    <fill>
      <patternFill patternType="solid">
        <fgColor rgb="FFFFFFCC"/>
        <bgColor rgb="FFFFFFCC"/>
      </patternFill>
    </fill>
    <fill>
      <patternFill patternType="solid">
        <fgColor rgb="FFFFFF00"/>
        <bgColor rgb="FFFFFF00"/>
      </patternFill>
    </fill>
    <fill>
      <patternFill patternType="solid">
        <fgColor rgb="FFD4EA6B"/>
        <bgColor rgb="FFD4EA6B"/>
      </patternFill>
    </fill>
    <fill>
      <patternFill patternType="solid">
        <fgColor rgb="FFDEE6EF"/>
        <bgColor rgb="FFDEE6EF"/>
      </patternFill>
    </fill>
    <fill>
      <patternFill patternType="solid">
        <fgColor rgb="FFFFD7D7"/>
        <bgColor rgb="FFFFD7D7"/>
      </patternFill>
    </fill>
  </fills>
  <borders count="13">
    <border>
      <left/>
      <right/>
      <top/>
      <bottom/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/>
      <right/>
      <top style="thin">
        <color rgb="FF000000"/>
      </top>
      <bottom/>
      <diagonal/>
    </border>
  </borders>
  <cellStyleXfs count="19">
    <xf numFmtId="0" fontId="0" fillId="0" borderId="0"/>
    <xf numFmtId="0" fontId="2" fillId="0" borderId="0" applyNumberFormat="0" applyBorder="0" applyProtection="0"/>
    <xf numFmtId="0" fontId="3" fillId="2" borderId="0" applyNumberFormat="0" applyBorder="0" applyProtection="0"/>
    <xf numFmtId="0" fontId="3" fillId="3" borderId="0" applyNumberFormat="0" applyBorder="0" applyProtection="0"/>
    <xf numFmtId="0" fontId="2" fillId="4" borderId="0" applyNumberFormat="0" applyBorder="0" applyProtection="0"/>
    <xf numFmtId="0" fontId="4" fillId="5" borderId="0" applyNumberFormat="0" applyBorder="0" applyProtection="0"/>
    <xf numFmtId="0" fontId="5" fillId="6" borderId="0" applyNumberFormat="0" applyBorder="0" applyProtection="0"/>
    <xf numFmtId="0" fontId="6" fillId="0" borderId="0" applyNumberFormat="0" applyBorder="0" applyProtection="0"/>
    <xf numFmtId="0" fontId="7" fillId="7" borderId="0" applyNumberFormat="0" applyBorder="0" applyProtection="0"/>
    <xf numFmtId="0" fontId="8" fillId="0" borderId="0" applyNumberFormat="0" applyBorder="0" applyProtection="0"/>
    <xf numFmtId="0" fontId="9" fillId="0" borderId="0" applyNumberFormat="0" applyBorder="0" applyProtection="0"/>
    <xf numFmtId="0" fontId="10" fillId="0" borderId="0" applyNumberFormat="0" applyBorder="0" applyProtection="0"/>
    <xf numFmtId="0" fontId="11" fillId="0" borderId="0" applyNumberFormat="0" applyBorder="0" applyProtection="0"/>
    <xf numFmtId="0" fontId="12" fillId="8" borderId="0" applyNumberFormat="0" applyBorder="0" applyProtection="0"/>
    <xf numFmtId="0" fontId="13" fillId="8" borderId="1" applyNumberFormat="0" applyProtection="0"/>
    <xf numFmtId="0" fontId="14" fillId="0" borderId="0" applyNumberFormat="0" applyBorder="0" applyProtection="0"/>
    <xf numFmtId="0" fontId="1" fillId="0" borderId="0" applyNumberFormat="0" applyFont="0" applyBorder="0" applyProtection="0"/>
    <xf numFmtId="0" fontId="1" fillId="0" borderId="0" applyNumberFormat="0" applyFont="0" applyBorder="0" applyProtection="0"/>
    <xf numFmtId="0" fontId="4" fillId="0" borderId="0" applyNumberFormat="0" applyBorder="0" applyProtection="0"/>
  </cellStyleXfs>
  <cellXfs count="56">
    <xf numFmtId="0" fontId="0" fillId="0" borderId="0" xfId="0"/>
    <xf numFmtId="4" fontId="0" fillId="0" borderId="0" xfId="0" applyNumberFormat="1"/>
    <xf numFmtId="0" fontId="0" fillId="9" borderId="0" xfId="0" applyFill="1"/>
    <xf numFmtId="177" fontId="2" fillId="0" borderId="0" xfId="0" applyNumberFormat="1" applyFont="1" applyAlignment="1">
      <alignment horizontal="left"/>
    </xf>
    <xf numFmtId="177" fontId="0" fillId="0" borderId="0" xfId="0" applyNumberFormat="1"/>
    <xf numFmtId="177" fontId="0" fillId="0" borderId="3" xfId="0" applyNumberFormat="1" applyBorder="1" applyAlignment="1">
      <alignment horizontal="right"/>
    </xf>
    <xf numFmtId="177" fontId="0" fillId="0" borderId="4" xfId="0" applyNumberFormat="1" applyBorder="1" applyAlignment="1">
      <alignment horizontal="right"/>
    </xf>
    <xf numFmtId="0" fontId="0" fillId="0" borderId="0" xfId="0" applyAlignment="1">
      <alignment horizontal="right"/>
    </xf>
    <xf numFmtId="179" fontId="0" fillId="9" borderId="5" xfId="0" applyNumberFormat="1" applyFill="1" applyBorder="1"/>
    <xf numFmtId="179" fontId="0" fillId="0" borderId="6" xfId="0" applyNumberFormat="1" applyBorder="1"/>
    <xf numFmtId="171" fontId="0" fillId="0" borderId="0" xfId="0" applyNumberFormat="1"/>
    <xf numFmtId="0" fontId="16" fillId="0" borderId="2" xfId="0" applyFont="1" applyBorder="1" applyAlignment="1">
      <alignment horizontal="right"/>
    </xf>
    <xf numFmtId="164" fontId="16" fillId="9" borderId="2" xfId="0" applyNumberFormat="1" applyFont="1" applyFill="1" applyBorder="1"/>
    <xf numFmtId="164" fontId="0" fillId="0" borderId="0" xfId="0" applyNumberFormat="1"/>
    <xf numFmtId="0" fontId="2" fillId="0" borderId="7" xfId="0" applyFont="1" applyBorder="1"/>
    <xf numFmtId="164" fontId="17" fillId="0" borderId="8" xfId="0" applyNumberFormat="1" applyFont="1" applyBorder="1"/>
    <xf numFmtId="176" fontId="17" fillId="0" borderId="8" xfId="0" applyNumberFormat="1" applyFont="1" applyBorder="1"/>
    <xf numFmtId="171" fontId="17" fillId="0" borderId="9" xfId="0" applyNumberFormat="1" applyFont="1" applyBorder="1"/>
    <xf numFmtId="172" fontId="0" fillId="9" borderId="10" xfId="0" applyNumberFormat="1" applyFill="1" applyBorder="1"/>
    <xf numFmtId="172" fontId="0" fillId="0" borderId="0" xfId="0" applyNumberFormat="1"/>
    <xf numFmtId="164" fontId="15" fillId="0" borderId="11" xfId="0" applyNumberFormat="1" applyFont="1" applyBorder="1"/>
    <xf numFmtId="164" fontId="18" fillId="0" borderId="10" xfId="0" applyNumberFormat="1" applyFont="1" applyBorder="1"/>
    <xf numFmtId="180" fontId="18" fillId="9" borderId="0" xfId="0" applyNumberFormat="1" applyFont="1" applyFill="1"/>
    <xf numFmtId="164" fontId="0" fillId="0" borderId="11" xfId="0" applyNumberFormat="1" applyBorder="1"/>
    <xf numFmtId="0" fontId="0" fillId="0" borderId="10" xfId="0" applyBorder="1"/>
    <xf numFmtId="178" fontId="0" fillId="0" borderId="0" xfId="0" applyNumberFormat="1"/>
    <xf numFmtId="164" fontId="16" fillId="10" borderId="11" xfId="0" applyNumberFormat="1" applyFont="1" applyFill="1" applyBorder="1"/>
    <xf numFmtId="164" fontId="18" fillId="0" borderId="10" xfId="0" applyNumberFormat="1" applyFont="1" applyBorder="1" applyAlignment="1">
      <alignment horizontal="right"/>
    </xf>
    <xf numFmtId="173" fontId="18" fillId="11" borderId="0" xfId="0" applyNumberFormat="1" applyFont="1" applyFill="1"/>
    <xf numFmtId="174" fontId="18" fillId="11" borderId="0" xfId="0" applyNumberFormat="1" applyFont="1" applyFill="1"/>
    <xf numFmtId="175" fontId="18" fillId="0" borderId="11" xfId="0" applyNumberFormat="1" applyFont="1" applyBorder="1"/>
    <xf numFmtId="181" fontId="18" fillId="11" borderId="10" xfId="0" applyNumberFormat="1" applyFont="1" applyFill="1" applyBorder="1" applyAlignment="1">
      <alignment horizontal="right"/>
    </xf>
    <xf numFmtId="166" fontId="18" fillId="0" borderId="0" xfId="0" applyNumberFormat="1" applyFont="1"/>
    <xf numFmtId="167" fontId="18" fillId="0" borderId="0" xfId="0" applyNumberFormat="1" applyFont="1"/>
    <xf numFmtId="168" fontId="18" fillId="11" borderId="11" xfId="0" applyNumberFormat="1" applyFont="1" applyFill="1" applyBorder="1"/>
    <xf numFmtId="0" fontId="2" fillId="0" borderId="0" xfId="0" applyFont="1"/>
    <xf numFmtId="165" fontId="18" fillId="11" borderId="10" xfId="0" applyNumberFormat="1" applyFont="1" applyFill="1" applyBorder="1" applyAlignment="1">
      <alignment horizontal="right"/>
    </xf>
    <xf numFmtId="172" fontId="0" fillId="9" borderId="3" xfId="0" applyNumberFormat="1" applyFill="1" applyBorder="1"/>
    <xf numFmtId="172" fontId="0" fillId="0" borderId="12" xfId="0" applyNumberFormat="1" applyBorder="1"/>
    <xf numFmtId="164" fontId="2" fillId="0" borderId="4" xfId="0" applyNumberFormat="1" applyFont="1" applyBorder="1"/>
    <xf numFmtId="182" fontId="18" fillId="11" borderId="10" xfId="0" applyNumberFormat="1" applyFont="1" applyFill="1" applyBorder="1" applyAlignment="1">
      <alignment horizontal="right"/>
    </xf>
    <xf numFmtId="172" fontId="0" fillId="12" borderId="10" xfId="0" applyNumberFormat="1" applyFill="1" applyBorder="1"/>
    <xf numFmtId="164" fontId="2" fillId="0" borderId="11" xfId="0" applyNumberFormat="1" applyFont="1" applyBorder="1"/>
    <xf numFmtId="164" fontId="0" fillId="9" borderId="0" xfId="0" applyNumberFormat="1" applyFill="1"/>
    <xf numFmtId="178" fontId="0" fillId="9" borderId="0" xfId="0" applyNumberFormat="1" applyFill="1"/>
    <xf numFmtId="183" fontId="18" fillId="0" borderId="10" xfId="0" applyNumberFormat="1" applyFont="1" applyBorder="1"/>
    <xf numFmtId="164" fontId="0" fillId="0" borderId="4" xfId="0" applyNumberFormat="1" applyBorder="1"/>
    <xf numFmtId="165" fontId="18" fillId="11" borderId="5" xfId="0" applyNumberFormat="1" applyFont="1" applyFill="1" applyBorder="1" applyAlignment="1">
      <alignment horizontal="right"/>
    </xf>
    <xf numFmtId="166" fontId="18" fillId="0" borderId="2" xfId="0" applyNumberFormat="1" applyFont="1" applyBorder="1"/>
    <xf numFmtId="167" fontId="18" fillId="0" borderId="2" xfId="0" applyNumberFormat="1" applyFont="1" applyBorder="1"/>
    <xf numFmtId="168" fontId="18" fillId="11" borderId="6" xfId="0" applyNumberFormat="1" applyFont="1" applyFill="1" applyBorder="1"/>
    <xf numFmtId="169" fontId="0" fillId="0" borderId="0" xfId="0" applyNumberFormat="1"/>
    <xf numFmtId="170" fontId="0" fillId="0" borderId="0" xfId="0" applyNumberFormat="1"/>
    <xf numFmtId="184" fontId="16" fillId="0" borderId="2" xfId="0" applyNumberFormat="1" applyFont="1" applyBorder="1"/>
    <xf numFmtId="172" fontId="0" fillId="0" borderId="10" xfId="0" applyNumberFormat="1" applyBorder="1"/>
    <xf numFmtId="164" fontId="18" fillId="0" borderId="10" xfId="0" applyNumberFormat="1" applyFont="1" applyBorder="1" applyAlignment="1">
      <alignment horizontal="left"/>
    </xf>
  </cellXfs>
  <cellStyles count="19">
    <cellStyle name="Accent" xfId="1" xr:uid="{00000000-0005-0000-0000-000000000000}"/>
    <cellStyle name="Accent 1" xfId="2" xr:uid="{00000000-0005-0000-0000-000001000000}"/>
    <cellStyle name="Accent 2" xfId="3" xr:uid="{00000000-0005-0000-0000-000002000000}"/>
    <cellStyle name="Accent 3" xfId="4" xr:uid="{00000000-0005-0000-0000-000003000000}"/>
    <cellStyle name="Bad" xfId="5" xr:uid="{00000000-0005-0000-0000-000004000000}"/>
    <cellStyle name="Error" xfId="6" xr:uid="{00000000-0005-0000-0000-000005000000}"/>
    <cellStyle name="Footnote" xfId="7" xr:uid="{00000000-0005-0000-0000-000006000000}"/>
    <cellStyle name="Good" xfId="8" xr:uid="{00000000-0005-0000-0000-000007000000}"/>
    <cellStyle name="Heading" xfId="9" xr:uid="{00000000-0005-0000-0000-000008000000}"/>
    <cellStyle name="Heading 1" xfId="10" xr:uid="{00000000-0005-0000-0000-000009000000}"/>
    <cellStyle name="Heading 2" xfId="11" xr:uid="{00000000-0005-0000-0000-00000A000000}"/>
    <cellStyle name="Hyperlink" xfId="12" xr:uid="{00000000-0005-0000-0000-00000B000000}"/>
    <cellStyle name="Neutral" xfId="13" xr:uid="{00000000-0005-0000-0000-00000C000000}"/>
    <cellStyle name="Normal" xfId="0" builtinId="0" customBuiltin="1"/>
    <cellStyle name="Note" xfId="14" xr:uid="{00000000-0005-0000-0000-00000E000000}"/>
    <cellStyle name="Result" xfId="15" xr:uid="{00000000-0005-0000-0000-00000F000000}"/>
    <cellStyle name="Status" xfId="16" xr:uid="{00000000-0005-0000-0000-000010000000}"/>
    <cellStyle name="Text" xfId="17" xr:uid="{00000000-0005-0000-0000-000011000000}"/>
    <cellStyle name="Warning" xfId="18" xr:uid="{00000000-0005-0000-0000-000012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785812</xdr:colOff>
      <xdr:row>0</xdr:row>
      <xdr:rowOff>0</xdr:rowOff>
    </xdr:from>
    <xdr:to>
      <xdr:col>22</xdr:col>
      <xdr:colOff>15761</xdr:colOff>
      <xdr:row>51</xdr:row>
      <xdr:rowOff>109506</xdr:rowOff>
    </xdr:to>
    <xdr:pic>
      <xdr:nvPicPr>
        <xdr:cNvPr id="4" name="Resim 3">
          <a:extLst>
            <a:ext uri="{FF2B5EF4-FFF2-40B4-BE49-F238E27FC236}">
              <a16:creationId xmlns:a16="http://schemas.microsoft.com/office/drawing/2014/main" id="{AB02FFF9-1C6F-4C94-A594-D9A0BC4F10D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589734" y="0"/>
          <a:ext cx="10564699" cy="8306959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715495</xdr:colOff>
      <xdr:row>0</xdr:row>
      <xdr:rowOff>35719</xdr:rowOff>
    </xdr:from>
    <xdr:to>
      <xdr:col>16</xdr:col>
      <xdr:colOff>596915</xdr:colOff>
      <xdr:row>35</xdr:row>
      <xdr:rowOff>122652</xdr:rowOff>
    </xdr:to>
    <xdr:pic>
      <xdr:nvPicPr>
        <xdr:cNvPr id="2" name="Resim 1">
          <a:extLst>
            <a:ext uri="{FF2B5EF4-FFF2-40B4-BE49-F238E27FC236}">
              <a16:creationId xmlns:a16="http://schemas.microsoft.com/office/drawing/2014/main" id="{FB8146A6-9E8C-4E69-B9E4-9B82A10FE59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519417" y="35719"/>
          <a:ext cx="7572857" cy="5712636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781706</xdr:colOff>
      <xdr:row>0</xdr:row>
      <xdr:rowOff>53577</xdr:rowOff>
    </xdr:from>
    <xdr:to>
      <xdr:col>18</xdr:col>
      <xdr:colOff>108290</xdr:colOff>
      <xdr:row>40</xdr:row>
      <xdr:rowOff>5953</xdr:rowOff>
    </xdr:to>
    <xdr:pic>
      <xdr:nvPicPr>
        <xdr:cNvPr id="2" name="Resim 1">
          <a:extLst>
            <a:ext uri="{FF2B5EF4-FFF2-40B4-BE49-F238E27FC236}">
              <a16:creationId xmlns:a16="http://schemas.microsoft.com/office/drawing/2014/main" id="{4FF4BF89-464B-42BD-B3C9-AACE411B3B0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585628" y="53577"/>
          <a:ext cx="8232459" cy="6381751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FE051B-2903-4548-8239-36D3A5335D67}">
  <dimension ref="B1:G41"/>
  <sheetViews>
    <sheetView tabSelected="1" zoomScale="160" zoomScaleNormal="160" workbookViewId="0">
      <selection activeCell="B4" sqref="B4"/>
    </sheetView>
  </sheetViews>
  <sheetFormatPr defaultRowHeight="12.75"/>
  <cols>
    <col min="1" max="1" width="2.42578125" customWidth="1"/>
    <col min="2" max="3" width="13.7109375" customWidth="1"/>
    <col min="4" max="6" width="12.140625" customWidth="1"/>
    <col min="7" max="7" width="9.140625" customWidth="1"/>
  </cols>
  <sheetData>
    <row r="1" spans="2:7">
      <c r="B1" s="3">
        <v>45748</v>
      </c>
      <c r="C1" s="4" t="s">
        <v>12</v>
      </c>
      <c r="E1">
        <v>60</v>
      </c>
    </row>
    <row r="2" spans="2:7">
      <c r="B2" s="5"/>
      <c r="C2" s="6"/>
      <c r="D2" s="7" t="s">
        <v>0</v>
      </c>
      <c r="E2" s="7" t="s">
        <v>1</v>
      </c>
    </row>
    <row r="3" spans="2:7">
      <c r="B3" s="8">
        <v>55.925899999999999</v>
      </c>
      <c r="C3" s="9">
        <v>41.225000000000001</v>
      </c>
      <c r="D3" s="10">
        <f>B3-C3</f>
        <v>14.700899999999997</v>
      </c>
      <c r="E3" s="10">
        <f>D3*$E$1</f>
        <v>882.05399999999986</v>
      </c>
    </row>
    <row r="4" spans="2:7">
      <c r="B4" s="11" t="s">
        <v>2</v>
      </c>
      <c r="C4" s="12">
        <v>4210</v>
      </c>
      <c r="D4" s="11" t="s">
        <v>3</v>
      </c>
      <c r="E4" s="53">
        <f>C4/E3</f>
        <v>4.7729504089318802</v>
      </c>
      <c r="F4" s="13"/>
    </row>
    <row r="5" spans="2:7">
      <c r="B5" s="14" t="s">
        <v>4</v>
      </c>
      <c r="C5" s="15"/>
      <c r="D5" s="16"/>
      <c r="E5" s="17"/>
    </row>
    <row r="6" spans="2:7">
      <c r="B6" s="18">
        <v>124950</v>
      </c>
      <c r="C6" s="19">
        <v>124708</v>
      </c>
      <c r="D6" s="19">
        <f>B6-C6</f>
        <v>242</v>
      </c>
      <c r="E6" s="20">
        <f>D6*$E$4</f>
        <v>1155.0539989615149</v>
      </c>
      <c r="F6" s="13"/>
      <c r="G6" s="10"/>
    </row>
    <row r="7" spans="2:7">
      <c r="B7" s="21"/>
      <c r="C7" s="22"/>
      <c r="D7" s="13"/>
      <c r="E7" s="23">
        <f>D7+E6</f>
        <v>1155.0539989615149</v>
      </c>
      <c r="F7" s="13"/>
    </row>
    <row r="8" spans="2:7">
      <c r="B8" s="24">
        <v>-20</v>
      </c>
      <c r="D8" s="25"/>
      <c r="E8" s="26">
        <f>E7+C9</f>
        <v>1155.0539989615149</v>
      </c>
    </row>
    <row r="9" spans="2:7">
      <c r="B9" s="27"/>
      <c r="C9" s="28"/>
      <c r="D9" s="29"/>
      <c r="E9" s="30">
        <f>D6/$E$3</f>
        <v>0.27435961970582307</v>
      </c>
    </row>
    <row r="10" spans="2:7">
      <c r="B10" s="31"/>
      <c r="C10" s="32"/>
      <c r="D10" s="33"/>
      <c r="E10" s="34"/>
    </row>
    <row r="11" spans="2:7">
      <c r="B11" s="14" t="s">
        <v>6</v>
      </c>
      <c r="C11" s="15"/>
      <c r="D11" s="16"/>
      <c r="E11" s="17"/>
    </row>
    <row r="12" spans="2:7">
      <c r="B12" s="18">
        <v>8745</v>
      </c>
      <c r="C12" s="19">
        <v>8471</v>
      </c>
      <c r="D12" s="19">
        <f>B12-C12</f>
        <v>274</v>
      </c>
      <c r="E12" s="23">
        <f>D12*$E$4</f>
        <v>1307.7884120473352</v>
      </c>
    </row>
    <row r="13" spans="2:7">
      <c r="B13" s="21"/>
      <c r="C13" s="22"/>
      <c r="D13" s="13"/>
      <c r="E13" s="23">
        <f>D13+E12</f>
        <v>1307.7884120473352</v>
      </c>
    </row>
    <row r="14" spans="2:7">
      <c r="B14" s="24"/>
      <c r="C14" s="35"/>
      <c r="D14" s="25"/>
      <c r="E14" s="26">
        <f>E13+C15</f>
        <v>1307.7884120473352</v>
      </c>
    </row>
    <row r="15" spans="2:7">
      <c r="B15" s="27"/>
      <c r="C15" s="28"/>
      <c r="D15" s="29"/>
      <c r="E15" s="30">
        <f>D12/$E$3</f>
        <v>0.31063857768345254</v>
      </c>
    </row>
    <row r="16" spans="2:7">
      <c r="B16" s="36"/>
      <c r="C16" s="32"/>
      <c r="D16" s="33"/>
      <c r="E16" s="34"/>
    </row>
    <row r="17" spans="2:5">
      <c r="B17" s="14" t="s">
        <v>7</v>
      </c>
      <c r="C17" s="15"/>
      <c r="D17" s="16"/>
      <c r="E17" s="17"/>
    </row>
    <row r="18" spans="2:5">
      <c r="B18" s="37">
        <v>2701</v>
      </c>
      <c r="C18" s="38">
        <v>2595</v>
      </c>
      <c r="D18" s="38">
        <f>B18-C18</f>
        <v>106</v>
      </c>
      <c r="E18" s="39">
        <f>D18*$E$4</f>
        <v>505.93274334677932</v>
      </c>
    </row>
    <row r="19" spans="2:5">
      <c r="B19" s="21"/>
      <c r="C19" s="22">
        <v>0</v>
      </c>
      <c r="D19" s="13"/>
      <c r="E19" s="23">
        <f>D19+E18</f>
        <v>505.93274334677932</v>
      </c>
    </row>
    <row r="20" spans="2:5">
      <c r="B20" s="24"/>
      <c r="D20" s="25"/>
      <c r="E20" s="26">
        <f>E19+C21</f>
        <v>505.93274334677932</v>
      </c>
    </row>
    <row r="21" spans="2:5">
      <c r="B21" s="27"/>
      <c r="C21" s="28"/>
      <c r="D21" s="29"/>
      <c r="E21" s="30">
        <f>D18/$E$3</f>
        <v>0.1201740483008977</v>
      </c>
    </row>
    <row r="22" spans="2:5">
      <c r="B22" s="40"/>
      <c r="C22" s="32"/>
      <c r="D22" s="33"/>
      <c r="E22" s="34"/>
    </row>
    <row r="23" spans="2:5">
      <c r="B23" s="14" t="s">
        <v>8</v>
      </c>
      <c r="C23" s="15"/>
      <c r="D23" s="16"/>
      <c r="E23" s="17"/>
    </row>
    <row r="24" spans="2:5">
      <c r="B24" s="41">
        <f>E3-D6-D12-D18-D36-D30</f>
        <v>260.05399999999986</v>
      </c>
      <c r="C24" s="19"/>
      <c r="D24" s="19">
        <f>B24-C24</f>
        <v>260.05399999999986</v>
      </c>
      <c r="E24" s="42">
        <f>D24*$E$4</f>
        <v>1241.2248456443706</v>
      </c>
    </row>
    <row r="25" spans="2:5">
      <c r="B25" s="21"/>
      <c r="C25" s="22"/>
      <c r="D25" s="43"/>
      <c r="E25" s="23">
        <f>D25+E24</f>
        <v>1241.2248456443706</v>
      </c>
    </row>
    <row r="26" spans="2:5">
      <c r="B26" s="24"/>
      <c r="C26" s="2"/>
      <c r="D26" s="44"/>
      <c r="E26" s="26">
        <f>E25+C27</f>
        <v>1241.2248456443706</v>
      </c>
    </row>
    <row r="27" spans="2:5">
      <c r="B27" s="27"/>
      <c r="C27" s="28"/>
      <c r="D27" s="29"/>
      <c r="E27" s="30">
        <f>D24/$E$3</f>
        <v>0.29482775430982672</v>
      </c>
    </row>
    <row r="28" spans="2:5">
      <c r="B28" s="40"/>
      <c r="C28" s="32"/>
      <c r="D28" s="33"/>
      <c r="E28" s="34"/>
    </row>
    <row r="29" spans="2:5">
      <c r="B29" s="14" t="s">
        <v>9</v>
      </c>
      <c r="C29" s="15"/>
      <c r="D29" s="16"/>
      <c r="E29" s="17"/>
    </row>
    <row r="30" spans="2:5">
      <c r="B30" s="18">
        <v>8813</v>
      </c>
      <c r="C30" s="19">
        <v>8813</v>
      </c>
      <c r="D30" s="19">
        <f>B30-C30</f>
        <v>0</v>
      </c>
      <c r="E30" s="42">
        <f>D30*$E$4</f>
        <v>0</v>
      </c>
    </row>
    <row r="31" spans="2:5">
      <c r="B31" s="45"/>
      <c r="C31" s="22"/>
      <c r="D31" s="13"/>
      <c r="E31" s="23">
        <f>D31+E30</f>
        <v>0</v>
      </c>
    </row>
    <row r="32" spans="2:5">
      <c r="B32" s="24"/>
      <c r="D32" s="25"/>
      <c r="E32" s="26">
        <f>E31+C33</f>
        <v>0</v>
      </c>
    </row>
    <row r="33" spans="2:5">
      <c r="B33" s="27">
        <f>C33-D33</f>
        <v>0</v>
      </c>
      <c r="C33" s="28"/>
      <c r="D33" s="29"/>
      <c r="E33" s="30">
        <f>D30/$E$3</f>
        <v>0</v>
      </c>
    </row>
    <row r="34" spans="2:5">
      <c r="B34" s="36"/>
      <c r="C34" s="32"/>
      <c r="D34" s="33"/>
      <c r="E34" s="34"/>
    </row>
    <row r="35" spans="2:5">
      <c r="B35" s="14" t="s">
        <v>10</v>
      </c>
      <c r="C35" s="15"/>
      <c r="D35" s="16"/>
      <c r="E35" s="17"/>
    </row>
    <row r="36" spans="2:5">
      <c r="B36" s="37">
        <v>7606</v>
      </c>
      <c r="C36" s="38">
        <v>7606</v>
      </c>
      <c r="D36" s="38">
        <f>B36-C36+J39</f>
        <v>0</v>
      </c>
      <c r="E36" s="46">
        <f>D36*$E$4</f>
        <v>0</v>
      </c>
    </row>
    <row r="37" spans="2:5">
      <c r="B37" s="45"/>
      <c r="C37" s="22">
        <v>0</v>
      </c>
      <c r="D37" s="13">
        <f>(D36*$E$4*C37)</f>
        <v>0</v>
      </c>
      <c r="E37" s="26">
        <f>E36+C38</f>
        <v>0</v>
      </c>
    </row>
    <row r="38" spans="2:5">
      <c r="B38" s="27"/>
      <c r="C38" s="28"/>
      <c r="D38" s="29"/>
      <c r="E38" s="30"/>
    </row>
    <row r="39" spans="2:5">
      <c r="B39" s="47"/>
      <c r="C39" s="48"/>
      <c r="D39" s="49"/>
      <c r="E39" s="50"/>
    </row>
    <row r="40" spans="2:5">
      <c r="B40">
        <f>C38+C33+C27+C21+C15+C9</f>
        <v>0</v>
      </c>
      <c r="C40" s="51">
        <f>D6+D12+D18+D24+D30+D36</f>
        <v>882.05399999999986</v>
      </c>
      <c r="D40" s="52">
        <f>E8+E14+E20+E26+E32+E37</f>
        <v>4210</v>
      </c>
      <c r="E40" s="1">
        <f>E36+E30+E24+E18+E12+E6</f>
        <v>4210</v>
      </c>
    </row>
    <row r="41" spans="2:5">
      <c r="C41" s="51"/>
    </row>
  </sheetData>
  <pageMargins left="0.27559055118110198" right="0.27559055118110198" top="0.62992125984252012" bottom="0.62992125984252012" header="0.23622047244094502" footer="0.23622047244094502"/>
  <pageSetup paperSize="9" fitToWidth="0" fitToHeight="0" pageOrder="overThenDown" orientation="landscape" useFirstPageNumber="1" r:id="rId1"/>
  <headerFooter alignWithMargins="0">
    <oddHeader>&amp;C&amp;A</oddHeader>
    <oddFooter>&amp;CPage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A959A2-5F73-4059-A389-522B93CBC773}">
  <dimension ref="B1:G41"/>
  <sheetViews>
    <sheetView zoomScale="160" zoomScaleNormal="160" workbookViewId="0">
      <selection activeCell="G11" sqref="G11"/>
    </sheetView>
  </sheetViews>
  <sheetFormatPr defaultRowHeight="12.75"/>
  <cols>
    <col min="1" max="1" width="2.42578125" customWidth="1"/>
    <col min="2" max="3" width="13.7109375" customWidth="1"/>
    <col min="4" max="6" width="12.140625" customWidth="1"/>
    <col min="7" max="7" width="9.140625" customWidth="1"/>
  </cols>
  <sheetData>
    <row r="1" spans="2:7">
      <c r="B1" s="3">
        <v>45717</v>
      </c>
      <c r="C1" s="4">
        <v>45747</v>
      </c>
      <c r="E1">
        <v>60</v>
      </c>
    </row>
    <row r="2" spans="2:7">
      <c r="B2" s="5"/>
      <c r="C2" s="6"/>
      <c r="D2" s="7" t="s">
        <v>0</v>
      </c>
      <c r="E2" s="7" t="s">
        <v>1</v>
      </c>
    </row>
    <row r="3" spans="2:7">
      <c r="B3" s="8">
        <v>41.225000000000001</v>
      </c>
      <c r="C3" s="9">
        <v>29.364999999999998</v>
      </c>
      <c r="D3" s="10">
        <f>B3-C3</f>
        <v>11.860000000000003</v>
      </c>
      <c r="E3" s="10">
        <f>D3*$E$1</f>
        <v>711.60000000000014</v>
      </c>
    </row>
    <row r="4" spans="2:7">
      <c r="B4" s="11" t="s">
        <v>2</v>
      </c>
      <c r="C4" s="12">
        <v>3400</v>
      </c>
      <c r="D4" s="11" t="s">
        <v>3</v>
      </c>
      <c r="E4" s="53">
        <f>C4/E3</f>
        <v>4.7779651489600887</v>
      </c>
      <c r="F4" s="13"/>
    </row>
    <row r="5" spans="2:7">
      <c r="B5" s="14" t="s">
        <v>4</v>
      </c>
      <c r="C5" s="15"/>
      <c r="D5" s="16"/>
      <c r="E5" s="17"/>
    </row>
    <row r="6" spans="2:7">
      <c r="B6" s="18">
        <v>124708</v>
      </c>
      <c r="C6" s="19">
        <v>124648</v>
      </c>
      <c r="D6" s="19">
        <f>B6-C6</f>
        <v>60</v>
      </c>
      <c r="E6" s="20">
        <f>D6*$E$4</f>
        <v>286.67790893760531</v>
      </c>
      <c r="F6" s="13"/>
      <c r="G6" s="10"/>
    </row>
    <row r="7" spans="2:7">
      <c r="B7" s="21"/>
      <c r="C7" s="22"/>
      <c r="D7" s="13"/>
      <c r="E7" s="23">
        <f>D7+E6</f>
        <v>286.67790893760531</v>
      </c>
      <c r="F7" s="13"/>
    </row>
    <row r="8" spans="2:7">
      <c r="B8" s="24">
        <v>-20</v>
      </c>
      <c r="D8" s="25"/>
      <c r="E8" s="26">
        <f>E7+C9</f>
        <v>286.67790893760531</v>
      </c>
    </row>
    <row r="9" spans="2:7">
      <c r="B9" s="27"/>
      <c r="C9" s="28"/>
      <c r="D9" s="29"/>
      <c r="E9" s="30">
        <f>D6/$E$3</f>
        <v>8.4317032040472153E-2</v>
      </c>
    </row>
    <row r="10" spans="2:7">
      <c r="B10" s="31"/>
      <c r="C10" s="32"/>
      <c r="D10" s="33"/>
      <c r="E10" s="34"/>
    </row>
    <row r="11" spans="2:7">
      <c r="B11" s="14" t="s">
        <v>6</v>
      </c>
      <c r="C11" s="15"/>
      <c r="D11" s="16"/>
      <c r="E11" s="17"/>
    </row>
    <row r="12" spans="2:7">
      <c r="B12" s="18">
        <v>8471</v>
      </c>
      <c r="C12" s="19">
        <v>8250</v>
      </c>
      <c r="D12" s="19">
        <f>B12-C12</f>
        <v>221</v>
      </c>
      <c r="E12" s="23">
        <f>D12*$E$4</f>
        <v>1055.9302979201796</v>
      </c>
    </row>
    <row r="13" spans="2:7">
      <c r="B13" s="21"/>
      <c r="C13" s="22"/>
      <c r="D13" s="13"/>
      <c r="E13" s="23">
        <f>D13+E12</f>
        <v>1055.9302979201796</v>
      </c>
    </row>
    <row r="14" spans="2:7">
      <c r="B14" s="24"/>
      <c r="C14" s="35"/>
      <c r="D14" s="25"/>
      <c r="E14" s="26">
        <f>E13+C15</f>
        <v>1055.9302979201796</v>
      </c>
    </row>
    <row r="15" spans="2:7">
      <c r="B15" s="27"/>
      <c r="C15" s="28"/>
      <c r="D15" s="29"/>
      <c r="E15" s="30">
        <f>D12/$E$3</f>
        <v>0.31056773468240578</v>
      </c>
    </row>
    <row r="16" spans="2:7">
      <c r="B16" s="36"/>
      <c r="C16" s="32"/>
      <c r="D16" s="33"/>
      <c r="E16" s="34"/>
    </row>
    <row r="17" spans="2:5">
      <c r="B17" s="14" t="s">
        <v>7</v>
      </c>
      <c r="C17" s="15"/>
      <c r="D17" s="16"/>
      <c r="E17" s="17"/>
    </row>
    <row r="18" spans="2:5">
      <c r="B18" s="37">
        <v>2595</v>
      </c>
      <c r="C18" s="38">
        <v>2520</v>
      </c>
      <c r="D18" s="38">
        <f>B18-C18</f>
        <v>75</v>
      </c>
      <c r="E18" s="39">
        <f>D18*$E$4</f>
        <v>358.34738617200668</v>
      </c>
    </row>
    <row r="19" spans="2:5">
      <c r="B19" s="21"/>
      <c r="C19" s="22">
        <v>0</v>
      </c>
      <c r="D19" s="13"/>
      <c r="E19" s="23">
        <f>D19+E18</f>
        <v>358.34738617200668</v>
      </c>
    </row>
    <row r="20" spans="2:5">
      <c r="B20" s="24"/>
      <c r="D20" s="25"/>
      <c r="E20" s="26">
        <f>E19+C21</f>
        <v>358.34738617200668</v>
      </c>
    </row>
    <row r="21" spans="2:5">
      <c r="B21" s="27"/>
      <c r="C21" s="28"/>
      <c r="D21" s="29"/>
      <c r="E21" s="30">
        <f>D18/$E$3</f>
        <v>0.1053962900505902</v>
      </c>
    </row>
    <row r="22" spans="2:5">
      <c r="B22" s="40"/>
      <c r="C22" s="32"/>
      <c r="D22" s="33"/>
      <c r="E22" s="34"/>
    </row>
    <row r="23" spans="2:5">
      <c r="B23" s="14" t="s">
        <v>8</v>
      </c>
      <c r="C23" s="15"/>
      <c r="D23" s="16"/>
      <c r="E23" s="17"/>
    </row>
    <row r="24" spans="2:5">
      <c r="B24" s="41">
        <f>E3-D6-D12-D18-D36-D30</f>
        <v>355.60000000000014</v>
      </c>
      <c r="C24" s="19"/>
      <c r="D24" s="19">
        <f>B24-C24</f>
        <v>355.60000000000014</v>
      </c>
      <c r="E24" s="42">
        <f>D24*$E$4</f>
        <v>1699.0444069702082</v>
      </c>
    </row>
    <row r="25" spans="2:5">
      <c r="B25" s="21"/>
      <c r="C25" s="22"/>
      <c r="D25" s="43"/>
      <c r="E25" s="23">
        <f>D25+E24</f>
        <v>1699.0444069702082</v>
      </c>
    </row>
    <row r="26" spans="2:5">
      <c r="B26" s="24"/>
      <c r="C26" s="2"/>
      <c r="D26" s="44"/>
      <c r="E26" s="26">
        <f>E25+C27</f>
        <v>1699.0444069702082</v>
      </c>
    </row>
    <row r="27" spans="2:5">
      <c r="B27" s="27"/>
      <c r="C27" s="28"/>
      <c r="D27" s="29"/>
      <c r="E27" s="30">
        <f>D24/$E$3</f>
        <v>0.49971894322653188</v>
      </c>
    </row>
    <row r="28" spans="2:5">
      <c r="B28" s="40"/>
      <c r="C28" s="32"/>
      <c r="D28" s="33"/>
      <c r="E28" s="34"/>
    </row>
    <row r="29" spans="2:5">
      <c r="B29" s="14" t="s">
        <v>9</v>
      </c>
      <c r="C29" s="15"/>
      <c r="D29" s="16"/>
      <c r="E29" s="17"/>
    </row>
    <row r="30" spans="2:5">
      <c r="B30" s="18">
        <v>8813</v>
      </c>
      <c r="C30" s="19">
        <v>8813</v>
      </c>
      <c r="D30" s="19">
        <f>B30-C30</f>
        <v>0</v>
      </c>
      <c r="E30" s="42">
        <f>D30*$E$4</f>
        <v>0</v>
      </c>
    </row>
    <row r="31" spans="2:5">
      <c r="B31" s="45"/>
      <c r="C31" s="22"/>
      <c r="D31" s="13"/>
      <c r="E31" s="23">
        <f>D31+E30</f>
        <v>0</v>
      </c>
    </row>
    <row r="32" spans="2:5">
      <c r="B32" s="24"/>
      <c r="D32" s="25"/>
      <c r="E32" s="26">
        <f>E31+C33</f>
        <v>0</v>
      </c>
    </row>
    <row r="33" spans="2:5">
      <c r="B33" s="27">
        <f>C33-D33</f>
        <v>0</v>
      </c>
      <c r="C33" s="28"/>
      <c r="D33" s="29"/>
      <c r="E33" s="30">
        <f>D30/$E$3</f>
        <v>0</v>
      </c>
    </row>
    <row r="34" spans="2:5">
      <c r="B34" s="36"/>
      <c r="C34" s="32"/>
      <c r="D34" s="33"/>
      <c r="E34" s="34"/>
    </row>
    <row r="35" spans="2:5">
      <c r="B35" s="14" t="s">
        <v>10</v>
      </c>
      <c r="C35" s="15"/>
      <c r="D35" s="16"/>
      <c r="E35" s="17"/>
    </row>
    <row r="36" spans="2:5">
      <c r="B36" s="37">
        <v>7606</v>
      </c>
      <c r="C36" s="38">
        <v>7606</v>
      </c>
      <c r="D36" s="38">
        <f>B36-C36+J39</f>
        <v>0</v>
      </c>
      <c r="E36" s="46">
        <f>D36*$E$4</f>
        <v>0</v>
      </c>
    </row>
    <row r="37" spans="2:5">
      <c r="B37" s="45"/>
      <c r="C37" s="22">
        <v>0</v>
      </c>
      <c r="D37" s="13">
        <f>(D36*$E$4*C37)</f>
        <v>0</v>
      </c>
      <c r="E37" s="26">
        <f>E36+C38</f>
        <v>0</v>
      </c>
    </row>
    <row r="38" spans="2:5">
      <c r="B38" s="27"/>
      <c r="C38" s="28"/>
      <c r="D38" s="29"/>
      <c r="E38" s="30"/>
    </row>
    <row r="39" spans="2:5">
      <c r="B39" s="47"/>
      <c r="C39" s="48"/>
      <c r="D39" s="49"/>
      <c r="E39" s="50"/>
    </row>
    <row r="40" spans="2:5">
      <c r="B40">
        <f>C38+C33+C27+C21+C15+C9</f>
        <v>0</v>
      </c>
      <c r="C40" s="51">
        <f>D6+D12+D18+D24+D30+D36</f>
        <v>711.60000000000014</v>
      </c>
      <c r="D40" s="52">
        <f>E8+E14+E20+E26+E32+E37</f>
        <v>3400</v>
      </c>
      <c r="E40" s="1">
        <f>E36+E30+E24+E18+E12+E6</f>
        <v>3399.9999999999995</v>
      </c>
    </row>
    <row r="41" spans="2:5">
      <c r="C41" s="51"/>
    </row>
  </sheetData>
  <pageMargins left="0.27559055118110198" right="0.27559055118110198" top="0.62992125984252012" bottom="0.62992125984252012" header="0.23622047244094502" footer="0.23622047244094502"/>
  <pageSetup paperSize="9" fitToWidth="0" fitToHeight="0" pageOrder="overThenDown" orientation="landscape" useFirstPageNumber="1" r:id="rId1"/>
  <headerFooter alignWithMargins="0">
    <oddHeader>&amp;C&amp;A</oddHeader>
    <oddFooter>&amp;CPage 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BFFBC0-F7B8-4903-A44B-45A0DB7C8EA0}">
  <dimension ref="B1:F41"/>
  <sheetViews>
    <sheetView zoomScale="160" zoomScaleNormal="160" workbookViewId="0">
      <selection activeCell="C2" sqref="C2"/>
    </sheetView>
  </sheetViews>
  <sheetFormatPr defaultRowHeight="12.75"/>
  <cols>
    <col min="1" max="1" width="2.42578125" customWidth="1"/>
    <col min="2" max="3" width="13.7109375" customWidth="1"/>
    <col min="4" max="6" width="12.140625" customWidth="1"/>
    <col min="7" max="7" width="9.140625" customWidth="1"/>
  </cols>
  <sheetData>
    <row r="1" spans="2:6">
      <c r="B1" s="3">
        <v>45689</v>
      </c>
      <c r="C1" s="4">
        <v>45716</v>
      </c>
      <c r="E1">
        <v>60</v>
      </c>
    </row>
    <row r="2" spans="2:6">
      <c r="B2" s="5"/>
      <c r="C2" s="6"/>
      <c r="D2" s="7" t="s">
        <v>0</v>
      </c>
      <c r="E2" s="7" t="s">
        <v>1</v>
      </c>
    </row>
    <row r="3" spans="2:6">
      <c r="B3" s="8">
        <v>29.364999999999998</v>
      </c>
      <c r="C3" s="9">
        <v>15.821</v>
      </c>
      <c r="D3" s="10">
        <f>B3-C3</f>
        <v>13.543999999999999</v>
      </c>
      <c r="E3" s="10">
        <f>D3*$E$1</f>
        <v>812.63999999999987</v>
      </c>
    </row>
    <row r="4" spans="2:6">
      <c r="B4" s="11" t="s">
        <v>2</v>
      </c>
      <c r="C4" s="12">
        <v>3880</v>
      </c>
      <c r="D4" s="11" t="s">
        <v>3</v>
      </c>
      <c r="E4" s="53">
        <f>C4/E3</f>
        <v>4.7745619216381181</v>
      </c>
      <c r="F4" s="13"/>
    </row>
    <row r="5" spans="2:6">
      <c r="B5" s="14" t="s">
        <v>4</v>
      </c>
      <c r="C5" s="15"/>
      <c r="D5" s="16"/>
      <c r="E5" s="17"/>
    </row>
    <row r="6" spans="2:6">
      <c r="B6" s="18">
        <v>124648</v>
      </c>
      <c r="C6" s="19">
        <v>124438</v>
      </c>
      <c r="D6" s="19">
        <v>230</v>
      </c>
      <c r="E6" s="20">
        <f>D6*$E$4</f>
        <v>1098.1492419767671</v>
      </c>
      <c r="F6" s="13"/>
    </row>
    <row r="7" spans="2:6">
      <c r="B7" s="21"/>
      <c r="C7" s="22"/>
      <c r="D7" s="13"/>
      <c r="E7" s="23">
        <f>D7+E6</f>
        <v>1098.1492419767671</v>
      </c>
      <c r="F7" s="13"/>
    </row>
    <row r="8" spans="2:6">
      <c r="B8" s="54">
        <f>B6-C6</f>
        <v>210</v>
      </c>
      <c r="D8" s="25"/>
      <c r="E8" s="26">
        <f>E7+C9</f>
        <v>1098.1492419767671</v>
      </c>
    </row>
    <row r="9" spans="2:6">
      <c r="B9" s="55" t="s">
        <v>11</v>
      </c>
      <c r="C9" s="28"/>
      <c r="D9" s="29"/>
      <c r="E9" s="30">
        <f>D6/$E$3</f>
        <v>0.28302815514865137</v>
      </c>
    </row>
    <row r="10" spans="2:6">
      <c r="B10" s="31"/>
      <c r="C10" s="32"/>
      <c r="D10" s="33"/>
      <c r="E10" s="34"/>
    </row>
    <row r="11" spans="2:6">
      <c r="B11" s="14" t="s">
        <v>6</v>
      </c>
      <c r="C11" s="15"/>
      <c r="D11" s="16"/>
      <c r="E11" s="17"/>
    </row>
    <row r="12" spans="2:6">
      <c r="B12" s="18">
        <v>8250</v>
      </c>
      <c r="C12" s="19">
        <v>8012</v>
      </c>
      <c r="D12" s="19">
        <f>B12-C12</f>
        <v>238</v>
      </c>
      <c r="E12" s="23">
        <f>D12*$E$4</f>
        <v>1136.345737349872</v>
      </c>
    </row>
    <row r="13" spans="2:6">
      <c r="B13" s="21"/>
      <c r="C13" s="22"/>
      <c r="D13" s="13"/>
      <c r="E13" s="23">
        <f>D13+E12</f>
        <v>1136.345737349872</v>
      </c>
    </row>
    <row r="14" spans="2:6">
      <c r="B14" s="24"/>
      <c r="C14" s="35"/>
      <c r="D14" s="25"/>
      <c r="E14" s="26">
        <f>E13+C15</f>
        <v>1136.345737349872</v>
      </c>
    </row>
    <row r="15" spans="2:6">
      <c r="B15" s="27"/>
      <c r="C15" s="28"/>
      <c r="D15" s="29"/>
      <c r="E15" s="30">
        <f>D12/$E$3</f>
        <v>0.29287261271903925</v>
      </c>
    </row>
    <row r="16" spans="2:6">
      <c r="B16" s="36"/>
      <c r="C16" s="32"/>
      <c r="D16" s="33"/>
      <c r="E16" s="34"/>
    </row>
    <row r="17" spans="2:5">
      <c r="B17" s="14" t="s">
        <v>7</v>
      </c>
      <c r="C17" s="15"/>
      <c r="D17" s="16"/>
      <c r="E17" s="17"/>
    </row>
    <row r="18" spans="2:5">
      <c r="B18" s="37">
        <v>2520</v>
      </c>
      <c r="C18" s="38">
        <v>2470</v>
      </c>
      <c r="D18" s="38">
        <f>B18-C18</f>
        <v>50</v>
      </c>
      <c r="E18" s="39">
        <f>D18*$E$4</f>
        <v>238.7280960819059</v>
      </c>
    </row>
    <row r="19" spans="2:5">
      <c r="B19" s="21"/>
      <c r="C19" s="22">
        <v>0</v>
      </c>
      <c r="D19" s="13"/>
      <c r="E19" s="23">
        <f>D19+E18</f>
        <v>238.7280960819059</v>
      </c>
    </row>
    <row r="20" spans="2:5">
      <c r="B20" s="24"/>
      <c r="D20" s="25"/>
      <c r="E20" s="26">
        <f>E19+C21</f>
        <v>238.7280960819059</v>
      </c>
    </row>
    <row r="21" spans="2:5">
      <c r="B21" s="27"/>
      <c r="C21" s="28"/>
      <c r="D21" s="29"/>
      <c r="E21" s="30">
        <f>D18/$E$3</f>
        <v>6.1527859814924209E-2</v>
      </c>
    </row>
    <row r="22" spans="2:5">
      <c r="B22" s="40"/>
      <c r="C22" s="32"/>
      <c r="D22" s="33"/>
      <c r="E22" s="34"/>
    </row>
    <row r="23" spans="2:5">
      <c r="B23" s="14" t="s">
        <v>8</v>
      </c>
      <c r="C23" s="15"/>
      <c r="D23" s="16"/>
      <c r="E23" s="17"/>
    </row>
    <row r="24" spans="2:5">
      <c r="B24" s="41">
        <f>E3-D6-D12-D18-D36-D30</f>
        <v>294.63999999999987</v>
      </c>
      <c r="C24" s="19"/>
      <c r="D24" s="19">
        <f>B24-C24</f>
        <v>294.63999999999987</v>
      </c>
      <c r="E24" s="42">
        <f>D24*$E$4</f>
        <v>1406.7769245914544</v>
      </c>
    </row>
    <row r="25" spans="2:5">
      <c r="B25" s="21"/>
      <c r="C25" s="22"/>
      <c r="D25" s="43"/>
      <c r="E25" s="23">
        <f>D25+E24</f>
        <v>1406.7769245914544</v>
      </c>
    </row>
    <row r="26" spans="2:5">
      <c r="B26" s="24"/>
      <c r="C26" s="2"/>
      <c r="D26" s="44"/>
      <c r="E26" s="26">
        <f>E25+C27</f>
        <v>1406.7769245914544</v>
      </c>
    </row>
    <row r="27" spans="2:5">
      <c r="B27" s="27"/>
      <c r="C27" s="28"/>
      <c r="D27" s="29"/>
      <c r="E27" s="30">
        <f>D24/$E$3</f>
        <v>0.36257137231738523</v>
      </c>
    </row>
    <row r="28" spans="2:5">
      <c r="B28" s="40"/>
      <c r="C28" s="32"/>
      <c r="D28" s="33"/>
      <c r="E28" s="34"/>
    </row>
    <row r="29" spans="2:5">
      <c r="B29" s="14" t="s">
        <v>9</v>
      </c>
      <c r="C29" s="15"/>
      <c r="D29" s="16"/>
      <c r="E29" s="17"/>
    </row>
    <row r="30" spans="2:5">
      <c r="B30" s="18">
        <v>8813</v>
      </c>
      <c r="C30" s="19">
        <v>8813</v>
      </c>
      <c r="D30" s="19">
        <f>B30-C30</f>
        <v>0</v>
      </c>
      <c r="E30" s="42">
        <f>D30*$E$4</f>
        <v>0</v>
      </c>
    </row>
    <row r="31" spans="2:5">
      <c r="B31" s="45"/>
      <c r="C31" s="22"/>
      <c r="D31" s="13"/>
      <c r="E31" s="23">
        <f>D31+E30</f>
        <v>0</v>
      </c>
    </row>
    <row r="32" spans="2:5">
      <c r="B32" s="24"/>
      <c r="D32" s="25"/>
      <c r="E32" s="26">
        <f>E31+C33</f>
        <v>0</v>
      </c>
    </row>
    <row r="33" spans="2:5">
      <c r="B33" s="27">
        <f>C33-D33</f>
        <v>0</v>
      </c>
      <c r="C33" s="28"/>
      <c r="D33" s="29"/>
      <c r="E33" s="30">
        <f>D30/$E$3</f>
        <v>0</v>
      </c>
    </row>
    <row r="34" spans="2:5">
      <c r="B34" s="36"/>
      <c r="C34" s="32"/>
      <c r="D34" s="33"/>
      <c r="E34" s="34"/>
    </row>
    <row r="35" spans="2:5">
      <c r="B35" s="14" t="s">
        <v>10</v>
      </c>
      <c r="C35" s="15"/>
      <c r="D35" s="16"/>
      <c r="E35" s="17"/>
    </row>
    <row r="36" spans="2:5">
      <c r="B36" s="37">
        <v>7606</v>
      </c>
      <c r="C36" s="38">
        <v>7606</v>
      </c>
      <c r="D36" s="38">
        <f>B36-C36+J39</f>
        <v>0</v>
      </c>
      <c r="E36" s="46">
        <f>D36*$E$4</f>
        <v>0</v>
      </c>
    </row>
    <row r="37" spans="2:5">
      <c r="B37" s="45"/>
      <c r="C37" s="22">
        <v>0</v>
      </c>
      <c r="D37" s="13">
        <f>(D36*$E$4*C37)</f>
        <v>0</v>
      </c>
      <c r="E37" s="26">
        <f>E36+C38</f>
        <v>0</v>
      </c>
    </row>
    <row r="38" spans="2:5">
      <c r="B38" s="27"/>
      <c r="C38" s="28"/>
      <c r="D38" s="29"/>
      <c r="E38" s="30"/>
    </row>
    <row r="39" spans="2:5">
      <c r="B39" s="47"/>
      <c r="C39" s="48"/>
      <c r="D39" s="49"/>
      <c r="E39" s="50"/>
    </row>
    <row r="40" spans="2:5">
      <c r="B40">
        <f>C38+C33+C27+C21+C15+C9</f>
        <v>0</v>
      </c>
      <c r="C40" s="51">
        <f>D6+D12+D18+D24+D30+D36</f>
        <v>812.63999999999987</v>
      </c>
      <c r="D40" s="52">
        <f>E8+E14+E20+E26+E32+E37</f>
        <v>3879.9999999999991</v>
      </c>
      <c r="E40" s="1">
        <f>E36+E30+E24+E18+E12+E6</f>
        <v>3880</v>
      </c>
    </row>
    <row r="41" spans="2:5">
      <c r="C41" s="51"/>
    </row>
  </sheetData>
  <pageMargins left="0.27559055118110198" right="0.27559055118110198" top="0.62992125984252012" bottom="0.62992125984252012" header="0.23622047244094502" footer="0.23622047244094502"/>
  <pageSetup paperSize="9" fitToWidth="0" fitToHeight="0" pageOrder="overThenDown" orientation="landscape" useFirstPageNumber="1" r:id="rId1"/>
  <headerFooter alignWithMargins="0">
    <oddHeader>&amp;C&amp;A</oddHeader>
    <oddFooter>&amp;CPage &amp;P</oddFooter>
  </headerFooter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3129D4-C5A9-407B-907B-48E5E036088C}">
  <dimension ref="B1:F41"/>
  <sheetViews>
    <sheetView zoomScale="160" zoomScaleNormal="160" workbookViewId="0">
      <selection activeCell="D6" sqref="D6"/>
    </sheetView>
  </sheetViews>
  <sheetFormatPr defaultRowHeight="12.75"/>
  <cols>
    <col min="1" max="1" width="2.42578125" customWidth="1"/>
    <col min="2" max="3" width="13.7109375" customWidth="1"/>
    <col min="4" max="6" width="12.140625" customWidth="1"/>
    <col min="7" max="7" width="9.140625" customWidth="1"/>
  </cols>
  <sheetData>
    <row r="1" spans="2:6">
      <c r="B1" s="3">
        <v>45658</v>
      </c>
      <c r="C1" s="4">
        <v>45688</v>
      </c>
      <c r="E1">
        <v>60</v>
      </c>
    </row>
    <row r="2" spans="2:6">
      <c r="B2" s="5"/>
      <c r="C2" s="6"/>
      <c r="D2" s="7" t="s">
        <v>0</v>
      </c>
      <c r="E2" s="7" t="s">
        <v>1</v>
      </c>
    </row>
    <row r="3" spans="2:6">
      <c r="B3" s="8">
        <v>15.821</v>
      </c>
      <c r="C3" s="9">
        <v>0</v>
      </c>
      <c r="D3" s="10">
        <f>B3-C3</f>
        <v>15.821</v>
      </c>
      <c r="E3" s="10">
        <f>D3*$E$1</f>
        <v>949.26</v>
      </c>
    </row>
    <row r="4" spans="2:6">
      <c r="B4" s="11" t="s">
        <v>2</v>
      </c>
      <c r="C4" s="12">
        <v>4550</v>
      </c>
      <c r="D4" s="11" t="s">
        <v>3</v>
      </c>
      <c r="E4" s="53">
        <f>C4/E3</f>
        <v>4.7932073404546696</v>
      </c>
      <c r="F4" s="13"/>
    </row>
    <row r="5" spans="2:6">
      <c r="B5" s="14" t="s">
        <v>4</v>
      </c>
      <c r="C5" s="15">
        <f>B7+D7</f>
        <v>0</v>
      </c>
      <c r="D5" s="16"/>
      <c r="E5" s="17" t="s">
        <v>5</v>
      </c>
    </row>
    <row r="6" spans="2:6">
      <c r="B6" s="18">
        <v>124438</v>
      </c>
      <c r="C6" s="19">
        <v>124093</v>
      </c>
      <c r="D6" s="19">
        <f>B6-C6</f>
        <v>345</v>
      </c>
      <c r="E6" s="20">
        <f>D6*$E$4</f>
        <v>1653.656532456861</v>
      </c>
      <c r="F6" s="13"/>
    </row>
    <row r="7" spans="2:6">
      <c r="B7" s="21"/>
      <c r="C7" s="22"/>
      <c r="D7" s="13"/>
      <c r="E7" s="23">
        <f>D7+E6</f>
        <v>1653.656532456861</v>
      </c>
      <c r="F7" s="13"/>
    </row>
    <row r="8" spans="2:6">
      <c r="B8" s="24"/>
      <c r="D8" s="25"/>
      <c r="E8" s="26">
        <f>E7+C9</f>
        <v>1653.656532456861</v>
      </c>
    </row>
    <row r="9" spans="2:6">
      <c r="B9" s="27"/>
      <c r="C9" s="28"/>
      <c r="D9" s="29"/>
      <c r="E9" s="30">
        <f>D6/$E$3</f>
        <v>0.36344099614436509</v>
      </c>
    </row>
    <row r="10" spans="2:6">
      <c r="B10" s="31"/>
      <c r="C10" s="32"/>
      <c r="D10" s="33"/>
      <c r="E10" s="34"/>
    </row>
    <row r="11" spans="2:6">
      <c r="B11" s="14" t="s">
        <v>6</v>
      </c>
      <c r="C11" s="15" t="e">
        <f>B13+D13</f>
        <v>#REF!</v>
      </c>
      <c r="D11" s="16">
        <v>0</v>
      </c>
      <c r="E11" s="17" t="s">
        <v>5</v>
      </c>
    </row>
    <row r="12" spans="2:6">
      <c r="B12" s="18">
        <v>8012</v>
      </c>
      <c r="C12" s="19">
        <v>7801</v>
      </c>
      <c r="D12" s="19">
        <f>B12-C12</f>
        <v>211</v>
      </c>
      <c r="E12" s="23">
        <f>D12*$E$4</f>
        <v>1011.3667488359353</v>
      </c>
    </row>
    <row r="13" spans="2:6">
      <c r="B13" s="21" t="e">
        <f>#REF!</f>
        <v>#REF!</v>
      </c>
      <c r="C13" s="22"/>
      <c r="D13" s="13"/>
      <c r="E13" s="23">
        <f>D13+E12</f>
        <v>1011.3667488359353</v>
      </c>
    </row>
    <row r="14" spans="2:6">
      <c r="B14" s="24"/>
      <c r="C14" s="35"/>
      <c r="D14" s="25"/>
      <c r="E14" s="26">
        <f>E13+C15</f>
        <v>1011.3667488359353</v>
      </c>
    </row>
    <row r="15" spans="2:6">
      <c r="B15" s="27"/>
      <c r="C15" s="28"/>
      <c r="D15" s="29"/>
      <c r="E15" s="30">
        <f>D12/$E$3</f>
        <v>0.22227840633756821</v>
      </c>
    </row>
    <row r="16" spans="2:6">
      <c r="B16" s="36"/>
      <c r="C16" s="32"/>
      <c r="D16" s="33"/>
      <c r="E16" s="34"/>
    </row>
    <row r="17" spans="2:5">
      <c r="B17" s="14" t="s">
        <v>7</v>
      </c>
      <c r="C17" s="15" t="e">
        <f>B19+D19</f>
        <v>#REF!</v>
      </c>
      <c r="D17" s="16"/>
      <c r="E17" s="17" t="s">
        <v>5</v>
      </c>
    </row>
    <row r="18" spans="2:5">
      <c r="B18" s="37">
        <v>2470</v>
      </c>
      <c r="C18" s="38">
        <v>2374</v>
      </c>
      <c r="D18" s="38">
        <f>B18-C18</f>
        <v>96</v>
      </c>
      <c r="E18" s="39">
        <f>D18*$E$4</f>
        <v>460.14790468364828</v>
      </c>
    </row>
    <row r="19" spans="2:5">
      <c r="B19" s="21" t="e">
        <f>#REF!</f>
        <v>#REF!</v>
      </c>
      <c r="C19" s="22">
        <v>0</v>
      </c>
      <c r="D19" s="13"/>
      <c r="E19" s="23">
        <f>D19+E18</f>
        <v>460.14790468364828</v>
      </c>
    </row>
    <row r="20" spans="2:5">
      <c r="B20" s="24"/>
      <c r="D20" s="25"/>
      <c r="E20" s="26">
        <f>E19+C21</f>
        <v>460.14790468364828</v>
      </c>
    </row>
    <row r="21" spans="2:5">
      <c r="B21" s="27"/>
      <c r="C21" s="28"/>
      <c r="D21" s="29"/>
      <c r="E21" s="30">
        <f>D18/$E$3</f>
        <v>0.10113140762277985</v>
      </c>
    </row>
    <row r="22" spans="2:5">
      <c r="B22" s="40"/>
      <c r="C22" s="32"/>
      <c r="D22" s="33"/>
      <c r="E22" s="34"/>
    </row>
    <row r="23" spans="2:5">
      <c r="B23" s="14" t="s">
        <v>8</v>
      </c>
      <c r="C23" s="15" t="e">
        <f>B25+D25</f>
        <v>#REF!</v>
      </c>
      <c r="D23" s="16">
        <v>0</v>
      </c>
      <c r="E23" s="17" t="s">
        <v>5</v>
      </c>
    </row>
    <row r="24" spans="2:5">
      <c r="B24" s="41">
        <f>E3-D6-D12-D18-D36-D30</f>
        <v>279.26</v>
      </c>
      <c r="C24" s="19"/>
      <c r="D24" s="19">
        <f>B24-C24</f>
        <v>279.26</v>
      </c>
      <c r="E24" s="42">
        <f>D24*$E$4</f>
        <v>1338.551081895371</v>
      </c>
    </row>
    <row r="25" spans="2:5">
      <c r="B25" s="21" t="e">
        <f>#REF!</f>
        <v>#REF!</v>
      </c>
      <c r="C25" s="22"/>
      <c r="D25" s="43"/>
      <c r="E25" s="23">
        <f>D25+E24</f>
        <v>1338.551081895371</v>
      </c>
    </row>
    <row r="26" spans="2:5">
      <c r="B26" s="24"/>
      <c r="C26" s="2"/>
      <c r="D26" s="44"/>
      <c r="E26" s="26">
        <f>E25+C27</f>
        <v>1338.551081895371</v>
      </c>
    </row>
    <row r="27" spans="2:5">
      <c r="B27" s="27"/>
      <c r="C27" s="28"/>
      <c r="D27" s="29"/>
      <c r="E27" s="30">
        <f>D24/$E$3</f>
        <v>0.29418705096601561</v>
      </c>
    </row>
    <row r="28" spans="2:5">
      <c r="B28" s="40"/>
      <c r="C28" s="32"/>
      <c r="D28" s="33"/>
      <c r="E28" s="34"/>
    </row>
    <row r="29" spans="2:5">
      <c r="B29" s="14" t="s">
        <v>9</v>
      </c>
      <c r="C29" s="15" t="e">
        <f>B31+D31</f>
        <v>#REF!</v>
      </c>
      <c r="D29" s="16">
        <v>200</v>
      </c>
      <c r="E29" s="17" t="s">
        <v>5</v>
      </c>
    </row>
    <row r="30" spans="2:5">
      <c r="B30" s="18">
        <v>6813</v>
      </c>
      <c r="C30" s="19">
        <v>6795</v>
      </c>
      <c r="D30" s="19">
        <f>B30-C30</f>
        <v>18</v>
      </c>
      <c r="E30" s="42">
        <f>D30*$E$4</f>
        <v>86.277732128184056</v>
      </c>
    </row>
    <row r="31" spans="2:5">
      <c r="B31" s="45" t="e">
        <f>#REF!</f>
        <v>#REF!</v>
      </c>
      <c r="C31" s="22"/>
      <c r="D31" s="13"/>
      <c r="E31" s="23">
        <f>D31+E30</f>
        <v>86.277732128184056</v>
      </c>
    </row>
    <row r="32" spans="2:5">
      <c r="B32" s="24"/>
      <c r="D32" s="25"/>
      <c r="E32" s="26">
        <f>E31+C33</f>
        <v>86.277732128184056</v>
      </c>
    </row>
    <row r="33" spans="2:5">
      <c r="B33" s="27">
        <f>C33-D33</f>
        <v>0</v>
      </c>
      <c r="C33" s="28"/>
      <c r="D33" s="29"/>
      <c r="E33" s="30">
        <f>D30/$E$3</f>
        <v>1.8962138929271222E-2</v>
      </c>
    </row>
    <row r="34" spans="2:5">
      <c r="B34" s="36"/>
      <c r="C34" s="32"/>
      <c r="D34" s="33"/>
      <c r="E34" s="34"/>
    </row>
    <row r="35" spans="2:5">
      <c r="B35" s="14" t="s">
        <v>10</v>
      </c>
      <c r="C35" s="15" t="e">
        <f>B37+D37</f>
        <v>#REF!</v>
      </c>
      <c r="D35" s="16">
        <v>6700</v>
      </c>
      <c r="E35" s="17" t="s">
        <v>5</v>
      </c>
    </row>
    <row r="36" spans="2:5">
      <c r="B36" s="37">
        <v>7606</v>
      </c>
      <c r="C36" s="38">
        <v>7606</v>
      </c>
      <c r="D36" s="38">
        <f>B36-C36+J39</f>
        <v>0</v>
      </c>
      <c r="E36" s="46">
        <f>D36*$E$4</f>
        <v>0</v>
      </c>
    </row>
    <row r="37" spans="2:5">
      <c r="B37" s="45" t="e">
        <f>#REF!</f>
        <v>#REF!</v>
      </c>
      <c r="C37" s="22">
        <v>0</v>
      </c>
      <c r="D37" s="13">
        <f>(D36*$E$4*C37)</f>
        <v>0</v>
      </c>
      <c r="E37" s="26">
        <f>E36+C38</f>
        <v>0</v>
      </c>
    </row>
    <row r="38" spans="2:5">
      <c r="B38" s="27"/>
      <c r="C38" s="28"/>
      <c r="D38" s="29"/>
      <c r="E38" s="30"/>
    </row>
    <row r="39" spans="2:5">
      <c r="B39" s="47"/>
      <c r="C39" s="48"/>
      <c r="D39" s="49"/>
      <c r="E39" s="50"/>
    </row>
    <row r="40" spans="2:5">
      <c r="B40">
        <f>C38+C33+C27+C21+C15+C9</f>
        <v>0</v>
      </c>
      <c r="C40" s="51">
        <f>D6+D12+D18+D24+D30+D36</f>
        <v>949.26</v>
      </c>
      <c r="D40" s="52">
        <f>E8+E14+E20+E26+E32+E37</f>
        <v>4549.9999999999991</v>
      </c>
      <c r="E40" s="1">
        <f>E36+E30+E24+E18+E12+E6</f>
        <v>4550</v>
      </c>
    </row>
    <row r="41" spans="2:5">
      <c r="C41" s="51"/>
    </row>
  </sheetData>
  <pageMargins left="0.27559055118110198" right="0.27559055118110198" top="0.62992125984252012" bottom="0.62992125984252012" header="0.23622047244094502" footer="0.23622047244094502"/>
  <pageSetup paperSize="9" fitToWidth="0" fitToHeight="0" pageOrder="overThenDown" orientation="landscape" useFirstPageNumber="1" r:id="rId1"/>
  <headerFooter alignWithMargins="0">
    <oddHeader>&amp;C&amp;A</oddHeader>
    <oddFooter>&amp;CPage &amp;P</oddFooter>
  </headerFooter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377DF9-6281-4E26-A9A5-329AD0BCD9C7}">
  <dimension ref="B1:F41"/>
  <sheetViews>
    <sheetView zoomScale="160" zoomScaleNormal="160" workbookViewId="0">
      <selection activeCell="C2" sqref="C2"/>
    </sheetView>
  </sheetViews>
  <sheetFormatPr defaultRowHeight="12.75"/>
  <cols>
    <col min="1" max="1" width="2.42578125" customWidth="1"/>
    <col min="2" max="3" width="13.7109375" customWidth="1"/>
    <col min="4" max="6" width="12.140625" customWidth="1"/>
    <col min="7" max="7" width="9.140625" customWidth="1"/>
  </cols>
  <sheetData>
    <row r="1" spans="2:6">
      <c r="B1" s="3">
        <v>45627</v>
      </c>
      <c r="C1" s="4">
        <v>45656</v>
      </c>
      <c r="E1">
        <v>60</v>
      </c>
    </row>
    <row r="2" spans="2:6">
      <c r="B2" s="5"/>
      <c r="C2" s="6"/>
      <c r="D2" s="7" t="s">
        <v>0</v>
      </c>
      <c r="E2" s="7" t="s">
        <v>1</v>
      </c>
    </row>
    <row r="3" spans="2:6">
      <c r="B3" s="8">
        <v>1581.92</v>
      </c>
      <c r="C3" s="9">
        <v>1566.3620000000001</v>
      </c>
      <c r="D3" s="10">
        <f>B3-C3</f>
        <v>15.557999999999993</v>
      </c>
      <c r="E3" s="10">
        <f>D3*$E$1</f>
        <v>933.47999999999956</v>
      </c>
    </row>
    <row r="4" spans="2:6">
      <c r="B4" s="11" t="s">
        <v>2</v>
      </c>
      <c r="C4" s="12">
        <v>4465</v>
      </c>
      <c r="D4" s="11" t="s">
        <v>3</v>
      </c>
      <c r="E4" s="53">
        <f>C4/E3</f>
        <v>4.7831769293396773</v>
      </c>
      <c r="F4" s="13"/>
    </row>
    <row r="5" spans="2:6">
      <c r="B5" s="14" t="s">
        <v>4</v>
      </c>
      <c r="C5" s="15">
        <f>B7+D7</f>
        <v>0</v>
      </c>
      <c r="D5" s="16"/>
      <c r="E5" s="17" t="s">
        <v>5</v>
      </c>
    </row>
    <row r="6" spans="2:6">
      <c r="B6" s="18">
        <v>124093</v>
      </c>
      <c r="C6" s="19">
        <v>123857</v>
      </c>
      <c r="D6" s="19">
        <f>B6-C6</f>
        <v>236</v>
      </c>
      <c r="E6" s="20">
        <f>D6*$E$4</f>
        <v>1128.8297553241639</v>
      </c>
      <c r="F6" s="13"/>
    </row>
    <row r="7" spans="2:6">
      <c r="B7" s="21"/>
      <c r="C7" s="22"/>
      <c r="D7" s="13"/>
      <c r="E7" s="23">
        <f>D7+E6</f>
        <v>1128.8297553241639</v>
      </c>
      <c r="F7" s="13"/>
    </row>
    <row r="8" spans="2:6">
      <c r="B8" s="24"/>
      <c r="D8" s="25"/>
      <c r="E8" s="26">
        <f>E7+C9</f>
        <v>1128.8297553241639</v>
      </c>
    </row>
    <row r="9" spans="2:6">
      <c r="B9" s="27"/>
      <c r="C9" s="28"/>
      <c r="D9" s="29"/>
      <c r="E9" s="30">
        <f>D6/$E$3</f>
        <v>0.25281741440630767</v>
      </c>
    </row>
    <row r="10" spans="2:6">
      <c r="B10" s="31"/>
      <c r="C10" s="32"/>
      <c r="D10" s="33"/>
      <c r="E10" s="34"/>
    </row>
    <row r="11" spans="2:6">
      <c r="B11" s="14" t="s">
        <v>6</v>
      </c>
      <c r="C11" s="15" t="e">
        <f>B13+D13</f>
        <v>#REF!</v>
      </c>
      <c r="D11" s="16">
        <v>0</v>
      </c>
      <c r="E11" s="17" t="s">
        <v>5</v>
      </c>
    </row>
    <row r="12" spans="2:6">
      <c r="B12" s="18">
        <v>7801</v>
      </c>
      <c r="C12" s="19">
        <v>7610</v>
      </c>
      <c r="D12" s="19">
        <f>B12-C12</f>
        <v>191</v>
      </c>
      <c r="E12" s="23">
        <f>D12*$E$4</f>
        <v>913.58679350387831</v>
      </c>
    </row>
    <row r="13" spans="2:6">
      <c r="B13" s="21" t="e">
        <f>#REF!</f>
        <v>#REF!</v>
      </c>
      <c r="C13" s="22"/>
      <c r="D13" s="13"/>
      <c r="E13" s="23">
        <f>D13+E12</f>
        <v>913.58679350387831</v>
      </c>
    </row>
    <row r="14" spans="2:6">
      <c r="B14" s="24"/>
      <c r="C14" s="35"/>
      <c r="D14" s="25"/>
      <c r="E14" s="26">
        <f>E13+C15</f>
        <v>913.58679350387831</v>
      </c>
    </row>
    <row r="15" spans="2:6">
      <c r="B15" s="27"/>
      <c r="C15" s="28"/>
      <c r="D15" s="29"/>
      <c r="E15" s="30">
        <f>D12/$E$3</f>
        <v>0.20461070403222362</v>
      </c>
    </row>
    <row r="16" spans="2:6">
      <c r="B16" s="36"/>
      <c r="C16" s="32"/>
      <c r="D16" s="33"/>
      <c r="E16" s="34"/>
    </row>
    <row r="17" spans="2:5">
      <c r="B17" s="14" t="s">
        <v>7</v>
      </c>
      <c r="C17" s="15" t="e">
        <f>B19+D19</f>
        <v>#REF!</v>
      </c>
      <c r="D17" s="16"/>
      <c r="E17" s="17" t="s">
        <v>5</v>
      </c>
    </row>
    <row r="18" spans="2:5">
      <c r="B18" s="37">
        <v>2374</v>
      </c>
      <c r="C18" s="38">
        <v>2300</v>
      </c>
      <c r="D18" s="38">
        <f>B18-C18</f>
        <v>74</v>
      </c>
      <c r="E18" s="39">
        <f>D18*$E$4</f>
        <v>353.95509277113609</v>
      </c>
    </row>
    <row r="19" spans="2:5">
      <c r="B19" s="21" t="e">
        <f>#REF!</f>
        <v>#REF!</v>
      </c>
      <c r="C19" s="22">
        <v>0</v>
      </c>
      <c r="D19" s="13"/>
      <c r="E19" s="23">
        <f>D19+E18</f>
        <v>353.95509277113609</v>
      </c>
    </row>
    <row r="20" spans="2:5">
      <c r="B20" s="24"/>
      <c r="D20" s="25"/>
      <c r="E20" s="26">
        <f>E19+C21</f>
        <v>353.95509277113609</v>
      </c>
    </row>
    <row r="21" spans="2:5">
      <c r="B21" s="27"/>
      <c r="C21" s="28"/>
      <c r="D21" s="29"/>
      <c r="E21" s="30">
        <f>D18/$E$3</f>
        <v>7.927325705960496E-2</v>
      </c>
    </row>
    <row r="22" spans="2:5">
      <c r="B22" s="40"/>
      <c r="C22" s="32"/>
      <c r="D22" s="33"/>
      <c r="E22" s="34"/>
    </row>
    <row r="23" spans="2:5">
      <c r="B23" s="14" t="s">
        <v>8</v>
      </c>
      <c r="C23" s="15" t="e">
        <f>B25+D25</f>
        <v>#REF!</v>
      </c>
      <c r="D23" s="16">
        <v>0</v>
      </c>
      <c r="E23" s="17" t="s">
        <v>5</v>
      </c>
    </row>
    <row r="24" spans="2:5">
      <c r="B24" s="41">
        <f>E3-D6-D12-D18-D36-D30</f>
        <v>337.47999999999956</v>
      </c>
      <c r="C24" s="19"/>
      <c r="D24" s="19">
        <f>B24-C24</f>
        <v>337.47999999999956</v>
      </c>
      <c r="E24" s="42">
        <f>D24*$E$4</f>
        <v>1614.2265501135523</v>
      </c>
    </row>
    <row r="25" spans="2:5">
      <c r="B25" s="21" t="e">
        <f>#REF!</f>
        <v>#REF!</v>
      </c>
      <c r="C25" s="22"/>
      <c r="D25" s="43"/>
      <c r="E25" s="23">
        <f>D25+E24</f>
        <v>1614.2265501135523</v>
      </c>
    </row>
    <row r="26" spans="2:5">
      <c r="B26" s="24"/>
      <c r="C26" s="2"/>
      <c r="D26" s="44"/>
      <c r="E26" s="26">
        <f>E25+C27</f>
        <v>1614.2265501135523</v>
      </c>
    </row>
    <row r="27" spans="2:5">
      <c r="B27" s="27"/>
      <c r="C27" s="28"/>
      <c r="D27" s="29"/>
      <c r="E27" s="30">
        <f>D24/$E$3</f>
        <v>0.36152890260101955</v>
      </c>
    </row>
    <row r="28" spans="2:5">
      <c r="B28" s="40"/>
      <c r="C28" s="32"/>
      <c r="D28" s="33"/>
      <c r="E28" s="34"/>
    </row>
    <row r="29" spans="2:5">
      <c r="B29" s="14" t="s">
        <v>9</v>
      </c>
      <c r="C29" s="15" t="e">
        <f>B31+D31</f>
        <v>#REF!</v>
      </c>
      <c r="D29" s="16">
        <v>200</v>
      </c>
      <c r="E29" s="17" t="s">
        <v>5</v>
      </c>
    </row>
    <row r="30" spans="2:5">
      <c r="B30" s="18">
        <v>6795</v>
      </c>
      <c r="C30" s="19">
        <v>6700</v>
      </c>
      <c r="D30" s="19">
        <f>B30-C30</f>
        <v>95</v>
      </c>
      <c r="E30" s="42">
        <f>D30*$E$4</f>
        <v>454.40180828726932</v>
      </c>
    </row>
    <row r="31" spans="2:5">
      <c r="B31" s="45" t="e">
        <f>#REF!</f>
        <v>#REF!</v>
      </c>
      <c r="C31" s="22"/>
      <c r="D31" s="13"/>
      <c r="E31" s="23">
        <f>D31+E30</f>
        <v>454.40180828726932</v>
      </c>
    </row>
    <row r="32" spans="2:5">
      <c r="B32" s="24"/>
      <c r="D32" s="25"/>
      <c r="E32" s="26">
        <f>E31+C33</f>
        <v>454.40180828726932</v>
      </c>
    </row>
    <row r="33" spans="2:5">
      <c r="B33" s="27">
        <f>C33-D33</f>
        <v>0</v>
      </c>
      <c r="C33" s="28"/>
      <c r="D33" s="29"/>
      <c r="E33" s="30">
        <f>D30/$E$3</f>
        <v>0.1017697219008442</v>
      </c>
    </row>
    <row r="34" spans="2:5">
      <c r="B34" s="36"/>
      <c r="C34" s="32"/>
      <c r="D34" s="33"/>
      <c r="E34" s="34"/>
    </row>
    <row r="35" spans="2:5">
      <c r="B35" s="14" t="s">
        <v>10</v>
      </c>
      <c r="C35" s="15" t="e">
        <f>B37+D37</f>
        <v>#REF!</v>
      </c>
      <c r="D35" s="16">
        <v>6700</v>
      </c>
      <c r="E35" s="17" t="s">
        <v>5</v>
      </c>
    </row>
    <row r="36" spans="2:5">
      <c r="B36" s="37">
        <v>7606</v>
      </c>
      <c r="C36" s="38">
        <v>7606</v>
      </c>
      <c r="D36" s="38">
        <f>B36-C36+J39</f>
        <v>0</v>
      </c>
      <c r="E36" s="46">
        <f>D36*$E$4</f>
        <v>0</v>
      </c>
    </row>
    <row r="37" spans="2:5">
      <c r="B37" s="45" t="e">
        <f>#REF!</f>
        <v>#REF!</v>
      </c>
      <c r="C37" s="22">
        <v>0</v>
      </c>
      <c r="D37" s="13">
        <f>(D36*$E$4*C37)</f>
        <v>0</v>
      </c>
      <c r="E37" s="26">
        <f>E36+C38</f>
        <v>0</v>
      </c>
    </row>
    <row r="38" spans="2:5">
      <c r="B38" s="27"/>
      <c r="C38" s="28"/>
      <c r="D38" s="29"/>
      <c r="E38" s="30"/>
    </row>
    <row r="39" spans="2:5">
      <c r="B39" s="47"/>
      <c r="C39" s="48"/>
      <c r="D39" s="49"/>
      <c r="E39" s="50"/>
    </row>
    <row r="40" spans="2:5">
      <c r="B40">
        <f>C38+C33+C27+C21+C15+C9</f>
        <v>0</v>
      </c>
      <c r="C40" s="51">
        <f>D6+D12+D18+D24+D30+D36</f>
        <v>933.47999999999956</v>
      </c>
      <c r="D40" s="52">
        <f>E8+E14+E20+E26+E32+E37</f>
        <v>4465</v>
      </c>
      <c r="E40" s="1">
        <f>E36+E30+E24+E18+E12+E6</f>
        <v>4465</v>
      </c>
    </row>
    <row r="41" spans="2:5">
      <c r="C41" s="51"/>
    </row>
  </sheetData>
  <pageMargins left="0.27559055118110198" right="0.27559055118110198" top="0.62992125984252012" bottom="0.62992125984252012" header="0.23622047244094502" footer="0.23622047244094502"/>
  <pageSetup paperSize="9" fitToWidth="0" fitToHeight="0" pageOrder="overThenDown" orientation="landscape" useFirstPageNumber="1" r:id="rId1"/>
  <headerFooter alignWithMargins="0">
    <oddHeader>&amp;C&amp;A</oddHeader>
    <oddFooter>&amp;CPage &amp;P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638</TotalTime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5</vt:i4>
      </vt:variant>
    </vt:vector>
  </HeadingPairs>
  <TitlesOfParts>
    <vt:vector size="5" baseType="lpstr">
      <vt:lpstr>25_5</vt:lpstr>
      <vt:lpstr>25_4</vt:lpstr>
      <vt:lpstr>25_3</vt:lpstr>
      <vt:lpstr>25_02</vt:lpstr>
      <vt:lpstr>25_01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</dc:creator>
  <cp:lastModifiedBy>Ali</cp:lastModifiedBy>
  <cp:revision>90</cp:revision>
  <cp:lastPrinted>2024-09-04T08:56:48Z</cp:lastPrinted>
  <dcterms:created xsi:type="dcterms:W3CDTF">2022-01-04T09:25:31Z</dcterms:created>
  <dcterms:modified xsi:type="dcterms:W3CDTF">2025-05-03T10:23:30Z</dcterms:modified>
</cp:coreProperties>
</file>